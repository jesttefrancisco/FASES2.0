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drawings/drawing10.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1.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omments1.xml" ContentType="application/vnd.openxmlformats-officedocument.spreadsheetml.comments+xml"/>
  <Override PartName="/xl/drawings/drawing1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C:\Users\FRANCISCO\Downloads\"/>
    </mc:Choice>
  </mc:AlternateContent>
  <xr:revisionPtr revIDLastSave="0" documentId="13_ncr:1_{535EDDFA-20EC-4D13-9BC3-220B0CF6F316}" xr6:coauthVersionLast="47" xr6:coauthVersionMax="47" xr10:uidLastSave="{00000000-0000-0000-0000-000000000000}"/>
  <bookViews>
    <workbookView xWindow="20370" yWindow="-120" windowWidth="29040" windowHeight="15840" tabRatio="767" firstSheet="1" activeTab="6" xr2:uid="{00000000-000D-0000-FFFF-FFFF00000000}"/>
  </bookViews>
  <sheets>
    <sheet name="GRAFICO" sheetId="52" r:id="rId1"/>
    <sheet name="DINAMICA" sheetId="53" r:id="rId2"/>
    <sheet name="FASE 4" sheetId="44" r:id="rId3"/>
    <sheet name="FASE 3 " sheetId="43" r:id="rId4"/>
    <sheet name="FASE 2  " sheetId="42" r:id="rId5"/>
    <sheet name="AVANCE SEMANAL 1" sheetId="5" state="hidden" r:id="rId6"/>
    <sheet name="FASE 1   " sheetId="41" r:id="rId7"/>
    <sheet name="AVANCE SEMANAL" sheetId="46" r:id="rId8"/>
    <sheet name="SEGUIMIENTO R.CRITICA" sheetId="50" state="hidden" r:id="rId9"/>
    <sheet name="DASHBOARD" sheetId="54" r:id="rId10"/>
    <sheet name="GANTT_SFCO211" sheetId="56" r:id="rId11"/>
    <sheet name="IMPRIMIR" sheetId="51" state="hidden" r:id="rId12"/>
    <sheet name="Hoja2" sheetId="49" state="hidden" r:id="rId13"/>
    <sheet name="PROJECT TA Y TB KARINA" sheetId="7" state="hidden" r:id="rId14"/>
    <sheet name="EXEL KARINA" sheetId="31" state="hidden" r:id="rId15"/>
    <sheet name="PROJECT OBRA TA Y TB " sheetId="30" state="hidden" r:id="rId16"/>
    <sheet name="GRAFICOS TA Y TB" sheetId="8" state="hidden" r:id="rId17"/>
    <sheet name="PROG TERMINACIONES" sheetId="29" state="hidden" r:id="rId18"/>
  </sheets>
  <definedNames>
    <definedName name="_xlnm._FilterDatabase" localSheetId="14" hidden="1">'EXEL KARINA'!$A$11:$KA$62</definedName>
    <definedName name="_xlnm._FilterDatabase" localSheetId="6" hidden="1">'FASE 1   '!$B$6:$V$402</definedName>
    <definedName name="_xlnm._FilterDatabase" localSheetId="4" hidden="1">'FASE 2  '!$B$6:$Q$402</definedName>
    <definedName name="_xlnm._FilterDatabase" localSheetId="3" hidden="1">'FASE 3 '!$B$6:$W$402</definedName>
    <definedName name="_xlnm._FilterDatabase" localSheetId="2" hidden="1">'FASE 4'!$B$6:$N$402</definedName>
    <definedName name="_xlnm._FilterDatabase" localSheetId="15" hidden="1">'PROJECT OBRA TA Y TB '!$A$6:$Z$21</definedName>
    <definedName name="_xlnm.Print_Area" localSheetId="7">'AVANCE SEMANAL'!$A$1:$AA$106</definedName>
    <definedName name="_xlnm.Print_Area" localSheetId="6">'FASE 1   '!$A$1:$W$434</definedName>
    <definedName name="_xlnm.Print_Area" localSheetId="4">'FASE 2  '!$A$1:$R$421</definedName>
    <definedName name="_xlnm.Print_Area" localSheetId="3">'FASE 3 '!$A$1:$X$421</definedName>
    <definedName name="_xlnm.Print_Area" localSheetId="2">'FASE 4'!$A$1:$O$451</definedName>
    <definedName name="_xlnm.Print_Area" localSheetId="13">'PROJECT TA Y TB KARINA'!$A$1:$AG$125</definedName>
    <definedName name="Hoy" localSheetId="10">TODAY()</definedName>
    <definedName name="Incremento_de_desplazamiento" localSheetId="10">GANTT_SFCO211!$C$7</definedName>
    <definedName name="Inicio_del_proyecto" localSheetId="10">GANTT_SFCO211!$C$6</definedName>
    <definedName name="_xlnm.Print_Titles" localSheetId="10">GANTT_SFCO211!$6:$9</definedName>
  </definedNames>
  <calcPr calcId="191028"/>
  <pivotCaches>
    <pivotCache cacheId="9" r:id="rId19"/>
    <pivotCache cacheId="10" r:id="rId20"/>
    <pivotCache cacheId="11" r:id="rId21"/>
    <pivotCache cacheId="12" r:id="rId2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7" i="56" l="1"/>
  <c r="E18" i="56"/>
  <c r="E19" i="56"/>
  <c r="E20" i="56"/>
  <c r="E16" i="56"/>
  <c r="E15" i="56"/>
  <c r="I12" i="56" l="1"/>
  <c r="I11" i="56"/>
  <c r="J12" i="56"/>
  <c r="D42" i="46"/>
  <c r="E42" i="46"/>
  <c r="F42" i="46"/>
  <c r="G42" i="46"/>
  <c r="H42" i="46"/>
  <c r="I42" i="46"/>
  <c r="J42" i="46"/>
  <c r="K42" i="46"/>
  <c r="D24" i="46"/>
  <c r="E24" i="46"/>
  <c r="F24" i="46"/>
  <c r="G24" i="46"/>
  <c r="H24" i="46"/>
  <c r="I24" i="46"/>
  <c r="J24" i="46"/>
  <c r="K24" i="46"/>
  <c r="D45" i="46" l="1"/>
  <c r="E45" i="46"/>
  <c r="F45" i="46"/>
  <c r="G45" i="46"/>
  <c r="H45" i="46"/>
  <c r="I45" i="46"/>
  <c r="J45" i="46"/>
  <c r="K45" i="46"/>
  <c r="AF41" i="56"/>
  <c r="AE41" i="56"/>
  <c r="AD41" i="56"/>
  <c r="AC41" i="56"/>
  <c r="AB41" i="56"/>
  <c r="AA41" i="56"/>
  <c r="Z41" i="56"/>
  <c r="Y41" i="56"/>
  <c r="X41" i="56"/>
  <c r="W41" i="56"/>
  <c r="V41" i="56"/>
  <c r="U41" i="56"/>
  <c r="T41" i="56"/>
  <c r="S41" i="56"/>
  <c r="R41" i="56"/>
  <c r="Q41" i="56"/>
  <c r="P41" i="56"/>
  <c r="O41" i="56"/>
  <c r="N41" i="56"/>
  <c r="M41" i="56"/>
  <c r="L41" i="56"/>
  <c r="K41" i="56"/>
  <c r="J41" i="56"/>
  <c r="I41" i="56"/>
  <c r="AF31" i="56"/>
  <c r="AE31" i="56"/>
  <c r="AD31" i="56"/>
  <c r="AC31" i="56"/>
  <c r="AB31" i="56"/>
  <c r="AA31" i="56"/>
  <c r="Z31" i="56"/>
  <c r="Y31" i="56"/>
  <c r="X31" i="56"/>
  <c r="W31" i="56"/>
  <c r="V31" i="56"/>
  <c r="U31" i="56"/>
  <c r="T31" i="56"/>
  <c r="S31" i="56"/>
  <c r="R31" i="56"/>
  <c r="Q31" i="56"/>
  <c r="P31" i="56"/>
  <c r="O31" i="56"/>
  <c r="N31" i="56"/>
  <c r="M31" i="56"/>
  <c r="L31" i="56"/>
  <c r="K31" i="56"/>
  <c r="J31" i="56"/>
  <c r="I31" i="56"/>
  <c r="F22" i="56"/>
  <c r="Z22" i="56" s="1"/>
  <c r="AF21" i="56"/>
  <c r="AE21" i="56"/>
  <c r="AD21" i="56"/>
  <c r="AC21" i="56"/>
  <c r="AB21" i="56"/>
  <c r="AA21" i="56"/>
  <c r="Z21" i="56"/>
  <c r="Y21" i="56"/>
  <c r="X21" i="56"/>
  <c r="W21" i="56"/>
  <c r="V21" i="56"/>
  <c r="U21" i="56"/>
  <c r="T21" i="56"/>
  <c r="S21" i="56"/>
  <c r="R21" i="56"/>
  <c r="Q21" i="56"/>
  <c r="P21" i="56"/>
  <c r="O21" i="56"/>
  <c r="N21" i="56"/>
  <c r="M21" i="56"/>
  <c r="L21" i="56"/>
  <c r="K21" i="56"/>
  <c r="J21" i="56"/>
  <c r="I21" i="56"/>
  <c r="AB15" i="56"/>
  <c r="AA15" i="56"/>
  <c r="Z15" i="56"/>
  <c r="T15" i="56"/>
  <c r="S15" i="56"/>
  <c r="R15" i="56"/>
  <c r="L15" i="56"/>
  <c r="K15" i="56"/>
  <c r="J15" i="56"/>
  <c r="F15" i="56"/>
  <c r="F16" i="56" s="1"/>
  <c r="AC14" i="56"/>
  <c r="AB14" i="56"/>
  <c r="AA14" i="56"/>
  <c r="Y14" i="56"/>
  <c r="U14" i="56"/>
  <c r="T14" i="56"/>
  <c r="S14" i="56"/>
  <c r="Q14" i="56"/>
  <c r="M14" i="56"/>
  <c r="L14" i="56"/>
  <c r="K14" i="56"/>
  <c r="I14" i="56"/>
  <c r="F14" i="56"/>
  <c r="Z14" i="56" s="1"/>
  <c r="AE13" i="56"/>
  <c r="AD13" i="56"/>
  <c r="AC13" i="56"/>
  <c r="AB13" i="56"/>
  <c r="Z13" i="56"/>
  <c r="Y13" i="56"/>
  <c r="W13" i="56"/>
  <c r="V13" i="56"/>
  <c r="U13" i="56"/>
  <c r="T13" i="56"/>
  <c r="R13" i="56"/>
  <c r="Q13" i="56"/>
  <c r="O13" i="56"/>
  <c r="N13" i="56"/>
  <c r="M13" i="56"/>
  <c r="L13" i="56"/>
  <c r="J13" i="56"/>
  <c r="I13" i="56"/>
  <c r="F13" i="56"/>
  <c r="AA13" i="56" s="1"/>
  <c r="AF12" i="56"/>
  <c r="AE12" i="56"/>
  <c r="AD12" i="56"/>
  <c r="AC12" i="56"/>
  <c r="AB12" i="56"/>
  <c r="AA12" i="56"/>
  <c r="Z12" i="56"/>
  <c r="Y12" i="56"/>
  <c r="X12" i="56"/>
  <c r="W12" i="56"/>
  <c r="V12" i="56"/>
  <c r="U12" i="56"/>
  <c r="T12" i="56"/>
  <c r="S12" i="56"/>
  <c r="R12" i="56"/>
  <c r="Q12" i="56"/>
  <c r="P12" i="56"/>
  <c r="O12" i="56"/>
  <c r="N12" i="56"/>
  <c r="M12" i="56"/>
  <c r="L12" i="56"/>
  <c r="K12" i="56"/>
  <c r="AF11" i="56"/>
  <c r="AE11" i="56"/>
  <c r="AD11" i="56"/>
  <c r="AC11" i="56"/>
  <c r="AB11" i="56"/>
  <c r="AA11" i="56"/>
  <c r="Z11" i="56"/>
  <c r="Y11" i="56"/>
  <c r="X11" i="56"/>
  <c r="W11" i="56"/>
  <c r="V11" i="56"/>
  <c r="U11" i="56"/>
  <c r="T11" i="56"/>
  <c r="S11" i="56"/>
  <c r="R11" i="56"/>
  <c r="Q11" i="56"/>
  <c r="P11" i="56"/>
  <c r="O11" i="56"/>
  <c r="N11" i="56"/>
  <c r="M11" i="56"/>
  <c r="L11" i="56"/>
  <c r="K11" i="56"/>
  <c r="J11" i="56"/>
  <c r="C6" i="56"/>
  <c r="M22" i="56" l="1"/>
  <c r="N22" i="56"/>
  <c r="S22" i="56"/>
  <c r="U22" i="56"/>
  <c r="V22" i="56"/>
  <c r="AA22" i="56"/>
  <c r="AC22" i="56"/>
  <c r="K22" i="56"/>
  <c r="AD22" i="56"/>
  <c r="AF16" i="56"/>
  <c r="X16" i="56"/>
  <c r="P16" i="56"/>
  <c r="AE16" i="56"/>
  <c r="W16" i="56"/>
  <c r="O16" i="56"/>
  <c r="AA16" i="56"/>
  <c r="AD16" i="56"/>
  <c r="V16" i="56"/>
  <c r="N16" i="56"/>
  <c r="S16" i="56"/>
  <c r="AC16" i="56"/>
  <c r="U16" i="56"/>
  <c r="M16" i="56"/>
  <c r="K16" i="56"/>
  <c r="AB16" i="56"/>
  <c r="T16" i="56"/>
  <c r="L16" i="56"/>
  <c r="Z16" i="56"/>
  <c r="R16" i="56"/>
  <c r="J16" i="56"/>
  <c r="F17" i="56"/>
  <c r="Y16" i="56"/>
  <c r="Q16" i="56"/>
  <c r="I16" i="56"/>
  <c r="N14" i="56"/>
  <c r="V14" i="56"/>
  <c r="AD14" i="56"/>
  <c r="M15" i="56"/>
  <c r="U15" i="56"/>
  <c r="AC15" i="56"/>
  <c r="P13" i="56"/>
  <c r="X13" i="56"/>
  <c r="AF13" i="56"/>
  <c r="O14" i="56"/>
  <c r="W14" i="56"/>
  <c r="AE14" i="56"/>
  <c r="N15" i="56"/>
  <c r="V15" i="56"/>
  <c r="AD15" i="56"/>
  <c r="P14" i="56"/>
  <c r="X14" i="56"/>
  <c r="AF14" i="56"/>
  <c r="O15" i="56"/>
  <c r="W15" i="56"/>
  <c r="AE15" i="56"/>
  <c r="P15" i="56"/>
  <c r="X15" i="56"/>
  <c r="AF15" i="56"/>
  <c r="K13" i="56"/>
  <c r="S13" i="56"/>
  <c r="J14" i="56"/>
  <c r="R14" i="56"/>
  <c r="I15" i="56"/>
  <c r="Q15" i="56"/>
  <c r="Y15" i="56"/>
  <c r="L22" i="56"/>
  <c r="T22" i="56"/>
  <c r="AB22" i="56"/>
  <c r="O22" i="56"/>
  <c r="W22" i="56"/>
  <c r="AE22" i="56"/>
  <c r="P22" i="56"/>
  <c r="X22" i="56"/>
  <c r="AF22" i="56"/>
  <c r="I22" i="56"/>
  <c r="Q22" i="56"/>
  <c r="Y22" i="56"/>
  <c r="F23" i="56"/>
  <c r="F32" i="56"/>
  <c r="J22" i="56"/>
  <c r="R22" i="56"/>
  <c r="F42" i="56" l="1"/>
  <c r="Y32" i="56"/>
  <c r="Q32" i="56"/>
  <c r="I32" i="56"/>
  <c r="AF32" i="56"/>
  <c r="X32" i="56"/>
  <c r="P32" i="56"/>
  <c r="AE32" i="56"/>
  <c r="W32" i="56"/>
  <c r="O32" i="56"/>
  <c r="AD32" i="56"/>
  <c r="V32" i="56"/>
  <c r="N32" i="56"/>
  <c r="AA32" i="56"/>
  <c r="S32" i="56"/>
  <c r="K32" i="56"/>
  <c r="Z32" i="56"/>
  <c r="U32" i="56"/>
  <c r="T32" i="56"/>
  <c r="R32" i="56"/>
  <c r="L32" i="56"/>
  <c r="M32" i="56"/>
  <c r="AC32" i="56"/>
  <c r="J32" i="56"/>
  <c r="AB32" i="56"/>
  <c r="F33" i="56"/>
  <c r="F24" i="56"/>
  <c r="Y23" i="56"/>
  <c r="Q23" i="56"/>
  <c r="I23" i="56"/>
  <c r="AF23" i="56"/>
  <c r="X23" i="56"/>
  <c r="P23" i="56"/>
  <c r="AE23" i="56"/>
  <c r="W23" i="56"/>
  <c r="O23" i="56"/>
  <c r="AD23" i="56"/>
  <c r="V23" i="56"/>
  <c r="N23" i="56"/>
  <c r="AA23" i="56"/>
  <c r="S23" i="56"/>
  <c r="K23" i="56"/>
  <c r="L23" i="56"/>
  <c r="AC23" i="56"/>
  <c r="J23" i="56"/>
  <c r="AB23" i="56"/>
  <c r="Z23" i="56"/>
  <c r="U23" i="56"/>
  <c r="T23" i="56"/>
  <c r="R23" i="56"/>
  <c r="M23" i="56"/>
  <c r="AE17" i="56"/>
  <c r="W17" i="56"/>
  <c r="O17" i="56"/>
  <c r="Z17" i="56"/>
  <c r="AD17" i="56"/>
  <c r="V17" i="56"/>
  <c r="N17" i="56"/>
  <c r="AC17" i="56"/>
  <c r="U17" i="56"/>
  <c r="M17" i="56"/>
  <c r="AB17" i="56"/>
  <c r="T17" i="56"/>
  <c r="L17" i="56"/>
  <c r="J17" i="56"/>
  <c r="AA17" i="56"/>
  <c r="S17" i="56"/>
  <c r="K17" i="56"/>
  <c r="R17" i="56"/>
  <c r="F18" i="56"/>
  <c r="Y17" i="56"/>
  <c r="Q17" i="56"/>
  <c r="I17" i="56"/>
  <c r="AF17" i="56"/>
  <c r="X17" i="56"/>
  <c r="P17" i="56"/>
  <c r="AF24" i="56" l="1"/>
  <c r="X24" i="56"/>
  <c r="P24" i="56"/>
  <c r="AE24" i="56"/>
  <c r="W24" i="56"/>
  <c r="O24" i="56"/>
  <c r="AD24" i="56"/>
  <c r="V24" i="56"/>
  <c r="N24" i="56"/>
  <c r="AC24" i="56"/>
  <c r="U24" i="56"/>
  <c r="M24" i="56"/>
  <c r="Z24" i="56"/>
  <c r="R24" i="56"/>
  <c r="J24" i="56"/>
  <c r="AB24" i="56"/>
  <c r="I24" i="56"/>
  <c r="AA24" i="56"/>
  <c r="Y24" i="56"/>
  <c r="T24" i="56"/>
  <c r="Q24" i="56"/>
  <c r="F34" i="56"/>
  <c r="S24" i="56"/>
  <c r="L24" i="56"/>
  <c r="F25" i="56"/>
  <c r="K24" i="56"/>
  <c r="AF33" i="56"/>
  <c r="X33" i="56"/>
  <c r="P33" i="56"/>
  <c r="AE33" i="56"/>
  <c r="W33" i="56"/>
  <c r="O33" i="56"/>
  <c r="AD33" i="56"/>
  <c r="V33" i="56"/>
  <c r="N33" i="56"/>
  <c r="AC33" i="56"/>
  <c r="U33" i="56"/>
  <c r="M33" i="56"/>
  <c r="Z33" i="56"/>
  <c r="R33" i="56"/>
  <c r="J33" i="56"/>
  <c r="T33" i="56"/>
  <c r="S33" i="56"/>
  <c r="Q33" i="56"/>
  <c r="L33" i="56"/>
  <c r="I33" i="56"/>
  <c r="K33" i="56"/>
  <c r="AB33" i="56"/>
  <c r="AA33" i="56"/>
  <c r="Y33" i="56"/>
  <c r="AD18" i="56"/>
  <c r="V18" i="56"/>
  <c r="N18" i="56"/>
  <c r="AC18" i="56"/>
  <c r="U18" i="56"/>
  <c r="M18" i="56"/>
  <c r="Y18" i="56"/>
  <c r="AB18" i="56"/>
  <c r="T18" i="56"/>
  <c r="L18" i="56"/>
  <c r="F19" i="56"/>
  <c r="I18" i="56"/>
  <c r="AA18" i="56"/>
  <c r="S18" i="56"/>
  <c r="K18" i="56"/>
  <c r="Q18" i="56"/>
  <c r="Z18" i="56"/>
  <c r="R18" i="56"/>
  <c r="J18" i="56"/>
  <c r="AF18" i="56"/>
  <c r="X18" i="56"/>
  <c r="P18" i="56"/>
  <c r="AE18" i="56"/>
  <c r="W18" i="56"/>
  <c r="O18" i="56"/>
  <c r="AF42" i="56"/>
  <c r="X42" i="56"/>
  <c r="P42" i="56"/>
  <c r="AE42" i="56"/>
  <c r="W42" i="56"/>
  <c r="O42" i="56"/>
  <c r="AD42" i="56"/>
  <c r="V42" i="56"/>
  <c r="N42" i="56"/>
  <c r="AC42" i="56"/>
  <c r="U42" i="56"/>
  <c r="M42" i="56"/>
  <c r="Z42" i="56"/>
  <c r="R42" i="56"/>
  <c r="J42" i="56"/>
  <c r="L42" i="56"/>
  <c r="F43" i="56"/>
  <c r="K42" i="56"/>
  <c r="AB42" i="56"/>
  <c r="I42" i="56"/>
  <c r="T42" i="56"/>
  <c r="AA42" i="56"/>
  <c r="Y42" i="56"/>
  <c r="S42" i="56"/>
  <c r="Q42" i="56"/>
  <c r="AE34" i="56" l="1"/>
  <c r="W34" i="56"/>
  <c r="O34" i="56"/>
  <c r="AD34" i="56"/>
  <c r="V34" i="56"/>
  <c r="N34" i="56"/>
  <c r="AC34" i="56"/>
  <c r="U34" i="56"/>
  <c r="M34" i="56"/>
  <c r="AB34" i="56"/>
  <c r="T34" i="56"/>
  <c r="L34" i="56"/>
  <c r="Y34" i="56"/>
  <c r="Q34" i="56"/>
  <c r="I34" i="56"/>
  <c r="R34" i="56"/>
  <c r="P34" i="56"/>
  <c r="K34" i="56"/>
  <c r="AF34" i="56"/>
  <c r="J34" i="56"/>
  <c r="Z34" i="56"/>
  <c r="AA34" i="56"/>
  <c r="X34" i="56"/>
  <c r="S34" i="56"/>
  <c r="AC19" i="56"/>
  <c r="U19" i="56"/>
  <c r="M19" i="56"/>
  <c r="X19" i="56"/>
  <c r="AB19" i="56"/>
  <c r="T19" i="56"/>
  <c r="L19" i="56"/>
  <c r="AA19" i="56"/>
  <c r="S19" i="56"/>
  <c r="K19" i="56"/>
  <c r="Z19" i="56"/>
  <c r="R19" i="56"/>
  <c r="J19" i="56"/>
  <c r="AF19" i="56"/>
  <c r="F20" i="56"/>
  <c r="Y19" i="56"/>
  <c r="Q19" i="56"/>
  <c r="I19" i="56"/>
  <c r="P19" i="56"/>
  <c r="AE19" i="56"/>
  <c r="W19" i="56"/>
  <c r="O19" i="56"/>
  <c r="AD19" i="56"/>
  <c r="V19" i="56"/>
  <c r="N19" i="56"/>
  <c r="AE43" i="56"/>
  <c r="W43" i="56"/>
  <c r="O43" i="56"/>
  <c r="AD43" i="56"/>
  <c r="V43" i="56"/>
  <c r="N43" i="56"/>
  <c r="AC43" i="56"/>
  <c r="U43" i="56"/>
  <c r="M43" i="56"/>
  <c r="AB43" i="56"/>
  <c r="T43" i="56"/>
  <c r="L43" i="56"/>
  <c r="F44" i="56"/>
  <c r="Y43" i="56"/>
  <c r="Q43" i="56"/>
  <c r="I43" i="56"/>
  <c r="AF43" i="56"/>
  <c r="J43" i="56"/>
  <c r="AA43" i="56"/>
  <c r="Z43" i="56"/>
  <c r="X43" i="56"/>
  <c r="S43" i="56"/>
  <c r="R43" i="56"/>
  <c r="P43" i="56"/>
  <c r="K43" i="56"/>
  <c r="AE25" i="56"/>
  <c r="W25" i="56"/>
  <c r="O25" i="56"/>
  <c r="AD25" i="56"/>
  <c r="V25" i="56"/>
  <c r="N25" i="56"/>
  <c r="AC25" i="56"/>
  <c r="U25" i="56"/>
  <c r="M25" i="56"/>
  <c r="AB25" i="56"/>
  <c r="T25" i="56"/>
  <c r="L25" i="56"/>
  <c r="F35" i="56"/>
  <c r="F26" i="56"/>
  <c r="Y25" i="56"/>
  <c r="Q25" i="56"/>
  <c r="I25" i="56"/>
  <c r="Z25" i="56"/>
  <c r="X25" i="56"/>
  <c r="S25" i="56"/>
  <c r="R25" i="56"/>
  <c r="K25" i="56"/>
  <c r="P25" i="56"/>
  <c r="AF25" i="56"/>
  <c r="J25" i="56"/>
  <c r="AA25" i="56"/>
  <c r="AD35" i="56" l="1"/>
  <c r="V35" i="56"/>
  <c r="N35" i="56"/>
  <c r="AC35" i="56"/>
  <c r="U35" i="56"/>
  <c r="M35" i="56"/>
  <c r="AB35" i="56"/>
  <c r="T35" i="56"/>
  <c r="L35" i="56"/>
  <c r="AA35" i="56"/>
  <c r="S35" i="56"/>
  <c r="K35" i="56"/>
  <c r="AF35" i="56"/>
  <c r="X35" i="56"/>
  <c r="P35" i="56"/>
  <c r="O35" i="56"/>
  <c r="J35" i="56"/>
  <c r="AE35" i="56"/>
  <c r="I35" i="56"/>
  <c r="Z35" i="56"/>
  <c r="W35" i="56"/>
  <c r="Y35" i="56"/>
  <c r="R35" i="56"/>
  <c r="Q35" i="56"/>
  <c r="AB20" i="56"/>
  <c r="T20" i="56"/>
  <c r="L20" i="56"/>
  <c r="AA20" i="56"/>
  <c r="S20" i="56"/>
  <c r="K20" i="56"/>
  <c r="Z20" i="56"/>
  <c r="R20" i="56"/>
  <c r="J20" i="56"/>
  <c r="AE20" i="56"/>
  <c r="O20" i="56"/>
  <c r="Y20" i="56"/>
  <c r="Q20" i="56"/>
  <c r="I20" i="56"/>
  <c r="W20" i="56"/>
  <c r="AF20" i="56"/>
  <c r="X20" i="56"/>
  <c r="P20" i="56"/>
  <c r="AD20" i="56"/>
  <c r="V20" i="56"/>
  <c r="N20" i="56"/>
  <c r="AC20" i="56"/>
  <c r="U20" i="56"/>
  <c r="M20" i="56"/>
  <c r="AD26" i="56"/>
  <c r="V26" i="56"/>
  <c r="N26" i="56"/>
  <c r="AC26" i="56"/>
  <c r="U26" i="56"/>
  <c r="M26" i="56"/>
  <c r="AB26" i="56"/>
  <c r="T26" i="56"/>
  <c r="L26" i="56"/>
  <c r="AA26" i="56"/>
  <c r="S26" i="56"/>
  <c r="K26" i="56"/>
  <c r="AF26" i="56"/>
  <c r="X26" i="56"/>
  <c r="P26" i="56"/>
  <c r="W26" i="56"/>
  <c r="AE26" i="56"/>
  <c r="F36" i="56"/>
  <c r="R26" i="56"/>
  <c r="Q26" i="56"/>
  <c r="O26" i="56"/>
  <c r="F27" i="56"/>
  <c r="J26" i="56"/>
  <c r="I26" i="56"/>
  <c r="Z26" i="56"/>
  <c r="Y26" i="56"/>
  <c r="AD44" i="56"/>
  <c r="V44" i="56"/>
  <c r="N44" i="56"/>
  <c r="AC44" i="56"/>
  <c r="U44" i="56"/>
  <c r="M44" i="56"/>
  <c r="AB44" i="56"/>
  <c r="T44" i="56"/>
  <c r="L44" i="56"/>
  <c r="AA44" i="56"/>
  <c r="S44" i="56"/>
  <c r="K44" i="56"/>
  <c r="AF44" i="56"/>
  <c r="X44" i="56"/>
  <c r="P44" i="56"/>
  <c r="Z44" i="56"/>
  <c r="Y44" i="56"/>
  <c r="W44" i="56"/>
  <c r="R44" i="56"/>
  <c r="O44" i="56"/>
  <c r="Q44" i="56"/>
  <c r="F45" i="56"/>
  <c r="J44" i="56"/>
  <c r="AE44" i="56"/>
  <c r="I44" i="56"/>
  <c r="AC45" i="56" l="1"/>
  <c r="U45" i="56"/>
  <c r="M45" i="56"/>
  <c r="AB45" i="56"/>
  <c r="T45" i="56"/>
  <c r="L45" i="56"/>
  <c r="AA45" i="56"/>
  <c r="S45" i="56"/>
  <c r="K45" i="56"/>
  <c r="Z45" i="56"/>
  <c r="R45" i="56"/>
  <c r="J45" i="56"/>
  <c r="AE45" i="56"/>
  <c r="W45" i="56"/>
  <c r="O45" i="56"/>
  <c r="X45" i="56"/>
  <c r="V45" i="56"/>
  <c r="Q45" i="56"/>
  <c r="P45" i="56"/>
  <c r="AF45" i="56"/>
  <c r="I45" i="56"/>
  <c r="F46" i="56"/>
  <c r="N45" i="56"/>
  <c r="AD45" i="56"/>
  <c r="Y45" i="56"/>
  <c r="AC27" i="56"/>
  <c r="U27" i="56"/>
  <c r="M27" i="56"/>
  <c r="AB27" i="56"/>
  <c r="T27" i="56"/>
  <c r="L27" i="56"/>
  <c r="AA27" i="56"/>
  <c r="S27" i="56"/>
  <c r="K27" i="56"/>
  <c r="Z27" i="56"/>
  <c r="R27" i="56"/>
  <c r="J27" i="56"/>
  <c r="AE27" i="56"/>
  <c r="W27" i="56"/>
  <c r="O27" i="56"/>
  <c r="Q27" i="56"/>
  <c r="P27" i="56"/>
  <c r="F28" i="56"/>
  <c r="N27" i="56"/>
  <c r="AF27" i="56"/>
  <c r="I27" i="56"/>
  <c r="Y27" i="56"/>
  <c r="AD27" i="56"/>
  <c r="X27" i="56"/>
  <c r="F37" i="56"/>
  <c r="V27" i="56"/>
  <c r="AC36" i="56"/>
  <c r="U36" i="56"/>
  <c r="M36" i="56"/>
  <c r="AB36" i="56"/>
  <c r="T36" i="56"/>
  <c r="L36" i="56"/>
  <c r="AA36" i="56"/>
  <c r="S36" i="56"/>
  <c r="K36" i="56"/>
  <c r="Z36" i="56"/>
  <c r="R36" i="56"/>
  <c r="J36" i="56"/>
  <c r="AE36" i="56"/>
  <c r="W36" i="56"/>
  <c r="O36" i="56"/>
  <c r="AF36" i="56"/>
  <c r="I36" i="56"/>
  <c r="AD36" i="56"/>
  <c r="Y36" i="56"/>
  <c r="X36" i="56"/>
  <c r="V36" i="56"/>
  <c r="Q36" i="56"/>
  <c r="P36" i="56"/>
  <c r="N36" i="56"/>
  <c r="AB28" i="56" l="1"/>
  <c r="T28" i="56"/>
  <c r="L28" i="56"/>
  <c r="AA28" i="56"/>
  <c r="S28" i="56"/>
  <c r="K28" i="56"/>
  <c r="Z28" i="56"/>
  <c r="R28" i="56"/>
  <c r="J28" i="56"/>
  <c r="F38" i="56"/>
  <c r="F29" i="56"/>
  <c r="Y28" i="56"/>
  <c r="Q28" i="56"/>
  <c r="I28" i="56"/>
  <c r="AD28" i="56"/>
  <c r="V28" i="56"/>
  <c r="N28" i="56"/>
  <c r="O28" i="56"/>
  <c r="AF28" i="56"/>
  <c r="M28" i="56"/>
  <c r="AE28" i="56"/>
  <c r="AC28" i="56"/>
  <c r="W28" i="56"/>
  <c r="X28" i="56"/>
  <c r="U28" i="56"/>
  <c r="P28" i="56"/>
  <c r="AB46" i="56"/>
  <c r="T46" i="56"/>
  <c r="L46" i="56"/>
  <c r="AA46" i="56"/>
  <c r="S46" i="56"/>
  <c r="K46" i="56"/>
  <c r="Z46" i="56"/>
  <c r="R46" i="56"/>
  <c r="J46" i="56"/>
  <c r="F47" i="56"/>
  <c r="Y46" i="56"/>
  <c r="Q46" i="56"/>
  <c r="I46" i="56"/>
  <c r="AD46" i="56"/>
  <c r="V46" i="56"/>
  <c r="N46" i="56"/>
  <c r="U46" i="56"/>
  <c r="P46" i="56"/>
  <c r="O46" i="56"/>
  <c r="AF46" i="56"/>
  <c r="M46" i="56"/>
  <c r="AC46" i="56"/>
  <c r="AE46" i="56"/>
  <c r="X46" i="56"/>
  <c r="W46" i="56"/>
  <c r="AB37" i="56"/>
  <c r="T37" i="56"/>
  <c r="L37" i="56"/>
  <c r="AA37" i="56"/>
  <c r="S37" i="56"/>
  <c r="K37" i="56"/>
  <c r="Z37" i="56"/>
  <c r="R37" i="56"/>
  <c r="J37" i="56"/>
  <c r="Y37" i="56"/>
  <c r="Q37" i="56"/>
  <c r="I37" i="56"/>
  <c r="AD37" i="56"/>
  <c r="V37" i="56"/>
  <c r="N37" i="56"/>
  <c r="AC37" i="56"/>
  <c r="O37" i="56"/>
  <c r="X37" i="56"/>
  <c r="W37" i="56"/>
  <c r="U37" i="56"/>
  <c r="P37" i="56"/>
  <c r="AF37" i="56"/>
  <c r="M37" i="56"/>
  <c r="AE37" i="56"/>
  <c r="AA47" i="56" l="1"/>
  <c r="S47" i="56"/>
  <c r="K47" i="56"/>
  <c r="Z47" i="56"/>
  <c r="R47" i="56"/>
  <c r="J47" i="56"/>
  <c r="F48" i="56"/>
  <c r="Y47" i="56"/>
  <c r="Q47" i="56"/>
  <c r="I47" i="56"/>
  <c r="AF47" i="56"/>
  <c r="X47" i="56"/>
  <c r="P47" i="56"/>
  <c r="AC47" i="56"/>
  <c r="U47" i="56"/>
  <c r="M47" i="56"/>
  <c r="O47" i="56"/>
  <c r="N47" i="56"/>
  <c r="AE47" i="56"/>
  <c r="L47" i="56"/>
  <c r="AD47" i="56"/>
  <c r="W47" i="56"/>
  <c r="AB47" i="56"/>
  <c r="V47" i="56"/>
  <c r="T47" i="56"/>
  <c r="AA29" i="56"/>
  <c r="S29" i="56"/>
  <c r="K29" i="56"/>
  <c r="Z29" i="56"/>
  <c r="R29" i="56"/>
  <c r="J29" i="56"/>
  <c r="F39" i="56"/>
  <c r="F30" i="56"/>
  <c r="Y29" i="56"/>
  <c r="Q29" i="56"/>
  <c r="I29" i="56"/>
  <c r="AF29" i="56"/>
  <c r="X29" i="56"/>
  <c r="P29" i="56"/>
  <c r="AC29" i="56"/>
  <c r="U29" i="56"/>
  <c r="M29" i="56"/>
  <c r="AE29" i="56"/>
  <c r="L29" i="56"/>
  <c r="AD29" i="56"/>
  <c r="AB29" i="56"/>
  <c r="W29" i="56"/>
  <c r="V29" i="56"/>
  <c r="T29" i="56"/>
  <c r="O29" i="56"/>
  <c r="N29" i="56"/>
  <c r="AA38" i="56"/>
  <c r="S38" i="56"/>
  <c r="K38" i="56"/>
  <c r="Z38" i="56"/>
  <c r="R38" i="56"/>
  <c r="J38" i="56"/>
  <c r="Y38" i="56"/>
  <c r="Q38" i="56"/>
  <c r="I38" i="56"/>
  <c r="AF38" i="56"/>
  <c r="X38" i="56"/>
  <c r="P38" i="56"/>
  <c r="AC38" i="56"/>
  <c r="U38" i="56"/>
  <c r="M38" i="56"/>
  <c r="W38" i="56"/>
  <c r="V38" i="56"/>
  <c r="T38" i="56"/>
  <c r="O38" i="56"/>
  <c r="AE38" i="56"/>
  <c r="L38" i="56"/>
  <c r="N38" i="56"/>
  <c r="AD38" i="56"/>
  <c r="AB38" i="56"/>
  <c r="Z39" i="56" l="1"/>
  <c r="R39" i="56"/>
  <c r="J39" i="56"/>
  <c r="Y39" i="56"/>
  <c r="Q39" i="56"/>
  <c r="I39" i="56"/>
  <c r="AF39" i="56"/>
  <c r="X39" i="56"/>
  <c r="P39" i="56"/>
  <c r="AE39" i="56"/>
  <c r="W39" i="56"/>
  <c r="O39" i="56"/>
  <c r="AB39" i="56"/>
  <c r="T39" i="56"/>
  <c r="L39" i="56"/>
  <c r="U39" i="56"/>
  <c r="S39" i="56"/>
  <c r="N39" i="56"/>
  <c r="M39" i="56"/>
  <c r="AD39" i="56"/>
  <c r="K39" i="56"/>
  <c r="AC39" i="56"/>
  <c r="AA39" i="56"/>
  <c r="V39" i="56"/>
  <c r="Z48" i="56"/>
  <c r="R48" i="56"/>
  <c r="J48" i="56"/>
  <c r="F49" i="56"/>
  <c r="Y48" i="56"/>
  <c r="Q48" i="56"/>
  <c r="I48" i="56"/>
  <c r="AF48" i="56"/>
  <c r="X48" i="56"/>
  <c r="P48" i="56"/>
  <c r="AE48" i="56"/>
  <c r="W48" i="56"/>
  <c r="O48" i="56"/>
  <c r="AB48" i="56"/>
  <c r="T48" i="56"/>
  <c r="L48" i="56"/>
  <c r="M48" i="56"/>
  <c r="AD48" i="56"/>
  <c r="K48" i="56"/>
  <c r="AC48" i="56"/>
  <c r="AA48" i="56"/>
  <c r="U48" i="56"/>
  <c r="V48" i="56"/>
  <c r="S48" i="56"/>
  <c r="N48" i="56"/>
  <c r="Z30" i="56"/>
  <c r="R30" i="56"/>
  <c r="J30" i="56"/>
  <c r="F40" i="56"/>
  <c r="Y30" i="56"/>
  <c r="Q30" i="56"/>
  <c r="I30" i="56"/>
  <c r="AF30" i="56"/>
  <c r="X30" i="56"/>
  <c r="P30" i="56"/>
  <c r="AE30" i="56"/>
  <c r="W30" i="56"/>
  <c r="O30" i="56"/>
  <c r="AB30" i="56"/>
  <c r="T30" i="56"/>
  <c r="L30" i="56"/>
  <c r="AC30" i="56"/>
  <c r="AA30" i="56"/>
  <c r="V30" i="56"/>
  <c r="U30" i="56"/>
  <c r="N30" i="56"/>
  <c r="S30" i="56"/>
  <c r="M30" i="56"/>
  <c r="AD30" i="56"/>
  <c r="K30" i="56"/>
  <c r="Y40" i="56" l="1"/>
  <c r="Q40" i="56"/>
  <c r="I40" i="56"/>
  <c r="AF40" i="56"/>
  <c r="X40" i="56"/>
  <c r="P40" i="56"/>
  <c r="AE40" i="56"/>
  <c r="W40" i="56"/>
  <c r="O40" i="56"/>
  <c r="AD40" i="56"/>
  <c r="V40" i="56"/>
  <c r="N40" i="56"/>
  <c r="AA40" i="56"/>
  <c r="S40" i="56"/>
  <c r="K40" i="56"/>
  <c r="R40" i="56"/>
  <c r="M40" i="56"/>
  <c r="L40" i="56"/>
  <c r="AC40" i="56"/>
  <c r="J40" i="56"/>
  <c r="Z40" i="56"/>
  <c r="AB40" i="56"/>
  <c r="U40" i="56"/>
  <c r="T40" i="56"/>
  <c r="F50" i="56"/>
  <c r="Y49" i="56"/>
  <c r="Q49" i="56"/>
  <c r="I49" i="56"/>
  <c r="AF49" i="56"/>
  <c r="X49" i="56"/>
  <c r="P49" i="56"/>
  <c r="AE49" i="56"/>
  <c r="W49" i="56"/>
  <c r="O49" i="56"/>
  <c r="AD49" i="56"/>
  <c r="V49" i="56"/>
  <c r="N49" i="56"/>
  <c r="AA49" i="56"/>
  <c r="S49" i="56"/>
  <c r="K49" i="56"/>
  <c r="AC49" i="56"/>
  <c r="J49" i="56"/>
  <c r="AB49" i="56"/>
  <c r="Z49" i="56"/>
  <c r="U49" i="56"/>
  <c r="T49" i="56"/>
  <c r="R49" i="56"/>
  <c r="M49" i="56"/>
  <c r="L49" i="56"/>
  <c r="AF50" i="56" l="1"/>
  <c r="X50" i="56"/>
  <c r="P50" i="56"/>
  <c r="AE50" i="56"/>
  <c r="W50" i="56"/>
  <c r="O50" i="56"/>
  <c r="AD50" i="56"/>
  <c r="V50" i="56"/>
  <c r="N50" i="56"/>
  <c r="AC50" i="56"/>
  <c r="U50" i="56"/>
  <c r="M50" i="56"/>
  <c r="AB50" i="56"/>
  <c r="Z50" i="56"/>
  <c r="R50" i="56"/>
  <c r="J50" i="56"/>
  <c r="AA50" i="56"/>
  <c r="Y50" i="56"/>
  <c r="T50" i="56"/>
  <c r="S50" i="56"/>
  <c r="L50" i="56"/>
  <c r="Q50" i="56"/>
  <c r="K50" i="56"/>
  <c r="I50" i="56"/>
  <c r="O3" i="44" l="1"/>
  <c r="X315" i="43"/>
  <c r="X316" i="43"/>
  <c r="X317" i="43"/>
  <c r="X318" i="43"/>
  <c r="X363" i="43"/>
  <c r="X364" i="43"/>
  <c r="X365" i="43"/>
  <c r="X366" i="43"/>
  <c r="X367" i="43"/>
  <c r="X368" i="43"/>
  <c r="X369" i="43"/>
  <c r="X370" i="43"/>
  <c r="X371" i="43"/>
  <c r="X372" i="43"/>
  <c r="E409" i="44"/>
  <c r="I410" i="44"/>
  <c r="J410" i="44"/>
  <c r="F411" i="44"/>
  <c r="K413" i="44"/>
  <c r="H414" i="44"/>
  <c r="M415" i="44"/>
  <c r="H416" i="44"/>
  <c r="J416" i="44"/>
  <c r="N417" i="44"/>
  <c r="C411" i="44"/>
  <c r="C409" i="44"/>
  <c r="D32" i="44"/>
  <c r="D409" i="44" s="1"/>
  <c r="E32" i="44"/>
  <c r="F32" i="44"/>
  <c r="F409" i="44" s="1"/>
  <c r="G32" i="44"/>
  <c r="G409" i="44" s="1"/>
  <c r="H32" i="44"/>
  <c r="H409" i="44" s="1"/>
  <c r="I32" i="44"/>
  <c r="I409" i="44" s="1"/>
  <c r="J32" i="44"/>
  <c r="J409" i="44" s="1"/>
  <c r="K32" i="44"/>
  <c r="K409" i="44" s="1"/>
  <c r="L32" i="44"/>
  <c r="L409" i="44" s="1"/>
  <c r="M32" i="44"/>
  <c r="M409" i="44" s="1"/>
  <c r="N32" i="44"/>
  <c r="N409" i="44" s="1"/>
  <c r="C32" i="44"/>
  <c r="D78" i="44"/>
  <c r="D410" i="44" s="1"/>
  <c r="E78" i="44"/>
  <c r="E410" i="44" s="1"/>
  <c r="F78" i="44"/>
  <c r="F410" i="44" s="1"/>
  <c r="G78" i="44"/>
  <c r="G410" i="44" s="1"/>
  <c r="H78" i="44"/>
  <c r="H410" i="44" s="1"/>
  <c r="I78" i="44"/>
  <c r="J78" i="44"/>
  <c r="K78" i="44"/>
  <c r="K410" i="44" s="1"/>
  <c r="L78" i="44"/>
  <c r="L410" i="44" s="1"/>
  <c r="M78" i="44"/>
  <c r="M410" i="44" s="1"/>
  <c r="N78" i="44"/>
  <c r="N410" i="44" s="1"/>
  <c r="C78" i="44"/>
  <c r="N125" i="44"/>
  <c r="N411" i="44" s="1"/>
  <c r="M125" i="44"/>
  <c r="M411" i="44" s="1"/>
  <c r="L125" i="44"/>
  <c r="L411" i="44" s="1"/>
  <c r="K125" i="44"/>
  <c r="K411" i="44" s="1"/>
  <c r="J125" i="44"/>
  <c r="J411" i="44" s="1"/>
  <c r="I125" i="44"/>
  <c r="I411" i="44" s="1"/>
  <c r="H125" i="44"/>
  <c r="H411" i="44" s="1"/>
  <c r="G125" i="44"/>
  <c r="G411" i="44" s="1"/>
  <c r="F125" i="44"/>
  <c r="E125" i="44"/>
  <c r="E411" i="44" s="1"/>
  <c r="D125" i="44"/>
  <c r="D411" i="44" s="1"/>
  <c r="C125" i="44"/>
  <c r="N172" i="44"/>
  <c r="N412" i="44" s="1"/>
  <c r="M172" i="44"/>
  <c r="M412" i="44" s="1"/>
  <c r="L172" i="44"/>
  <c r="L412" i="44" s="1"/>
  <c r="K172" i="44"/>
  <c r="K412" i="44" s="1"/>
  <c r="J172" i="44"/>
  <c r="J412" i="44" s="1"/>
  <c r="I172" i="44"/>
  <c r="I412" i="44" s="1"/>
  <c r="H172" i="44"/>
  <c r="H412" i="44" s="1"/>
  <c r="G172" i="44"/>
  <c r="G412" i="44" s="1"/>
  <c r="F172" i="44"/>
  <c r="F412" i="44" s="1"/>
  <c r="E172" i="44"/>
  <c r="E412" i="44" s="1"/>
  <c r="D172" i="44"/>
  <c r="D412" i="44" s="1"/>
  <c r="C172" i="44"/>
  <c r="C412" i="44" s="1"/>
  <c r="N219" i="44"/>
  <c r="N413" i="44" s="1"/>
  <c r="M219" i="44"/>
  <c r="M413" i="44" s="1"/>
  <c r="L219" i="44"/>
  <c r="L413" i="44" s="1"/>
  <c r="K219" i="44"/>
  <c r="J219" i="44"/>
  <c r="J413" i="44" s="1"/>
  <c r="I219" i="44"/>
  <c r="I413" i="44" s="1"/>
  <c r="H219" i="44"/>
  <c r="H413" i="44" s="1"/>
  <c r="G219" i="44"/>
  <c r="G413" i="44" s="1"/>
  <c r="F219" i="44"/>
  <c r="F413" i="44" s="1"/>
  <c r="E219" i="44"/>
  <c r="E413" i="44" s="1"/>
  <c r="D219" i="44"/>
  <c r="D413" i="44" s="1"/>
  <c r="C219" i="44"/>
  <c r="C413" i="44" s="1"/>
  <c r="N266" i="44"/>
  <c r="N414" i="44" s="1"/>
  <c r="M266" i="44"/>
  <c r="M414" i="44" s="1"/>
  <c r="L266" i="44"/>
  <c r="L414" i="44" s="1"/>
  <c r="K266" i="44"/>
  <c r="K414" i="44" s="1"/>
  <c r="J266" i="44"/>
  <c r="J414" i="44" s="1"/>
  <c r="I266" i="44"/>
  <c r="I414" i="44" s="1"/>
  <c r="H266" i="44"/>
  <c r="G266" i="44"/>
  <c r="G414" i="44" s="1"/>
  <c r="F266" i="44"/>
  <c r="F414" i="44" s="1"/>
  <c r="E266" i="44"/>
  <c r="E414" i="44" s="1"/>
  <c r="D266" i="44"/>
  <c r="D414" i="44" s="1"/>
  <c r="C266" i="44"/>
  <c r="C414" i="44" s="1"/>
  <c r="D313" i="44"/>
  <c r="D415" i="44" s="1"/>
  <c r="E313" i="44"/>
  <c r="E415" i="44" s="1"/>
  <c r="F313" i="44"/>
  <c r="F415" i="44" s="1"/>
  <c r="G313" i="44"/>
  <c r="G415" i="44" s="1"/>
  <c r="H313" i="44"/>
  <c r="H415" i="44" s="1"/>
  <c r="I313" i="44"/>
  <c r="I415" i="44" s="1"/>
  <c r="J313" i="44"/>
  <c r="J415" i="44" s="1"/>
  <c r="K313" i="44"/>
  <c r="K415" i="44" s="1"/>
  <c r="L313" i="44"/>
  <c r="L415" i="44" s="1"/>
  <c r="M313" i="44"/>
  <c r="N313" i="44"/>
  <c r="N415" i="44" s="1"/>
  <c r="C313" i="44"/>
  <c r="C415" i="44" s="1"/>
  <c r="D360" i="44"/>
  <c r="D416" i="44" s="1"/>
  <c r="E360" i="44"/>
  <c r="E416" i="44" s="1"/>
  <c r="F360" i="44"/>
  <c r="F416" i="44" s="1"/>
  <c r="G360" i="44"/>
  <c r="G416" i="44" s="1"/>
  <c r="H360" i="44"/>
  <c r="I360" i="44"/>
  <c r="I416" i="44" s="1"/>
  <c r="J360" i="44"/>
  <c r="K360" i="44"/>
  <c r="K416" i="44" s="1"/>
  <c r="L360" i="44"/>
  <c r="L416" i="44" s="1"/>
  <c r="M360" i="44"/>
  <c r="M416" i="44" s="1"/>
  <c r="N360" i="44"/>
  <c r="N416" i="44" s="1"/>
  <c r="C360" i="44"/>
  <c r="C416" i="44" s="1"/>
  <c r="D404" i="44"/>
  <c r="D417" i="44" s="1"/>
  <c r="E404" i="44"/>
  <c r="E417" i="44" s="1"/>
  <c r="F404" i="44"/>
  <c r="F417" i="44" s="1"/>
  <c r="G404" i="44"/>
  <c r="G417" i="44" s="1"/>
  <c r="H404" i="44"/>
  <c r="H417" i="44" s="1"/>
  <c r="I404" i="44"/>
  <c r="I417" i="44" s="1"/>
  <c r="J404" i="44"/>
  <c r="J417" i="44" s="1"/>
  <c r="K404" i="44"/>
  <c r="K417" i="44" s="1"/>
  <c r="L404" i="44"/>
  <c r="L417" i="44" s="1"/>
  <c r="M404" i="44"/>
  <c r="M417" i="44" s="1"/>
  <c r="N404" i="44"/>
  <c r="C32" i="43"/>
  <c r="C410" i="43" s="1"/>
  <c r="D404" i="43"/>
  <c r="D418" i="43" s="1"/>
  <c r="E404" i="43"/>
  <c r="E418" i="43" s="1"/>
  <c r="F404" i="43"/>
  <c r="F418" i="43" s="1"/>
  <c r="G404" i="43"/>
  <c r="G418" i="43" s="1"/>
  <c r="H404" i="43"/>
  <c r="H418" i="43" s="1"/>
  <c r="I404" i="43"/>
  <c r="I418" i="43" s="1"/>
  <c r="J404" i="43"/>
  <c r="J418" i="43" s="1"/>
  <c r="K404" i="43"/>
  <c r="K418" i="43" s="1"/>
  <c r="L404" i="43"/>
  <c r="L418" i="43" s="1"/>
  <c r="M404" i="43"/>
  <c r="M418" i="43" s="1"/>
  <c r="N404" i="43"/>
  <c r="N418" i="43" s="1"/>
  <c r="O404" i="43"/>
  <c r="O418" i="43" s="1"/>
  <c r="P404" i="43"/>
  <c r="P418" i="43" s="1"/>
  <c r="Q404" i="43"/>
  <c r="Q418" i="43" s="1"/>
  <c r="R404" i="43"/>
  <c r="R418" i="43" s="1"/>
  <c r="S404" i="43"/>
  <c r="S418" i="43" s="1"/>
  <c r="T404" i="43"/>
  <c r="T418" i="43" s="1"/>
  <c r="U404" i="43"/>
  <c r="U418" i="43" s="1"/>
  <c r="V404" i="43"/>
  <c r="V418" i="43" s="1"/>
  <c r="W404" i="43"/>
  <c r="W418" i="43" s="1"/>
  <c r="C404" i="43"/>
  <c r="P411" i="42"/>
  <c r="C411" i="42"/>
  <c r="D125" i="42"/>
  <c r="D412" i="42" s="1"/>
  <c r="E125" i="42"/>
  <c r="E412" i="42" s="1"/>
  <c r="F125" i="42"/>
  <c r="F412" i="42" s="1"/>
  <c r="G125" i="42"/>
  <c r="G412" i="42" s="1"/>
  <c r="H125" i="42"/>
  <c r="H412" i="42" s="1"/>
  <c r="I125" i="42"/>
  <c r="I412" i="42" s="1"/>
  <c r="J125" i="42"/>
  <c r="J412" i="42" s="1"/>
  <c r="K125" i="42"/>
  <c r="K412" i="42" s="1"/>
  <c r="L125" i="42"/>
  <c r="L412" i="42" s="1"/>
  <c r="M125" i="42"/>
  <c r="M412" i="42" s="1"/>
  <c r="N125" i="42"/>
  <c r="N412" i="42" s="1"/>
  <c r="O125" i="42"/>
  <c r="O412" i="42" s="1"/>
  <c r="P125" i="42"/>
  <c r="P412" i="42" s="1"/>
  <c r="Q125" i="42"/>
  <c r="Q412" i="42" s="1"/>
  <c r="C125" i="42"/>
  <c r="C412" i="42" s="1"/>
  <c r="D78" i="42"/>
  <c r="D411" i="42" s="1"/>
  <c r="E78" i="42"/>
  <c r="E411" i="42" s="1"/>
  <c r="F78" i="42"/>
  <c r="F411" i="42" s="1"/>
  <c r="G78" i="42"/>
  <c r="G411" i="42" s="1"/>
  <c r="H78" i="42"/>
  <c r="H411" i="42" s="1"/>
  <c r="I78" i="42"/>
  <c r="I411" i="42" s="1"/>
  <c r="J78" i="42"/>
  <c r="J411" i="42" s="1"/>
  <c r="K78" i="42"/>
  <c r="K411" i="42" s="1"/>
  <c r="L78" i="42"/>
  <c r="L411" i="42" s="1"/>
  <c r="M78" i="42"/>
  <c r="M411" i="42" s="1"/>
  <c r="N78" i="42"/>
  <c r="N411" i="42" s="1"/>
  <c r="O78" i="42"/>
  <c r="O411" i="42" s="1"/>
  <c r="P78" i="42"/>
  <c r="Q78" i="42"/>
  <c r="Q411" i="42" s="1"/>
  <c r="C78" i="42"/>
  <c r="D32" i="42"/>
  <c r="D410" i="42" s="1"/>
  <c r="E32" i="42"/>
  <c r="E410" i="42" s="1"/>
  <c r="F32" i="42"/>
  <c r="F410" i="42" s="1"/>
  <c r="G32" i="42"/>
  <c r="G410" i="42" s="1"/>
  <c r="H32" i="42"/>
  <c r="H410" i="42" s="1"/>
  <c r="I32" i="42"/>
  <c r="I410" i="42" s="1"/>
  <c r="J32" i="42"/>
  <c r="J410" i="42" s="1"/>
  <c r="K32" i="42"/>
  <c r="K410" i="42" s="1"/>
  <c r="L32" i="42"/>
  <c r="L410" i="42" s="1"/>
  <c r="M32" i="42"/>
  <c r="M410" i="42" s="1"/>
  <c r="N32" i="42"/>
  <c r="N410" i="42" s="1"/>
  <c r="O32" i="42"/>
  <c r="O410" i="42" s="1"/>
  <c r="P32" i="42"/>
  <c r="P410" i="42" s="1"/>
  <c r="Q32" i="42"/>
  <c r="Q410" i="42" s="1"/>
  <c r="B83" i="46"/>
  <c r="B82" i="46"/>
  <c r="B81" i="46"/>
  <c r="B80" i="46"/>
  <c r="B79" i="46"/>
  <c r="B78" i="46"/>
  <c r="B77" i="46"/>
  <c r="B76" i="46"/>
  <c r="B75" i="46"/>
  <c r="B74" i="46"/>
  <c r="B73" i="46"/>
  <c r="B72" i="46"/>
  <c r="O363" i="44"/>
  <c r="O364" i="44"/>
  <c r="O365" i="44"/>
  <c r="O366" i="44"/>
  <c r="O367" i="44"/>
  <c r="O368" i="44"/>
  <c r="O369" i="44"/>
  <c r="O370" i="44"/>
  <c r="O371" i="44"/>
  <c r="O372" i="44"/>
  <c r="O373" i="44"/>
  <c r="O374" i="44"/>
  <c r="O375" i="44"/>
  <c r="O376" i="44"/>
  <c r="O377" i="44"/>
  <c r="O378" i="44"/>
  <c r="O379" i="44"/>
  <c r="O380" i="44"/>
  <c r="O381" i="44"/>
  <c r="O382" i="44"/>
  <c r="O383" i="44"/>
  <c r="O384" i="44"/>
  <c r="O385" i="44"/>
  <c r="O386" i="44"/>
  <c r="O387" i="44"/>
  <c r="O388" i="44"/>
  <c r="O389" i="44"/>
  <c r="O390" i="44"/>
  <c r="O391" i="44"/>
  <c r="O392" i="44"/>
  <c r="O316" i="44"/>
  <c r="O317" i="44"/>
  <c r="O318" i="44"/>
  <c r="O319" i="44"/>
  <c r="O320" i="44"/>
  <c r="O321" i="44"/>
  <c r="O322" i="44"/>
  <c r="O323" i="44"/>
  <c r="O324" i="44"/>
  <c r="O325" i="44"/>
  <c r="O326" i="44"/>
  <c r="O327" i="44"/>
  <c r="O328" i="44"/>
  <c r="O329" i="44"/>
  <c r="O330" i="44"/>
  <c r="O331" i="44"/>
  <c r="O332" i="44"/>
  <c r="O333" i="44"/>
  <c r="O334" i="44"/>
  <c r="O335" i="44"/>
  <c r="O336" i="44"/>
  <c r="O337" i="44"/>
  <c r="O338" i="44"/>
  <c r="O339" i="44"/>
  <c r="O340" i="44"/>
  <c r="O341" i="44"/>
  <c r="O342" i="44"/>
  <c r="O343" i="44"/>
  <c r="O344" i="44"/>
  <c r="O345" i="44"/>
  <c r="O269" i="44"/>
  <c r="O270" i="44"/>
  <c r="O271" i="44"/>
  <c r="O272" i="44"/>
  <c r="O273" i="44"/>
  <c r="O274" i="44"/>
  <c r="O275" i="44"/>
  <c r="O276" i="44"/>
  <c r="O277" i="44"/>
  <c r="O278" i="44"/>
  <c r="O279" i="44"/>
  <c r="O280" i="44"/>
  <c r="O281" i="44"/>
  <c r="O282" i="44"/>
  <c r="O283" i="44"/>
  <c r="O284" i="44"/>
  <c r="O285" i="44"/>
  <c r="O286" i="44"/>
  <c r="O287" i="44"/>
  <c r="O288" i="44"/>
  <c r="O289" i="44"/>
  <c r="O290" i="44"/>
  <c r="O291" i="44"/>
  <c r="O292" i="44"/>
  <c r="O293" i="44"/>
  <c r="O294" i="44"/>
  <c r="O295" i="44"/>
  <c r="O296" i="44"/>
  <c r="O297" i="44"/>
  <c r="O298" i="44"/>
  <c r="O222" i="44"/>
  <c r="O223" i="44"/>
  <c r="O224" i="44"/>
  <c r="O225" i="44"/>
  <c r="O226" i="44"/>
  <c r="O227" i="44"/>
  <c r="O228" i="44"/>
  <c r="O229" i="44"/>
  <c r="O230" i="44"/>
  <c r="O231" i="44"/>
  <c r="O232" i="44"/>
  <c r="O233" i="44"/>
  <c r="O234" i="44"/>
  <c r="O235" i="44"/>
  <c r="O236" i="44"/>
  <c r="O237" i="44"/>
  <c r="O238" i="44"/>
  <c r="O239" i="44"/>
  <c r="O240" i="44"/>
  <c r="O241" i="44"/>
  <c r="O242" i="44"/>
  <c r="O243" i="44"/>
  <c r="O244" i="44"/>
  <c r="O245" i="44"/>
  <c r="O246" i="44"/>
  <c r="O247" i="44"/>
  <c r="O248" i="44"/>
  <c r="O249" i="44"/>
  <c r="O250" i="44"/>
  <c r="O251" i="44"/>
  <c r="O183" i="44"/>
  <c r="O184" i="44"/>
  <c r="O185" i="44"/>
  <c r="O186" i="44"/>
  <c r="O187" i="44"/>
  <c r="O188" i="44"/>
  <c r="O189" i="44"/>
  <c r="O190" i="44"/>
  <c r="O191" i="44"/>
  <c r="O192" i="44"/>
  <c r="O193" i="44"/>
  <c r="O194" i="44"/>
  <c r="O195" i="44"/>
  <c r="O196" i="44"/>
  <c r="O197" i="44"/>
  <c r="O198" i="44"/>
  <c r="O199" i="44"/>
  <c r="O200" i="44"/>
  <c r="O201" i="44"/>
  <c r="O202" i="44"/>
  <c r="O203" i="44"/>
  <c r="O204" i="44"/>
  <c r="O128" i="44"/>
  <c r="O129" i="44"/>
  <c r="O130" i="44"/>
  <c r="O131" i="44"/>
  <c r="O132" i="44"/>
  <c r="O133" i="44"/>
  <c r="O134" i="44"/>
  <c r="O135" i="44"/>
  <c r="O136" i="44"/>
  <c r="O137" i="44"/>
  <c r="O138" i="44"/>
  <c r="O139" i="44"/>
  <c r="O140" i="44"/>
  <c r="O141" i="44"/>
  <c r="O142" i="44"/>
  <c r="O143" i="44"/>
  <c r="O144" i="44"/>
  <c r="O145" i="44"/>
  <c r="O146" i="44"/>
  <c r="O147" i="44"/>
  <c r="O148" i="44"/>
  <c r="O149" i="44"/>
  <c r="O150" i="44"/>
  <c r="O151" i="44"/>
  <c r="O152" i="44"/>
  <c r="O153" i="44"/>
  <c r="O154" i="44"/>
  <c r="O155" i="44"/>
  <c r="O156" i="44"/>
  <c r="O157" i="44"/>
  <c r="O89" i="44"/>
  <c r="O90" i="44"/>
  <c r="O91" i="44"/>
  <c r="O92" i="44"/>
  <c r="O93" i="44"/>
  <c r="O94" i="44"/>
  <c r="O95" i="44"/>
  <c r="O96" i="44"/>
  <c r="O97" i="44"/>
  <c r="O98" i="44"/>
  <c r="O99" i="44"/>
  <c r="O100" i="44"/>
  <c r="O101" i="44"/>
  <c r="O102" i="44"/>
  <c r="O103" i="44"/>
  <c r="O104" i="44"/>
  <c r="O105" i="44"/>
  <c r="O106" i="44"/>
  <c r="O107" i="44"/>
  <c r="O108" i="44"/>
  <c r="O109" i="44"/>
  <c r="O110" i="44"/>
  <c r="O35" i="44"/>
  <c r="O36" i="44"/>
  <c r="O37" i="44"/>
  <c r="O38" i="44"/>
  <c r="O39" i="44"/>
  <c r="O40" i="44"/>
  <c r="O41" i="44"/>
  <c r="O42" i="44"/>
  <c r="O43" i="44"/>
  <c r="O44" i="44"/>
  <c r="O45" i="44"/>
  <c r="O46" i="44"/>
  <c r="O47" i="44"/>
  <c r="O48" i="44"/>
  <c r="O49" i="44"/>
  <c r="O50" i="44"/>
  <c r="O51" i="44"/>
  <c r="O52" i="44"/>
  <c r="O53" i="44"/>
  <c r="O54" i="44"/>
  <c r="O55" i="44"/>
  <c r="O56" i="44"/>
  <c r="O57" i="44"/>
  <c r="O58" i="44"/>
  <c r="O59" i="44"/>
  <c r="O60" i="44"/>
  <c r="O61" i="44"/>
  <c r="O62" i="44"/>
  <c r="O63" i="44"/>
  <c r="O64" i="44"/>
  <c r="O9" i="44"/>
  <c r="O10" i="44"/>
  <c r="O11" i="44"/>
  <c r="O12" i="44"/>
  <c r="O13" i="44"/>
  <c r="O14" i="44"/>
  <c r="O15" i="44"/>
  <c r="O16" i="44"/>
  <c r="O17" i="44"/>
  <c r="O18" i="44"/>
  <c r="O19" i="44"/>
  <c r="O20" i="44"/>
  <c r="O21" i="44"/>
  <c r="O22" i="44"/>
  <c r="O23" i="44"/>
  <c r="O24" i="44"/>
  <c r="O25" i="44"/>
  <c r="O26" i="44"/>
  <c r="O27" i="44"/>
  <c r="O28" i="44"/>
  <c r="O29" i="44"/>
  <c r="O30" i="44"/>
  <c r="O8" i="44"/>
  <c r="M6" i="50"/>
  <c r="X393" i="43"/>
  <c r="X394" i="43"/>
  <c r="X395" i="43"/>
  <c r="X396" i="43"/>
  <c r="X397" i="43"/>
  <c r="X398" i="43"/>
  <c r="X399" i="43"/>
  <c r="X400" i="43"/>
  <c r="X401" i="43"/>
  <c r="X402" i="43"/>
  <c r="X373" i="43"/>
  <c r="X374" i="43"/>
  <c r="X375" i="43"/>
  <c r="X376" i="43"/>
  <c r="X377" i="43"/>
  <c r="X378" i="43"/>
  <c r="X379" i="43"/>
  <c r="X380" i="43"/>
  <c r="X381" i="43"/>
  <c r="X382" i="43"/>
  <c r="X383" i="43"/>
  <c r="X384" i="43"/>
  <c r="X385" i="43"/>
  <c r="X386" i="43"/>
  <c r="X387" i="43"/>
  <c r="X388" i="43"/>
  <c r="X389" i="43"/>
  <c r="X390" i="43"/>
  <c r="X391" i="43"/>
  <c r="X392" i="43"/>
  <c r="X319" i="43"/>
  <c r="X320" i="43"/>
  <c r="X321" i="43"/>
  <c r="X322" i="43"/>
  <c r="X323" i="43"/>
  <c r="X324" i="43"/>
  <c r="X325" i="43"/>
  <c r="X326" i="43"/>
  <c r="X327" i="43"/>
  <c r="X328" i="43"/>
  <c r="X329" i="43"/>
  <c r="X330" i="43"/>
  <c r="X331" i="43"/>
  <c r="X332" i="43"/>
  <c r="X333" i="43"/>
  <c r="X334" i="43"/>
  <c r="X335" i="43"/>
  <c r="X336" i="43"/>
  <c r="X337" i="43"/>
  <c r="X338" i="43"/>
  <c r="X339" i="43"/>
  <c r="X340" i="43"/>
  <c r="X341" i="43"/>
  <c r="X342" i="43"/>
  <c r="X343" i="43"/>
  <c r="X344" i="43"/>
  <c r="X345" i="43"/>
  <c r="X269" i="43"/>
  <c r="X270" i="43"/>
  <c r="X271" i="43"/>
  <c r="X272" i="43"/>
  <c r="X273" i="43"/>
  <c r="X274" i="43"/>
  <c r="X275" i="43"/>
  <c r="X276" i="43"/>
  <c r="X277" i="43"/>
  <c r="X278" i="43"/>
  <c r="X279" i="43"/>
  <c r="X280" i="43"/>
  <c r="X281" i="43"/>
  <c r="X282" i="43"/>
  <c r="X283" i="43"/>
  <c r="X284" i="43"/>
  <c r="X285" i="43"/>
  <c r="X286" i="43"/>
  <c r="X287" i="43"/>
  <c r="X288" i="43"/>
  <c r="X289" i="43"/>
  <c r="X290" i="43"/>
  <c r="X291" i="43"/>
  <c r="X292" i="43"/>
  <c r="X293" i="43"/>
  <c r="X294" i="43"/>
  <c r="X295" i="43"/>
  <c r="X296" i="43"/>
  <c r="X297" i="43"/>
  <c r="X298" i="43"/>
  <c r="X222" i="43"/>
  <c r="X223" i="43"/>
  <c r="X224" i="43"/>
  <c r="X225" i="43"/>
  <c r="X226" i="43"/>
  <c r="X227" i="43"/>
  <c r="X228" i="43"/>
  <c r="X229" i="43"/>
  <c r="X230" i="43"/>
  <c r="X231" i="43"/>
  <c r="X232" i="43"/>
  <c r="X233" i="43"/>
  <c r="X234" i="43"/>
  <c r="X235" i="43"/>
  <c r="X236" i="43"/>
  <c r="X237" i="43"/>
  <c r="X238" i="43"/>
  <c r="X239" i="43"/>
  <c r="X240" i="43"/>
  <c r="X241" i="43"/>
  <c r="X242" i="43"/>
  <c r="X243" i="43"/>
  <c r="X244" i="43"/>
  <c r="X245" i="43"/>
  <c r="X246" i="43"/>
  <c r="X247" i="43"/>
  <c r="X248" i="43"/>
  <c r="X249" i="43"/>
  <c r="X250" i="43"/>
  <c r="X251" i="43"/>
  <c r="X252" i="43"/>
  <c r="X175" i="43"/>
  <c r="X176" i="43"/>
  <c r="X177" i="43"/>
  <c r="X178" i="43"/>
  <c r="X179" i="43"/>
  <c r="X180" i="43"/>
  <c r="X181" i="43"/>
  <c r="X182" i="43"/>
  <c r="X183" i="43"/>
  <c r="X184" i="43"/>
  <c r="X185" i="43"/>
  <c r="X186" i="43"/>
  <c r="X187" i="43"/>
  <c r="X188" i="43"/>
  <c r="X189" i="43"/>
  <c r="X190" i="43"/>
  <c r="X191" i="43"/>
  <c r="X192" i="43"/>
  <c r="X193" i="43"/>
  <c r="X194" i="43"/>
  <c r="X195" i="43"/>
  <c r="X196" i="43"/>
  <c r="X197" i="43"/>
  <c r="X198" i="43"/>
  <c r="X199" i="43"/>
  <c r="X200" i="43"/>
  <c r="X201" i="43"/>
  <c r="X202" i="43"/>
  <c r="X203" i="43"/>
  <c r="X204" i="43"/>
  <c r="X128" i="43"/>
  <c r="X129" i="43"/>
  <c r="X130" i="43"/>
  <c r="X131" i="43"/>
  <c r="X132" i="43"/>
  <c r="X133" i="43"/>
  <c r="X134" i="43"/>
  <c r="X135" i="43"/>
  <c r="X136" i="43"/>
  <c r="X137" i="43"/>
  <c r="X138" i="43"/>
  <c r="X139" i="43"/>
  <c r="X140" i="43"/>
  <c r="X141" i="43"/>
  <c r="X142" i="43"/>
  <c r="X143" i="43"/>
  <c r="X144" i="43"/>
  <c r="X145" i="43"/>
  <c r="X146" i="43"/>
  <c r="X147" i="43"/>
  <c r="X148" i="43"/>
  <c r="X149" i="43"/>
  <c r="X150" i="43"/>
  <c r="X151" i="43"/>
  <c r="X152" i="43"/>
  <c r="X153" i="43"/>
  <c r="X154" i="43"/>
  <c r="X155" i="43"/>
  <c r="X156" i="43"/>
  <c r="X157" i="43"/>
  <c r="X80" i="43"/>
  <c r="X81" i="43"/>
  <c r="X82" i="43"/>
  <c r="X83" i="43"/>
  <c r="X84" i="43"/>
  <c r="X85" i="43"/>
  <c r="X86" i="43"/>
  <c r="X87" i="43"/>
  <c r="X88" i="43"/>
  <c r="X89" i="43"/>
  <c r="X90" i="43"/>
  <c r="X91" i="43"/>
  <c r="X92" i="43"/>
  <c r="X93" i="43"/>
  <c r="X94" i="43"/>
  <c r="X95" i="43"/>
  <c r="X96" i="43"/>
  <c r="X97" i="43"/>
  <c r="X98" i="43"/>
  <c r="X99" i="43"/>
  <c r="X100" i="43"/>
  <c r="X101" i="43"/>
  <c r="X102" i="43"/>
  <c r="X103" i="43"/>
  <c r="X104" i="43"/>
  <c r="X105" i="43"/>
  <c r="X106" i="43"/>
  <c r="X107" i="43"/>
  <c r="X108" i="43"/>
  <c r="X109" i="43"/>
  <c r="X110" i="43"/>
  <c r="X35" i="43"/>
  <c r="X36" i="43"/>
  <c r="X37" i="43"/>
  <c r="X38" i="43"/>
  <c r="X39" i="43"/>
  <c r="X40" i="43"/>
  <c r="X41" i="43"/>
  <c r="X42" i="43"/>
  <c r="X43" i="43"/>
  <c r="X44" i="43"/>
  <c r="X45" i="43"/>
  <c r="X46" i="43"/>
  <c r="X47" i="43"/>
  <c r="X48" i="43"/>
  <c r="X49" i="43"/>
  <c r="X50" i="43"/>
  <c r="X51" i="43"/>
  <c r="X52" i="43"/>
  <c r="X53" i="43"/>
  <c r="X54" i="43"/>
  <c r="X55" i="43"/>
  <c r="X56" i="43"/>
  <c r="X57" i="43"/>
  <c r="X58" i="43"/>
  <c r="X59" i="43"/>
  <c r="X60" i="43"/>
  <c r="X61" i="43"/>
  <c r="X62" i="43"/>
  <c r="X63" i="43"/>
  <c r="X64" i="43"/>
  <c r="X65" i="43"/>
  <c r="X9" i="43"/>
  <c r="X10" i="43"/>
  <c r="X11" i="43"/>
  <c r="X12" i="43"/>
  <c r="X13" i="43"/>
  <c r="X14" i="43"/>
  <c r="X15" i="43"/>
  <c r="X16" i="43"/>
  <c r="X17" i="43"/>
  <c r="X18" i="43"/>
  <c r="X19" i="43"/>
  <c r="X20" i="43"/>
  <c r="X21" i="43"/>
  <c r="X22" i="43"/>
  <c r="X23" i="43"/>
  <c r="X24" i="43"/>
  <c r="X25" i="43"/>
  <c r="X26" i="43"/>
  <c r="X27" i="43"/>
  <c r="X28" i="43"/>
  <c r="X29" i="43"/>
  <c r="X30" i="43"/>
  <c r="X8" i="43"/>
  <c r="R18" i="42"/>
  <c r="R19" i="42"/>
  <c r="R20" i="42"/>
  <c r="R21" i="42"/>
  <c r="R22" i="42"/>
  <c r="R23" i="42"/>
  <c r="R24" i="42"/>
  <c r="R25" i="42"/>
  <c r="R26" i="42"/>
  <c r="R27" i="42"/>
  <c r="R363" i="42"/>
  <c r="R364" i="42"/>
  <c r="R365" i="42"/>
  <c r="R366" i="42"/>
  <c r="R367" i="42"/>
  <c r="R368" i="42"/>
  <c r="R369" i="42"/>
  <c r="R370" i="42"/>
  <c r="R371" i="42"/>
  <c r="R372" i="42"/>
  <c r="R373" i="42"/>
  <c r="R374" i="42"/>
  <c r="R375" i="42"/>
  <c r="R376" i="42"/>
  <c r="R377" i="42"/>
  <c r="R378" i="42"/>
  <c r="R379" i="42"/>
  <c r="R380" i="42"/>
  <c r="R381" i="42"/>
  <c r="R382" i="42"/>
  <c r="R383" i="42"/>
  <c r="R384" i="42"/>
  <c r="R385" i="42"/>
  <c r="R386" i="42"/>
  <c r="R387" i="42"/>
  <c r="R388" i="42"/>
  <c r="R389" i="42"/>
  <c r="R390" i="42"/>
  <c r="R391" i="42"/>
  <c r="R392" i="42"/>
  <c r="R316" i="42"/>
  <c r="R317" i="42"/>
  <c r="R318" i="42"/>
  <c r="R319" i="42"/>
  <c r="R320" i="42"/>
  <c r="R321" i="42"/>
  <c r="R322" i="42"/>
  <c r="R323" i="42"/>
  <c r="R324" i="42"/>
  <c r="R325" i="42"/>
  <c r="R326" i="42"/>
  <c r="R327" i="42"/>
  <c r="R328" i="42"/>
  <c r="R329" i="42"/>
  <c r="R330" i="42"/>
  <c r="R331" i="42"/>
  <c r="R332" i="42"/>
  <c r="R333" i="42"/>
  <c r="R334" i="42"/>
  <c r="R335" i="42"/>
  <c r="R336" i="42"/>
  <c r="R337" i="42"/>
  <c r="R338" i="42"/>
  <c r="R339" i="42"/>
  <c r="R340" i="42"/>
  <c r="R341" i="42"/>
  <c r="R342" i="42"/>
  <c r="R343" i="42"/>
  <c r="R344" i="42"/>
  <c r="R345" i="42"/>
  <c r="R269" i="42"/>
  <c r="R270" i="42"/>
  <c r="R271" i="42"/>
  <c r="R272" i="42"/>
  <c r="R273" i="42"/>
  <c r="R274" i="42"/>
  <c r="R275" i="42"/>
  <c r="R276" i="42"/>
  <c r="R277" i="42"/>
  <c r="R278" i="42"/>
  <c r="R279" i="42"/>
  <c r="R280" i="42"/>
  <c r="R281" i="42"/>
  <c r="R282" i="42"/>
  <c r="R283" i="42"/>
  <c r="R284" i="42"/>
  <c r="R285" i="42"/>
  <c r="R286" i="42"/>
  <c r="R287" i="42"/>
  <c r="R288" i="42"/>
  <c r="R289" i="42"/>
  <c r="R290" i="42"/>
  <c r="R291" i="42"/>
  <c r="R292" i="42"/>
  <c r="R293" i="42"/>
  <c r="R294" i="42"/>
  <c r="R295" i="42"/>
  <c r="R296" i="42"/>
  <c r="R297" i="42"/>
  <c r="R298" i="42"/>
  <c r="R222" i="42"/>
  <c r="R223" i="42"/>
  <c r="R224" i="42"/>
  <c r="R225" i="42"/>
  <c r="R226" i="42"/>
  <c r="R227" i="42"/>
  <c r="R228" i="42"/>
  <c r="R229" i="42"/>
  <c r="R230" i="42"/>
  <c r="R231" i="42"/>
  <c r="R232" i="42"/>
  <c r="R233" i="42"/>
  <c r="R234" i="42"/>
  <c r="R235" i="42"/>
  <c r="R236" i="42"/>
  <c r="R237" i="42"/>
  <c r="R238" i="42"/>
  <c r="R239" i="42"/>
  <c r="R240" i="42"/>
  <c r="R241" i="42"/>
  <c r="R242" i="42"/>
  <c r="R243" i="42"/>
  <c r="R244" i="42"/>
  <c r="R245" i="42"/>
  <c r="R246" i="42"/>
  <c r="R247" i="42"/>
  <c r="R248" i="42"/>
  <c r="R249" i="42"/>
  <c r="R250" i="42"/>
  <c r="R251" i="42"/>
  <c r="R176" i="42"/>
  <c r="R177" i="42"/>
  <c r="R178" i="42"/>
  <c r="R179" i="42"/>
  <c r="R180" i="42"/>
  <c r="R181" i="42"/>
  <c r="R182" i="42"/>
  <c r="R183" i="42"/>
  <c r="R184" i="42"/>
  <c r="R185" i="42"/>
  <c r="R186" i="42"/>
  <c r="R187" i="42"/>
  <c r="R188" i="42"/>
  <c r="R189" i="42"/>
  <c r="R190" i="42"/>
  <c r="R191" i="42"/>
  <c r="R192" i="42"/>
  <c r="R193" i="42"/>
  <c r="R194" i="42"/>
  <c r="R195" i="42"/>
  <c r="R196" i="42"/>
  <c r="R197" i="42"/>
  <c r="R198" i="42"/>
  <c r="R199" i="42"/>
  <c r="R200" i="42"/>
  <c r="R201" i="42"/>
  <c r="R202" i="42"/>
  <c r="R203" i="42"/>
  <c r="R204" i="42"/>
  <c r="R81" i="42"/>
  <c r="R82" i="42"/>
  <c r="R83" i="42"/>
  <c r="R84" i="42"/>
  <c r="R85" i="42"/>
  <c r="R86" i="42"/>
  <c r="R87" i="42"/>
  <c r="R88" i="42"/>
  <c r="R89" i="42"/>
  <c r="R90" i="42"/>
  <c r="R91" i="42"/>
  <c r="R92" i="42"/>
  <c r="R93" i="42"/>
  <c r="R94" i="42"/>
  <c r="R95" i="42"/>
  <c r="R96" i="42"/>
  <c r="R97" i="42"/>
  <c r="R98" i="42"/>
  <c r="R99" i="42"/>
  <c r="R100" i="42"/>
  <c r="R101" i="42"/>
  <c r="R102" i="42"/>
  <c r="R103" i="42"/>
  <c r="R104" i="42"/>
  <c r="R105" i="42"/>
  <c r="R106" i="42"/>
  <c r="R107" i="42"/>
  <c r="R108" i="42"/>
  <c r="R109" i="42"/>
  <c r="R110" i="42"/>
  <c r="R35" i="42"/>
  <c r="R36" i="42"/>
  <c r="R37" i="42"/>
  <c r="R38" i="42"/>
  <c r="R39" i="42"/>
  <c r="R40" i="42"/>
  <c r="R41" i="42"/>
  <c r="R42" i="42"/>
  <c r="R43" i="42"/>
  <c r="R44" i="42"/>
  <c r="R45" i="42"/>
  <c r="R46" i="42"/>
  <c r="R47" i="42"/>
  <c r="R48" i="42"/>
  <c r="R49" i="42"/>
  <c r="R50" i="42"/>
  <c r="R51" i="42"/>
  <c r="R52" i="42"/>
  <c r="R53" i="42"/>
  <c r="R54" i="42"/>
  <c r="R55" i="42"/>
  <c r="R56" i="42"/>
  <c r="R57" i="42"/>
  <c r="R58" i="42"/>
  <c r="R59" i="42"/>
  <c r="R60" i="42"/>
  <c r="R61" i="42"/>
  <c r="R62" i="42"/>
  <c r="R63" i="42"/>
  <c r="R64" i="42"/>
  <c r="W362" i="41"/>
  <c r="W363" i="41"/>
  <c r="W364" i="41"/>
  <c r="W365" i="41"/>
  <c r="W366" i="41"/>
  <c r="W367" i="41"/>
  <c r="W368" i="41"/>
  <c r="W369" i="41"/>
  <c r="W370" i="41"/>
  <c r="W371" i="41"/>
  <c r="W372" i="41"/>
  <c r="W373" i="41"/>
  <c r="W374" i="41"/>
  <c r="W375" i="41"/>
  <c r="W376" i="41"/>
  <c r="W377" i="41"/>
  <c r="W378" i="41"/>
  <c r="W379" i="41"/>
  <c r="W380" i="41"/>
  <c r="W381" i="41"/>
  <c r="W382" i="41"/>
  <c r="W383" i="41"/>
  <c r="W384" i="41"/>
  <c r="W385" i="41"/>
  <c r="W386" i="41"/>
  <c r="W387" i="41"/>
  <c r="W388" i="41"/>
  <c r="W389" i="41"/>
  <c r="W315" i="41"/>
  <c r="W316" i="41"/>
  <c r="W317" i="41"/>
  <c r="W318" i="41"/>
  <c r="W319" i="41"/>
  <c r="W320" i="41"/>
  <c r="W321" i="41"/>
  <c r="W322" i="41"/>
  <c r="W323" i="41"/>
  <c r="W324" i="41"/>
  <c r="W325" i="41"/>
  <c r="W326" i="41"/>
  <c r="W327" i="41"/>
  <c r="W328" i="41"/>
  <c r="W329" i="41"/>
  <c r="W330" i="41"/>
  <c r="W331" i="41"/>
  <c r="W332" i="41"/>
  <c r="W333" i="41"/>
  <c r="W334" i="41"/>
  <c r="W335" i="41"/>
  <c r="W336" i="41"/>
  <c r="W337" i="41"/>
  <c r="W338" i="41"/>
  <c r="W339" i="41"/>
  <c r="W340" i="41"/>
  <c r="W341" i="41"/>
  <c r="W342" i="41"/>
  <c r="W343" i="41"/>
  <c r="W344" i="41"/>
  <c r="W345" i="41"/>
  <c r="W346" i="41"/>
  <c r="W347" i="41"/>
  <c r="W348" i="41"/>
  <c r="W349" i="41"/>
  <c r="W350" i="41"/>
  <c r="W351" i="41"/>
  <c r="W352" i="41"/>
  <c r="W353" i="41"/>
  <c r="W354" i="41"/>
  <c r="W355" i="41"/>
  <c r="W356" i="41"/>
  <c r="W311" i="41"/>
  <c r="W310" i="41"/>
  <c r="W309" i="41"/>
  <c r="W308" i="41"/>
  <c r="W307" i="41"/>
  <c r="W306" i="41"/>
  <c r="W305" i="41"/>
  <c r="W304" i="41"/>
  <c r="W303" i="41"/>
  <c r="W302" i="41"/>
  <c r="W301" i="41"/>
  <c r="W300" i="41"/>
  <c r="W299" i="41"/>
  <c r="W298" i="41"/>
  <c r="W297" i="41"/>
  <c r="W296" i="41"/>
  <c r="W295" i="41"/>
  <c r="W294" i="41"/>
  <c r="W293" i="41"/>
  <c r="W292" i="41"/>
  <c r="W291" i="41"/>
  <c r="W290" i="41"/>
  <c r="W289" i="41"/>
  <c r="W288" i="41"/>
  <c r="W287" i="41"/>
  <c r="W286" i="41"/>
  <c r="W285" i="41"/>
  <c r="W284" i="41"/>
  <c r="W283" i="41"/>
  <c r="W282" i="41"/>
  <c r="W281" i="41"/>
  <c r="W280" i="41"/>
  <c r="W279" i="41"/>
  <c r="W278" i="41"/>
  <c r="W277" i="41"/>
  <c r="W276" i="41"/>
  <c r="W275" i="41"/>
  <c r="W274" i="41"/>
  <c r="W273" i="41"/>
  <c r="W272" i="41"/>
  <c r="W271" i="41"/>
  <c r="W270" i="41"/>
  <c r="W269" i="41"/>
  <c r="W268" i="41"/>
  <c r="W222" i="41"/>
  <c r="W223" i="41"/>
  <c r="W224" i="41"/>
  <c r="W225" i="41"/>
  <c r="W226" i="41"/>
  <c r="W227" i="41"/>
  <c r="W228" i="41"/>
  <c r="W229" i="41"/>
  <c r="W230" i="41"/>
  <c r="W231" i="41"/>
  <c r="W232" i="41"/>
  <c r="W233" i="41"/>
  <c r="W234" i="41"/>
  <c r="W235" i="41"/>
  <c r="W236" i="41"/>
  <c r="W237" i="41"/>
  <c r="W238" i="41"/>
  <c r="W239" i="41"/>
  <c r="W240" i="41"/>
  <c r="W241" i="41"/>
  <c r="W242" i="41"/>
  <c r="W243" i="41"/>
  <c r="W244" i="41"/>
  <c r="W245" i="41"/>
  <c r="W246" i="41"/>
  <c r="W247" i="41"/>
  <c r="W248" i="41"/>
  <c r="W249" i="41"/>
  <c r="W250" i="41"/>
  <c r="W251" i="41"/>
  <c r="W264" i="41"/>
  <c r="W174" i="41"/>
  <c r="W175" i="41"/>
  <c r="W176" i="41"/>
  <c r="W177" i="41"/>
  <c r="W178" i="41"/>
  <c r="W179" i="41"/>
  <c r="W180" i="41"/>
  <c r="W181" i="41"/>
  <c r="W182" i="41"/>
  <c r="W183" i="41"/>
  <c r="W184" i="41"/>
  <c r="W185" i="41"/>
  <c r="W186" i="41"/>
  <c r="W187" i="41"/>
  <c r="W188" i="41"/>
  <c r="W189" i="41"/>
  <c r="W190" i="41"/>
  <c r="W191" i="41"/>
  <c r="W192" i="41"/>
  <c r="W193" i="41"/>
  <c r="W194" i="41"/>
  <c r="W195" i="41"/>
  <c r="W196" i="41"/>
  <c r="W197" i="41"/>
  <c r="W198" i="41"/>
  <c r="W199" i="41"/>
  <c r="W200" i="41"/>
  <c r="W201" i="41"/>
  <c r="W202" i="41"/>
  <c r="W203" i="41"/>
  <c r="W204" i="41"/>
  <c r="W127" i="41"/>
  <c r="W128" i="41"/>
  <c r="W129" i="41"/>
  <c r="W130" i="41"/>
  <c r="W131" i="41"/>
  <c r="W132" i="41"/>
  <c r="W133" i="41"/>
  <c r="W134" i="41"/>
  <c r="W135" i="41"/>
  <c r="W136" i="41"/>
  <c r="W137" i="41"/>
  <c r="W138" i="41"/>
  <c r="W139" i="41"/>
  <c r="W140" i="41"/>
  <c r="W141" i="41"/>
  <c r="W142" i="41"/>
  <c r="W143" i="41"/>
  <c r="W144" i="41"/>
  <c r="W145" i="41"/>
  <c r="W146" i="41"/>
  <c r="W147" i="41"/>
  <c r="W148" i="41"/>
  <c r="W149" i="41"/>
  <c r="W150" i="41"/>
  <c r="W151" i="41"/>
  <c r="W152" i="41"/>
  <c r="W153" i="41"/>
  <c r="W154" i="41"/>
  <c r="W155" i="41"/>
  <c r="W156" i="41"/>
  <c r="W157" i="41"/>
  <c r="W158" i="41"/>
  <c r="W159" i="41"/>
  <c r="W160" i="41"/>
  <c r="W161" i="41"/>
  <c r="W162" i="41"/>
  <c r="W163" i="41"/>
  <c r="W164" i="41"/>
  <c r="W165" i="41"/>
  <c r="W166" i="41"/>
  <c r="W167" i="41"/>
  <c r="W28" i="41"/>
  <c r="W29" i="41"/>
  <c r="W30" i="41"/>
  <c r="W26" i="41"/>
  <c r="W27" i="41"/>
  <c r="W22" i="41"/>
  <c r="W23" i="41"/>
  <c r="W24" i="41"/>
  <c r="W25" i="41"/>
  <c r="W9" i="41"/>
  <c r="W10" i="41"/>
  <c r="W11" i="41"/>
  <c r="W12" i="41"/>
  <c r="W13" i="41"/>
  <c r="W14" i="41"/>
  <c r="W15" i="41"/>
  <c r="W16" i="41"/>
  <c r="W17" i="41"/>
  <c r="W18" i="41"/>
  <c r="W19" i="41"/>
  <c r="W20" i="41"/>
  <c r="W21" i="41"/>
  <c r="W8" i="41"/>
  <c r="W66" i="41"/>
  <c r="W37" i="41"/>
  <c r="W38" i="41"/>
  <c r="W39" i="41"/>
  <c r="W40" i="41"/>
  <c r="W41" i="41"/>
  <c r="W42" i="41"/>
  <c r="W43" i="41"/>
  <c r="W44" i="41"/>
  <c r="W45" i="41"/>
  <c r="W46" i="41"/>
  <c r="W47" i="41"/>
  <c r="W48" i="41"/>
  <c r="W49" i="41"/>
  <c r="W50" i="41"/>
  <c r="W51" i="41"/>
  <c r="W52" i="41"/>
  <c r="W53" i="41"/>
  <c r="W54" i="41"/>
  <c r="W55" i="41"/>
  <c r="W56" i="41"/>
  <c r="W57" i="41"/>
  <c r="W58" i="41"/>
  <c r="W59" i="41"/>
  <c r="W60" i="41"/>
  <c r="W61" i="41"/>
  <c r="W62" i="41"/>
  <c r="W63" i="41"/>
  <c r="W64" i="41"/>
  <c r="W65" i="41"/>
  <c r="D78" i="41"/>
  <c r="D424" i="41" s="1"/>
  <c r="W80" i="41"/>
  <c r="W107" i="41"/>
  <c r="W108" i="41"/>
  <c r="W109" i="41"/>
  <c r="W110" i="41"/>
  <c r="W111" i="41"/>
  <c r="W112" i="41"/>
  <c r="W106" i="41"/>
  <c r="W84" i="41"/>
  <c r="W85" i="41"/>
  <c r="W86" i="41"/>
  <c r="W87" i="41"/>
  <c r="W88" i="41"/>
  <c r="W89" i="41"/>
  <c r="W90" i="41"/>
  <c r="W91" i="41"/>
  <c r="W92" i="41"/>
  <c r="W93" i="41"/>
  <c r="W94" i="41"/>
  <c r="W95" i="41"/>
  <c r="W96" i="41"/>
  <c r="W97" i="41"/>
  <c r="W98" i="41"/>
  <c r="W99" i="41"/>
  <c r="W100" i="41"/>
  <c r="W101" i="41"/>
  <c r="W102" i="41"/>
  <c r="W103" i="41"/>
  <c r="W104" i="41"/>
  <c r="W105" i="41"/>
  <c r="V244" i="50"/>
  <c r="Y3" i="52" a="1"/>
  <c r="Y3" i="52" s="1"/>
  <c r="X2" i="52" a="1"/>
  <c r="X2" i="52" s="1"/>
  <c r="C79" i="44" l="1"/>
  <c r="C410" i="44"/>
  <c r="C405" i="43"/>
  <c r="C79" i="42"/>
  <c r="O409" i="44"/>
  <c r="C220" i="44"/>
  <c r="C126" i="44"/>
  <c r="C267" i="44"/>
  <c r="C418" i="43"/>
  <c r="R411" i="42"/>
  <c r="R412" i="42"/>
  <c r="C126" i="42"/>
  <c r="C173" i="44"/>
  <c r="C33" i="44"/>
  <c r="C314" i="44"/>
  <c r="C361" i="44"/>
  <c r="W2" i="52" a="1"/>
  <c r="W2" i="52" s="1"/>
  <c r="V2" i="52" a="1"/>
  <c r="V2" i="52" s="1"/>
  <c r="S2" i="52" l="1" a="1"/>
  <c r="S2" i="52" s="1"/>
  <c r="R266" i="41"/>
  <c r="R428" i="41" s="1"/>
  <c r="R313" i="41"/>
  <c r="R429" i="41" s="1"/>
  <c r="D125" i="41"/>
  <c r="D425" i="41" s="1"/>
  <c r="H162" i="50"/>
  <c r="N162" i="50"/>
  <c r="K162" i="50"/>
  <c r="L162" i="50"/>
  <c r="H163" i="50"/>
  <c r="H164" i="50"/>
  <c r="H165" i="50"/>
  <c r="H166" i="50"/>
  <c r="H167" i="50"/>
  <c r="H168" i="50"/>
  <c r="H169" i="50"/>
  <c r="H170" i="50"/>
  <c r="H171" i="50"/>
  <c r="H172" i="50"/>
  <c r="H173" i="50"/>
  <c r="H174" i="50"/>
  <c r="H175" i="50"/>
  <c r="H176" i="50"/>
  <c r="H177" i="50"/>
  <c r="H178" i="50"/>
  <c r="N163" i="50"/>
  <c r="N164" i="50"/>
  <c r="N165" i="50"/>
  <c r="N166" i="50"/>
  <c r="N167" i="50"/>
  <c r="N168" i="50"/>
  <c r="N169" i="50"/>
  <c r="N170" i="50"/>
  <c r="N171" i="50"/>
  <c r="N172" i="50"/>
  <c r="N173" i="50"/>
  <c r="N174" i="50"/>
  <c r="N175" i="50"/>
  <c r="N176" i="50"/>
  <c r="N177" i="50"/>
  <c r="N178" i="50"/>
  <c r="K163" i="50"/>
  <c r="K164" i="50"/>
  <c r="K165" i="50"/>
  <c r="K166" i="50"/>
  <c r="K167" i="50"/>
  <c r="K168" i="50"/>
  <c r="K169" i="50"/>
  <c r="K170" i="50"/>
  <c r="K171" i="50"/>
  <c r="L173" i="50"/>
  <c r="L174" i="50"/>
  <c r="L175" i="50"/>
  <c r="L176" i="50"/>
  <c r="L177" i="50"/>
  <c r="L178" i="50"/>
  <c r="L170" i="50"/>
  <c r="L171" i="50"/>
  <c r="L163" i="50"/>
  <c r="L164" i="50"/>
  <c r="L165" i="50"/>
  <c r="L166" i="50"/>
  <c r="L167" i="50"/>
  <c r="L168" i="50"/>
  <c r="L169" i="50"/>
  <c r="L172" i="50"/>
  <c r="J185" i="50"/>
  <c r="I185" i="50"/>
  <c r="K185" i="50"/>
  <c r="N185" i="50"/>
  <c r="J186" i="50"/>
  <c r="J180" i="50"/>
  <c r="I180" i="50"/>
  <c r="I181" i="50"/>
  <c r="I183" i="50"/>
  <c r="I184" i="50"/>
  <c r="I186" i="50"/>
  <c r="I187" i="50"/>
  <c r="I182" i="50"/>
  <c r="I188" i="50"/>
  <c r="I189" i="50"/>
  <c r="I190" i="50"/>
  <c r="I191" i="50"/>
  <c r="I192" i="50"/>
  <c r="I193" i="50"/>
  <c r="I194" i="50"/>
  <c r="I195" i="50"/>
  <c r="I196" i="50"/>
  <c r="K180" i="50"/>
  <c r="K181" i="50"/>
  <c r="K182" i="50"/>
  <c r="K183" i="50"/>
  <c r="K184" i="50"/>
  <c r="K186" i="50"/>
  <c r="K187" i="50"/>
  <c r="K188" i="50"/>
  <c r="K189" i="50"/>
  <c r="K190" i="50"/>
  <c r="K191" i="50"/>
  <c r="K192" i="50"/>
  <c r="K193" i="50"/>
  <c r="K194" i="50"/>
  <c r="K195" i="50"/>
  <c r="K196" i="50"/>
  <c r="N180" i="50"/>
  <c r="N181" i="50"/>
  <c r="N182" i="50"/>
  <c r="N183" i="50"/>
  <c r="N184" i="50"/>
  <c r="N186" i="50"/>
  <c r="N187" i="50"/>
  <c r="N188" i="50"/>
  <c r="N189" i="50"/>
  <c r="N190" i="50"/>
  <c r="N191" i="50"/>
  <c r="N192" i="50"/>
  <c r="N193" i="50"/>
  <c r="N194" i="50"/>
  <c r="N195" i="50"/>
  <c r="N196" i="50"/>
  <c r="J198" i="50"/>
  <c r="H198" i="50"/>
  <c r="I198" i="50"/>
  <c r="G198" i="50"/>
  <c r="N198" i="50"/>
  <c r="J199" i="50"/>
  <c r="H199" i="50"/>
  <c r="I199" i="50"/>
  <c r="G199" i="50"/>
  <c r="N199" i="50"/>
  <c r="J200" i="50"/>
  <c r="H200" i="50"/>
  <c r="I200" i="50"/>
  <c r="G200" i="50"/>
  <c r="N200" i="50"/>
  <c r="J201" i="50"/>
  <c r="H201" i="50"/>
  <c r="I201" i="50"/>
  <c r="G201" i="50"/>
  <c r="N201" i="50"/>
  <c r="J202" i="50"/>
  <c r="H202" i="50"/>
  <c r="I202" i="50"/>
  <c r="G202" i="50"/>
  <c r="N202" i="50"/>
  <c r="J203" i="50"/>
  <c r="H203" i="50"/>
  <c r="I203" i="50"/>
  <c r="G203" i="50"/>
  <c r="N203" i="50"/>
  <c r="J204" i="50"/>
  <c r="H204" i="50"/>
  <c r="I204" i="50"/>
  <c r="G204" i="50"/>
  <c r="N204" i="50"/>
  <c r="J205" i="50"/>
  <c r="H205" i="50"/>
  <c r="I205" i="50"/>
  <c r="G205" i="50"/>
  <c r="N205" i="50"/>
  <c r="J206" i="50"/>
  <c r="H206" i="50"/>
  <c r="I206" i="50"/>
  <c r="G206" i="50"/>
  <c r="N206" i="50"/>
  <c r="J207" i="50"/>
  <c r="H207" i="50"/>
  <c r="I207" i="50"/>
  <c r="G207" i="50"/>
  <c r="N207" i="50"/>
  <c r="J208" i="50"/>
  <c r="H208" i="50"/>
  <c r="I208" i="50"/>
  <c r="G208" i="50"/>
  <c r="N208" i="50"/>
  <c r="J209" i="50"/>
  <c r="H209" i="50"/>
  <c r="I209" i="50"/>
  <c r="G209" i="50"/>
  <c r="N209" i="50"/>
  <c r="J210" i="50"/>
  <c r="H210" i="50"/>
  <c r="I210" i="50"/>
  <c r="G210" i="50"/>
  <c r="N210" i="50"/>
  <c r="J211" i="50"/>
  <c r="H211" i="50"/>
  <c r="I211" i="50"/>
  <c r="G211" i="50"/>
  <c r="N211" i="50"/>
  <c r="J212" i="50"/>
  <c r="H212" i="50"/>
  <c r="I212" i="50"/>
  <c r="G212" i="50"/>
  <c r="N212" i="50"/>
  <c r="J213" i="50"/>
  <c r="H213" i="50"/>
  <c r="I213" i="50"/>
  <c r="G213" i="50"/>
  <c r="N213" i="50"/>
  <c r="J214" i="50"/>
  <c r="H214" i="50"/>
  <c r="I214" i="50"/>
  <c r="G214" i="50"/>
  <c r="N214" i="50"/>
  <c r="I229" i="50"/>
  <c r="I230" i="50"/>
  <c r="I231" i="50"/>
  <c r="I228" i="50"/>
  <c r="G216" i="50"/>
  <c r="G217" i="50"/>
  <c r="G218" i="50"/>
  <c r="G219" i="50"/>
  <c r="G221" i="50"/>
  <c r="G222" i="50"/>
  <c r="G223" i="50"/>
  <c r="G224" i="50"/>
  <c r="G225" i="50"/>
  <c r="G226" i="50"/>
  <c r="G227" i="50"/>
  <c r="G228" i="50"/>
  <c r="G229" i="50"/>
  <c r="G230" i="50"/>
  <c r="G231" i="50"/>
  <c r="F216" i="50"/>
  <c r="F217" i="50"/>
  <c r="F218" i="50"/>
  <c r="F219" i="50"/>
  <c r="F220" i="50"/>
  <c r="F221" i="50"/>
  <c r="F222" i="50"/>
  <c r="F223" i="50"/>
  <c r="Q24" i="50"/>
  <c r="U24" i="50"/>
  <c r="Q25" i="50"/>
  <c r="Q26" i="50"/>
  <c r="Q27" i="50"/>
  <c r="Q28" i="50"/>
  <c r="Q29" i="50"/>
  <c r="Q30" i="50"/>
  <c r="Q31" i="50"/>
  <c r="Q32" i="50"/>
  <c r="Q33" i="50"/>
  <c r="Q34" i="50"/>
  <c r="Q35" i="50"/>
  <c r="Q36" i="50"/>
  <c r="Q37" i="50"/>
  <c r="Q38" i="50"/>
  <c r="Q39" i="50"/>
  <c r="Q40" i="50"/>
  <c r="U25" i="50"/>
  <c r="R42" i="50"/>
  <c r="S42" i="50"/>
  <c r="R43" i="50"/>
  <c r="R74" i="50"/>
  <c r="R75" i="50"/>
  <c r="R76" i="50"/>
  <c r="R77" i="50"/>
  <c r="R78" i="50"/>
  <c r="R79" i="50"/>
  <c r="R80" i="50"/>
  <c r="R81" i="50"/>
  <c r="R82" i="50"/>
  <c r="R83" i="50"/>
  <c r="R84" i="50"/>
  <c r="R85" i="50"/>
  <c r="R86" i="50"/>
  <c r="R87" i="50"/>
  <c r="R88" i="50"/>
  <c r="S43" i="50"/>
  <c r="S74" i="50"/>
  <c r="S75" i="50"/>
  <c r="S76" i="50"/>
  <c r="S77" i="50"/>
  <c r="S78" i="50"/>
  <c r="S79" i="50"/>
  <c r="S80" i="50"/>
  <c r="S81" i="50"/>
  <c r="S82" i="50"/>
  <c r="S83" i="50"/>
  <c r="S84" i="50"/>
  <c r="S85" i="50"/>
  <c r="S86" i="50"/>
  <c r="S87" i="50"/>
  <c r="S88" i="50"/>
  <c r="S90" i="50"/>
  <c r="U90" i="50"/>
  <c r="S91" i="50"/>
  <c r="S92" i="50"/>
  <c r="S93" i="50"/>
  <c r="S94" i="50"/>
  <c r="S95" i="50"/>
  <c r="S96" i="50"/>
  <c r="S97" i="50"/>
  <c r="S98" i="50"/>
  <c r="S99" i="50"/>
  <c r="S100" i="50"/>
  <c r="S101" i="50"/>
  <c r="S102" i="50"/>
  <c r="S103" i="50"/>
  <c r="S104" i="50"/>
  <c r="S105" i="50"/>
  <c r="S106" i="50"/>
  <c r="U91" i="50"/>
  <c r="U92" i="50"/>
  <c r="U93" i="50"/>
  <c r="U94" i="50"/>
  <c r="U95" i="50"/>
  <c r="U96" i="50"/>
  <c r="U97" i="50"/>
  <c r="U98" i="50"/>
  <c r="U99" i="50"/>
  <c r="U100" i="50"/>
  <c r="U101" i="50"/>
  <c r="U102" i="50"/>
  <c r="U103" i="50"/>
  <c r="U104" i="50"/>
  <c r="U105" i="50"/>
  <c r="U106" i="50"/>
  <c r="Q112" i="50"/>
  <c r="R112" i="50"/>
  <c r="T112" i="50"/>
  <c r="Q113" i="50"/>
  <c r="R113" i="50"/>
  <c r="T113" i="50"/>
  <c r="Q114" i="50"/>
  <c r="R114" i="50"/>
  <c r="T114" i="50"/>
  <c r="Q115" i="50"/>
  <c r="R115" i="50"/>
  <c r="T115" i="50"/>
  <c r="Q116" i="50"/>
  <c r="R116" i="50"/>
  <c r="T116" i="50"/>
  <c r="Q117" i="50"/>
  <c r="R117" i="50"/>
  <c r="T117" i="50"/>
  <c r="R108" i="50"/>
  <c r="R109" i="50"/>
  <c r="R110" i="50"/>
  <c r="R111" i="50"/>
  <c r="R118" i="50"/>
  <c r="R119" i="50"/>
  <c r="R120" i="50"/>
  <c r="R121" i="50"/>
  <c r="R122" i="50"/>
  <c r="R123" i="50"/>
  <c r="R124" i="50"/>
  <c r="T108" i="50"/>
  <c r="T109" i="50"/>
  <c r="T110" i="50"/>
  <c r="T111" i="50"/>
  <c r="T118" i="50"/>
  <c r="T119" i="50"/>
  <c r="T120" i="50"/>
  <c r="T121" i="50"/>
  <c r="T122" i="50"/>
  <c r="T123" i="50"/>
  <c r="T124" i="50"/>
  <c r="Q136" i="50"/>
  <c r="M136" i="50"/>
  <c r="N136" i="50"/>
  <c r="Q138" i="50"/>
  <c r="Q139" i="50"/>
  <c r="Q140" i="50"/>
  <c r="Q141" i="50"/>
  <c r="Q142" i="50"/>
  <c r="Q126" i="50"/>
  <c r="Q133" i="50"/>
  <c r="M139" i="50"/>
  <c r="M140" i="50"/>
  <c r="M137" i="50"/>
  <c r="M126" i="50"/>
  <c r="M127" i="50"/>
  <c r="M128" i="50"/>
  <c r="M129" i="50"/>
  <c r="M130" i="50"/>
  <c r="M131" i="50"/>
  <c r="M132" i="50"/>
  <c r="M133" i="50"/>
  <c r="M134" i="50"/>
  <c r="M135" i="50"/>
  <c r="N126" i="50"/>
  <c r="N127" i="50"/>
  <c r="N128" i="50"/>
  <c r="N129" i="50"/>
  <c r="N130" i="50"/>
  <c r="N131" i="50"/>
  <c r="N132" i="50"/>
  <c r="N133" i="50"/>
  <c r="N134" i="50"/>
  <c r="N135" i="50"/>
  <c r="N137" i="50"/>
  <c r="N138" i="50"/>
  <c r="N139" i="50"/>
  <c r="N140" i="50"/>
  <c r="N141" i="50"/>
  <c r="N142" i="50"/>
  <c r="P154" i="50"/>
  <c r="P144" i="50"/>
  <c r="P145" i="50"/>
  <c r="P146" i="50"/>
  <c r="P147" i="50"/>
  <c r="P148" i="50"/>
  <c r="P149" i="50"/>
  <c r="P150" i="50"/>
  <c r="P151" i="50"/>
  <c r="P152" i="50"/>
  <c r="P153" i="50"/>
  <c r="P155" i="50"/>
  <c r="P156" i="50"/>
  <c r="P157" i="50"/>
  <c r="P158" i="50"/>
  <c r="P159" i="50"/>
  <c r="P160" i="50"/>
  <c r="K145" i="50"/>
  <c r="K146" i="50"/>
  <c r="K155" i="50"/>
  <c r="K156" i="50"/>
  <c r="K157" i="50"/>
  <c r="K158" i="50"/>
  <c r="K159" i="50"/>
  <c r="K160" i="50"/>
  <c r="L144" i="50"/>
  <c r="L145" i="50"/>
  <c r="L146" i="50"/>
  <c r="L147" i="50"/>
  <c r="L148" i="50"/>
  <c r="L149" i="50"/>
  <c r="L150" i="50"/>
  <c r="L151" i="50"/>
  <c r="L152" i="50"/>
  <c r="M2" i="52" a="1"/>
  <c r="M2" i="52" s="1"/>
  <c r="U2" i="52" a="1"/>
  <c r="U2" i="52" s="1"/>
  <c r="T2" i="52" a="1"/>
  <c r="T2" i="52" s="1"/>
  <c r="R2" i="52" a="1"/>
  <c r="R2" i="52" s="1"/>
  <c r="Q2" i="52" a="1"/>
  <c r="Q2" i="52" s="1"/>
  <c r="P2" i="52" a="1"/>
  <c r="P2" i="52" s="1"/>
  <c r="O2" i="52" a="1"/>
  <c r="O2" i="52" s="1"/>
  <c r="N2" i="52" a="1"/>
  <c r="N2" i="52" s="1"/>
  <c r="L2" i="52" a="1"/>
  <c r="L2" i="52" s="1"/>
  <c r="K2" i="52" a="1"/>
  <c r="K2" i="52" s="1"/>
  <c r="J2" i="52" a="1"/>
  <c r="J2" i="52" s="1"/>
  <c r="I2" i="52" a="1"/>
  <c r="I2" i="52" s="1"/>
  <c r="H2" i="52" a="1"/>
  <c r="H2" i="52" s="1"/>
  <c r="G2" i="52" a="1"/>
  <c r="G2" i="52" s="1"/>
  <c r="R7" i="42"/>
  <c r="R404" i="41"/>
  <c r="R431" i="41" s="1"/>
  <c r="R360" i="41"/>
  <c r="R430" i="41" s="1"/>
  <c r="R78" i="41"/>
  <c r="R424" i="41" s="1"/>
  <c r="R125" i="41"/>
  <c r="R425" i="41" s="1"/>
  <c r="R172" i="41"/>
  <c r="R426" i="41" s="1"/>
  <c r="R219" i="41"/>
  <c r="R427" i="41" s="1"/>
  <c r="K217" i="50"/>
  <c r="K218" i="50"/>
  <c r="K219" i="50"/>
  <c r="K220" i="50"/>
  <c r="K221" i="50"/>
  <c r="K222" i="50"/>
  <c r="K223" i="50"/>
  <c r="K224" i="50"/>
  <c r="K225" i="50"/>
  <c r="K226" i="50"/>
  <c r="K227" i="50"/>
  <c r="K228" i="50"/>
  <c r="K229" i="50"/>
  <c r="K230" i="50"/>
  <c r="K231" i="50"/>
  <c r="K216" i="50"/>
  <c r="K199" i="50"/>
  <c r="K200" i="50"/>
  <c r="K201" i="50"/>
  <c r="K202" i="50"/>
  <c r="K203" i="50"/>
  <c r="K204" i="50"/>
  <c r="K205" i="50"/>
  <c r="K206" i="50"/>
  <c r="K207" i="50"/>
  <c r="K208" i="50"/>
  <c r="K209" i="50"/>
  <c r="K210" i="50"/>
  <c r="K211" i="50"/>
  <c r="K212" i="50"/>
  <c r="K213" i="50"/>
  <c r="K214" i="50"/>
  <c r="K198" i="50"/>
  <c r="K172" i="50"/>
  <c r="K173" i="50"/>
  <c r="K174" i="50"/>
  <c r="K175" i="50"/>
  <c r="K176" i="50"/>
  <c r="K177" i="50"/>
  <c r="K178" i="50"/>
  <c r="K147" i="50"/>
  <c r="K148" i="50"/>
  <c r="K149" i="50"/>
  <c r="K150" i="50"/>
  <c r="K151" i="50"/>
  <c r="K152" i="50"/>
  <c r="K153" i="50"/>
  <c r="K154" i="50"/>
  <c r="K144" i="50"/>
  <c r="K127" i="50"/>
  <c r="K128" i="50"/>
  <c r="K129" i="50"/>
  <c r="K130" i="50"/>
  <c r="K131" i="50"/>
  <c r="K132" i="50"/>
  <c r="K133" i="50"/>
  <c r="K134" i="50"/>
  <c r="K135" i="50"/>
  <c r="K136" i="50"/>
  <c r="K137" i="50"/>
  <c r="K138" i="50"/>
  <c r="K139" i="50"/>
  <c r="K140" i="50"/>
  <c r="K141" i="50"/>
  <c r="K142" i="50"/>
  <c r="K126" i="50"/>
  <c r="K109" i="50"/>
  <c r="K110" i="50"/>
  <c r="K111" i="50"/>
  <c r="K112" i="50"/>
  <c r="K113" i="50"/>
  <c r="K114" i="50"/>
  <c r="K115" i="50"/>
  <c r="K116" i="50"/>
  <c r="K117" i="50"/>
  <c r="K118" i="50"/>
  <c r="K119" i="50"/>
  <c r="K120" i="50"/>
  <c r="K121" i="50"/>
  <c r="K122" i="50"/>
  <c r="K123" i="50"/>
  <c r="K124" i="50"/>
  <c r="K108" i="50"/>
  <c r="K91" i="50"/>
  <c r="K92" i="50"/>
  <c r="K93" i="50"/>
  <c r="K94" i="50"/>
  <c r="K95" i="50"/>
  <c r="K96" i="50"/>
  <c r="K97" i="50"/>
  <c r="K98" i="50"/>
  <c r="K99" i="50"/>
  <c r="K100" i="50"/>
  <c r="K101" i="50"/>
  <c r="K102" i="50"/>
  <c r="K103" i="50"/>
  <c r="K104" i="50"/>
  <c r="K105" i="50"/>
  <c r="K106" i="50"/>
  <c r="K90" i="50"/>
  <c r="K43" i="50"/>
  <c r="K74" i="50"/>
  <c r="K75" i="50"/>
  <c r="K76" i="50"/>
  <c r="K77" i="50"/>
  <c r="K78" i="50"/>
  <c r="K79" i="50"/>
  <c r="K80" i="50"/>
  <c r="K81" i="50"/>
  <c r="K82" i="50"/>
  <c r="K83" i="50"/>
  <c r="K84" i="50"/>
  <c r="K85" i="50"/>
  <c r="K86" i="50"/>
  <c r="K87" i="50"/>
  <c r="K88" i="50"/>
  <c r="K42" i="50"/>
  <c r="K7" i="50"/>
  <c r="K8" i="50"/>
  <c r="K9" i="50"/>
  <c r="K10" i="50"/>
  <c r="K11" i="50"/>
  <c r="K12" i="50"/>
  <c r="K13" i="50"/>
  <c r="K14" i="50"/>
  <c r="K15" i="50"/>
  <c r="K16" i="50"/>
  <c r="K17" i="50"/>
  <c r="K18" i="50"/>
  <c r="K19" i="50"/>
  <c r="K20" i="50"/>
  <c r="K21" i="50"/>
  <c r="K22" i="50"/>
  <c r="K6" i="50"/>
  <c r="K25" i="50"/>
  <c r="K26" i="50"/>
  <c r="K27" i="50"/>
  <c r="K28" i="50"/>
  <c r="K29" i="50"/>
  <c r="K30" i="50"/>
  <c r="K31" i="50"/>
  <c r="K32" i="50"/>
  <c r="K33" i="50"/>
  <c r="K34" i="50"/>
  <c r="K35" i="50"/>
  <c r="K36" i="50"/>
  <c r="K37" i="50"/>
  <c r="K38" i="50"/>
  <c r="K24" i="50"/>
  <c r="H217" i="50"/>
  <c r="H218" i="50"/>
  <c r="H219" i="50"/>
  <c r="H220" i="50"/>
  <c r="H221" i="50"/>
  <c r="H222" i="50"/>
  <c r="H223" i="50"/>
  <c r="H224" i="50"/>
  <c r="H225" i="50"/>
  <c r="H226" i="50"/>
  <c r="H227" i="50"/>
  <c r="H228" i="50"/>
  <c r="H229" i="50"/>
  <c r="H230" i="50"/>
  <c r="H231" i="50"/>
  <c r="H216" i="50"/>
  <c r="H181" i="50"/>
  <c r="H182" i="50"/>
  <c r="H183" i="50"/>
  <c r="H184" i="50"/>
  <c r="H185" i="50"/>
  <c r="H186" i="50"/>
  <c r="H187" i="50"/>
  <c r="H188" i="50"/>
  <c r="H189" i="50"/>
  <c r="H190" i="50"/>
  <c r="H191" i="50"/>
  <c r="H192" i="50"/>
  <c r="H193" i="50"/>
  <c r="H194" i="50"/>
  <c r="H195" i="50"/>
  <c r="H196" i="50"/>
  <c r="H180" i="50"/>
  <c r="H145" i="50"/>
  <c r="H146" i="50"/>
  <c r="H147" i="50"/>
  <c r="H148" i="50"/>
  <c r="H149" i="50"/>
  <c r="H150" i="50"/>
  <c r="H151" i="50"/>
  <c r="H152" i="50"/>
  <c r="H153" i="50"/>
  <c r="H154" i="50"/>
  <c r="H155" i="50"/>
  <c r="H156" i="50"/>
  <c r="H157" i="50"/>
  <c r="H158" i="50"/>
  <c r="H159" i="50"/>
  <c r="H160" i="50"/>
  <c r="H144" i="50"/>
  <c r="H127" i="50"/>
  <c r="H128" i="50"/>
  <c r="H129" i="50"/>
  <c r="H130" i="50"/>
  <c r="H131" i="50"/>
  <c r="H132" i="50"/>
  <c r="H133" i="50"/>
  <c r="H134" i="50"/>
  <c r="H135" i="50"/>
  <c r="H136" i="50"/>
  <c r="H137" i="50"/>
  <c r="H138" i="50"/>
  <c r="H139" i="50"/>
  <c r="H140" i="50"/>
  <c r="H141" i="50"/>
  <c r="H142" i="50"/>
  <c r="H126" i="50"/>
  <c r="H109" i="50"/>
  <c r="H110" i="50"/>
  <c r="H111" i="50"/>
  <c r="H112" i="50"/>
  <c r="H113" i="50"/>
  <c r="H114" i="50"/>
  <c r="H115" i="50"/>
  <c r="H116" i="50"/>
  <c r="H117" i="50"/>
  <c r="H118" i="50"/>
  <c r="H119" i="50"/>
  <c r="H120" i="50"/>
  <c r="H121" i="50"/>
  <c r="H122" i="50"/>
  <c r="H123" i="50"/>
  <c r="H124" i="50"/>
  <c r="H108" i="50"/>
  <c r="H91" i="50"/>
  <c r="H92" i="50"/>
  <c r="H93" i="50"/>
  <c r="H94" i="50"/>
  <c r="H95" i="50"/>
  <c r="H96" i="50"/>
  <c r="H97" i="50"/>
  <c r="H98" i="50"/>
  <c r="H99" i="50"/>
  <c r="H100" i="50"/>
  <c r="H101" i="50"/>
  <c r="H102" i="50"/>
  <c r="H103" i="50"/>
  <c r="H104" i="50"/>
  <c r="H105" i="50"/>
  <c r="H106" i="50"/>
  <c r="H90" i="50"/>
  <c r="H43" i="50"/>
  <c r="H74" i="50"/>
  <c r="H75" i="50"/>
  <c r="H76" i="50"/>
  <c r="H77" i="50"/>
  <c r="H78" i="50"/>
  <c r="H79" i="50"/>
  <c r="H80" i="50"/>
  <c r="H81" i="50"/>
  <c r="H82" i="50"/>
  <c r="H83" i="50"/>
  <c r="H84" i="50"/>
  <c r="H85" i="50"/>
  <c r="H86" i="50"/>
  <c r="H87" i="50"/>
  <c r="H88" i="50"/>
  <c r="H42" i="50"/>
  <c r="H25" i="50"/>
  <c r="H26" i="50"/>
  <c r="H27" i="50"/>
  <c r="H28" i="50"/>
  <c r="H29" i="50"/>
  <c r="H30" i="50"/>
  <c r="H31" i="50"/>
  <c r="H32" i="50"/>
  <c r="H33" i="50"/>
  <c r="H34" i="50"/>
  <c r="H35" i="50"/>
  <c r="H36" i="50"/>
  <c r="H37" i="50"/>
  <c r="H38" i="50"/>
  <c r="H39" i="50"/>
  <c r="H40" i="50"/>
  <c r="H24" i="50"/>
  <c r="H7" i="50"/>
  <c r="H8" i="50"/>
  <c r="H9" i="50"/>
  <c r="H10" i="50"/>
  <c r="H11" i="50"/>
  <c r="H12" i="50"/>
  <c r="H13" i="50"/>
  <c r="H14" i="50"/>
  <c r="H15" i="50"/>
  <c r="H16" i="50"/>
  <c r="H17" i="50"/>
  <c r="H18" i="50"/>
  <c r="H19" i="50"/>
  <c r="H20" i="50"/>
  <c r="H21" i="50"/>
  <c r="H22" i="50"/>
  <c r="H6" i="50"/>
  <c r="M217" i="50"/>
  <c r="M218" i="50"/>
  <c r="M219" i="50"/>
  <c r="M220" i="50"/>
  <c r="M221" i="50"/>
  <c r="M222" i="50"/>
  <c r="M223" i="50"/>
  <c r="M224" i="50"/>
  <c r="M225" i="50"/>
  <c r="M226" i="50"/>
  <c r="M227" i="50"/>
  <c r="M228" i="50"/>
  <c r="M229" i="50"/>
  <c r="M230" i="50"/>
  <c r="M231" i="50"/>
  <c r="M216" i="50"/>
  <c r="M199" i="50"/>
  <c r="M200" i="50"/>
  <c r="M201" i="50"/>
  <c r="M202" i="50"/>
  <c r="M203" i="50"/>
  <c r="M204" i="50"/>
  <c r="M205" i="50"/>
  <c r="M206" i="50"/>
  <c r="M207" i="50"/>
  <c r="M208" i="50"/>
  <c r="M209" i="50"/>
  <c r="M210" i="50"/>
  <c r="M211" i="50"/>
  <c r="M212" i="50"/>
  <c r="M213" i="50"/>
  <c r="M214" i="50"/>
  <c r="M198" i="50"/>
  <c r="M181" i="50"/>
  <c r="M182" i="50"/>
  <c r="M183" i="50"/>
  <c r="M184" i="50"/>
  <c r="M185" i="50"/>
  <c r="M186" i="50"/>
  <c r="M187" i="50"/>
  <c r="M188" i="50"/>
  <c r="M189" i="50"/>
  <c r="M190" i="50"/>
  <c r="M191" i="50"/>
  <c r="M192" i="50"/>
  <c r="M193" i="50"/>
  <c r="M194" i="50"/>
  <c r="M195" i="50"/>
  <c r="M196" i="50"/>
  <c r="M180" i="50"/>
  <c r="M163" i="50"/>
  <c r="M164" i="50"/>
  <c r="M165" i="50"/>
  <c r="M166" i="50"/>
  <c r="M167" i="50"/>
  <c r="M168" i="50"/>
  <c r="M169" i="50"/>
  <c r="M170" i="50"/>
  <c r="M171" i="50"/>
  <c r="M172" i="50"/>
  <c r="M173" i="50"/>
  <c r="M174" i="50"/>
  <c r="M175" i="50"/>
  <c r="M176" i="50"/>
  <c r="M177" i="50"/>
  <c r="M178" i="50"/>
  <c r="M162" i="50"/>
  <c r="M145" i="50"/>
  <c r="M146" i="50"/>
  <c r="M147" i="50"/>
  <c r="M148" i="50"/>
  <c r="M149" i="50"/>
  <c r="M150" i="50"/>
  <c r="M151" i="50"/>
  <c r="M152" i="50"/>
  <c r="M153" i="50"/>
  <c r="M154" i="50"/>
  <c r="M155" i="50"/>
  <c r="M156" i="50"/>
  <c r="M157" i="50"/>
  <c r="M158" i="50"/>
  <c r="M159" i="50"/>
  <c r="M160" i="50"/>
  <c r="M144" i="50"/>
  <c r="M138" i="50"/>
  <c r="M141" i="50"/>
  <c r="M142" i="50"/>
  <c r="M109" i="50"/>
  <c r="M110" i="50"/>
  <c r="M111" i="50"/>
  <c r="M112" i="50"/>
  <c r="M113" i="50"/>
  <c r="M114" i="50"/>
  <c r="M115" i="50"/>
  <c r="M116" i="50"/>
  <c r="M117" i="50"/>
  <c r="M118" i="50"/>
  <c r="M119" i="50"/>
  <c r="M120" i="50"/>
  <c r="M121" i="50"/>
  <c r="M122" i="50"/>
  <c r="M123" i="50"/>
  <c r="M124" i="50"/>
  <c r="M108" i="50"/>
  <c r="M91" i="50"/>
  <c r="M92" i="50"/>
  <c r="M93" i="50"/>
  <c r="M94" i="50"/>
  <c r="M95" i="50"/>
  <c r="M96" i="50"/>
  <c r="M97" i="50"/>
  <c r="M98" i="50"/>
  <c r="M99" i="50"/>
  <c r="M100" i="50"/>
  <c r="M101" i="50"/>
  <c r="M102" i="50"/>
  <c r="M103" i="50"/>
  <c r="M104" i="50"/>
  <c r="M105" i="50"/>
  <c r="M106" i="50"/>
  <c r="M90" i="50"/>
  <c r="M43" i="50"/>
  <c r="M74" i="50"/>
  <c r="M75" i="50"/>
  <c r="M76" i="50"/>
  <c r="M77" i="50"/>
  <c r="M78" i="50"/>
  <c r="M79" i="50"/>
  <c r="M80" i="50"/>
  <c r="M81" i="50"/>
  <c r="M82" i="50"/>
  <c r="M83" i="50"/>
  <c r="M84" i="50"/>
  <c r="M85" i="50"/>
  <c r="M86" i="50"/>
  <c r="M87" i="50"/>
  <c r="M88" i="50"/>
  <c r="M42" i="50"/>
  <c r="M25" i="50"/>
  <c r="M26" i="50"/>
  <c r="M27" i="50"/>
  <c r="M28" i="50"/>
  <c r="M29" i="50"/>
  <c r="M30" i="50"/>
  <c r="M31" i="50"/>
  <c r="M32" i="50"/>
  <c r="M33" i="50"/>
  <c r="M34" i="50"/>
  <c r="M35" i="50"/>
  <c r="M36" i="50"/>
  <c r="M37" i="50"/>
  <c r="M38" i="50"/>
  <c r="M39" i="50"/>
  <c r="M40" i="50"/>
  <c r="M24" i="50"/>
  <c r="M7" i="50"/>
  <c r="M8" i="50"/>
  <c r="M9" i="50"/>
  <c r="M10" i="50"/>
  <c r="M11" i="50"/>
  <c r="M12" i="50"/>
  <c r="M13" i="50"/>
  <c r="M14" i="50"/>
  <c r="M15" i="50"/>
  <c r="M16" i="50"/>
  <c r="M17" i="50"/>
  <c r="M18" i="50"/>
  <c r="M19" i="50"/>
  <c r="M20" i="50"/>
  <c r="M21" i="50"/>
  <c r="M22" i="50"/>
  <c r="C7" i="50"/>
  <c r="C8" i="50"/>
  <c r="C9" i="50"/>
  <c r="C10" i="50"/>
  <c r="C11" i="50"/>
  <c r="C12" i="50"/>
  <c r="C13" i="50"/>
  <c r="C14" i="50"/>
  <c r="C15" i="50"/>
  <c r="C16" i="50"/>
  <c r="C17" i="50"/>
  <c r="C18" i="50"/>
  <c r="C19" i="50"/>
  <c r="C20" i="50"/>
  <c r="C21" i="50"/>
  <c r="C22" i="50"/>
  <c r="C24" i="50"/>
  <c r="C25" i="50"/>
  <c r="C26" i="50"/>
  <c r="C27" i="50"/>
  <c r="C28" i="50"/>
  <c r="C29" i="50"/>
  <c r="C30" i="50"/>
  <c r="C31" i="50"/>
  <c r="C32" i="50"/>
  <c r="C33" i="50"/>
  <c r="C34" i="50"/>
  <c r="C35" i="50"/>
  <c r="C36" i="50"/>
  <c r="C37" i="50"/>
  <c r="C38" i="50"/>
  <c r="C39" i="50"/>
  <c r="C40" i="50"/>
  <c r="C42" i="50"/>
  <c r="C43" i="50"/>
  <c r="C74" i="50"/>
  <c r="C75" i="50"/>
  <c r="C76" i="50"/>
  <c r="C77" i="50"/>
  <c r="C78" i="50"/>
  <c r="C79" i="50"/>
  <c r="C80" i="50"/>
  <c r="C81" i="50"/>
  <c r="C82" i="50"/>
  <c r="C83" i="50"/>
  <c r="C84" i="50"/>
  <c r="C85" i="50"/>
  <c r="C86" i="50"/>
  <c r="C87" i="50"/>
  <c r="C88" i="50"/>
  <c r="C90" i="50"/>
  <c r="C91" i="50"/>
  <c r="C92" i="50"/>
  <c r="C93" i="50"/>
  <c r="C94" i="50"/>
  <c r="C95" i="50"/>
  <c r="C96" i="50"/>
  <c r="C97" i="50"/>
  <c r="C98" i="50"/>
  <c r="C99" i="50"/>
  <c r="C100" i="50"/>
  <c r="C101" i="50"/>
  <c r="C102" i="50"/>
  <c r="C103" i="50"/>
  <c r="C104" i="50"/>
  <c r="C105" i="50"/>
  <c r="C106" i="50"/>
  <c r="C108" i="50"/>
  <c r="C109" i="50"/>
  <c r="C110" i="50"/>
  <c r="C111" i="50"/>
  <c r="C112" i="50"/>
  <c r="C113" i="50"/>
  <c r="C114" i="50"/>
  <c r="C115" i="50"/>
  <c r="C116" i="50"/>
  <c r="C117" i="50"/>
  <c r="C118" i="50"/>
  <c r="C119" i="50"/>
  <c r="C120" i="50"/>
  <c r="C121" i="50"/>
  <c r="C122" i="50"/>
  <c r="C123" i="50"/>
  <c r="C124" i="50"/>
  <c r="C126" i="50"/>
  <c r="C127" i="50"/>
  <c r="C128" i="50"/>
  <c r="C129" i="50"/>
  <c r="C130" i="50"/>
  <c r="C131" i="50"/>
  <c r="C132" i="50"/>
  <c r="C133" i="50"/>
  <c r="C134" i="50"/>
  <c r="C135" i="50"/>
  <c r="C136" i="50"/>
  <c r="C137" i="50"/>
  <c r="C138" i="50"/>
  <c r="C139" i="50"/>
  <c r="C140" i="50"/>
  <c r="C141" i="50"/>
  <c r="C142" i="50"/>
  <c r="C144" i="50"/>
  <c r="C145" i="50"/>
  <c r="C146" i="50"/>
  <c r="C147" i="50"/>
  <c r="C148" i="50"/>
  <c r="C149" i="50"/>
  <c r="C150" i="50"/>
  <c r="C151" i="50"/>
  <c r="C152" i="50"/>
  <c r="C153" i="50"/>
  <c r="C154" i="50"/>
  <c r="C155" i="50"/>
  <c r="C156" i="50"/>
  <c r="C157" i="50"/>
  <c r="C158" i="50"/>
  <c r="C159" i="50"/>
  <c r="C160" i="50"/>
  <c r="C162" i="50"/>
  <c r="C163" i="50"/>
  <c r="C164" i="50"/>
  <c r="C165" i="50"/>
  <c r="C166" i="50"/>
  <c r="C167" i="50"/>
  <c r="C168" i="50"/>
  <c r="C169" i="50"/>
  <c r="C170" i="50"/>
  <c r="C171" i="50"/>
  <c r="C172" i="50"/>
  <c r="C173" i="50"/>
  <c r="C174" i="50"/>
  <c r="C175" i="50"/>
  <c r="C176" i="50"/>
  <c r="C177" i="50"/>
  <c r="C178" i="50"/>
  <c r="C180" i="50"/>
  <c r="C181" i="50"/>
  <c r="C182" i="50"/>
  <c r="C183" i="50"/>
  <c r="C184" i="50"/>
  <c r="C185" i="50"/>
  <c r="C186" i="50"/>
  <c r="C187" i="50"/>
  <c r="C188" i="50"/>
  <c r="C189" i="50"/>
  <c r="C190" i="50"/>
  <c r="C191" i="50"/>
  <c r="C192" i="50"/>
  <c r="C193" i="50"/>
  <c r="C194" i="50"/>
  <c r="C195" i="50"/>
  <c r="C196" i="50"/>
  <c r="C198" i="50"/>
  <c r="C199" i="50"/>
  <c r="C200" i="50"/>
  <c r="C201" i="50"/>
  <c r="C202" i="50"/>
  <c r="C203" i="50"/>
  <c r="C204" i="50"/>
  <c r="C205" i="50"/>
  <c r="C206" i="50"/>
  <c r="C207" i="50"/>
  <c r="C208" i="50"/>
  <c r="C209" i="50"/>
  <c r="C210" i="50"/>
  <c r="C211" i="50"/>
  <c r="C212" i="50"/>
  <c r="C213" i="50"/>
  <c r="C214" i="50"/>
  <c r="C216" i="50"/>
  <c r="C217" i="50"/>
  <c r="C218" i="50"/>
  <c r="C219" i="50"/>
  <c r="C220" i="50"/>
  <c r="C221" i="50"/>
  <c r="C222" i="50"/>
  <c r="C223" i="50"/>
  <c r="C224" i="50"/>
  <c r="C225" i="50"/>
  <c r="C226" i="50"/>
  <c r="C227" i="50"/>
  <c r="C228" i="50"/>
  <c r="C229" i="50"/>
  <c r="C230" i="50"/>
  <c r="C231" i="50"/>
  <c r="D24" i="50"/>
  <c r="E24" i="50"/>
  <c r="F24" i="50"/>
  <c r="G24" i="50"/>
  <c r="I24" i="50"/>
  <c r="J24" i="50"/>
  <c r="L24" i="50"/>
  <c r="N24" i="50"/>
  <c r="O24" i="50"/>
  <c r="P24" i="50"/>
  <c r="R24" i="50"/>
  <c r="S24" i="50"/>
  <c r="T24" i="50"/>
  <c r="D25" i="50"/>
  <c r="E25" i="50"/>
  <c r="F25" i="50"/>
  <c r="G25" i="50"/>
  <c r="I25" i="50"/>
  <c r="J25" i="50"/>
  <c r="L25" i="50"/>
  <c r="N25" i="50"/>
  <c r="O25" i="50"/>
  <c r="P25" i="50"/>
  <c r="R25" i="50"/>
  <c r="S25" i="50"/>
  <c r="T25" i="50"/>
  <c r="D26" i="50"/>
  <c r="E26" i="50"/>
  <c r="F26" i="50"/>
  <c r="G26" i="50"/>
  <c r="I26" i="50"/>
  <c r="J26" i="50"/>
  <c r="L26" i="50"/>
  <c r="N26" i="50"/>
  <c r="O26" i="50"/>
  <c r="P26" i="50"/>
  <c r="R26" i="50"/>
  <c r="S26" i="50"/>
  <c r="T26" i="50"/>
  <c r="U26" i="50"/>
  <c r="D27" i="50"/>
  <c r="E27" i="50"/>
  <c r="F27" i="50"/>
  <c r="G27" i="50"/>
  <c r="I27" i="50"/>
  <c r="J27" i="50"/>
  <c r="L27" i="50"/>
  <c r="N27" i="50"/>
  <c r="O27" i="50"/>
  <c r="P27" i="50"/>
  <c r="R27" i="50"/>
  <c r="S27" i="50"/>
  <c r="T27" i="50"/>
  <c r="U27" i="50"/>
  <c r="D28" i="50"/>
  <c r="E28" i="50"/>
  <c r="F28" i="50"/>
  <c r="G28" i="50"/>
  <c r="I28" i="50"/>
  <c r="J28" i="50"/>
  <c r="L28" i="50"/>
  <c r="N28" i="50"/>
  <c r="O28" i="50"/>
  <c r="P28" i="50"/>
  <c r="R28" i="50"/>
  <c r="S28" i="50"/>
  <c r="T28" i="50"/>
  <c r="U28" i="50"/>
  <c r="D29" i="50"/>
  <c r="E29" i="50"/>
  <c r="F29" i="50"/>
  <c r="G29" i="50"/>
  <c r="I29" i="50"/>
  <c r="J29" i="50"/>
  <c r="L29" i="50"/>
  <c r="N29" i="50"/>
  <c r="O29" i="50"/>
  <c r="P29" i="50"/>
  <c r="R29" i="50"/>
  <c r="S29" i="50"/>
  <c r="T29" i="50"/>
  <c r="U29" i="50"/>
  <c r="D30" i="50"/>
  <c r="E30" i="50"/>
  <c r="F30" i="50"/>
  <c r="G30" i="50"/>
  <c r="I30" i="50"/>
  <c r="J30" i="50"/>
  <c r="L30" i="50"/>
  <c r="N30" i="50"/>
  <c r="O30" i="50"/>
  <c r="P30" i="50"/>
  <c r="R30" i="50"/>
  <c r="S30" i="50"/>
  <c r="T30" i="50"/>
  <c r="U30" i="50"/>
  <c r="D31" i="50"/>
  <c r="E31" i="50"/>
  <c r="F31" i="50"/>
  <c r="G31" i="50"/>
  <c r="I31" i="50"/>
  <c r="J31" i="50"/>
  <c r="L31" i="50"/>
  <c r="N31" i="50"/>
  <c r="O31" i="50"/>
  <c r="P31" i="50"/>
  <c r="R31" i="50"/>
  <c r="S31" i="50"/>
  <c r="T31" i="50"/>
  <c r="U31" i="50"/>
  <c r="D32" i="50"/>
  <c r="E32" i="50"/>
  <c r="F32" i="50"/>
  <c r="G32" i="50"/>
  <c r="I32" i="50"/>
  <c r="J32" i="50"/>
  <c r="L32" i="50"/>
  <c r="N32" i="50"/>
  <c r="O32" i="50"/>
  <c r="P32" i="50"/>
  <c r="R32" i="50"/>
  <c r="S32" i="50"/>
  <c r="T32" i="50"/>
  <c r="U32" i="50"/>
  <c r="D33" i="50"/>
  <c r="E33" i="50"/>
  <c r="F33" i="50"/>
  <c r="G33" i="50"/>
  <c r="I33" i="50"/>
  <c r="J33" i="50"/>
  <c r="L33" i="50"/>
  <c r="N33" i="50"/>
  <c r="O33" i="50"/>
  <c r="P33" i="50"/>
  <c r="R33" i="50"/>
  <c r="S33" i="50"/>
  <c r="T33" i="50"/>
  <c r="U33" i="50"/>
  <c r="D34" i="50"/>
  <c r="E34" i="50"/>
  <c r="F34" i="50"/>
  <c r="G34" i="50"/>
  <c r="I34" i="50"/>
  <c r="J34" i="50"/>
  <c r="L34" i="50"/>
  <c r="N34" i="50"/>
  <c r="O34" i="50"/>
  <c r="P34" i="50"/>
  <c r="R34" i="50"/>
  <c r="S34" i="50"/>
  <c r="T34" i="50"/>
  <c r="U34" i="50"/>
  <c r="D35" i="50"/>
  <c r="E35" i="50"/>
  <c r="F35" i="50"/>
  <c r="G35" i="50"/>
  <c r="I35" i="50"/>
  <c r="J35" i="50"/>
  <c r="L35" i="50"/>
  <c r="N35" i="50"/>
  <c r="O35" i="50"/>
  <c r="P35" i="50"/>
  <c r="R35" i="50"/>
  <c r="S35" i="50"/>
  <c r="T35" i="50"/>
  <c r="U35" i="50"/>
  <c r="D36" i="50"/>
  <c r="E36" i="50"/>
  <c r="F36" i="50"/>
  <c r="G36" i="50"/>
  <c r="I36" i="50"/>
  <c r="J36" i="50"/>
  <c r="L36" i="50"/>
  <c r="N36" i="50"/>
  <c r="O36" i="50"/>
  <c r="P36" i="50"/>
  <c r="R36" i="50"/>
  <c r="S36" i="50"/>
  <c r="T36" i="50"/>
  <c r="U36" i="50"/>
  <c r="D37" i="50"/>
  <c r="E37" i="50"/>
  <c r="F37" i="50"/>
  <c r="G37" i="50"/>
  <c r="I37" i="50"/>
  <c r="J37" i="50"/>
  <c r="L37" i="50"/>
  <c r="N37" i="50"/>
  <c r="O37" i="50"/>
  <c r="P37" i="50"/>
  <c r="R37" i="50"/>
  <c r="S37" i="50"/>
  <c r="T37" i="50"/>
  <c r="U37" i="50"/>
  <c r="D38" i="50"/>
  <c r="E38" i="50"/>
  <c r="F38" i="50"/>
  <c r="G38" i="50"/>
  <c r="I38" i="50"/>
  <c r="J38" i="50"/>
  <c r="L38" i="50"/>
  <c r="N38" i="50"/>
  <c r="O38" i="50"/>
  <c r="P38" i="50"/>
  <c r="R38" i="50"/>
  <c r="S38" i="50"/>
  <c r="T38" i="50"/>
  <c r="U38" i="50"/>
  <c r="D39" i="50"/>
  <c r="E39" i="50"/>
  <c r="F39" i="50"/>
  <c r="G39" i="50"/>
  <c r="I39" i="50"/>
  <c r="J39" i="50"/>
  <c r="L39" i="50"/>
  <c r="N39" i="50"/>
  <c r="O39" i="50"/>
  <c r="P39" i="50"/>
  <c r="R39" i="50"/>
  <c r="S39" i="50"/>
  <c r="T39" i="50"/>
  <c r="U39" i="50"/>
  <c r="D40" i="50"/>
  <c r="E40" i="50"/>
  <c r="F40" i="50"/>
  <c r="G40" i="50"/>
  <c r="I40" i="50"/>
  <c r="J40" i="50"/>
  <c r="L40" i="50"/>
  <c r="N40" i="50"/>
  <c r="O40" i="50"/>
  <c r="P40" i="50"/>
  <c r="R40" i="50"/>
  <c r="S40" i="50"/>
  <c r="T40" i="50"/>
  <c r="U40" i="50"/>
  <c r="D42" i="50"/>
  <c r="E42" i="50"/>
  <c r="F42" i="50"/>
  <c r="G42" i="50"/>
  <c r="I42" i="50"/>
  <c r="J42" i="50"/>
  <c r="L42" i="50"/>
  <c r="N42" i="50"/>
  <c r="O42" i="50"/>
  <c r="P42" i="50"/>
  <c r="Q42" i="50"/>
  <c r="T42" i="50"/>
  <c r="U42" i="50"/>
  <c r="D43" i="50"/>
  <c r="E43" i="50"/>
  <c r="F43" i="50"/>
  <c r="G43" i="50"/>
  <c r="I43" i="50"/>
  <c r="J43" i="50"/>
  <c r="L43" i="50"/>
  <c r="N43" i="50"/>
  <c r="O43" i="50"/>
  <c r="P43" i="50"/>
  <c r="Q43" i="50"/>
  <c r="T43" i="50"/>
  <c r="U43" i="50"/>
  <c r="D74" i="50"/>
  <c r="E74" i="50"/>
  <c r="F74" i="50"/>
  <c r="G74" i="50"/>
  <c r="I74" i="50"/>
  <c r="J74" i="50"/>
  <c r="L74" i="50"/>
  <c r="N74" i="50"/>
  <c r="O74" i="50"/>
  <c r="P74" i="50"/>
  <c r="Q74" i="50"/>
  <c r="T74" i="50"/>
  <c r="U74" i="50"/>
  <c r="D75" i="50"/>
  <c r="E75" i="50"/>
  <c r="F75" i="50"/>
  <c r="G75" i="50"/>
  <c r="I75" i="50"/>
  <c r="J75" i="50"/>
  <c r="L75" i="50"/>
  <c r="N75" i="50"/>
  <c r="O75" i="50"/>
  <c r="P75" i="50"/>
  <c r="Q75" i="50"/>
  <c r="T75" i="50"/>
  <c r="U75" i="50"/>
  <c r="D76" i="50"/>
  <c r="E76" i="50"/>
  <c r="F76" i="50"/>
  <c r="G76" i="50"/>
  <c r="I76" i="50"/>
  <c r="J76" i="50"/>
  <c r="L76" i="50"/>
  <c r="N76" i="50"/>
  <c r="O76" i="50"/>
  <c r="P76" i="50"/>
  <c r="Q76" i="50"/>
  <c r="T76" i="50"/>
  <c r="U76" i="50"/>
  <c r="D77" i="50"/>
  <c r="E77" i="50"/>
  <c r="F77" i="50"/>
  <c r="G77" i="50"/>
  <c r="I77" i="50"/>
  <c r="J77" i="50"/>
  <c r="L77" i="50"/>
  <c r="N77" i="50"/>
  <c r="O77" i="50"/>
  <c r="P77" i="50"/>
  <c r="Q77" i="50"/>
  <c r="T77" i="50"/>
  <c r="U77" i="50"/>
  <c r="D78" i="50"/>
  <c r="E78" i="50"/>
  <c r="F78" i="50"/>
  <c r="G78" i="50"/>
  <c r="I78" i="50"/>
  <c r="J78" i="50"/>
  <c r="L78" i="50"/>
  <c r="N78" i="50"/>
  <c r="O78" i="50"/>
  <c r="P78" i="50"/>
  <c r="Q78" i="50"/>
  <c r="T78" i="50"/>
  <c r="U78" i="50"/>
  <c r="D79" i="50"/>
  <c r="E79" i="50"/>
  <c r="F79" i="50"/>
  <c r="G79" i="50"/>
  <c r="I79" i="50"/>
  <c r="J79" i="50"/>
  <c r="L79" i="50"/>
  <c r="N79" i="50"/>
  <c r="O79" i="50"/>
  <c r="P79" i="50"/>
  <c r="Q79" i="50"/>
  <c r="T79" i="50"/>
  <c r="U79" i="50"/>
  <c r="D80" i="50"/>
  <c r="E80" i="50"/>
  <c r="F80" i="50"/>
  <c r="G80" i="50"/>
  <c r="I80" i="50"/>
  <c r="J80" i="50"/>
  <c r="L80" i="50"/>
  <c r="N80" i="50"/>
  <c r="O80" i="50"/>
  <c r="P80" i="50"/>
  <c r="Q80" i="50"/>
  <c r="T80" i="50"/>
  <c r="U80" i="50"/>
  <c r="D81" i="50"/>
  <c r="E81" i="50"/>
  <c r="F81" i="50"/>
  <c r="G81" i="50"/>
  <c r="I81" i="50"/>
  <c r="J81" i="50"/>
  <c r="L81" i="50"/>
  <c r="N81" i="50"/>
  <c r="O81" i="50"/>
  <c r="P81" i="50"/>
  <c r="Q81" i="50"/>
  <c r="T81" i="50"/>
  <c r="U81" i="50"/>
  <c r="D82" i="50"/>
  <c r="E82" i="50"/>
  <c r="F82" i="50"/>
  <c r="G82" i="50"/>
  <c r="I82" i="50"/>
  <c r="J82" i="50"/>
  <c r="L82" i="50"/>
  <c r="N82" i="50"/>
  <c r="O82" i="50"/>
  <c r="P82" i="50"/>
  <c r="Q82" i="50"/>
  <c r="T82" i="50"/>
  <c r="U82" i="50"/>
  <c r="D83" i="50"/>
  <c r="E83" i="50"/>
  <c r="F83" i="50"/>
  <c r="G83" i="50"/>
  <c r="I83" i="50"/>
  <c r="J83" i="50"/>
  <c r="L83" i="50"/>
  <c r="N83" i="50"/>
  <c r="O83" i="50"/>
  <c r="P83" i="50"/>
  <c r="Q83" i="50"/>
  <c r="T83" i="50"/>
  <c r="U83" i="50"/>
  <c r="D84" i="50"/>
  <c r="E84" i="50"/>
  <c r="F84" i="50"/>
  <c r="G84" i="50"/>
  <c r="I84" i="50"/>
  <c r="J84" i="50"/>
  <c r="L84" i="50"/>
  <c r="N84" i="50"/>
  <c r="O84" i="50"/>
  <c r="P84" i="50"/>
  <c r="Q84" i="50"/>
  <c r="T84" i="50"/>
  <c r="U84" i="50"/>
  <c r="D85" i="50"/>
  <c r="E85" i="50"/>
  <c r="F85" i="50"/>
  <c r="G85" i="50"/>
  <c r="I85" i="50"/>
  <c r="J85" i="50"/>
  <c r="L85" i="50"/>
  <c r="N85" i="50"/>
  <c r="O85" i="50"/>
  <c r="P85" i="50"/>
  <c r="Q85" i="50"/>
  <c r="T85" i="50"/>
  <c r="U85" i="50"/>
  <c r="D86" i="50"/>
  <c r="E86" i="50"/>
  <c r="F86" i="50"/>
  <c r="G86" i="50"/>
  <c r="I86" i="50"/>
  <c r="J86" i="50"/>
  <c r="L86" i="50"/>
  <c r="N86" i="50"/>
  <c r="O86" i="50"/>
  <c r="P86" i="50"/>
  <c r="Q86" i="50"/>
  <c r="T86" i="50"/>
  <c r="U86" i="50"/>
  <c r="D87" i="50"/>
  <c r="E87" i="50"/>
  <c r="F87" i="50"/>
  <c r="G87" i="50"/>
  <c r="I87" i="50"/>
  <c r="J87" i="50"/>
  <c r="L87" i="50"/>
  <c r="N87" i="50"/>
  <c r="O87" i="50"/>
  <c r="P87" i="50"/>
  <c r="Q87" i="50"/>
  <c r="T87" i="50"/>
  <c r="U87" i="50"/>
  <c r="D88" i="50"/>
  <c r="E88" i="50"/>
  <c r="F88" i="50"/>
  <c r="G88" i="50"/>
  <c r="I88" i="50"/>
  <c r="J88" i="50"/>
  <c r="L88" i="50"/>
  <c r="N88" i="50"/>
  <c r="O88" i="50"/>
  <c r="P88" i="50"/>
  <c r="Q88" i="50"/>
  <c r="T88" i="50"/>
  <c r="U88" i="50"/>
  <c r="D90" i="50"/>
  <c r="E90" i="50"/>
  <c r="F90" i="50"/>
  <c r="G90" i="50"/>
  <c r="I90" i="50"/>
  <c r="J90" i="50"/>
  <c r="L90" i="50"/>
  <c r="N90" i="50"/>
  <c r="O90" i="50"/>
  <c r="P90" i="50"/>
  <c r="Q90" i="50"/>
  <c r="R90" i="50"/>
  <c r="T90" i="50"/>
  <c r="D91" i="50"/>
  <c r="E91" i="50"/>
  <c r="F91" i="50"/>
  <c r="G91" i="50"/>
  <c r="I91" i="50"/>
  <c r="J91" i="50"/>
  <c r="L91" i="50"/>
  <c r="N91" i="50"/>
  <c r="O91" i="50"/>
  <c r="P91" i="50"/>
  <c r="Q91" i="50"/>
  <c r="R91" i="50"/>
  <c r="T91" i="50"/>
  <c r="D92" i="50"/>
  <c r="E92" i="50"/>
  <c r="F92" i="50"/>
  <c r="G92" i="50"/>
  <c r="I92" i="50"/>
  <c r="J92" i="50"/>
  <c r="L92" i="50"/>
  <c r="N92" i="50"/>
  <c r="O92" i="50"/>
  <c r="P92" i="50"/>
  <c r="Q92" i="50"/>
  <c r="R92" i="50"/>
  <c r="T92" i="50"/>
  <c r="D93" i="50"/>
  <c r="E93" i="50"/>
  <c r="F93" i="50"/>
  <c r="G93" i="50"/>
  <c r="I93" i="50"/>
  <c r="J93" i="50"/>
  <c r="L93" i="50"/>
  <c r="N93" i="50"/>
  <c r="O93" i="50"/>
  <c r="P93" i="50"/>
  <c r="Q93" i="50"/>
  <c r="R93" i="50"/>
  <c r="T93" i="50"/>
  <c r="D94" i="50"/>
  <c r="E94" i="50"/>
  <c r="F94" i="50"/>
  <c r="G94" i="50"/>
  <c r="I94" i="50"/>
  <c r="J94" i="50"/>
  <c r="L94" i="50"/>
  <c r="N94" i="50"/>
  <c r="O94" i="50"/>
  <c r="P94" i="50"/>
  <c r="Q94" i="50"/>
  <c r="R94" i="50"/>
  <c r="T94" i="50"/>
  <c r="D95" i="50"/>
  <c r="E95" i="50"/>
  <c r="F95" i="50"/>
  <c r="G95" i="50"/>
  <c r="I95" i="50"/>
  <c r="J95" i="50"/>
  <c r="L95" i="50"/>
  <c r="N95" i="50"/>
  <c r="O95" i="50"/>
  <c r="P95" i="50"/>
  <c r="Q95" i="50"/>
  <c r="R95" i="50"/>
  <c r="T95" i="50"/>
  <c r="D96" i="50"/>
  <c r="E96" i="50"/>
  <c r="F96" i="50"/>
  <c r="G96" i="50"/>
  <c r="I96" i="50"/>
  <c r="J96" i="50"/>
  <c r="L96" i="50"/>
  <c r="N96" i="50"/>
  <c r="O96" i="50"/>
  <c r="P96" i="50"/>
  <c r="Q96" i="50"/>
  <c r="R96" i="50"/>
  <c r="T96" i="50"/>
  <c r="D97" i="50"/>
  <c r="E97" i="50"/>
  <c r="F97" i="50"/>
  <c r="G97" i="50"/>
  <c r="I97" i="50"/>
  <c r="J97" i="50"/>
  <c r="L97" i="50"/>
  <c r="N97" i="50"/>
  <c r="O97" i="50"/>
  <c r="P97" i="50"/>
  <c r="Q97" i="50"/>
  <c r="R97" i="50"/>
  <c r="T97" i="50"/>
  <c r="D98" i="50"/>
  <c r="E98" i="50"/>
  <c r="F98" i="50"/>
  <c r="G98" i="50"/>
  <c r="I98" i="50"/>
  <c r="J98" i="50"/>
  <c r="L98" i="50"/>
  <c r="N98" i="50"/>
  <c r="O98" i="50"/>
  <c r="P98" i="50"/>
  <c r="Q98" i="50"/>
  <c r="R98" i="50"/>
  <c r="T98" i="50"/>
  <c r="D99" i="50"/>
  <c r="E99" i="50"/>
  <c r="F99" i="50"/>
  <c r="G99" i="50"/>
  <c r="I99" i="50"/>
  <c r="J99" i="50"/>
  <c r="L99" i="50"/>
  <c r="N99" i="50"/>
  <c r="O99" i="50"/>
  <c r="P99" i="50"/>
  <c r="Q99" i="50"/>
  <c r="R99" i="50"/>
  <c r="T99" i="50"/>
  <c r="D100" i="50"/>
  <c r="E100" i="50"/>
  <c r="F100" i="50"/>
  <c r="G100" i="50"/>
  <c r="I100" i="50"/>
  <c r="J100" i="50"/>
  <c r="L100" i="50"/>
  <c r="N100" i="50"/>
  <c r="O100" i="50"/>
  <c r="P100" i="50"/>
  <c r="Q100" i="50"/>
  <c r="R100" i="50"/>
  <c r="T100" i="50"/>
  <c r="D101" i="50"/>
  <c r="E101" i="50"/>
  <c r="F101" i="50"/>
  <c r="G101" i="50"/>
  <c r="I101" i="50"/>
  <c r="J101" i="50"/>
  <c r="L101" i="50"/>
  <c r="N101" i="50"/>
  <c r="O101" i="50"/>
  <c r="P101" i="50"/>
  <c r="Q101" i="50"/>
  <c r="R101" i="50"/>
  <c r="T101" i="50"/>
  <c r="D102" i="50"/>
  <c r="E102" i="50"/>
  <c r="F102" i="50"/>
  <c r="G102" i="50"/>
  <c r="I102" i="50"/>
  <c r="J102" i="50"/>
  <c r="L102" i="50"/>
  <c r="N102" i="50"/>
  <c r="O102" i="50"/>
  <c r="P102" i="50"/>
  <c r="Q102" i="50"/>
  <c r="R102" i="50"/>
  <c r="T102" i="50"/>
  <c r="D103" i="50"/>
  <c r="E103" i="50"/>
  <c r="F103" i="50"/>
  <c r="G103" i="50"/>
  <c r="I103" i="50"/>
  <c r="J103" i="50"/>
  <c r="L103" i="50"/>
  <c r="N103" i="50"/>
  <c r="O103" i="50"/>
  <c r="P103" i="50"/>
  <c r="Q103" i="50"/>
  <c r="R103" i="50"/>
  <c r="T103" i="50"/>
  <c r="D104" i="50"/>
  <c r="E104" i="50"/>
  <c r="F104" i="50"/>
  <c r="G104" i="50"/>
  <c r="I104" i="50"/>
  <c r="J104" i="50"/>
  <c r="L104" i="50"/>
  <c r="N104" i="50"/>
  <c r="O104" i="50"/>
  <c r="P104" i="50"/>
  <c r="Q104" i="50"/>
  <c r="R104" i="50"/>
  <c r="T104" i="50"/>
  <c r="D105" i="50"/>
  <c r="E105" i="50"/>
  <c r="F105" i="50"/>
  <c r="G105" i="50"/>
  <c r="I105" i="50"/>
  <c r="J105" i="50"/>
  <c r="L105" i="50"/>
  <c r="N105" i="50"/>
  <c r="O105" i="50"/>
  <c r="P105" i="50"/>
  <c r="Q105" i="50"/>
  <c r="R105" i="50"/>
  <c r="T105" i="50"/>
  <c r="D106" i="50"/>
  <c r="E106" i="50"/>
  <c r="F106" i="50"/>
  <c r="G106" i="50"/>
  <c r="I106" i="50"/>
  <c r="J106" i="50"/>
  <c r="L106" i="50"/>
  <c r="N106" i="50"/>
  <c r="O106" i="50"/>
  <c r="P106" i="50"/>
  <c r="Q106" i="50"/>
  <c r="R106" i="50"/>
  <c r="T106" i="50"/>
  <c r="D108" i="50"/>
  <c r="E108" i="50"/>
  <c r="F108" i="50"/>
  <c r="G108" i="50"/>
  <c r="I108" i="50"/>
  <c r="J108" i="50"/>
  <c r="L108" i="50"/>
  <c r="N108" i="50"/>
  <c r="O108" i="50"/>
  <c r="P108" i="50"/>
  <c r="Q108" i="50"/>
  <c r="S108" i="50"/>
  <c r="U108" i="50"/>
  <c r="D109" i="50"/>
  <c r="E109" i="50"/>
  <c r="F109" i="50"/>
  <c r="G109" i="50"/>
  <c r="I109" i="50"/>
  <c r="J109" i="50"/>
  <c r="L109" i="50"/>
  <c r="N109" i="50"/>
  <c r="O109" i="50"/>
  <c r="P109" i="50"/>
  <c r="Q109" i="50"/>
  <c r="S109" i="50"/>
  <c r="U109" i="50"/>
  <c r="D110" i="50"/>
  <c r="E110" i="50"/>
  <c r="F110" i="50"/>
  <c r="G110" i="50"/>
  <c r="I110" i="50"/>
  <c r="J110" i="50"/>
  <c r="L110" i="50"/>
  <c r="N110" i="50"/>
  <c r="O110" i="50"/>
  <c r="P110" i="50"/>
  <c r="Q110" i="50"/>
  <c r="S110" i="50"/>
  <c r="U110" i="50"/>
  <c r="D111" i="50"/>
  <c r="E111" i="50"/>
  <c r="F111" i="50"/>
  <c r="G111" i="50"/>
  <c r="I111" i="50"/>
  <c r="J111" i="50"/>
  <c r="L111" i="50"/>
  <c r="N111" i="50"/>
  <c r="O111" i="50"/>
  <c r="P111" i="50"/>
  <c r="Q111" i="50"/>
  <c r="S111" i="50"/>
  <c r="U111" i="50"/>
  <c r="D112" i="50"/>
  <c r="E112" i="50"/>
  <c r="F112" i="50"/>
  <c r="G112" i="50"/>
  <c r="I112" i="50"/>
  <c r="J112" i="50"/>
  <c r="L112" i="50"/>
  <c r="N112" i="50"/>
  <c r="O112" i="50"/>
  <c r="P112" i="50"/>
  <c r="S112" i="50"/>
  <c r="U112" i="50"/>
  <c r="D113" i="50"/>
  <c r="E113" i="50"/>
  <c r="F113" i="50"/>
  <c r="G113" i="50"/>
  <c r="I113" i="50"/>
  <c r="J113" i="50"/>
  <c r="L113" i="50"/>
  <c r="N113" i="50"/>
  <c r="O113" i="50"/>
  <c r="P113" i="50"/>
  <c r="S113" i="50"/>
  <c r="U113" i="50"/>
  <c r="D114" i="50"/>
  <c r="E114" i="50"/>
  <c r="F114" i="50"/>
  <c r="G114" i="50"/>
  <c r="I114" i="50"/>
  <c r="J114" i="50"/>
  <c r="L114" i="50"/>
  <c r="N114" i="50"/>
  <c r="O114" i="50"/>
  <c r="P114" i="50"/>
  <c r="S114" i="50"/>
  <c r="U114" i="50"/>
  <c r="D115" i="50"/>
  <c r="E115" i="50"/>
  <c r="F115" i="50"/>
  <c r="G115" i="50"/>
  <c r="I115" i="50"/>
  <c r="J115" i="50"/>
  <c r="L115" i="50"/>
  <c r="N115" i="50"/>
  <c r="O115" i="50"/>
  <c r="P115" i="50"/>
  <c r="S115" i="50"/>
  <c r="U115" i="50"/>
  <c r="D116" i="50"/>
  <c r="E116" i="50"/>
  <c r="F116" i="50"/>
  <c r="G116" i="50"/>
  <c r="I116" i="50"/>
  <c r="J116" i="50"/>
  <c r="L116" i="50"/>
  <c r="N116" i="50"/>
  <c r="O116" i="50"/>
  <c r="P116" i="50"/>
  <c r="S116" i="50"/>
  <c r="U116" i="50"/>
  <c r="D117" i="50"/>
  <c r="E117" i="50"/>
  <c r="F117" i="50"/>
  <c r="G117" i="50"/>
  <c r="I117" i="50"/>
  <c r="J117" i="50"/>
  <c r="L117" i="50"/>
  <c r="N117" i="50"/>
  <c r="O117" i="50"/>
  <c r="P117" i="50"/>
  <c r="S117" i="50"/>
  <c r="U117" i="50"/>
  <c r="D118" i="50"/>
  <c r="E118" i="50"/>
  <c r="F118" i="50"/>
  <c r="G118" i="50"/>
  <c r="I118" i="50"/>
  <c r="J118" i="50"/>
  <c r="L118" i="50"/>
  <c r="N118" i="50"/>
  <c r="O118" i="50"/>
  <c r="P118" i="50"/>
  <c r="Q118" i="50"/>
  <c r="S118" i="50"/>
  <c r="U118" i="50"/>
  <c r="D119" i="50"/>
  <c r="E119" i="50"/>
  <c r="F119" i="50"/>
  <c r="G119" i="50"/>
  <c r="I119" i="50"/>
  <c r="J119" i="50"/>
  <c r="L119" i="50"/>
  <c r="N119" i="50"/>
  <c r="O119" i="50"/>
  <c r="P119" i="50"/>
  <c r="Q119" i="50"/>
  <c r="S119" i="50"/>
  <c r="U119" i="50"/>
  <c r="D120" i="50"/>
  <c r="E120" i="50"/>
  <c r="F120" i="50"/>
  <c r="G120" i="50"/>
  <c r="I120" i="50"/>
  <c r="J120" i="50"/>
  <c r="L120" i="50"/>
  <c r="N120" i="50"/>
  <c r="O120" i="50"/>
  <c r="P120" i="50"/>
  <c r="Q120" i="50"/>
  <c r="S120" i="50"/>
  <c r="U120" i="50"/>
  <c r="D121" i="50"/>
  <c r="E121" i="50"/>
  <c r="F121" i="50"/>
  <c r="G121" i="50"/>
  <c r="I121" i="50"/>
  <c r="J121" i="50"/>
  <c r="L121" i="50"/>
  <c r="N121" i="50"/>
  <c r="O121" i="50"/>
  <c r="P121" i="50"/>
  <c r="Q121" i="50"/>
  <c r="S121" i="50"/>
  <c r="U121" i="50"/>
  <c r="D122" i="50"/>
  <c r="E122" i="50"/>
  <c r="F122" i="50"/>
  <c r="G122" i="50"/>
  <c r="I122" i="50"/>
  <c r="J122" i="50"/>
  <c r="L122" i="50"/>
  <c r="N122" i="50"/>
  <c r="O122" i="50"/>
  <c r="P122" i="50"/>
  <c r="Q122" i="50"/>
  <c r="S122" i="50"/>
  <c r="U122" i="50"/>
  <c r="D123" i="50"/>
  <c r="E123" i="50"/>
  <c r="F123" i="50"/>
  <c r="G123" i="50"/>
  <c r="I123" i="50"/>
  <c r="J123" i="50"/>
  <c r="L123" i="50"/>
  <c r="N123" i="50"/>
  <c r="O123" i="50"/>
  <c r="P123" i="50"/>
  <c r="Q123" i="50"/>
  <c r="S123" i="50"/>
  <c r="U123" i="50"/>
  <c r="D124" i="50"/>
  <c r="E124" i="50"/>
  <c r="F124" i="50"/>
  <c r="G124" i="50"/>
  <c r="I124" i="50"/>
  <c r="J124" i="50"/>
  <c r="L124" i="50"/>
  <c r="N124" i="50"/>
  <c r="O124" i="50"/>
  <c r="P124" i="50"/>
  <c r="Q124" i="50"/>
  <c r="S124" i="50"/>
  <c r="U124" i="50"/>
  <c r="D126" i="50"/>
  <c r="E126" i="50"/>
  <c r="F126" i="50"/>
  <c r="G126" i="50"/>
  <c r="I126" i="50"/>
  <c r="J126" i="50"/>
  <c r="L126" i="50"/>
  <c r="O126" i="50"/>
  <c r="P126" i="50"/>
  <c r="R126" i="50"/>
  <c r="S126" i="50"/>
  <c r="T126" i="50"/>
  <c r="U126" i="50"/>
  <c r="D127" i="50"/>
  <c r="E127" i="50"/>
  <c r="F127" i="50"/>
  <c r="G127" i="50"/>
  <c r="I127" i="50"/>
  <c r="J127" i="50"/>
  <c r="L127" i="50"/>
  <c r="O127" i="50"/>
  <c r="P127" i="50"/>
  <c r="Q127" i="50"/>
  <c r="R127" i="50"/>
  <c r="S127" i="50"/>
  <c r="T127" i="50"/>
  <c r="U127" i="50"/>
  <c r="D128" i="50"/>
  <c r="E128" i="50"/>
  <c r="F128" i="50"/>
  <c r="G128" i="50"/>
  <c r="I128" i="50"/>
  <c r="J128" i="50"/>
  <c r="L128" i="50"/>
  <c r="O128" i="50"/>
  <c r="P128" i="50"/>
  <c r="Q128" i="50"/>
  <c r="R128" i="50"/>
  <c r="S128" i="50"/>
  <c r="T128" i="50"/>
  <c r="U128" i="50"/>
  <c r="D129" i="50"/>
  <c r="E129" i="50"/>
  <c r="F129" i="50"/>
  <c r="G129" i="50"/>
  <c r="I129" i="50"/>
  <c r="J129" i="50"/>
  <c r="L129" i="50"/>
  <c r="O129" i="50"/>
  <c r="P129" i="50"/>
  <c r="Q129" i="50"/>
  <c r="R129" i="50"/>
  <c r="S129" i="50"/>
  <c r="T129" i="50"/>
  <c r="U129" i="50"/>
  <c r="D130" i="50"/>
  <c r="E130" i="50"/>
  <c r="F130" i="50"/>
  <c r="G130" i="50"/>
  <c r="I130" i="50"/>
  <c r="J130" i="50"/>
  <c r="L130" i="50"/>
  <c r="O130" i="50"/>
  <c r="P130" i="50"/>
  <c r="Q130" i="50"/>
  <c r="R130" i="50"/>
  <c r="S130" i="50"/>
  <c r="T130" i="50"/>
  <c r="U130" i="50"/>
  <c r="D131" i="50"/>
  <c r="E131" i="50"/>
  <c r="F131" i="50"/>
  <c r="G131" i="50"/>
  <c r="I131" i="50"/>
  <c r="J131" i="50"/>
  <c r="L131" i="50"/>
  <c r="O131" i="50"/>
  <c r="P131" i="50"/>
  <c r="Q131" i="50"/>
  <c r="R131" i="50"/>
  <c r="S131" i="50"/>
  <c r="T131" i="50"/>
  <c r="U131" i="50"/>
  <c r="D132" i="50"/>
  <c r="E132" i="50"/>
  <c r="F132" i="50"/>
  <c r="G132" i="50"/>
  <c r="I132" i="50"/>
  <c r="J132" i="50"/>
  <c r="L132" i="50"/>
  <c r="O132" i="50"/>
  <c r="P132" i="50"/>
  <c r="Q132" i="50"/>
  <c r="R132" i="50"/>
  <c r="S132" i="50"/>
  <c r="T132" i="50"/>
  <c r="U132" i="50"/>
  <c r="D133" i="50"/>
  <c r="E133" i="50"/>
  <c r="F133" i="50"/>
  <c r="G133" i="50"/>
  <c r="I133" i="50"/>
  <c r="J133" i="50"/>
  <c r="L133" i="50"/>
  <c r="O133" i="50"/>
  <c r="P133" i="50"/>
  <c r="R133" i="50"/>
  <c r="S133" i="50"/>
  <c r="T133" i="50"/>
  <c r="U133" i="50"/>
  <c r="D134" i="50"/>
  <c r="E134" i="50"/>
  <c r="F134" i="50"/>
  <c r="G134" i="50"/>
  <c r="I134" i="50"/>
  <c r="J134" i="50"/>
  <c r="L134" i="50"/>
  <c r="O134" i="50"/>
  <c r="P134" i="50"/>
  <c r="Q134" i="50"/>
  <c r="R134" i="50"/>
  <c r="S134" i="50"/>
  <c r="T134" i="50"/>
  <c r="U134" i="50"/>
  <c r="D135" i="50"/>
  <c r="E135" i="50"/>
  <c r="F135" i="50"/>
  <c r="G135" i="50"/>
  <c r="I135" i="50"/>
  <c r="J135" i="50"/>
  <c r="L135" i="50"/>
  <c r="O135" i="50"/>
  <c r="P135" i="50"/>
  <c r="Q135" i="50"/>
  <c r="R135" i="50"/>
  <c r="S135" i="50"/>
  <c r="T135" i="50"/>
  <c r="U135" i="50"/>
  <c r="D136" i="50"/>
  <c r="E136" i="50"/>
  <c r="F136" i="50"/>
  <c r="G136" i="50"/>
  <c r="I136" i="50"/>
  <c r="J136" i="50"/>
  <c r="L136" i="50"/>
  <c r="O136" i="50"/>
  <c r="P136" i="50"/>
  <c r="R136" i="50"/>
  <c r="S136" i="50"/>
  <c r="T136" i="50"/>
  <c r="U136" i="50"/>
  <c r="D137" i="50"/>
  <c r="E137" i="50"/>
  <c r="F137" i="50"/>
  <c r="G137" i="50"/>
  <c r="I137" i="50"/>
  <c r="J137" i="50"/>
  <c r="L137" i="50"/>
  <c r="O137" i="50"/>
  <c r="P137" i="50"/>
  <c r="Q137" i="50"/>
  <c r="R137" i="50"/>
  <c r="S137" i="50"/>
  <c r="T137" i="50"/>
  <c r="U137" i="50"/>
  <c r="D138" i="50"/>
  <c r="E138" i="50"/>
  <c r="F138" i="50"/>
  <c r="G138" i="50"/>
  <c r="I138" i="50"/>
  <c r="J138" i="50"/>
  <c r="L138" i="50"/>
  <c r="O138" i="50"/>
  <c r="P138" i="50"/>
  <c r="R138" i="50"/>
  <c r="S138" i="50"/>
  <c r="T138" i="50"/>
  <c r="U138" i="50"/>
  <c r="D139" i="50"/>
  <c r="E139" i="50"/>
  <c r="F139" i="50"/>
  <c r="G139" i="50"/>
  <c r="I139" i="50"/>
  <c r="J139" i="50"/>
  <c r="L139" i="50"/>
  <c r="O139" i="50"/>
  <c r="P139" i="50"/>
  <c r="R139" i="50"/>
  <c r="S139" i="50"/>
  <c r="T139" i="50"/>
  <c r="U139" i="50"/>
  <c r="D140" i="50"/>
  <c r="E140" i="50"/>
  <c r="F140" i="50"/>
  <c r="G140" i="50"/>
  <c r="I140" i="50"/>
  <c r="J140" i="50"/>
  <c r="L140" i="50"/>
  <c r="O140" i="50"/>
  <c r="P140" i="50"/>
  <c r="R140" i="50"/>
  <c r="S140" i="50"/>
  <c r="T140" i="50"/>
  <c r="U140" i="50"/>
  <c r="D141" i="50"/>
  <c r="E141" i="50"/>
  <c r="F141" i="50"/>
  <c r="G141" i="50"/>
  <c r="I141" i="50"/>
  <c r="J141" i="50"/>
  <c r="L141" i="50"/>
  <c r="O141" i="50"/>
  <c r="P141" i="50"/>
  <c r="R141" i="50"/>
  <c r="S141" i="50"/>
  <c r="T141" i="50"/>
  <c r="U141" i="50"/>
  <c r="D142" i="50"/>
  <c r="E142" i="50"/>
  <c r="F142" i="50"/>
  <c r="G142" i="50"/>
  <c r="I142" i="50"/>
  <c r="J142" i="50"/>
  <c r="L142" i="50"/>
  <c r="O142" i="50"/>
  <c r="P142" i="50"/>
  <c r="R142" i="50"/>
  <c r="S142" i="50"/>
  <c r="T142" i="50"/>
  <c r="U142" i="50"/>
  <c r="D144" i="50"/>
  <c r="E144" i="50"/>
  <c r="F144" i="50"/>
  <c r="G144" i="50"/>
  <c r="I144" i="50"/>
  <c r="J144" i="50"/>
  <c r="N144" i="50"/>
  <c r="O144" i="50"/>
  <c r="Q144" i="50"/>
  <c r="R144" i="50"/>
  <c r="S144" i="50"/>
  <c r="T144" i="50"/>
  <c r="U144" i="50"/>
  <c r="D145" i="50"/>
  <c r="E145" i="50"/>
  <c r="F145" i="50"/>
  <c r="G145" i="50"/>
  <c r="I145" i="50"/>
  <c r="J145" i="50"/>
  <c r="N145" i="50"/>
  <c r="O145" i="50"/>
  <c r="Q145" i="50"/>
  <c r="R145" i="50"/>
  <c r="S145" i="50"/>
  <c r="T145" i="50"/>
  <c r="U145" i="50"/>
  <c r="D146" i="50"/>
  <c r="E146" i="50"/>
  <c r="F146" i="50"/>
  <c r="G146" i="50"/>
  <c r="I146" i="50"/>
  <c r="J146" i="50"/>
  <c r="N146" i="50"/>
  <c r="O146" i="50"/>
  <c r="Q146" i="50"/>
  <c r="R146" i="50"/>
  <c r="S146" i="50"/>
  <c r="T146" i="50"/>
  <c r="U146" i="50"/>
  <c r="D147" i="50"/>
  <c r="E147" i="50"/>
  <c r="F147" i="50"/>
  <c r="G147" i="50"/>
  <c r="I147" i="50"/>
  <c r="J147" i="50"/>
  <c r="N147" i="50"/>
  <c r="O147" i="50"/>
  <c r="Q147" i="50"/>
  <c r="R147" i="50"/>
  <c r="S147" i="50"/>
  <c r="T147" i="50"/>
  <c r="U147" i="50"/>
  <c r="D148" i="50"/>
  <c r="E148" i="50"/>
  <c r="F148" i="50"/>
  <c r="G148" i="50"/>
  <c r="I148" i="50"/>
  <c r="J148" i="50"/>
  <c r="N148" i="50"/>
  <c r="O148" i="50"/>
  <c r="Q148" i="50"/>
  <c r="R148" i="50"/>
  <c r="S148" i="50"/>
  <c r="T148" i="50"/>
  <c r="U148" i="50"/>
  <c r="D149" i="50"/>
  <c r="E149" i="50"/>
  <c r="F149" i="50"/>
  <c r="G149" i="50"/>
  <c r="I149" i="50"/>
  <c r="J149" i="50"/>
  <c r="N149" i="50"/>
  <c r="O149" i="50"/>
  <c r="Q149" i="50"/>
  <c r="R149" i="50"/>
  <c r="S149" i="50"/>
  <c r="T149" i="50"/>
  <c r="U149" i="50"/>
  <c r="D150" i="50"/>
  <c r="E150" i="50"/>
  <c r="F150" i="50"/>
  <c r="G150" i="50"/>
  <c r="I150" i="50"/>
  <c r="J150" i="50"/>
  <c r="N150" i="50"/>
  <c r="O150" i="50"/>
  <c r="Q150" i="50"/>
  <c r="R150" i="50"/>
  <c r="S150" i="50"/>
  <c r="T150" i="50"/>
  <c r="U150" i="50"/>
  <c r="D151" i="50"/>
  <c r="E151" i="50"/>
  <c r="F151" i="50"/>
  <c r="G151" i="50"/>
  <c r="I151" i="50"/>
  <c r="J151" i="50"/>
  <c r="N151" i="50"/>
  <c r="O151" i="50"/>
  <c r="Q151" i="50"/>
  <c r="R151" i="50"/>
  <c r="S151" i="50"/>
  <c r="T151" i="50"/>
  <c r="U151" i="50"/>
  <c r="D152" i="50"/>
  <c r="E152" i="50"/>
  <c r="F152" i="50"/>
  <c r="G152" i="50"/>
  <c r="I152" i="50"/>
  <c r="J152" i="50"/>
  <c r="N152" i="50"/>
  <c r="O152" i="50"/>
  <c r="Q152" i="50"/>
  <c r="R152" i="50"/>
  <c r="S152" i="50"/>
  <c r="T152" i="50"/>
  <c r="U152" i="50"/>
  <c r="D153" i="50"/>
  <c r="E153" i="50"/>
  <c r="F153" i="50"/>
  <c r="G153" i="50"/>
  <c r="I153" i="50"/>
  <c r="J153" i="50"/>
  <c r="L153" i="50"/>
  <c r="N153" i="50"/>
  <c r="O153" i="50"/>
  <c r="Q153" i="50"/>
  <c r="R153" i="50"/>
  <c r="S153" i="50"/>
  <c r="T153" i="50"/>
  <c r="U153" i="50"/>
  <c r="D154" i="50"/>
  <c r="E154" i="50"/>
  <c r="F154" i="50"/>
  <c r="G154" i="50"/>
  <c r="I154" i="50"/>
  <c r="J154" i="50"/>
  <c r="L154" i="50"/>
  <c r="N154" i="50"/>
  <c r="O154" i="50"/>
  <c r="Q154" i="50"/>
  <c r="R154" i="50"/>
  <c r="S154" i="50"/>
  <c r="T154" i="50"/>
  <c r="U154" i="50"/>
  <c r="D155" i="50"/>
  <c r="E155" i="50"/>
  <c r="F155" i="50"/>
  <c r="G155" i="50"/>
  <c r="I155" i="50"/>
  <c r="J155" i="50"/>
  <c r="L155" i="50"/>
  <c r="N155" i="50"/>
  <c r="O155" i="50"/>
  <c r="Q155" i="50"/>
  <c r="R155" i="50"/>
  <c r="S155" i="50"/>
  <c r="T155" i="50"/>
  <c r="U155" i="50"/>
  <c r="D156" i="50"/>
  <c r="E156" i="50"/>
  <c r="F156" i="50"/>
  <c r="G156" i="50"/>
  <c r="I156" i="50"/>
  <c r="J156" i="50"/>
  <c r="L156" i="50"/>
  <c r="N156" i="50"/>
  <c r="O156" i="50"/>
  <c r="Q156" i="50"/>
  <c r="R156" i="50"/>
  <c r="S156" i="50"/>
  <c r="T156" i="50"/>
  <c r="U156" i="50"/>
  <c r="D157" i="50"/>
  <c r="E157" i="50"/>
  <c r="F157" i="50"/>
  <c r="G157" i="50"/>
  <c r="I157" i="50"/>
  <c r="J157" i="50"/>
  <c r="L157" i="50"/>
  <c r="N157" i="50"/>
  <c r="O157" i="50"/>
  <c r="Q157" i="50"/>
  <c r="R157" i="50"/>
  <c r="S157" i="50"/>
  <c r="T157" i="50"/>
  <c r="U157" i="50"/>
  <c r="D158" i="50"/>
  <c r="E158" i="50"/>
  <c r="F158" i="50"/>
  <c r="G158" i="50"/>
  <c r="I158" i="50"/>
  <c r="J158" i="50"/>
  <c r="L158" i="50"/>
  <c r="N158" i="50"/>
  <c r="O158" i="50"/>
  <c r="Q158" i="50"/>
  <c r="R158" i="50"/>
  <c r="S158" i="50"/>
  <c r="T158" i="50"/>
  <c r="U158" i="50"/>
  <c r="D159" i="50"/>
  <c r="E159" i="50"/>
  <c r="F159" i="50"/>
  <c r="G159" i="50"/>
  <c r="I159" i="50"/>
  <c r="J159" i="50"/>
  <c r="L159" i="50"/>
  <c r="N159" i="50"/>
  <c r="O159" i="50"/>
  <c r="Q159" i="50"/>
  <c r="R159" i="50"/>
  <c r="S159" i="50"/>
  <c r="T159" i="50"/>
  <c r="U159" i="50"/>
  <c r="D160" i="50"/>
  <c r="E160" i="50"/>
  <c r="F160" i="50"/>
  <c r="G160" i="50"/>
  <c r="I160" i="50"/>
  <c r="J160" i="50"/>
  <c r="L160" i="50"/>
  <c r="N160" i="50"/>
  <c r="O160" i="50"/>
  <c r="Q160" i="50"/>
  <c r="R160" i="50"/>
  <c r="S160" i="50"/>
  <c r="T160" i="50"/>
  <c r="U160" i="50"/>
  <c r="D162" i="50"/>
  <c r="E162" i="50"/>
  <c r="F162" i="50"/>
  <c r="G162" i="50"/>
  <c r="I162" i="50"/>
  <c r="J162" i="50"/>
  <c r="O162" i="50"/>
  <c r="P162" i="50"/>
  <c r="Q162" i="50"/>
  <c r="R162" i="50"/>
  <c r="S162" i="50"/>
  <c r="T162" i="50"/>
  <c r="U162" i="50"/>
  <c r="D163" i="50"/>
  <c r="E163" i="50"/>
  <c r="F163" i="50"/>
  <c r="G163" i="50"/>
  <c r="I163" i="50"/>
  <c r="J163" i="50"/>
  <c r="O163" i="50"/>
  <c r="P163" i="50"/>
  <c r="Q163" i="50"/>
  <c r="R163" i="50"/>
  <c r="S163" i="50"/>
  <c r="T163" i="50"/>
  <c r="U163" i="50"/>
  <c r="D164" i="50"/>
  <c r="E164" i="50"/>
  <c r="F164" i="50"/>
  <c r="G164" i="50"/>
  <c r="I164" i="50"/>
  <c r="J164" i="50"/>
  <c r="O164" i="50"/>
  <c r="P164" i="50"/>
  <c r="Q164" i="50"/>
  <c r="R164" i="50"/>
  <c r="S164" i="50"/>
  <c r="T164" i="50"/>
  <c r="U164" i="50"/>
  <c r="D165" i="50"/>
  <c r="E165" i="50"/>
  <c r="F165" i="50"/>
  <c r="G165" i="50"/>
  <c r="I165" i="50"/>
  <c r="J165" i="50"/>
  <c r="O165" i="50"/>
  <c r="P165" i="50"/>
  <c r="Q165" i="50"/>
  <c r="R165" i="50"/>
  <c r="S165" i="50"/>
  <c r="T165" i="50"/>
  <c r="U165" i="50"/>
  <c r="D166" i="50"/>
  <c r="E166" i="50"/>
  <c r="F166" i="50"/>
  <c r="G166" i="50"/>
  <c r="I166" i="50"/>
  <c r="J166" i="50"/>
  <c r="O166" i="50"/>
  <c r="P166" i="50"/>
  <c r="Q166" i="50"/>
  <c r="R166" i="50"/>
  <c r="S166" i="50"/>
  <c r="T166" i="50"/>
  <c r="U166" i="50"/>
  <c r="D167" i="50"/>
  <c r="E167" i="50"/>
  <c r="F167" i="50"/>
  <c r="G167" i="50"/>
  <c r="I167" i="50"/>
  <c r="J167" i="50"/>
  <c r="O167" i="50"/>
  <c r="P167" i="50"/>
  <c r="Q167" i="50"/>
  <c r="R167" i="50"/>
  <c r="S167" i="50"/>
  <c r="T167" i="50"/>
  <c r="U167" i="50"/>
  <c r="D168" i="50"/>
  <c r="E168" i="50"/>
  <c r="F168" i="50"/>
  <c r="G168" i="50"/>
  <c r="I168" i="50"/>
  <c r="J168" i="50"/>
  <c r="O168" i="50"/>
  <c r="P168" i="50"/>
  <c r="Q168" i="50"/>
  <c r="R168" i="50"/>
  <c r="S168" i="50"/>
  <c r="T168" i="50"/>
  <c r="U168" i="50"/>
  <c r="D169" i="50"/>
  <c r="E169" i="50"/>
  <c r="F169" i="50"/>
  <c r="G169" i="50"/>
  <c r="I169" i="50"/>
  <c r="J169" i="50"/>
  <c r="O169" i="50"/>
  <c r="P169" i="50"/>
  <c r="Q169" i="50"/>
  <c r="R169" i="50"/>
  <c r="S169" i="50"/>
  <c r="T169" i="50"/>
  <c r="U169" i="50"/>
  <c r="D170" i="50"/>
  <c r="E170" i="50"/>
  <c r="F170" i="50"/>
  <c r="G170" i="50"/>
  <c r="I170" i="50"/>
  <c r="J170" i="50"/>
  <c r="O170" i="50"/>
  <c r="P170" i="50"/>
  <c r="Q170" i="50"/>
  <c r="R170" i="50"/>
  <c r="S170" i="50"/>
  <c r="T170" i="50"/>
  <c r="U170" i="50"/>
  <c r="D171" i="50"/>
  <c r="E171" i="50"/>
  <c r="F171" i="50"/>
  <c r="G171" i="50"/>
  <c r="I171" i="50"/>
  <c r="J171" i="50"/>
  <c r="O171" i="50"/>
  <c r="P171" i="50"/>
  <c r="Q171" i="50"/>
  <c r="R171" i="50"/>
  <c r="S171" i="50"/>
  <c r="T171" i="50"/>
  <c r="U171" i="50"/>
  <c r="D172" i="50"/>
  <c r="E172" i="50"/>
  <c r="F172" i="50"/>
  <c r="G172" i="50"/>
  <c r="I172" i="50"/>
  <c r="J172" i="50"/>
  <c r="O172" i="50"/>
  <c r="P172" i="50"/>
  <c r="Q172" i="50"/>
  <c r="R172" i="50"/>
  <c r="S172" i="50"/>
  <c r="T172" i="50"/>
  <c r="U172" i="50"/>
  <c r="D173" i="50"/>
  <c r="E173" i="50"/>
  <c r="F173" i="50"/>
  <c r="G173" i="50"/>
  <c r="I173" i="50"/>
  <c r="J173" i="50"/>
  <c r="O173" i="50"/>
  <c r="P173" i="50"/>
  <c r="Q173" i="50"/>
  <c r="R173" i="50"/>
  <c r="S173" i="50"/>
  <c r="T173" i="50"/>
  <c r="U173" i="50"/>
  <c r="D174" i="50"/>
  <c r="E174" i="50"/>
  <c r="F174" i="50"/>
  <c r="G174" i="50"/>
  <c r="I174" i="50"/>
  <c r="J174" i="50"/>
  <c r="O174" i="50"/>
  <c r="P174" i="50"/>
  <c r="Q174" i="50"/>
  <c r="R174" i="50"/>
  <c r="S174" i="50"/>
  <c r="T174" i="50"/>
  <c r="U174" i="50"/>
  <c r="D175" i="50"/>
  <c r="E175" i="50"/>
  <c r="F175" i="50"/>
  <c r="G175" i="50"/>
  <c r="I175" i="50"/>
  <c r="J175" i="50"/>
  <c r="O175" i="50"/>
  <c r="P175" i="50"/>
  <c r="Q175" i="50"/>
  <c r="R175" i="50"/>
  <c r="S175" i="50"/>
  <c r="T175" i="50"/>
  <c r="U175" i="50"/>
  <c r="D176" i="50"/>
  <c r="E176" i="50"/>
  <c r="F176" i="50"/>
  <c r="G176" i="50"/>
  <c r="I176" i="50"/>
  <c r="J176" i="50"/>
  <c r="O176" i="50"/>
  <c r="P176" i="50"/>
  <c r="Q176" i="50"/>
  <c r="R176" i="50"/>
  <c r="S176" i="50"/>
  <c r="T176" i="50"/>
  <c r="U176" i="50"/>
  <c r="D177" i="50"/>
  <c r="E177" i="50"/>
  <c r="F177" i="50"/>
  <c r="G177" i="50"/>
  <c r="I177" i="50"/>
  <c r="J177" i="50"/>
  <c r="O177" i="50"/>
  <c r="P177" i="50"/>
  <c r="Q177" i="50"/>
  <c r="R177" i="50"/>
  <c r="S177" i="50"/>
  <c r="T177" i="50"/>
  <c r="U177" i="50"/>
  <c r="D178" i="50"/>
  <c r="E178" i="50"/>
  <c r="F178" i="50"/>
  <c r="G178" i="50"/>
  <c r="I178" i="50"/>
  <c r="J178" i="50"/>
  <c r="O178" i="50"/>
  <c r="P178" i="50"/>
  <c r="Q178" i="50"/>
  <c r="R178" i="50"/>
  <c r="S178" i="50"/>
  <c r="T178" i="50"/>
  <c r="U178" i="50"/>
  <c r="D180" i="50"/>
  <c r="E180" i="50"/>
  <c r="F180" i="50"/>
  <c r="G180" i="50"/>
  <c r="L180" i="50"/>
  <c r="O180" i="50"/>
  <c r="P180" i="50"/>
  <c r="Q180" i="50"/>
  <c r="R180" i="50"/>
  <c r="S180" i="50"/>
  <c r="T180" i="50"/>
  <c r="U180" i="50"/>
  <c r="D181" i="50"/>
  <c r="E181" i="50"/>
  <c r="F181" i="50"/>
  <c r="G181" i="50"/>
  <c r="J181" i="50"/>
  <c r="L181" i="50"/>
  <c r="O181" i="50"/>
  <c r="P181" i="50"/>
  <c r="Q181" i="50"/>
  <c r="R181" i="50"/>
  <c r="S181" i="50"/>
  <c r="T181" i="50"/>
  <c r="U181" i="50"/>
  <c r="D182" i="50"/>
  <c r="E182" i="50"/>
  <c r="F182" i="50"/>
  <c r="G182" i="50"/>
  <c r="J182" i="50"/>
  <c r="L182" i="50"/>
  <c r="O182" i="50"/>
  <c r="P182" i="50"/>
  <c r="Q182" i="50"/>
  <c r="R182" i="50"/>
  <c r="S182" i="50"/>
  <c r="T182" i="50"/>
  <c r="U182" i="50"/>
  <c r="D183" i="50"/>
  <c r="E183" i="50"/>
  <c r="F183" i="50"/>
  <c r="G183" i="50"/>
  <c r="J183" i="50"/>
  <c r="L183" i="50"/>
  <c r="O183" i="50"/>
  <c r="P183" i="50"/>
  <c r="Q183" i="50"/>
  <c r="R183" i="50"/>
  <c r="S183" i="50"/>
  <c r="T183" i="50"/>
  <c r="U183" i="50"/>
  <c r="D184" i="50"/>
  <c r="E184" i="50"/>
  <c r="F184" i="50"/>
  <c r="G184" i="50"/>
  <c r="J184" i="50"/>
  <c r="L184" i="50"/>
  <c r="O184" i="50"/>
  <c r="P184" i="50"/>
  <c r="Q184" i="50"/>
  <c r="R184" i="50"/>
  <c r="S184" i="50"/>
  <c r="T184" i="50"/>
  <c r="U184" i="50"/>
  <c r="D185" i="50"/>
  <c r="E185" i="50"/>
  <c r="F185" i="50"/>
  <c r="G185" i="50"/>
  <c r="L185" i="50"/>
  <c r="O185" i="50"/>
  <c r="P185" i="50"/>
  <c r="Q185" i="50"/>
  <c r="R185" i="50"/>
  <c r="S185" i="50"/>
  <c r="T185" i="50"/>
  <c r="U185" i="50"/>
  <c r="D186" i="50"/>
  <c r="E186" i="50"/>
  <c r="F186" i="50"/>
  <c r="G186" i="50"/>
  <c r="L186" i="50"/>
  <c r="O186" i="50"/>
  <c r="P186" i="50"/>
  <c r="Q186" i="50"/>
  <c r="R186" i="50"/>
  <c r="S186" i="50"/>
  <c r="T186" i="50"/>
  <c r="U186" i="50"/>
  <c r="D187" i="50"/>
  <c r="E187" i="50"/>
  <c r="F187" i="50"/>
  <c r="G187" i="50"/>
  <c r="J187" i="50"/>
  <c r="L187" i="50"/>
  <c r="O187" i="50"/>
  <c r="P187" i="50"/>
  <c r="Q187" i="50"/>
  <c r="R187" i="50"/>
  <c r="S187" i="50"/>
  <c r="T187" i="50"/>
  <c r="U187" i="50"/>
  <c r="D188" i="50"/>
  <c r="E188" i="50"/>
  <c r="F188" i="50"/>
  <c r="G188" i="50"/>
  <c r="J188" i="50"/>
  <c r="L188" i="50"/>
  <c r="O188" i="50"/>
  <c r="P188" i="50"/>
  <c r="Q188" i="50"/>
  <c r="R188" i="50"/>
  <c r="S188" i="50"/>
  <c r="T188" i="50"/>
  <c r="U188" i="50"/>
  <c r="D189" i="50"/>
  <c r="E189" i="50"/>
  <c r="F189" i="50"/>
  <c r="G189" i="50"/>
  <c r="J189" i="50"/>
  <c r="L189" i="50"/>
  <c r="O189" i="50"/>
  <c r="P189" i="50"/>
  <c r="Q189" i="50"/>
  <c r="R189" i="50"/>
  <c r="S189" i="50"/>
  <c r="T189" i="50"/>
  <c r="U189" i="50"/>
  <c r="D190" i="50"/>
  <c r="E190" i="50"/>
  <c r="F190" i="50"/>
  <c r="G190" i="50"/>
  <c r="J190" i="50"/>
  <c r="L190" i="50"/>
  <c r="O190" i="50"/>
  <c r="P190" i="50"/>
  <c r="Q190" i="50"/>
  <c r="R190" i="50"/>
  <c r="S190" i="50"/>
  <c r="T190" i="50"/>
  <c r="U190" i="50"/>
  <c r="D191" i="50"/>
  <c r="E191" i="50"/>
  <c r="F191" i="50"/>
  <c r="G191" i="50"/>
  <c r="J191" i="50"/>
  <c r="L191" i="50"/>
  <c r="O191" i="50"/>
  <c r="P191" i="50"/>
  <c r="Q191" i="50"/>
  <c r="R191" i="50"/>
  <c r="S191" i="50"/>
  <c r="T191" i="50"/>
  <c r="U191" i="50"/>
  <c r="D192" i="50"/>
  <c r="E192" i="50"/>
  <c r="F192" i="50"/>
  <c r="G192" i="50"/>
  <c r="J192" i="50"/>
  <c r="L192" i="50"/>
  <c r="O192" i="50"/>
  <c r="P192" i="50"/>
  <c r="Q192" i="50"/>
  <c r="R192" i="50"/>
  <c r="S192" i="50"/>
  <c r="T192" i="50"/>
  <c r="U192" i="50"/>
  <c r="D193" i="50"/>
  <c r="E193" i="50"/>
  <c r="F193" i="50"/>
  <c r="G193" i="50"/>
  <c r="J193" i="50"/>
  <c r="L193" i="50"/>
  <c r="O193" i="50"/>
  <c r="P193" i="50"/>
  <c r="Q193" i="50"/>
  <c r="R193" i="50"/>
  <c r="S193" i="50"/>
  <c r="T193" i="50"/>
  <c r="U193" i="50"/>
  <c r="D194" i="50"/>
  <c r="E194" i="50"/>
  <c r="F194" i="50"/>
  <c r="G194" i="50"/>
  <c r="J194" i="50"/>
  <c r="L194" i="50"/>
  <c r="O194" i="50"/>
  <c r="P194" i="50"/>
  <c r="Q194" i="50"/>
  <c r="R194" i="50"/>
  <c r="S194" i="50"/>
  <c r="T194" i="50"/>
  <c r="U194" i="50"/>
  <c r="D195" i="50"/>
  <c r="E195" i="50"/>
  <c r="F195" i="50"/>
  <c r="G195" i="50"/>
  <c r="J195" i="50"/>
  <c r="L195" i="50"/>
  <c r="O195" i="50"/>
  <c r="P195" i="50"/>
  <c r="Q195" i="50"/>
  <c r="R195" i="50"/>
  <c r="S195" i="50"/>
  <c r="T195" i="50"/>
  <c r="U195" i="50"/>
  <c r="D196" i="50"/>
  <c r="E196" i="50"/>
  <c r="F196" i="50"/>
  <c r="G196" i="50"/>
  <c r="J196" i="50"/>
  <c r="L196" i="50"/>
  <c r="O196" i="50"/>
  <c r="P196" i="50"/>
  <c r="Q196" i="50"/>
  <c r="R196" i="50"/>
  <c r="S196" i="50"/>
  <c r="T196" i="50"/>
  <c r="U196" i="50"/>
  <c r="D198" i="50"/>
  <c r="E198" i="50"/>
  <c r="F198" i="50"/>
  <c r="L198" i="50"/>
  <c r="O198" i="50"/>
  <c r="P198" i="50"/>
  <c r="Q198" i="50"/>
  <c r="R198" i="50"/>
  <c r="S198" i="50"/>
  <c r="T198" i="50"/>
  <c r="U198" i="50"/>
  <c r="D199" i="50"/>
  <c r="E199" i="50"/>
  <c r="F199" i="50"/>
  <c r="L199" i="50"/>
  <c r="O199" i="50"/>
  <c r="P199" i="50"/>
  <c r="Q199" i="50"/>
  <c r="R199" i="50"/>
  <c r="S199" i="50"/>
  <c r="T199" i="50"/>
  <c r="U199" i="50"/>
  <c r="D200" i="50"/>
  <c r="E200" i="50"/>
  <c r="F200" i="50"/>
  <c r="L200" i="50"/>
  <c r="O200" i="50"/>
  <c r="P200" i="50"/>
  <c r="Q200" i="50"/>
  <c r="R200" i="50"/>
  <c r="S200" i="50"/>
  <c r="T200" i="50"/>
  <c r="U200" i="50"/>
  <c r="D201" i="50"/>
  <c r="E201" i="50"/>
  <c r="F201" i="50"/>
  <c r="L201" i="50"/>
  <c r="O201" i="50"/>
  <c r="P201" i="50"/>
  <c r="Q201" i="50"/>
  <c r="R201" i="50"/>
  <c r="S201" i="50"/>
  <c r="T201" i="50"/>
  <c r="U201" i="50"/>
  <c r="D202" i="50"/>
  <c r="E202" i="50"/>
  <c r="F202" i="50"/>
  <c r="L202" i="50"/>
  <c r="O202" i="50"/>
  <c r="P202" i="50"/>
  <c r="Q202" i="50"/>
  <c r="R202" i="50"/>
  <c r="S202" i="50"/>
  <c r="T202" i="50"/>
  <c r="U202" i="50"/>
  <c r="D203" i="50"/>
  <c r="E203" i="50"/>
  <c r="F203" i="50"/>
  <c r="L203" i="50"/>
  <c r="O203" i="50"/>
  <c r="P203" i="50"/>
  <c r="Q203" i="50"/>
  <c r="R203" i="50"/>
  <c r="S203" i="50"/>
  <c r="T203" i="50"/>
  <c r="U203" i="50"/>
  <c r="D204" i="50"/>
  <c r="E204" i="50"/>
  <c r="F204" i="50"/>
  <c r="L204" i="50"/>
  <c r="O204" i="50"/>
  <c r="P204" i="50"/>
  <c r="Q204" i="50"/>
  <c r="R204" i="50"/>
  <c r="S204" i="50"/>
  <c r="T204" i="50"/>
  <c r="U204" i="50"/>
  <c r="D205" i="50"/>
  <c r="E205" i="50"/>
  <c r="F205" i="50"/>
  <c r="L205" i="50"/>
  <c r="O205" i="50"/>
  <c r="P205" i="50"/>
  <c r="Q205" i="50"/>
  <c r="R205" i="50"/>
  <c r="S205" i="50"/>
  <c r="T205" i="50"/>
  <c r="U205" i="50"/>
  <c r="D206" i="50"/>
  <c r="E206" i="50"/>
  <c r="F206" i="50"/>
  <c r="L206" i="50"/>
  <c r="O206" i="50"/>
  <c r="P206" i="50"/>
  <c r="Q206" i="50"/>
  <c r="R206" i="50"/>
  <c r="S206" i="50"/>
  <c r="T206" i="50"/>
  <c r="U206" i="50"/>
  <c r="D207" i="50"/>
  <c r="E207" i="50"/>
  <c r="F207" i="50"/>
  <c r="L207" i="50"/>
  <c r="O207" i="50"/>
  <c r="P207" i="50"/>
  <c r="Q207" i="50"/>
  <c r="R207" i="50"/>
  <c r="S207" i="50"/>
  <c r="T207" i="50"/>
  <c r="U207" i="50"/>
  <c r="D208" i="50"/>
  <c r="E208" i="50"/>
  <c r="F208" i="50"/>
  <c r="L208" i="50"/>
  <c r="O208" i="50"/>
  <c r="P208" i="50"/>
  <c r="Q208" i="50"/>
  <c r="R208" i="50"/>
  <c r="S208" i="50"/>
  <c r="T208" i="50"/>
  <c r="U208" i="50"/>
  <c r="D209" i="50"/>
  <c r="E209" i="50"/>
  <c r="F209" i="50"/>
  <c r="L209" i="50"/>
  <c r="O209" i="50"/>
  <c r="P209" i="50"/>
  <c r="Q209" i="50"/>
  <c r="R209" i="50"/>
  <c r="S209" i="50"/>
  <c r="T209" i="50"/>
  <c r="U209" i="50"/>
  <c r="D210" i="50"/>
  <c r="E210" i="50"/>
  <c r="F210" i="50"/>
  <c r="L210" i="50"/>
  <c r="O210" i="50"/>
  <c r="P210" i="50"/>
  <c r="Q210" i="50"/>
  <c r="R210" i="50"/>
  <c r="S210" i="50"/>
  <c r="T210" i="50"/>
  <c r="U210" i="50"/>
  <c r="D211" i="50"/>
  <c r="E211" i="50"/>
  <c r="F211" i="50"/>
  <c r="L211" i="50"/>
  <c r="O211" i="50"/>
  <c r="P211" i="50"/>
  <c r="Q211" i="50"/>
  <c r="R211" i="50"/>
  <c r="S211" i="50"/>
  <c r="T211" i="50"/>
  <c r="U211" i="50"/>
  <c r="D212" i="50"/>
  <c r="E212" i="50"/>
  <c r="F212" i="50"/>
  <c r="L212" i="50"/>
  <c r="O212" i="50"/>
  <c r="P212" i="50"/>
  <c r="Q212" i="50"/>
  <c r="R212" i="50"/>
  <c r="S212" i="50"/>
  <c r="T212" i="50"/>
  <c r="U212" i="50"/>
  <c r="D213" i="50"/>
  <c r="E213" i="50"/>
  <c r="F213" i="50"/>
  <c r="L213" i="50"/>
  <c r="O213" i="50"/>
  <c r="P213" i="50"/>
  <c r="Q213" i="50"/>
  <c r="R213" i="50"/>
  <c r="S213" i="50"/>
  <c r="T213" i="50"/>
  <c r="U213" i="50"/>
  <c r="D214" i="50"/>
  <c r="E214" i="50"/>
  <c r="F214" i="50"/>
  <c r="L214" i="50"/>
  <c r="O214" i="50"/>
  <c r="P214" i="50"/>
  <c r="Q214" i="50"/>
  <c r="R214" i="50"/>
  <c r="S214" i="50"/>
  <c r="T214" i="50"/>
  <c r="U214" i="50"/>
  <c r="D216" i="50"/>
  <c r="E216" i="50"/>
  <c r="I216" i="50"/>
  <c r="J216" i="50"/>
  <c r="L216" i="50"/>
  <c r="N216" i="50"/>
  <c r="O216" i="50"/>
  <c r="P216" i="50"/>
  <c r="Q216" i="50"/>
  <c r="R216" i="50"/>
  <c r="S216" i="50"/>
  <c r="T216" i="50"/>
  <c r="U216" i="50"/>
  <c r="D217" i="50"/>
  <c r="E217" i="50"/>
  <c r="I217" i="50"/>
  <c r="J217" i="50"/>
  <c r="L217" i="50"/>
  <c r="N217" i="50"/>
  <c r="O217" i="50"/>
  <c r="P217" i="50"/>
  <c r="Q217" i="50"/>
  <c r="R217" i="50"/>
  <c r="S217" i="50"/>
  <c r="T217" i="50"/>
  <c r="U217" i="50"/>
  <c r="D218" i="50"/>
  <c r="E218" i="50"/>
  <c r="I218" i="50"/>
  <c r="J218" i="50"/>
  <c r="L218" i="50"/>
  <c r="N218" i="50"/>
  <c r="O218" i="50"/>
  <c r="P218" i="50"/>
  <c r="Q218" i="50"/>
  <c r="R218" i="50"/>
  <c r="S218" i="50"/>
  <c r="T218" i="50"/>
  <c r="U218" i="50"/>
  <c r="D219" i="50"/>
  <c r="E219" i="50"/>
  <c r="I219" i="50"/>
  <c r="J219" i="50"/>
  <c r="L219" i="50"/>
  <c r="N219" i="50"/>
  <c r="O219" i="50"/>
  <c r="P219" i="50"/>
  <c r="Q219" i="50"/>
  <c r="R219" i="50"/>
  <c r="S219" i="50"/>
  <c r="T219" i="50"/>
  <c r="U219" i="50"/>
  <c r="D220" i="50"/>
  <c r="E220" i="50"/>
  <c r="G220" i="50"/>
  <c r="I220" i="50"/>
  <c r="J220" i="50"/>
  <c r="L220" i="50"/>
  <c r="N220" i="50"/>
  <c r="O220" i="50"/>
  <c r="P220" i="50"/>
  <c r="Q220" i="50"/>
  <c r="R220" i="50"/>
  <c r="S220" i="50"/>
  <c r="T220" i="50"/>
  <c r="U220" i="50"/>
  <c r="D221" i="50"/>
  <c r="E221" i="50"/>
  <c r="I221" i="50"/>
  <c r="J221" i="50"/>
  <c r="L221" i="50"/>
  <c r="N221" i="50"/>
  <c r="O221" i="50"/>
  <c r="P221" i="50"/>
  <c r="Q221" i="50"/>
  <c r="R221" i="50"/>
  <c r="S221" i="50"/>
  <c r="T221" i="50"/>
  <c r="U221" i="50"/>
  <c r="D222" i="50"/>
  <c r="E222" i="50"/>
  <c r="I222" i="50"/>
  <c r="J222" i="50"/>
  <c r="L222" i="50"/>
  <c r="N222" i="50"/>
  <c r="O222" i="50"/>
  <c r="P222" i="50"/>
  <c r="Q222" i="50"/>
  <c r="R222" i="50"/>
  <c r="S222" i="50"/>
  <c r="T222" i="50"/>
  <c r="U222" i="50"/>
  <c r="D223" i="50"/>
  <c r="E223" i="50"/>
  <c r="I223" i="50"/>
  <c r="J223" i="50"/>
  <c r="L223" i="50"/>
  <c r="N223" i="50"/>
  <c r="O223" i="50"/>
  <c r="P223" i="50"/>
  <c r="Q223" i="50"/>
  <c r="R223" i="50"/>
  <c r="S223" i="50"/>
  <c r="T223" i="50"/>
  <c r="U223" i="50"/>
  <c r="D224" i="50"/>
  <c r="E224" i="50"/>
  <c r="F224" i="50"/>
  <c r="I224" i="50"/>
  <c r="J224" i="50"/>
  <c r="L224" i="50"/>
  <c r="N224" i="50"/>
  <c r="O224" i="50"/>
  <c r="P224" i="50"/>
  <c r="Q224" i="50"/>
  <c r="R224" i="50"/>
  <c r="S224" i="50"/>
  <c r="T224" i="50"/>
  <c r="U224" i="50"/>
  <c r="D225" i="50"/>
  <c r="E225" i="50"/>
  <c r="F225" i="50"/>
  <c r="I225" i="50"/>
  <c r="J225" i="50"/>
  <c r="L225" i="50"/>
  <c r="N225" i="50"/>
  <c r="O225" i="50"/>
  <c r="P225" i="50"/>
  <c r="Q225" i="50"/>
  <c r="R225" i="50"/>
  <c r="S225" i="50"/>
  <c r="T225" i="50"/>
  <c r="U225" i="50"/>
  <c r="D226" i="50"/>
  <c r="E226" i="50"/>
  <c r="F226" i="50"/>
  <c r="I226" i="50"/>
  <c r="J226" i="50"/>
  <c r="L226" i="50"/>
  <c r="N226" i="50"/>
  <c r="O226" i="50"/>
  <c r="P226" i="50"/>
  <c r="Q226" i="50"/>
  <c r="R226" i="50"/>
  <c r="S226" i="50"/>
  <c r="T226" i="50"/>
  <c r="U226" i="50"/>
  <c r="D227" i="50"/>
  <c r="E227" i="50"/>
  <c r="F227" i="50"/>
  <c r="I227" i="50"/>
  <c r="J227" i="50"/>
  <c r="L227" i="50"/>
  <c r="N227" i="50"/>
  <c r="O227" i="50"/>
  <c r="P227" i="50"/>
  <c r="Q227" i="50"/>
  <c r="R227" i="50"/>
  <c r="S227" i="50"/>
  <c r="T227" i="50"/>
  <c r="U227" i="50"/>
  <c r="D228" i="50"/>
  <c r="E228" i="50"/>
  <c r="F228" i="50"/>
  <c r="J228" i="50"/>
  <c r="L228" i="50"/>
  <c r="N228" i="50"/>
  <c r="O228" i="50"/>
  <c r="P228" i="50"/>
  <c r="Q228" i="50"/>
  <c r="R228" i="50"/>
  <c r="S228" i="50"/>
  <c r="T228" i="50"/>
  <c r="U228" i="50"/>
  <c r="D229" i="50"/>
  <c r="E229" i="50"/>
  <c r="F229" i="50"/>
  <c r="J229" i="50"/>
  <c r="L229" i="50"/>
  <c r="N229" i="50"/>
  <c r="O229" i="50"/>
  <c r="P229" i="50"/>
  <c r="Q229" i="50"/>
  <c r="R229" i="50"/>
  <c r="S229" i="50"/>
  <c r="T229" i="50"/>
  <c r="U229" i="50"/>
  <c r="D230" i="50"/>
  <c r="E230" i="50"/>
  <c r="F230" i="50"/>
  <c r="J230" i="50"/>
  <c r="L230" i="50"/>
  <c r="N230" i="50"/>
  <c r="O230" i="50"/>
  <c r="P230" i="50"/>
  <c r="Q230" i="50"/>
  <c r="R230" i="50"/>
  <c r="S230" i="50"/>
  <c r="T230" i="50"/>
  <c r="U230" i="50"/>
  <c r="D231" i="50"/>
  <c r="E231" i="50"/>
  <c r="F231" i="50"/>
  <c r="J231" i="50"/>
  <c r="L231" i="50"/>
  <c r="N231" i="50"/>
  <c r="O231" i="50"/>
  <c r="P231" i="50"/>
  <c r="Q231" i="50"/>
  <c r="R231" i="50"/>
  <c r="S231" i="50"/>
  <c r="T231" i="50"/>
  <c r="U231" i="50"/>
  <c r="U22" i="50"/>
  <c r="T22" i="50"/>
  <c r="S22" i="50"/>
  <c r="R22" i="50"/>
  <c r="Q22" i="50"/>
  <c r="P22" i="50"/>
  <c r="O22" i="50"/>
  <c r="N22" i="50"/>
  <c r="L22" i="50"/>
  <c r="J22" i="50"/>
  <c r="I22" i="50"/>
  <c r="G22" i="50"/>
  <c r="F22" i="50"/>
  <c r="E22" i="50"/>
  <c r="D22" i="50"/>
  <c r="U21" i="50"/>
  <c r="T21" i="50"/>
  <c r="S21" i="50"/>
  <c r="R21" i="50"/>
  <c r="Q21" i="50"/>
  <c r="P21" i="50"/>
  <c r="O21" i="50"/>
  <c r="N21" i="50"/>
  <c r="L21" i="50"/>
  <c r="J21" i="50"/>
  <c r="I21" i="50"/>
  <c r="G21" i="50"/>
  <c r="F21" i="50"/>
  <c r="E21" i="50"/>
  <c r="D21" i="50"/>
  <c r="U20" i="50"/>
  <c r="T20" i="50"/>
  <c r="S20" i="50"/>
  <c r="R20" i="50"/>
  <c r="Q20" i="50"/>
  <c r="P20" i="50"/>
  <c r="O20" i="50"/>
  <c r="N20" i="50"/>
  <c r="L20" i="50"/>
  <c r="J20" i="50"/>
  <c r="I20" i="50"/>
  <c r="G20" i="50"/>
  <c r="F20" i="50"/>
  <c r="E20" i="50"/>
  <c r="D20" i="50"/>
  <c r="U19" i="50"/>
  <c r="T19" i="50"/>
  <c r="S19" i="50"/>
  <c r="R19" i="50"/>
  <c r="Q19" i="50"/>
  <c r="P19" i="50"/>
  <c r="O19" i="50"/>
  <c r="N19" i="50"/>
  <c r="L19" i="50"/>
  <c r="J19" i="50"/>
  <c r="I19" i="50"/>
  <c r="G19" i="50"/>
  <c r="F19" i="50"/>
  <c r="E19" i="50"/>
  <c r="D19" i="50"/>
  <c r="U18" i="50"/>
  <c r="T18" i="50"/>
  <c r="S18" i="50"/>
  <c r="R18" i="50"/>
  <c r="Q18" i="50"/>
  <c r="P18" i="50"/>
  <c r="O18" i="50"/>
  <c r="N18" i="50"/>
  <c r="L18" i="50"/>
  <c r="J18" i="50"/>
  <c r="I18" i="50"/>
  <c r="G18" i="50"/>
  <c r="F18" i="50"/>
  <c r="E18" i="50"/>
  <c r="D18" i="50"/>
  <c r="U17" i="50"/>
  <c r="T17" i="50"/>
  <c r="S17" i="50"/>
  <c r="R17" i="50"/>
  <c r="Q17" i="50"/>
  <c r="P17" i="50"/>
  <c r="O17" i="50"/>
  <c r="N17" i="50"/>
  <c r="L17" i="50"/>
  <c r="J17" i="50"/>
  <c r="I17" i="50"/>
  <c r="G17" i="50"/>
  <c r="F17" i="50"/>
  <c r="E17" i="50"/>
  <c r="D17" i="50"/>
  <c r="U16" i="50"/>
  <c r="T16" i="50"/>
  <c r="S16" i="50"/>
  <c r="R16" i="50"/>
  <c r="Q16" i="50"/>
  <c r="P16" i="50"/>
  <c r="O16" i="50"/>
  <c r="N16" i="50"/>
  <c r="L16" i="50"/>
  <c r="J16" i="50"/>
  <c r="I16" i="50"/>
  <c r="G16" i="50"/>
  <c r="F16" i="50"/>
  <c r="E16" i="50"/>
  <c r="D16" i="50"/>
  <c r="U15" i="50"/>
  <c r="T15" i="50"/>
  <c r="S15" i="50"/>
  <c r="R15" i="50"/>
  <c r="Q15" i="50"/>
  <c r="P15" i="50"/>
  <c r="O15" i="50"/>
  <c r="N15" i="50"/>
  <c r="L15" i="50"/>
  <c r="J15" i="50"/>
  <c r="I15" i="50"/>
  <c r="G15" i="50"/>
  <c r="F15" i="50"/>
  <c r="E15" i="50"/>
  <c r="D15" i="50"/>
  <c r="U14" i="50"/>
  <c r="T14" i="50"/>
  <c r="S14" i="50"/>
  <c r="R14" i="50"/>
  <c r="Q14" i="50"/>
  <c r="P14" i="50"/>
  <c r="O14" i="50"/>
  <c r="N14" i="50"/>
  <c r="L14" i="50"/>
  <c r="J14" i="50"/>
  <c r="I14" i="50"/>
  <c r="G14" i="50"/>
  <c r="F14" i="50"/>
  <c r="E14" i="50"/>
  <c r="D14" i="50"/>
  <c r="U13" i="50"/>
  <c r="T13" i="50"/>
  <c r="S13" i="50"/>
  <c r="R13" i="50"/>
  <c r="Q13" i="50"/>
  <c r="P13" i="50"/>
  <c r="O13" i="50"/>
  <c r="N13" i="50"/>
  <c r="L13" i="50"/>
  <c r="J13" i="50"/>
  <c r="I13" i="50"/>
  <c r="G13" i="50"/>
  <c r="F13" i="50"/>
  <c r="E13" i="50"/>
  <c r="D13" i="50"/>
  <c r="U12" i="50"/>
  <c r="T12" i="50"/>
  <c r="S12" i="50"/>
  <c r="R12" i="50"/>
  <c r="Q12" i="50"/>
  <c r="P12" i="50"/>
  <c r="O12" i="50"/>
  <c r="N12" i="50"/>
  <c r="L12" i="50"/>
  <c r="J12" i="50"/>
  <c r="I12" i="50"/>
  <c r="G12" i="50"/>
  <c r="F12" i="50"/>
  <c r="E12" i="50"/>
  <c r="D12" i="50"/>
  <c r="U11" i="50"/>
  <c r="T11" i="50"/>
  <c r="S11" i="50"/>
  <c r="R11" i="50"/>
  <c r="Q11" i="50"/>
  <c r="P11" i="50"/>
  <c r="O11" i="50"/>
  <c r="N11" i="50"/>
  <c r="L11" i="50"/>
  <c r="J11" i="50"/>
  <c r="I11" i="50"/>
  <c r="G11" i="50"/>
  <c r="F11" i="50"/>
  <c r="E11" i="50"/>
  <c r="D11" i="50"/>
  <c r="U10" i="50"/>
  <c r="T10" i="50"/>
  <c r="S10" i="50"/>
  <c r="R10" i="50"/>
  <c r="Q10" i="50"/>
  <c r="P10" i="50"/>
  <c r="O10" i="50"/>
  <c r="N10" i="50"/>
  <c r="L10" i="50"/>
  <c r="J10" i="50"/>
  <c r="I10" i="50"/>
  <c r="G10" i="50"/>
  <c r="F10" i="50"/>
  <c r="E10" i="50"/>
  <c r="D10" i="50"/>
  <c r="U9" i="50"/>
  <c r="T9" i="50"/>
  <c r="S9" i="50"/>
  <c r="R9" i="50"/>
  <c r="Q9" i="50"/>
  <c r="P9" i="50"/>
  <c r="O9" i="50"/>
  <c r="N9" i="50"/>
  <c r="L9" i="50"/>
  <c r="J9" i="50"/>
  <c r="I9" i="50"/>
  <c r="G9" i="50"/>
  <c r="F9" i="50"/>
  <c r="E9" i="50"/>
  <c r="D9" i="50"/>
  <c r="U8" i="50"/>
  <c r="T8" i="50"/>
  <c r="S8" i="50"/>
  <c r="R8" i="50"/>
  <c r="Q8" i="50"/>
  <c r="P8" i="50"/>
  <c r="O8" i="50"/>
  <c r="N8" i="50"/>
  <c r="L8" i="50"/>
  <c r="J8" i="50"/>
  <c r="I8" i="50"/>
  <c r="G8" i="50"/>
  <c r="F8" i="50"/>
  <c r="E8" i="50"/>
  <c r="D8" i="50"/>
  <c r="U7" i="50"/>
  <c r="T7" i="50"/>
  <c r="S7" i="50"/>
  <c r="R7" i="50"/>
  <c r="Q7" i="50"/>
  <c r="P7" i="50"/>
  <c r="O7" i="50"/>
  <c r="N7" i="50"/>
  <c r="L7" i="50"/>
  <c r="J7" i="50"/>
  <c r="I7" i="50"/>
  <c r="G7" i="50"/>
  <c r="F7" i="50"/>
  <c r="E7" i="50"/>
  <c r="D7" i="50"/>
  <c r="U6" i="50"/>
  <c r="T6" i="50"/>
  <c r="S6" i="50"/>
  <c r="R6" i="50"/>
  <c r="Q6" i="50"/>
  <c r="P6" i="50"/>
  <c r="O6" i="50"/>
  <c r="N6" i="50"/>
  <c r="L6" i="50"/>
  <c r="J6" i="50"/>
  <c r="I6" i="50"/>
  <c r="G6" i="50"/>
  <c r="F6" i="50"/>
  <c r="E6" i="50"/>
  <c r="D6" i="50"/>
  <c r="C6" i="50"/>
  <c r="Q172" i="41"/>
  <c r="Q426" i="41" s="1"/>
  <c r="R30" i="42"/>
  <c r="R9" i="42"/>
  <c r="R10" i="42"/>
  <c r="R11" i="42"/>
  <c r="R12" i="42"/>
  <c r="R13" i="42"/>
  <c r="R14" i="42"/>
  <c r="R15" i="42"/>
  <c r="R16" i="42"/>
  <c r="R17" i="42"/>
  <c r="R28" i="42"/>
  <c r="R29" i="42"/>
  <c r="R8" i="42"/>
  <c r="O172" i="42"/>
  <c r="O413" i="42" s="1"/>
  <c r="O219" i="42"/>
  <c r="O414" i="42" s="1"/>
  <c r="O266" i="42"/>
  <c r="O415" i="42" s="1"/>
  <c r="O313" i="42"/>
  <c r="O416" i="42" s="1"/>
  <c r="O360" i="42"/>
  <c r="O417" i="42" s="1"/>
  <c r="O404" i="42"/>
  <c r="O418" i="42" s="1"/>
  <c r="O408" i="42"/>
  <c r="R32" i="41"/>
  <c r="R423" i="41" s="1"/>
  <c r="I106" i="5"/>
  <c r="J106" i="5"/>
  <c r="N407" i="44"/>
  <c r="M407" i="44"/>
  <c r="L407" i="44"/>
  <c r="K407" i="44"/>
  <c r="J407" i="44"/>
  <c r="I407" i="44"/>
  <c r="H407" i="44"/>
  <c r="G407" i="44"/>
  <c r="F407" i="44"/>
  <c r="E407" i="44"/>
  <c r="D407" i="44"/>
  <c r="C407" i="44"/>
  <c r="C404" i="44"/>
  <c r="O402" i="44"/>
  <c r="O401" i="44"/>
  <c r="O400" i="44"/>
  <c r="O399" i="44"/>
  <c r="O398" i="44"/>
  <c r="O397" i="44"/>
  <c r="O396" i="44"/>
  <c r="O395" i="44"/>
  <c r="O394" i="44"/>
  <c r="O393" i="44"/>
  <c r="O362" i="44"/>
  <c r="O358" i="44"/>
  <c r="O357" i="44"/>
  <c r="O356" i="44"/>
  <c r="O355" i="44"/>
  <c r="O354" i="44"/>
  <c r="O353" i="44"/>
  <c r="O352" i="44"/>
  <c r="O351" i="44"/>
  <c r="O350" i="44"/>
  <c r="O349" i="44"/>
  <c r="O348" i="44"/>
  <c r="O347" i="44"/>
  <c r="O346" i="44"/>
  <c r="O315" i="44"/>
  <c r="O311" i="44"/>
  <c r="O310" i="44"/>
  <c r="O309" i="44"/>
  <c r="O308" i="44"/>
  <c r="O307" i="44"/>
  <c r="O306" i="44"/>
  <c r="O305" i="44"/>
  <c r="O304" i="44"/>
  <c r="O303" i="44"/>
  <c r="O302" i="44"/>
  <c r="O301" i="44"/>
  <c r="O300" i="44"/>
  <c r="O299" i="44"/>
  <c r="O268" i="44"/>
  <c r="O264" i="44"/>
  <c r="O263" i="44"/>
  <c r="O262" i="44"/>
  <c r="O261" i="44"/>
  <c r="O260" i="44"/>
  <c r="O259" i="44"/>
  <c r="O258" i="44"/>
  <c r="O257" i="44"/>
  <c r="O256" i="44"/>
  <c r="O255" i="44"/>
  <c r="O254" i="44"/>
  <c r="O253" i="44"/>
  <c r="O252" i="44"/>
  <c r="O221" i="44"/>
  <c r="O217" i="44"/>
  <c r="O216" i="44"/>
  <c r="O215" i="44"/>
  <c r="O214" i="44"/>
  <c r="O213" i="44"/>
  <c r="O212" i="44"/>
  <c r="O211" i="44"/>
  <c r="O210" i="44"/>
  <c r="O209" i="44"/>
  <c r="O208" i="44"/>
  <c r="O207" i="44"/>
  <c r="O206" i="44"/>
  <c r="O205" i="44"/>
  <c r="O174" i="44"/>
  <c r="O170" i="44"/>
  <c r="O169" i="44"/>
  <c r="O168" i="44"/>
  <c r="O167" i="44"/>
  <c r="O166" i="44"/>
  <c r="O165" i="44"/>
  <c r="O164" i="44"/>
  <c r="O163" i="44"/>
  <c r="O162" i="44"/>
  <c r="O161" i="44"/>
  <c r="O160" i="44"/>
  <c r="O159" i="44"/>
  <c r="O158" i="44"/>
  <c r="O127" i="44"/>
  <c r="O123" i="44"/>
  <c r="O122" i="44"/>
  <c r="O121" i="44"/>
  <c r="O120" i="44"/>
  <c r="O119" i="44"/>
  <c r="O118" i="44"/>
  <c r="O117" i="44"/>
  <c r="O116" i="44"/>
  <c r="O115" i="44"/>
  <c r="O114" i="44"/>
  <c r="O113" i="44"/>
  <c r="O112" i="44"/>
  <c r="O111" i="44"/>
  <c r="O80" i="44"/>
  <c r="O76" i="44"/>
  <c r="O75" i="44"/>
  <c r="O74" i="44"/>
  <c r="O73" i="44"/>
  <c r="O72" i="44"/>
  <c r="O71" i="44"/>
  <c r="O70" i="44"/>
  <c r="O69" i="44"/>
  <c r="O68" i="44"/>
  <c r="O67" i="44"/>
  <c r="O66" i="44"/>
  <c r="O65" i="44"/>
  <c r="O34" i="44"/>
  <c r="O7" i="44"/>
  <c r="W408" i="43"/>
  <c r="V408" i="43"/>
  <c r="U408" i="43"/>
  <c r="T408" i="43"/>
  <c r="S408" i="43"/>
  <c r="R408" i="43"/>
  <c r="Q408" i="43"/>
  <c r="P408" i="43"/>
  <c r="O408" i="43"/>
  <c r="N408" i="43"/>
  <c r="M408" i="43"/>
  <c r="L408" i="43"/>
  <c r="K408" i="43"/>
  <c r="J408" i="43"/>
  <c r="I408" i="43"/>
  <c r="H408" i="43"/>
  <c r="G408" i="43"/>
  <c r="F408" i="43"/>
  <c r="E408" i="43"/>
  <c r="D408" i="43"/>
  <c r="C408" i="43"/>
  <c r="X362" i="43"/>
  <c r="W360" i="43"/>
  <c r="W417" i="43" s="1"/>
  <c r="V360" i="43"/>
  <c r="V417" i="43" s="1"/>
  <c r="U360" i="43"/>
  <c r="U417" i="43" s="1"/>
  <c r="T360" i="43"/>
  <c r="T417" i="43" s="1"/>
  <c r="S360" i="43"/>
  <c r="S417" i="43" s="1"/>
  <c r="R360" i="43"/>
  <c r="R417" i="43" s="1"/>
  <c r="Q360" i="43"/>
  <c r="Q417" i="43" s="1"/>
  <c r="P360" i="43"/>
  <c r="P417" i="43" s="1"/>
  <c r="O360" i="43"/>
  <c r="O417" i="43" s="1"/>
  <c r="N360" i="43"/>
  <c r="N417" i="43" s="1"/>
  <c r="M360" i="43"/>
  <c r="M417" i="43" s="1"/>
  <c r="L360" i="43"/>
  <c r="L417" i="43" s="1"/>
  <c r="K360" i="43"/>
  <c r="K417" i="43" s="1"/>
  <c r="J360" i="43"/>
  <c r="J417" i="43" s="1"/>
  <c r="I360" i="43"/>
  <c r="I417" i="43" s="1"/>
  <c r="H360" i="43"/>
  <c r="H417" i="43" s="1"/>
  <c r="G360" i="43"/>
  <c r="G417" i="43" s="1"/>
  <c r="F360" i="43"/>
  <c r="F417" i="43" s="1"/>
  <c r="E360" i="43"/>
  <c r="E417" i="43" s="1"/>
  <c r="D360" i="43"/>
  <c r="D417" i="43" s="1"/>
  <c r="C360" i="43"/>
  <c r="X358" i="43"/>
  <c r="X357" i="43"/>
  <c r="X356" i="43"/>
  <c r="X355" i="43"/>
  <c r="X354" i="43"/>
  <c r="X353" i="43"/>
  <c r="X352" i="43"/>
  <c r="X351" i="43"/>
  <c r="X350" i="43"/>
  <c r="X349" i="43"/>
  <c r="X348" i="43"/>
  <c r="X347" i="43"/>
  <c r="X346" i="43"/>
  <c r="W313" i="43"/>
  <c r="W416" i="43" s="1"/>
  <c r="V313" i="43"/>
  <c r="V416" i="43" s="1"/>
  <c r="U313" i="43"/>
  <c r="U416" i="43" s="1"/>
  <c r="T313" i="43"/>
  <c r="T416" i="43" s="1"/>
  <c r="S313" i="43"/>
  <c r="S416" i="43" s="1"/>
  <c r="R313" i="43"/>
  <c r="R416" i="43" s="1"/>
  <c r="Q313" i="43"/>
  <c r="Q416" i="43" s="1"/>
  <c r="P313" i="43"/>
  <c r="P416" i="43" s="1"/>
  <c r="O313" i="43"/>
  <c r="O416" i="43" s="1"/>
  <c r="N313" i="43"/>
  <c r="N416" i="43" s="1"/>
  <c r="M313" i="43"/>
  <c r="M416" i="43" s="1"/>
  <c r="L313" i="43"/>
  <c r="L416" i="43" s="1"/>
  <c r="K313" i="43"/>
  <c r="K416" i="43" s="1"/>
  <c r="J313" i="43"/>
  <c r="J416" i="43" s="1"/>
  <c r="I313" i="43"/>
  <c r="I416" i="43" s="1"/>
  <c r="H313" i="43"/>
  <c r="H416" i="43" s="1"/>
  <c r="G313" i="43"/>
  <c r="G416" i="43" s="1"/>
  <c r="F313" i="43"/>
  <c r="F416" i="43" s="1"/>
  <c r="E313" i="43"/>
  <c r="E416" i="43" s="1"/>
  <c r="D313" i="43"/>
  <c r="D416" i="43" s="1"/>
  <c r="C313" i="43"/>
  <c r="X311" i="43"/>
  <c r="X310" i="43"/>
  <c r="X309" i="43"/>
  <c r="X308" i="43"/>
  <c r="X307" i="43"/>
  <c r="X306" i="43"/>
  <c r="X305" i="43"/>
  <c r="X304" i="43"/>
  <c r="X303" i="43"/>
  <c r="X302" i="43"/>
  <c r="X301" i="43"/>
  <c r="X300" i="43"/>
  <c r="X299" i="43"/>
  <c r="X268" i="43"/>
  <c r="W266" i="43"/>
  <c r="W415" i="43" s="1"/>
  <c r="V266" i="43"/>
  <c r="V415" i="43" s="1"/>
  <c r="U266" i="43"/>
  <c r="U415" i="43" s="1"/>
  <c r="T266" i="43"/>
  <c r="T415" i="43" s="1"/>
  <c r="S266" i="43"/>
  <c r="S415" i="43" s="1"/>
  <c r="R266" i="43"/>
  <c r="R415" i="43" s="1"/>
  <c r="Q266" i="43"/>
  <c r="Q415" i="43" s="1"/>
  <c r="P266" i="43"/>
  <c r="P415" i="43" s="1"/>
  <c r="O266" i="43"/>
  <c r="O415" i="43" s="1"/>
  <c r="N266" i="43"/>
  <c r="N415" i="43" s="1"/>
  <c r="M266" i="43"/>
  <c r="M415" i="43" s="1"/>
  <c r="L266" i="43"/>
  <c r="L415" i="43" s="1"/>
  <c r="K266" i="43"/>
  <c r="K415" i="43" s="1"/>
  <c r="J266" i="43"/>
  <c r="J415" i="43" s="1"/>
  <c r="I266" i="43"/>
  <c r="I415" i="43" s="1"/>
  <c r="H266" i="43"/>
  <c r="H415" i="43" s="1"/>
  <c r="G266" i="43"/>
  <c r="G415" i="43" s="1"/>
  <c r="F266" i="43"/>
  <c r="F415" i="43" s="1"/>
  <c r="E266" i="43"/>
  <c r="E415" i="43" s="1"/>
  <c r="D266" i="43"/>
  <c r="D415" i="43" s="1"/>
  <c r="C266" i="43"/>
  <c r="X264" i="43"/>
  <c r="X263" i="43"/>
  <c r="X262" i="43"/>
  <c r="X261" i="43"/>
  <c r="X260" i="43"/>
  <c r="X259" i="43"/>
  <c r="X258" i="43"/>
  <c r="X257" i="43"/>
  <c r="X256" i="43"/>
  <c r="X255" i="43"/>
  <c r="X254" i="43"/>
  <c r="X253" i="43"/>
  <c r="X221" i="43"/>
  <c r="W219" i="43"/>
  <c r="W414" i="43" s="1"/>
  <c r="V219" i="43"/>
  <c r="V414" i="43" s="1"/>
  <c r="U219" i="43"/>
  <c r="U414" i="43" s="1"/>
  <c r="T219" i="43"/>
  <c r="T414" i="43" s="1"/>
  <c r="S219" i="43"/>
  <c r="S414" i="43" s="1"/>
  <c r="R219" i="43"/>
  <c r="R414" i="43" s="1"/>
  <c r="Q219" i="43"/>
  <c r="Q414" i="43" s="1"/>
  <c r="P219" i="43"/>
  <c r="P414" i="43" s="1"/>
  <c r="O219" i="43"/>
  <c r="O414" i="43" s="1"/>
  <c r="N219" i="43"/>
  <c r="N414" i="43" s="1"/>
  <c r="M219" i="43"/>
  <c r="M414" i="43" s="1"/>
  <c r="L219" i="43"/>
  <c r="L414" i="43" s="1"/>
  <c r="K219" i="43"/>
  <c r="K414" i="43" s="1"/>
  <c r="J219" i="43"/>
  <c r="J414" i="43" s="1"/>
  <c r="I219" i="43"/>
  <c r="I414" i="43" s="1"/>
  <c r="H219" i="43"/>
  <c r="H414" i="43" s="1"/>
  <c r="G219" i="43"/>
  <c r="G414" i="43" s="1"/>
  <c r="F219" i="43"/>
  <c r="F414" i="43" s="1"/>
  <c r="E219" i="43"/>
  <c r="E414" i="43" s="1"/>
  <c r="D219" i="43"/>
  <c r="D414" i="43" s="1"/>
  <c r="C219" i="43"/>
  <c r="X217" i="43"/>
  <c r="X216" i="43"/>
  <c r="X215" i="43"/>
  <c r="X214" i="43"/>
  <c r="X213" i="43"/>
  <c r="X212" i="43"/>
  <c r="X211" i="43"/>
  <c r="X210" i="43"/>
  <c r="X209" i="43"/>
  <c r="X208" i="43"/>
  <c r="X207" i="43"/>
  <c r="X206" i="43"/>
  <c r="X205" i="43"/>
  <c r="X174" i="43"/>
  <c r="W172" i="43"/>
  <c r="W413" i="43" s="1"/>
  <c r="V172" i="43"/>
  <c r="V413" i="43" s="1"/>
  <c r="U172" i="43"/>
  <c r="U413" i="43" s="1"/>
  <c r="T172" i="43"/>
  <c r="T413" i="43" s="1"/>
  <c r="S172" i="43"/>
  <c r="S413" i="43" s="1"/>
  <c r="R172" i="43"/>
  <c r="R413" i="43" s="1"/>
  <c r="Q172" i="43"/>
  <c r="Q413" i="43" s="1"/>
  <c r="P172" i="43"/>
  <c r="P413" i="43" s="1"/>
  <c r="O172" i="43"/>
  <c r="O413" i="43" s="1"/>
  <c r="N172" i="43"/>
  <c r="N413" i="43" s="1"/>
  <c r="M172" i="43"/>
  <c r="M413" i="43" s="1"/>
  <c r="L172" i="43"/>
  <c r="L413" i="43" s="1"/>
  <c r="K172" i="43"/>
  <c r="K413" i="43" s="1"/>
  <c r="J172" i="43"/>
  <c r="J413" i="43" s="1"/>
  <c r="I172" i="43"/>
  <c r="I413" i="43" s="1"/>
  <c r="H172" i="43"/>
  <c r="H413" i="43" s="1"/>
  <c r="G172" i="43"/>
  <c r="G413" i="43" s="1"/>
  <c r="F172" i="43"/>
  <c r="F413" i="43" s="1"/>
  <c r="E172" i="43"/>
  <c r="E413" i="43" s="1"/>
  <c r="D172" i="43"/>
  <c r="D413" i="43" s="1"/>
  <c r="C172" i="43"/>
  <c r="X170" i="43"/>
  <c r="X169" i="43"/>
  <c r="X168" i="43"/>
  <c r="X167" i="43"/>
  <c r="X166" i="43"/>
  <c r="X165" i="43"/>
  <c r="X164" i="43"/>
  <c r="X163" i="43"/>
  <c r="X162" i="43"/>
  <c r="X161" i="43"/>
  <c r="X160" i="43"/>
  <c r="X159" i="43"/>
  <c r="X158" i="43"/>
  <c r="X127" i="43"/>
  <c r="W125" i="43"/>
  <c r="W412" i="43" s="1"/>
  <c r="V125" i="43"/>
  <c r="V412" i="43" s="1"/>
  <c r="U125" i="43"/>
  <c r="U412" i="43" s="1"/>
  <c r="T125" i="43"/>
  <c r="T412" i="43" s="1"/>
  <c r="S125" i="43"/>
  <c r="S412" i="43" s="1"/>
  <c r="R125" i="43"/>
  <c r="R412" i="43" s="1"/>
  <c r="Q125" i="43"/>
  <c r="Q412" i="43" s="1"/>
  <c r="P125" i="43"/>
  <c r="P412" i="43" s="1"/>
  <c r="O125" i="43"/>
  <c r="O412" i="43" s="1"/>
  <c r="N125" i="43"/>
  <c r="N412" i="43" s="1"/>
  <c r="M125" i="43"/>
  <c r="M412" i="43" s="1"/>
  <c r="L125" i="43"/>
  <c r="L412" i="43" s="1"/>
  <c r="K125" i="43"/>
  <c r="K412" i="43" s="1"/>
  <c r="J125" i="43"/>
  <c r="J412" i="43" s="1"/>
  <c r="I125" i="43"/>
  <c r="I412" i="43" s="1"/>
  <c r="H125" i="43"/>
  <c r="H412" i="43" s="1"/>
  <c r="G125" i="43"/>
  <c r="G412" i="43" s="1"/>
  <c r="F125" i="43"/>
  <c r="F412" i="43" s="1"/>
  <c r="E125" i="43"/>
  <c r="E412" i="43" s="1"/>
  <c r="D125" i="43"/>
  <c r="D412" i="43" s="1"/>
  <c r="C125" i="43"/>
  <c r="X123" i="43"/>
  <c r="X122" i="43"/>
  <c r="X121" i="43"/>
  <c r="X120" i="43"/>
  <c r="X119" i="43"/>
  <c r="X118" i="43"/>
  <c r="X117" i="43"/>
  <c r="X116" i="43"/>
  <c r="X115" i="43"/>
  <c r="X114" i="43"/>
  <c r="X113" i="43"/>
  <c r="X112" i="43"/>
  <c r="X111" i="43"/>
  <c r="W78" i="43"/>
  <c r="W411" i="43" s="1"/>
  <c r="V78" i="43"/>
  <c r="V411" i="43" s="1"/>
  <c r="U78" i="43"/>
  <c r="U411" i="43" s="1"/>
  <c r="T78" i="43"/>
  <c r="T411" i="43" s="1"/>
  <c r="S78" i="43"/>
  <c r="S411" i="43" s="1"/>
  <c r="R78" i="43"/>
  <c r="R411" i="43" s="1"/>
  <c r="Q78" i="43"/>
  <c r="P78" i="43"/>
  <c r="P411" i="43" s="1"/>
  <c r="O78" i="43"/>
  <c r="O411" i="43" s="1"/>
  <c r="N78" i="43"/>
  <c r="N411" i="43" s="1"/>
  <c r="M78" i="43"/>
  <c r="M411" i="43" s="1"/>
  <c r="L78" i="43"/>
  <c r="L411" i="43" s="1"/>
  <c r="K78" i="43"/>
  <c r="K411" i="43" s="1"/>
  <c r="J78" i="43"/>
  <c r="J411" i="43" s="1"/>
  <c r="I78" i="43"/>
  <c r="I411" i="43" s="1"/>
  <c r="H78" i="43"/>
  <c r="H411" i="43" s="1"/>
  <c r="G78" i="43"/>
  <c r="G411" i="43" s="1"/>
  <c r="F78" i="43"/>
  <c r="F411" i="43" s="1"/>
  <c r="E78" i="43"/>
  <c r="E411" i="43" s="1"/>
  <c r="D78" i="43"/>
  <c r="D411" i="43" s="1"/>
  <c r="C78" i="43"/>
  <c r="C411" i="43" s="1"/>
  <c r="X76" i="43"/>
  <c r="X75" i="43"/>
  <c r="X74" i="43"/>
  <c r="X73" i="43"/>
  <c r="X72" i="43"/>
  <c r="X71" i="43"/>
  <c r="X70" i="43"/>
  <c r="X69" i="43"/>
  <c r="X68" i="43"/>
  <c r="X67" i="43"/>
  <c r="X66" i="43"/>
  <c r="X34" i="43"/>
  <c r="W32" i="43"/>
  <c r="W410" i="43" s="1"/>
  <c r="V32" i="43"/>
  <c r="V410" i="43" s="1"/>
  <c r="U32" i="43"/>
  <c r="U410" i="43" s="1"/>
  <c r="T32" i="43"/>
  <c r="T410" i="43" s="1"/>
  <c r="S32" i="43"/>
  <c r="S410" i="43" s="1"/>
  <c r="R32" i="43"/>
  <c r="R410" i="43" s="1"/>
  <c r="Q32" i="43"/>
  <c r="Q410" i="43" s="1"/>
  <c r="P32" i="43"/>
  <c r="P410" i="43" s="1"/>
  <c r="O32" i="43"/>
  <c r="O410" i="43" s="1"/>
  <c r="N32" i="43"/>
  <c r="N410" i="43" s="1"/>
  <c r="M32" i="43"/>
  <c r="M410" i="43" s="1"/>
  <c r="L32" i="43"/>
  <c r="L410" i="43" s="1"/>
  <c r="K32" i="43"/>
  <c r="K410" i="43" s="1"/>
  <c r="J32" i="43"/>
  <c r="J410" i="43" s="1"/>
  <c r="I32" i="43"/>
  <c r="I410" i="43" s="1"/>
  <c r="H32" i="43"/>
  <c r="H410" i="43" s="1"/>
  <c r="G32" i="43"/>
  <c r="G410" i="43" s="1"/>
  <c r="F32" i="43"/>
  <c r="F410" i="43" s="1"/>
  <c r="E32" i="43"/>
  <c r="E410" i="43" s="1"/>
  <c r="D32" i="43"/>
  <c r="X7" i="43"/>
  <c r="Q408" i="42"/>
  <c r="P408" i="42"/>
  <c r="N408" i="42"/>
  <c r="M408" i="42"/>
  <c r="L408" i="42"/>
  <c r="K408" i="42"/>
  <c r="J408" i="42"/>
  <c r="I408" i="42"/>
  <c r="H408" i="42"/>
  <c r="G408" i="42"/>
  <c r="F408" i="42"/>
  <c r="E408" i="42"/>
  <c r="D408" i="42"/>
  <c r="C408" i="42"/>
  <c r="Q404" i="42"/>
  <c r="Q418" i="42" s="1"/>
  <c r="P404" i="42"/>
  <c r="P418" i="42" s="1"/>
  <c r="N404" i="42"/>
  <c r="N418" i="42" s="1"/>
  <c r="M404" i="42"/>
  <c r="M418" i="42" s="1"/>
  <c r="L404" i="42"/>
  <c r="L418" i="42" s="1"/>
  <c r="K404" i="42"/>
  <c r="K418" i="42" s="1"/>
  <c r="J404" i="42"/>
  <c r="I404" i="42"/>
  <c r="I418" i="42" s="1"/>
  <c r="H404" i="42"/>
  <c r="H418" i="42" s="1"/>
  <c r="G404" i="42"/>
  <c r="G418" i="42" s="1"/>
  <c r="F404" i="42"/>
  <c r="F418" i="42" s="1"/>
  <c r="E404" i="42"/>
  <c r="E418" i="42" s="1"/>
  <c r="D404" i="42"/>
  <c r="D418" i="42" s="1"/>
  <c r="C404" i="42"/>
  <c r="C418" i="42" s="1"/>
  <c r="R402" i="42"/>
  <c r="R401" i="42"/>
  <c r="R400" i="42"/>
  <c r="R399" i="42"/>
  <c r="R398" i="42"/>
  <c r="R397" i="42"/>
  <c r="R396" i="42"/>
  <c r="R395" i="42"/>
  <c r="R394" i="42"/>
  <c r="R393" i="42"/>
  <c r="R362" i="42"/>
  <c r="Q360" i="42"/>
  <c r="Q417" i="42" s="1"/>
  <c r="P360" i="42"/>
  <c r="P417" i="42" s="1"/>
  <c r="N360" i="42"/>
  <c r="N417" i="42" s="1"/>
  <c r="M360" i="42"/>
  <c r="M417" i="42" s="1"/>
  <c r="L360" i="42"/>
  <c r="L417" i="42" s="1"/>
  <c r="K360" i="42"/>
  <c r="K417" i="42" s="1"/>
  <c r="J360" i="42"/>
  <c r="J417" i="42" s="1"/>
  <c r="I360" i="42"/>
  <c r="I417" i="42" s="1"/>
  <c r="H360" i="42"/>
  <c r="H417" i="42" s="1"/>
  <c r="G360" i="42"/>
  <c r="G417" i="42" s="1"/>
  <c r="F360" i="42"/>
  <c r="F417" i="42" s="1"/>
  <c r="E360" i="42"/>
  <c r="E417" i="42" s="1"/>
  <c r="D360" i="42"/>
  <c r="D417" i="42" s="1"/>
  <c r="C360" i="42"/>
  <c r="R358" i="42"/>
  <c r="R357" i="42"/>
  <c r="R356" i="42"/>
  <c r="R355" i="42"/>
  <c r="R354" i="42"/>
  <c r="R353" i="42"/>
  <c r="R352" i="42"/>
  <c r="R351" i="42"/>
  <c r="R350" i="42"/>
  <c r="R349" i="42"/>
  <c r="R348" i="42"/>
  <c r="R347" i="42"/>
  <c r="R346" i="42"/>
  <c r="R315" i="42"/>
  <c r="Q313" i="42"/>
  <c r="Q416" i="42" s="1"/>
  <c r="P313" i="42"/>
  <c r="P416" i="42" s="1"/>
  <c r="N313" i="42"/>
  <c r="N416" i="42" s="1"/>
  <c r="M313" i="42"/>
  <c r="M416" i="42" s="1"/>
  <c r="L313" i="42"/>
  <c r="L416" i="42" s="1"/>
  <c r="K313" i="42"/>
  <c r="K416" i="42" s="1"/>
  <c r="J313" i="42"/>
  <c r="J416" i="42" s="1"/>
  <c r="I313" i="42"/>
  <c r="I416" i="42" s="1"/>
  <c r="H313" i="42"/>
  <c r="H416" i="42" s="1"/>
  <c r="G313" i="42"/>
  <c r="G416" i="42" s="1"/>
  <c r="F313" i="42"/>
  <c r="F416" i="42" s="1"/>
  <c r="E313" i="42"/>
  <c r="E416" i="42" s="1"/>
  <c r="D313" i="42"/>
  <c r="D416" i="42" s="1"/>
  <c r="C313" i="42"/>
  <c r="R311" i="42"/>
  <c r="R310" i="42"/>
  <c r="R309" i="42"/>
  <c r="R308" i="42"/>
  <c r="R307" i="42"/>
  <c r="R306" i="42"/>
  <c r="R305" i="42"/>
  <c r="R304" i="42"/>
  <c r="R303" i="42"/>
  <c r="R302" i="42"/>
  <c r="R301" i="42"/>
  <c r="R300" i="42"/>
  <c r="R299" i="42"/>
  <c r="R268" i="42"/>
  <c r="Q266" i="42"/>
  <c r="Q415" i="42" s="1"/>
  <c r="P266" i="42"/>
  <c r="P415" i="42" s="1"/>
  <c r="N266" i="42"/>
  <c r="N415" i="42" s="1"/>
  <c r="M266" i="42"/>
  <c r="M415" i="42" s="1"/>
  <c r="L266" i="42"/>
  <c r="L415" i="42" s="1"/>
  <c r="K266" i="42"/>
  <c r="K415" i="42" s="1"/>
  <c r="J266" i="42"/>
  <c r="J415" i="42" s="1"/>
  <c r="I266" i="42"/>
  <c r="I415" i="42" s="1"/>
  <c r="H266" i="42"/>
  <c r="H415" i="42" s="1"/>
  <c r="G266" i="42"/>
  <c r="G415" i="42" s="1"/>
  <c r="F266" i="42"/>
  <c r="F415" i="42" s="1"/>
  <c r="E266" i="42"/>
  <c r="E415" i="42" s="1"/>
  <c r="D266" i="42"/>
  <c r="D415" i="42" s="1"/>
  <c r="C266" i="42"/>
  <c r="R264" i="42"/>
  <c r="R263" i="42"/>
  <c r="R262" i="42"/>
  <c r="R261" i="42"/>
  <c r="R260" i="42"/>
  <c r="R259" i="42"/>
  <c r="R258" i="42"/>
  <c r="R257" i="42"/>
  <c r="R256" i="42"/>
  <c r="R255" i="42"/>
  <c r="R254" i="42"/>
  <c r="R253" i="42"/>
  <c r="R252" i="42"/>
  <c r="R221" i="42"/>
  <c r="Q219" i="42"/>
  <c r="Q414" i="42" s="1"/>
  <c r="P219" i="42"/>
  <c r="P414" i="42" s="1"/>
  <c r="N219" i="42"/>
  <c r="N414" i="42" s="1"/>
  <c r="M219" i="42"/>
  <c r="M414" i="42" s="1"/>
  <c r="L219" i="42"/>
  <c r="L414" i="42" s="1"/>
  <c r="K219" i="42"/>
  <c r="K414" i="42" s="1"/>
  <c r="J219" i="42"/>
  <c r="J414" i="42" s="1"/>
  <c r="I219" i="42"/>
  <c r="I414" i="42" s="1"/>
  <c r="H219" i="42"/>
  <c r="H414" i="42" s="1"/>
  <c r="G219" i="42"/>
  <c r="G414" i="42" s="1"/>
  <c r="F219" i="42"/>
  <c r="F414" i="42" s="1"/>
  <c r="E219" i="42"/>
  <c r="E414" i="42" s="1"/>
  <c r="D219" i="42"/>
  <c r="D414" i="42" s="1"/>
  <c r="C219" i="42"/>
  <c r="R217" i="42"/>
  <c r="R216" i="42"/>
  <c r="R215" i="42"/>
  <c r="R214" i="42"/>
  <c r="R213" i="42"/>
  <c r="R212" i="42"/>
  <c r="R211" i="42"/>
  <c r="R210" i="42"/>
  <c r="R209" i="42"/>
  <c r="R208" i="42"/>
  <c r="R207" i="42"/>
  <c r="R206" i="42"/>
  <c r="R205" i="42"/>
  <c r="R174" i="42"/>
  <c r="Q172" i="42"/>
  <c r="Q413" i="42" s="1"/>
  <c r="P172" i="42"/>
  <c r="P413" i="42" s="1"/>
  <c r="P419" i="42" s="1"/>
  <c r="N172" i="42"/>
  <c r="N413" i="42" s="1"/>
  <c r="M172" i="42"/>
  <c r="M413" i="42" s="1"/>
  <c r="L172" i="42"/>
  <c r="L413" i="42" s="1"/>
  <c r="L419" i="42" s="1"/>
  <c r="K172" i="42"/>
  <c r="K413" i="42" s="1"/>
  <c r="J172" i="42"/>
  <c r="J413" i="42" s="1"/>
  <c r="I172" i="42"/>
  <c r="I413" i="42" s="1"/>
  <c r="I419" i="42" s="1"/>
  <c r="H172" i="42"/>
  <c r="H413" i="42" s="1"/>
  <c r="G172" i="42"/>
  <c r="G413" i="42" s="1"/>
  <c r="G419" i="42" s="1"/>
  <c r="F172" i="42"/>
  <c r="F413" i="42" s="1"/>
  <c r="E172" i="42"/>
  <c r="E413" i="42" s="1"/>
  <c r="D172" i="42"/>
  <c r="D413" i="42" s="1"/>
  <c r="D419" i="42" s="1"/>
  <c r="C172" i="42"/>
  <c r="R170" i="42"/>
  <c r="R169" i="42"/>
  <c r="R168" i="42"/>
  <c r="R167" i="42"/>
  <c r="R166" i="42"/>
  <c r="R165" i="42"/>
  <c r="R164" i="42"/>
  <c r="R163" i="42"/>
  <c r="R162" i="42"/>
  <c r="R161" i="42"/>
  <c r="R160" i="42"/>
  <c r="R159" i="42"/>
  <c r="R158" i="42"/>
  <c r="R127" i="42"/>
  <c r="R123" i="42"/>
  <c r="R122" i="42"/>
  <c r="R121" i="42"/>
  <c r="R120" i="42"/>
  <c r="R119" i="42"/>
  <c r="R118" i="42"/>
  <c r="R117" i="42"/>
  <c r="R116" i="42"/>
  <c r="R115" i="42"/>
  <c r="R114" i="42"/>
  <c r="R113" i="42"/>
  <c r="R112" i="42"/>
  <c r="R111" i="42"/>
  <c r="R80" i="42"/>
  <c r="R76" i="42"/>
  <c r="R75" i="42"/>
  <c r="R74" i="42"/>
  <c r="R73" i="42"/>
  <c r="R72" i="42"/>
  <c r="R71" i="42"/>
  <c r="R70" i="42"/>
  <c r="R69" i="42"/>
  <c r="R68" i="42"/>
  <c r="R67" i="42"/>
  <c r="R66" i="42"/>
  <c r="R65" i="42"/>
  <c r="R34" i="42"/>
  <c r="C32" i="42"/>
  <c r="D416" i="41"/>
  <c r="D408" i="41" s="1"/>
  <c r="E416" i="41"/>
  <c r="E410" i="41" s="1"/>
  <c r="F416" i="41"/>
  <c r="G416" i="41"/>
  <c r="G408" i="41" s="1"/>
  <c r="H416" i="41"/>
  <c r="I416" i="41"/>
  <c r="I410" i="41" s="1"/>
  <c r="J416" i="41"/>
  <c r="J410" i="41" s="1"/>
  <c r="K416" i="41"/>
  <c r="K419" i="41" s="1"/>
  <c r="L416" i="41"/>
  <c r="L410" i="41" s="1"/>
  <c r="M416" i="41"/>
  <c r="M410" i="41" s="1"/>
  <c r="N416" i="41"/>
  <c r="N410" i="41" s="1"/>
  <c r="O416" i="41"/>
  <c r="O419" i="41" s="1"/>
  <c r="P416" i="41"/>
  <c r="P408" i="41" s="1"/>
  <c r="Q416" i="41"/>
  <c r="Q410" i="41" s="1"/>
  <c r="S416" i="41"/>
  <c r="S419" i="41" s="1"/>
  <c r="T416" i="41"/>
  <c r="T410" i="41" s="1"/>
  <c r="U416" i="41"/>
  <c r="U410" i="41" s="1"/>
  <c r="V416" i="41"/>
  <c r="V410" i="41" s="1"/>
  <c r="C416" i="41"/>
  <c r="X409" i="41"/>
  <c r="V421" i="41"/>
  <c r="U421" i="41"/>
  <c r="T421" i="41"/>
  <c r="S421" i="41"/>
  <c r="Q421" i="41"/>
  <c r="P421" i="41"/>
  <c r="O421" i="41"/>
  <c r="N421" i="41"/>
  <c r="M421" i="41"/>
  <c r="L421" i="41"/>
  <c r="K421" i="41"/>
  <c r="J421" i="41"/>
  <c r="I421" i="41"/>
  <c r="H421" i="41"/>
  <c r="G421" i="41"/>
  <c r="F421" i="41"/>
  <c r="E421" i="41"/>
  <c r="D421" i="41"/>
  <c r="C421" i="41"/>
  <c r="N10" i="5"/>
  <c r="V404" i="41"/>
  <c r="V431" i="41" s="1"/>
  <c r="U404" i="41"/>
  <c r="U431" i="41" s="1"/>
  <c r="T404" i="41"/>
  <c r="T431" i="41" s="1"/>
  <c r="S404" i="41"/>
  <c r="S431" i="41" s="1"/>
  <c r="Q404" i="41"/>
  <c r="Q431" i="41" s="1"/>
  <c r="P404" i="41"/>
  <c r="P431" i="41" s="1"/>
  <c r="O404" i="41"/>
  <c r="O431" i="41" s="1"/>
  <c r="N404" i="41"/>
  <c r="N431" i="41" s="1"/>
  <c r="M404" i="41"/>
  <c r="M431" i="41" s="1"/>
  <c r="L404" i="41"/>
  <c r="L431" i="41" s="1"/>
  <c r="K404" i="41"/>
  <c r="K431" i="41" s="1"/>
  <c r="J404" i="41"/>
  <c r="J431" i="41" s="1"/>
  <c r="I404" i="41"/>
  <c r="I431" i="41" s="1"/>
  <c r="H404" i="41"/>
  <c r="H431" i="41" s="1"/>
  <c r="G404" i="41"/>
  <c r="G431" i="41" s="1"/>
  <c r="F404" i="41"/>
  <c r="F431" i="41" s="1"/>
  <c r="E404" i="41"/>
  <c r="E431" i="41" s="1"/>
  <c r="D404" i="41"/>
  <c r="D431" i="41" s="1"/>
  <c r="C404" i="41"/>
  <c r="W402" i="41"/>
  <c r="W401" i="41"/>
  <c r="W400" i="41"/>
  <c r="W399" i="41"/>
  <c r="W398" i="41"/>
  <c r="W397" i="41"/>
  <c r="W396" i="41"/>
  <c r="W395" i="41"/>
  <c r="W394" i="41"/>
  <c r="W393" i="41"/>
  <c r="W392" i="41"/>
  <c r="W391" i="41"/>
  <c r="W390" i="41"/>
  <c r="V360" i="41"/>
  <c r="V430" i="41" s="1"/>
  <c r="U360" i="41"/>
  <c r="U430" i="41" s="1"/>
  <c r="T360" i="41"/>
  <c r="T430" i="41" s="1"/>
  <c r="S360" i="41"/>
  <c r="S430" i="41" s="1"/>
  <c r="Q360" i="41"/>
  <c r="Q430" i="41" s="1"/>
  <c r="P360" i="41"/>
  <c r="P430" i="41" s="1"/>
  <c r="O360" i="41"/>
  <c r="O430" i="41" s="1"/>
  <c r="N360" i="41"/>
  <c r="N430" i="41" s="1"/>
  <c r="M360" i="41"/>
  <c r="M430" i="41" s="1"/>
  <c r="L360" i="41"/>
  <c r="L430" i="41" s="1"/>
  <c r="K360" i="41"/>
  <c r="K430" i="41" s="1"/>
  <c r="J360" i="41"/>
  <c r="J430" i="41" s="1"/>
  <c r="I360" i="41"/>
  <c r="I430" i="41" s="1"/>
  <c r="H360" i="41"/>
  <c r="H430" i="41" s="1"/>
  <c r="G360" i="41"/>
  <c r="G430" i="41" s="1"/>
  <c r="F360" i="41"/>
  <c r="F430" i="41" s="1"/>
  <c r="E360" i="41"/>
  <c r="E430" i="41" s="1"/>
  <c r="D360" i="41"/>
  <c r="D430" i="41" s="1"/>
  <c r="C360" i="41"/>
  <c r="W358" i="41"/>
  <c r="W357" i="41"/>
  <c r="V313" i="41"/>
  <c r="V429" i="41" s="1"/>
  <c r="U313" i="41"/>
  <c r="U429" i="41" s="1"/>
  <c r="T313" i="41"/>
  <c r="T429" i="41" s="1"/>
  <c r="S313" i="41"/>
  <c r="S429" i="41" s="1"/>
  <c r="Q313" i="41"/>
  <c r="Q429" i="41" s="1"/>
  <c r="P313" i="41"/>
  <c r="P429" i="41" s="1"/>
  <c r="O313" i="41"/>
  <c r="O429" i="41" s="1"/>
  <c r="N313" i="41"/>
  <c r="N429" i="41" s="1"/>
  <c r="M313" i="41"/>
  <c r="M429" i="41" s="1"/>
  <c r="L313" i="41"/>
  <c r="L429" i="41" s="1"/>
  <c r="K313" i="41"/>
  <c r="K429" i="41" s="1"/>
  <c r="J313" i="41"/>
  <c r="J429" i="41" s="1"/>
  <c r="I313" i="41"/>
  <c r="I429" i="41" s="1"/>
  <c r="H313" i="41"/>
  <c r="H429" i="41" s="1"/>
  <c r="G313" i="41"/>
  <c r="G429" i="41" s="1"/>
  <c r="F313" i="41"/>
  <c r="F429" i="41" s="1"/>
  <c r="E313" i="41"/>
  <c r="E429" i="41" s="1"/>
  <c r="D313" i="41"/>
  <c r="D429" i="41" s="1"/>
  <c r="C313" i="41"/>
  <c r="V266" i="41"/>
  <c r="V428" i="41" s="1"/>
  <c r="U266" i="41"/>
  <c r="U428" i="41" s="1"/>
  <c r="T266" i="41"/>
  <c r="T428" i="41" s="1"/>
  <c r="S266" i="41"/>
  <c r="S428" i="41" s="1"/>
  <c r="Q266" i="41"/>
  <c r="Q428" i="41" s="1"/>
  <c r="P266" i="41"/>
  <c r="P428" i="41" s="1"/>
  <c r="O266" i="41"/>
  <c r="O428" i="41" s="1"/>
  <c r="N266" i="41"/>
  <c r="N428" i="41" s="1"/>
  <c r="M266" i="41"/>
  <c r="M428" i="41" s="1"/>
  <c r="L266" i="41"/>
  <c r="L428" i="41" s="1"/>
  <c r="K266" i="41"/>
  <c r="K428" i="41" s="1"/>
  <c r="J266" i="41"/>
  <c r="J428" i="41" s="1"/>
  <c r="I266" i="41"/>
  <c r="I428" i="41" s="1"/>
  <c r="H266" i="41"/>
  <c r="H428" i="41" s="1"/>
  <c r="G266" i="41"/>
  <c r="G428" i="41" s="1"/>
  <c r="F266" i="41"/>
  <c r="F428" i="41" s="1"/>
  <c r="E266" i="41"/>
  <c r="E428" i="41" s="1"/>
  <c r="D266" i="41"/>
  <c r="D428" i="41" s="1"/>
  <c r="C266" i="41"/>
  <c r="W263" i="41"/>
  <c r="W262" i="41"/>
  <c r="W261" i="41"/>
  <c r="W260" i="41"/>
  <c r="W259" i="41"/>
  <c r="W258" i="41"/>
  <c r="W257" i="41"/>
  <c r="W256" i="41"/>
  <c r="W255" i="41"/>
  <c r="W254" i="41"/>
  <c r="W253" i="41"/>
  <c r="W252" i="41"/>
  <c r="W221" i="41"/>
  <c r="V219" i="41"/>
  <c r="V427" i="41" s="1"/>
  <c r="U219" i="41"/>
  <c r="U427" i="41" s="1"/>
  <c r="T219" i="41"/>
  <c r="T427" i="41" s="1"/>
  <c r="S219" i="41"/>
  <c r="S427" i="41" s="1"/>
  <c r="Q219" i="41"/>
  <c r="Q427" i="41" s="1"/>
  <c r="P219" i="41"/>
  <c r="P427" i="41" s="1"/>
  <c r="O219" i="41"/>
  <c r="O427" i="41" s="1"/>
  <c r="N219" i="41"/>
  <c r="N427" i="41" s="1"/>
  <c r="M219" i="41"/>
  <c r="M427" i="41" s="1"/>
  <c r="L219" i="41"/>
  <c r="L427" i="41" s="1"/>
  <c r="K219" i="41"/>
  <c r="K427" i="41" s="1"/>
  <c r="J219" i="41"/>
  <c r="J427" i="41" s="1"/>
  <c r="I219" i="41"/>
  <c r="I427" i="41" s="1"/>
  <c r="H219" i="41"/>
  <c r="H427" i="41" s="1"/>
  <c r="G219" i="41"/>
  <c r="G427" i="41" s="1"/>
  <c r="F219" i="41"/>
  <c r="F427" i="41" s="1"/>
  <c r="E219" i="41"/>
  <c r="E427" i="41" s="1"/>
  <c r="D219" i="41"/>
  <c r="D427" i="41" s="1"/>
  <c r="C219" i="41"/>
  <c r="W217" i="41"/>
  <c r="W216" i="41"/>
  <c r="W215" i="41"/>
  <c r="W214" i="41"/>
  <c r="W213" i="41"/>
  <c r="W212" i="41"/>
  <c r="W211" i="41"/>
  <c r="W210" i="41"/>
  <c r="W209" i="41"/>
  <c r="W208" i="41"/>
  <c r="W207" i="41"/>
  <c r="W206" i="41"/>
  <c r="W205" i="41"/>
  <c r="V172" i="41"/>
  <c r="V426" i="41" s="1"/>
  <c r="U172" i="41"/>
  <c r="U426" i="41" s="1"/>
  <c r="T172" i="41"/>
  <c r="T426" i="41" s="1"/>
  <c r="S172" i="41"/>
  <c r="S426" i="41" s="1"/>
  <c r="P172" i="41"/>
  <c r="P426" i="41" s="1"/>
  <c r="O172" i="41"/>
  <c r="O426" i="41" s="1"/>
  <c r="N172" i="41"/>
  <c r="N426" i="41" s="1"/>
  <c r="M172" i="41"/>
  <c r="M426" i="41" s="1"/>
  <c r="L172" i="41"/>
  <c r="L426" i="41" s="1"/>
  <c r="K172" i="41"/>
  <c r="K426" i="41" s="1"/>
  <c r="J172" i="41"/>
  <c r="J426" i="41" s="1"/>
  <c r="I172" i="41"/>
  <c r="I426" i="41" s="1"/>
  <c r="H172" i="41"/>
  <c r="H426" i="41" s="1"/>
  <c r="G172" i="41"/>
  <c r="G426" i="41" s="1"/>
  <c r="F172" i="41"/>
  <c r="F426" i="41" s="1"/>
  <c r="E172" i="41"/>
  <c r="E426" i="41" s="1"/>
  <c r="D172" i="41"/>
  <c r="D426" i="41" s="1"/>
  <c r="C172" i="41"/>
  <c r="W170" i="41"/>
  <c r="W169" i="41"/>
  <c r="W168" i="41"/>
  <c r="V125" i="41"/>
  <c r="V425" i="41" s="1"/>
  <c r="U125" i="41"/>
  <c r="U425" i="41" s="1"/>
  <c r="T125" i="41"/>
  <c r="T425" i="41" s="1"/>
  <c r="S125" i="41"/>
  <c r="S425" i="41" s="1"/>
  <c r="Q125" i="41"/>
  <c r="Q425" i="41" s="1"/>
  <c r="P125" i="41"/>
  <c r="P425" i="41" s="1"/>
  <c r="O125" i="41"/>
  <c r="O425" i="41" s="1"/>
  <c r="N125" i="41"/>
  <c r="N425" i="41" s="1"/>
  <c r="M125" i="41"/>
  <c r="M425" i="41" s="1"/>
  <c r="L125" i="41"/>
  <c r="L425" i="41" s="1"/>
  <c r="K125" i="41"/>
  <c r="K425" i="41" s="1"/>
  <c r="J125" i="41"/>
  <c r="J425" i="41" s="1"/>
  <c r="I125" i="41"/>
  <c r="I425" i="41" s="1"/>
  <c r="H125" i="41"/>
  <c r="H425" i="41" s="1"/>
  <c r="G125" i="41"/>
  <c r="G425" i="41" s="1"/>
  <c r="F125" i="41"/>
  <c r="F425" i="41" s="1"/>
  <c r="E125" i="41"/>
  <c r="E425" i="41" s="1"/>
  <c r="C125" i="41"/>
  <c r="W123" i="41"/>
  <c r="W122" i="41"/>
  <c r="W121" i="41"/>
  <c r="W120" i="41"/>
  <c r="W119" i="41"/>
  <c r="W118" i="41"/>
  <c r="W117" i="41"/>
  <c r="W116" i="41"/>
  <c r="W115" i="41"/>
  <c r="W114" i="41"/>
  <c r="W113" i="41"/>
  <c r="W83" i="41"/>
  <c r="W82" i="41"/>
  <c r="W81" i="41"/>
  <c r="V78" i="41"/>
  <c r="V424" i="41" s="1"/>
  <c r="U78" i="41"/>
  <c r="U424" i="41" s="1"/>
  <c r="T78" i="41"/>
  <c r="T424" i="41" s="1"/>
  <c r="S78" i="41"/>
  <c r="S424" i="41" s="1"/>
  <c r="Q78" i="41"/>
  <c r="Q424" i="41" s="1"/>
  <c r="P78" i="41"/>
  <c r="P424" i="41" s="1"/>
  <c r="O78" i="41"/>
  <c r="O424" i="41" s="1"/>
  <c r="N78" i="41"/>
  <c r="N424" i="41" s="1"/>
  <c r="M78" i="41"/>
  <c r="M424" i="41" s="1"/>
  <c r="L78" i="41"/>
  <c r="L424" i="41" s="1"/>
  <c r="K78" i="41"/>
  <c r="K424" i="41" s="1"/>
  <c r="J78" i="41"/>
  <c r="J424" i="41" s="1"/>
  <c r="I78" i="41"/>
  <c r="I424" i="41" s="1"/>
  <c r="H78" i="41"/>
  <c r="H424" i="41" s="1"/>
  <c r="G78" i="41"/>
  <c r="G424" i="41" s="1"/>
  <c r="F78" i="41"/>
  <c r="F424" i="41" s="1"/>
  <c r="E78" i="41"/>
  <c r="E424" i="41" s="1"/>
  <c r="C78" i="41"/>
  <c r="W76" i="41"/>
  <c r="W75" i="41"/>
  <c r="W74" i="41"/>
  <c r="W73" i="41"/>
  <c r="W72" i="41"/>
  <c r="W71" i="41"/>
  <c r="W70" i="41"/>
  <c r="W69" i="41"/>
  <c r="W68" i="41"/>
  <c r="W67" i="41"/>
  <c r="W36" i="41"/>
  <c r="W35" i="41"/>
  <c r="W34" i="41"/>
  <c r="V32" i="41"/>
  <c r="V423" i="41" s="1"/>
  <c r="U32" i="41"/>
  <c r="U423" i="41" s="1"/>
  <c r="T32" i="41"/>
  <c r="T423" i="41" s="1"/>
  <c r="S32" i="41"/>
  <c r="S423" i="41" s="1"/>
  <c r="Q32" i="41"/>
  <c r="Q423" i="41" s="1"/>
  <c r="P32" i="41"/>
  <c r="P423" i="41" s="1"/>
  <c r="O32" i="41"/>
  <c r="O423" i="41" s="1"/>
  <c r="N32" i="41"/>
  <c r="N423" i="41" s="1"/>
  <c r="M32" i="41"/>
  <c r="M423" i="41" s="1"/>
  <c r="L32" i="41"/>
  <c r="L423" i="41" s="1"/>
  <c r="K32" i="41"/>
  <c r="K423" i="41" s="1"/>
  <c r="J32" i="41"/>
  <c r="J423" i="41" s="1"/>
  <c r="I32" i="41"/>
  <c r="I423" i="41" s="1"/>
  <c r="H32" i="41"/>
  <c r="H423" i="41" s="1"/>
  <c r="G32" i="41"/>
  <c r="G423" i="41" s="1"/>
  <c r="F32" i="41"/>
  <c r="F423" i="41" s="1"/>
  <c r="E32" i="41"/>
  <c r="E423" i="41" s="1"/>
  <c r="D32" i="41"/>
  <c r="D423" i="41" s="1"/>
  <c r="C32" i="41"/>
  <c r="C423" i="41" s="1"/>
  <c r="W7" i="41"/>
  <c r="F9" i="5"/>
  <c r="G9" i="5"/>
  <c r="H9" i="5"/>
  <c r="I9" i="5"/>
  <c r="J9" i="5"/>
  <c r="K9" i="5"/>
  <c r="L9" i="5"/>
  <c r="M9" i="5"/>
  <c r="N9" i="5"/>
  <c r="O9" i="5"/>
  <c r="E9" i="5"/>
  <c r="D9" i="5"/>
  <c r="V73" i="5"/>
  <c r="V50" i="5"/>
  <c r="R50" i="5"/>
  <c r="R73" i="5"/>
  <c r="U73" i="5"/>
  <c r="U50" i="5"/>
  <c r="T50" i="5"/>
  <c r="T73" i="5"/>
  <c r="S73" i="5"/>
  <c r="S50" i="5"/>
  <c r="Q33" i="5"/>
  <c r="Q73" i="5"/>
  <c r="Q50" i="5"/>
  <c r="U9" i="5"/>
  <c r="V33" i="5"/>
  <c r="T9" i="5"/>
  <c r="U33" i="5"/>
  <c r="S9" i="5"/>
  <c r="T33" i="5"/>
  <c r="R9" i="5"/>
  <c r="S33" i="5"/>
  <c r="Q9" i="5"/>
  <c r="R33" i="5"/>
  <c r="C9" i="7"/>
  <c r="H73" i="29"/>
  <c r="F73" i="29"/>
  <c r="T7" i="7"/>
  <c r="S7" i="7"/>
  <c r="R7" i="7"/>
  <c r="Q7" i="7"/>
  <c r="P7" i="7"/>
  <c r="O7" i="7"/>
  <c r="N7" i="7"/>
  <c r="M7" i="7"/>
  <c r="L7" i="7"/>
  <c r="K7" i="7"/>
  <c r="J7" i="7"/>
  <c r="I7" i="7"/>
  <c r="H7" i="7"/>
  <c r="G7" i="7"/>
  <c r="F7" i="7"/>
  <c r="E7" i="7"/>
  <c r="D7" i="7"/>
  <c r="C7" i="7"/>
  <c r="U7"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66" i="7"/>
  <c r="C43" i="7"/>
  <c r="C44" i="7"/>
  <c r="C45" i="7"/>
  <c r="C46" i="7"/>
  <c r="C47" i="7"/>
  <c r="D39" i="7"/>
  <c r="E39" i="7"/>
  <c r="F39" i="7"/>
  <c r="G39" i="7"/>
  <c r="H39" i="7"/>
  <c r="I39" i="7"/>
  <c r="J39" i="7"/>
  <c r="K39" i="7"/>
  <c r="L39" i="7"/>
  <c r="M39" i="7"/>
  <c r="N39" i="7"/>
  <c r="O39" i="7"/>
  <c r="P39" i="7"/>
  <c r="Q39" i="7"/>
  <c r="R39" i="7"/>
  <c r="S39" i="7"/>
  <c r="T39" i="7"/>
  <c r="D40" i="7"/>
  <c r="E40" i="7"/>
  <c r="F40" i="7"/>
  <c r="G40" i="7"/>
  <c r="H40" i="7"/>
  <c r="I40" i="7"/>
  <c r="J40" i="7"/>
  <c r="K40" i="7"/>
  <c r="L40" i="7"/>
  <c r="M40" i="7"/>
  <c r="N40" i="7"/>
  <c r="O40" i="7"/>
  <c r="P40" i="7"/>
  <c r="Q40" i="7"/>
  <c r="R40" i="7"/>
  <c r="S40" i="7"/>
  <c r="T40" i="7"/>
  <c r="D41" i="7"/>
  <c r="E41" i="7"/>
  <c r="F41" i="7"/>
  <c r="G41" i="7"/>
  <c r="H41" i="7"/>
  <c r="I41" i="7"/>
  <c r="J41" i="7"/>
  <c r="K41" i="7"/>
  <c r="L41" i="7"/>
  <c r="M41" i="7"/>
  <c r="N41" i="7"/>
  <c r="O41" i="7"/>
  <c r="P41" i="7"/>
  <c r="Q41" i="7"/>
  <c r="R41" i="7"/>
  <c r="S41" i="7"/>
  <c r="T41" i="7"/>
  <c r="D42" i="7"/>
  <c r="E42" i="7"/>
  <c r="F42" i="7"/>
  <c r="G42" i="7"/>
  <c r="H42" i="7"/>
  <c r="I42" i="7"/>
  <c r="J42" i="7"/>
  <c r="K42" i="7"/>
  <c r="L42" i="7"/>
  <c r="M42" i="7"/>
  <c r="N42" i="7"/>
  <c r="O42" i="7"/>
  <c r="P42" i="7"/>
  <c r="Q42" i="7"/>
  <c r="R42" i="7"/>
  <c r="S42" i="7"/>
  <c r="T42" i="7"/>
  <c r="D43" i="7"/>
  <c r="E43" i="7"/>
  <c r="F43" i="7"/>
  <c r="G43" i="7"/>
  <c r="H43" i="7"/>
  <c r="I43" i="7"/>
  <c r="J43" i="7"/>
  <c r="K43" i="7"/>
  <c r="L43" i="7"/>
  <c r="M43" i="7"/>
  <c r="N43" i="7"/>
  <c r="O43" i="7"/>
  <c r="P43" i="7"/>
  <c r="Q43" i="7"/>
  <c r="R43" i="7"/>
  <c r="S43" i="7"/>
  <c r="T43" i="7"/>
  <c r="D44" i="7"/>
  <c r="E44" i="7"/>
  <c r="F44" i="7"/>
  <c r="G44" i="7"/>
  <c r="H44" i="7"/>
  <c r="I44" i="7"/>
  <c r="J44" i="7"/>
  <c r="K44" i="7"/>
  <c r="L44" i="7"/>
  <c r="M44" i="7"/>
  <c r="N44" i="7"/>
  <c r="O44" i="7"/>
  <c r="P44" i="7"/>
  <c r="Q44" i="7"/>
  <c r="R44" i="7"/>
  <c r="S44" i="7"/>
  <c r="T44" i="7"/>
  <c r="D45" i="7"/>
  <c r="E45" i="7"/>
  <c r="F45" i="7"/>
  <c r="G45" i="7"/>
  <c r="H45" i="7"/>
  <c r="I45" i="7"/>
  <c r="J45" i="7"/>
  <c r="K45" i="7"/>
  <c r="L45" i="7"/>
  <c r="M45" i="7"/>
  <c r="N45" i="7"/>
  <c r="O45" i="7"/>
  <c r="P45" i="7"/>
  <c r="Q45" i="7"/>
  <c r="R45" i="7"/>
  <c r="S45" i="7"/>
  <c r="T45" i="7"/>
  <c r="D46" i="7"/>
  <c r="E46" i="7"/>
  <c r="F46" i="7"/>
  <c r="G46" i="7"/>
  <c r="H46" i="7"/>
  <c r="I46" i="7"/>
  <c r="J46" i="7"/>
  <c r="K46" i="7"/>
  <c r="L46" i="7"/>
  <c r="M46" i="7"/>
  <c r="N46" i="7"/>
  <c r="O46" i="7"/>
  <c r="P46" i="7"/>
  <c r="Q46" i="7"/>
  <c r="R46" i="7"/>
  <c r="S46" i="7"/>
  <c r="T46" i="7"/>
  <c r="D47" i="7"/>
  <c r="E47" i="7"/>
  <c r="F47" i="7"/>
  <c r="G47" i="7"/>
  <c r="H47" i="7"/>
  <c r="I47" i="7"/>
  <c r="J47" i="7"/>
  <c r="K47" i="7"/>
  <c r="L47" i="7"/>
  <c r="M47" i="7"/>
  <c r="N47" i="7"/>
  <c r="O47" i="7"/>
  <c r="P47" i="7"/>
  <c r="Q47" i="7"/>
  <c r="R47" i="7"/>
  <c r="S47" i="7"/>
  <c r="T47" i="7"/>
  <c r="B73" i="29"/>
  <c r="E73" i="29"/>
  <c r="G73" i="29"/>
  <c r="I73" i="29"/>
  <c r="L73" i="29"/>
  <c r="N73" i="29"/>
  <c r="P73" i="29"/>
  <c r="Q73" i="29"/>
  <c r="R73" i="29"/>
  <c r="U44" i="7"/>
  <c r="M73" i="29"/>
  <c r="B56" i="29"/>
  <c r="J73" i="29"/>
  <c r="C73" i="29"/>
  <c r="P54" i="7"/>
  <c r="T50" i="7"/>
  <c r="Q53" i="7"/>
  <c r="D50" i="7"/>
  <c r="R52" i="7"/>
  <c r="N56" i="7"/>
  <c r="O55" i="7"/>
  <c r="S51" i="7"/>
  <c r="C56" i="7"/>
  <c r="J56" i="7"/>
  <c r="K55" i="7"/>
  <c r="L54" i="7"/>
  <c r="M53" i="7"/>
  <c r="N52" i="7"/>
  <c r="O51" i="7"/>
  <c r="P50" i="7"/>
  <c r="C52" i="7"/>
  <c r="F56" i="7"/>
  <c r="G55" i="7"/>
  <c r="H54" i="7"/>
  <c r="I53" i="7"/>
  <c r="J52" i="7"/>
  <c r="K51" i="7"/>
  <c r="L50" i="7"/>
  <c r="R56" i="7"/>
  <c r="S55" i="7"/>
  <c r="T54" i="7"/>
  <c r="D54" i="7"/>
  <c r="E53" i="7"/>
  <c r="F52" i="7"/>
  <c r="G51" i="7"/>
  <c r="H50" i="7"/>
  <c r="U47" i="7"/>
  <c r="U46" i="7"/>
  <c r="U43" i="7"/>
  <c r="U45" i="7"/>
  <c r="C55" i="7"/>
  <c r="C51" i="7"/>
  <c r="Q56" i="7"/>
  <c r="M56" i="7"/>
  <c r="I56" i="7"/>
  <c r="E56" i="7"/>
  <c r="R55" i="7"/>
  <c r="N55" i="7"/>
  <c r="J55" i="7"/>
  <c r="F55" i="7"/>
  <c r="S54" i="7"/>
  <c r="O54" i="7"/>
  <c r="K54" i="7"/>
  <c r="G54" i="7"/>
  <c r="T53" i="7"/>
  <c r="P53" i="7"/>
  <c r="L53" i="7"/>
  <c r="H53" i="7"/>
  <c r="D53" i="7"/>
  <c r="Q52" i="7"/>
  <c r="M52" i="7"/>
  <c r="I52" i="7"/>
  <c r="E52" i="7"/>
  <c r="R51" i="7"/>
  <c r="N51" i="7"/>
  <c r="J51" i="7"/>
  <c r="F51" i="7"/>
  <c r="S50" i="7"/>
  <c r="O50" i="7"/>
  <c r="K50" i="7"/>
  <c r="G50" i="7"/>
  <c r="C54" i="7"/>
  <c r="T56" i="7"/>
  <c r="P56" i="7"/>
  <c r="L56" i="7"/>
  <c r="H56" i="7"/>
  <c r="D56" i="7"/>
  <c r="Q55" i="7"/>
  <c r="M55" i="7"/>
  <c r="I55" i="7"/>
  <c r="E55" i="7"/>
  <c r="R54" i="7"/>
  <c r="N54" i="7"/>
  <c r="J54" i="7"/>
  <c r="F54" i="7"/>
  <c r="S53" i="7"/>
  <c r="O53" i="7"/>
  <c r="K53" i="7"/>
  <c r="G53" i="7"/>
  <c r="T52" i="7"/>
  <c r="P52" i="7"/>
  <c r="L52" i="7"/>
  <c r="H52" i="7"/>
  <c r="D52" i="7"/>
  <c r="Q51" i="7"/>
  <c r="M51" i="7"/>
  <c r="I51" i="7"/>
  <c r="E51" i="7"/>
  <c r="R50" i="7"/>
  <c r="N50" i="7"/>
  <c r="J50" i="7"/>
  <c r="F50" i="7"/>
  <c r="O73" i="29"/>
  <c r="K73" i="29"/>
  <c r="C53" i="7"/>
  <c r="S56" i="7"/>
  <c r="O56" i="7"/>
  <c r="K56" i="7"/>
  <c r="G56" i="7"/>
  <c r="T55" i="7"/>
  <c r="P55" i="7"/>
  <c r="L55" i="7"/>
  <c r="H55" i="7"/>
  <c r="D55" i="7"/>
  <c r="Q54" i="7"/>
  <c r="M54" i="7"/>
  <c r="I54" i="7"/>
  <c r="E54" i="7"/>
  <c r="R53" i="7"/>
  <c r="N53" i="7"/>
  <c r="J53" i="7"/>
  <c r="F53" i="7"/>
  <c r="S52" i="7"/>
  <c r="O52" i="7"/>
  <c r="K52" i="7"/>
  <c r="G52" i="7"/>
  <c r="T51" i="7"/>
  <c r="P51" i="7"/>
  <c r="L51" i="7"/>
  <c r="H51" i="7"/>
  <c r="D51" i="7"/>
  <c r="Q50" i="7"/>
  <c r="M50" i="7"/>
  <c r="I50" i="7"/>
  <c r="E50" i="7"/>
  <c r="D73" i="29"/>
  <c r="D10" i="7"/>
  <c r="D9" i="7"/>
  <c r="D11" i="7"/>
  <c r="D12" i="7"/>
  <c r="D13" i="7"/>
  <c r="D14" i="7"/>
  <c r="D15" i="7"/>
  <c r="D16" i="7"/>
  <c r="D17" i="7"/>
  <c r="D18" i="7"/>
  <c r="D19" i="7"/>
  <c r="D20" i="7"/>
  <c r="D21" i="7"/>
  <c r="D23" i="7"/>
  <c r="D24" i="7"/>
  <c r="D25" i="7"/>
  <c r="D26" i="7"/>
  <c r="D27" i="7"/>
  <c r="D28" i="7"/>
  <c r="D29" i="7"/>
  <c r="D31" i="7"/>
  <c r="D32" i="7"/>
  <c r="D33" i="7"/>
  <c r="D34" i="7"/>
  <c r="D35" i="7"/>
  <c r="D36" i="7"/>
  <c r="D37" i="7"/>
  <c r="D38" i="7"/>
  <c r="D48" i="7"/>
  <c r="D49" i="7"/>
  <c r="B65" i="7"/>
  <c r="U54" i="7"/>
  <c r="U51" i="7"/>
  <c r="U52" i="7"/>
  <c r="U53" i="7"/>
  <c r="U56" i="7"/>
  <c r="U55" i="7"/>
  <c r="Q62" i="8"/>
  <c r="Q63" i="8"/>
  <c r="Q64" i="8"/>
  <c r="Q65" i="8"/>
  <c r="Q66" i="8"/>
  <c r="Q67" i="8"/>
  <c r="Q68" i="8"/>
  <c r="Q69" i="8"/>
  <c r="Q70" i="8"/>
  <c r="Q71" i="8"/>
  <c r="Q72" i="8"/>
  <c r="Q73" i="8"/>
  <c r="Q74" i="8"/>
  <c r="Q75" i="8"/>
  <c r="Q76" i="8"/>
  <c r="Q77" i="8"/>
  <c r="Q78" i="8"/>
  <c r="Q61" i="8"/>
  <c r="Q37" i="8"/>
  <c r="Q7" i="8"/>
  <c r="Q38" i="8"/>
  <c r="Q8" i="8"/>
  <c r="Q39" i="8"/>
  <c r="Q9" i="8"/>
  <c r="Q40" i="8"/>
  <c r="Q10" i="8"/>
  <c r="Q41" i="8"/>
  <c r="Q11" i="8"/>
  <c r="Q42" i="8"/>
  <c r="Q12" i="8"/>
  <c r="Q43" i="8"/>
  <c r="Q13" i="8"/>
  <c r="Q44" i="8"/>
  <c r="Q14" i="8"/>
  <c r="Q45" i="8"/>
  <c r="Q15" i="8"/>
  <c r="Q46" i="8"/>
  <c r="Q16" i="8"/>
  <c r="Q47" i="8"/>
  <c r="Q17" i="8"/>
  <c r="Q48" i="8"/>
  <c r="Q18" i="8"/>
  <c r="Q49" i="8"/>
  <c r="Q19" i="8"/>
  <c r="Q50" i="8"/>
  <c r="Q20" i="8"/>
  <c r="Q51" i="8"/>
  <c r="Q21" i="8"/>
  <c r="Q52" i="8"/>
  <c r="Q22" i="8"/>
  <c r="Q53" i="8"/>
  <c r="Q36" i="8"/>
  <c r="Q6" i="8"/>
  <c r="X135" i="30"/>
  <c r="X134" i="30"/>
  <c r="X133" i="30"/>
  <c r="X132" i="30"/>
  <c r="X131" i="30"/>
  <c r="X130" i="30"/>
  <c r="X129" i="30"/>
  <c r="X128" i="30"/>
  <c r="X127" i="30"/>
  <c r="X126" i="30"/>
  <c r="X125" i="30"/>
  <c r="X124" i="30"/>
  <c r="X123" i="30"/>
  <c r="X122" i="30"/>
  <c r="X121" i="30"/>
  <c r="X120" i="30"/>
  <c r="X119" i="30"/>
  <c r="X118" i="30"/>
  <c r="X117" i="30"/>
  <c r="X116" i="30"/>
  <c r="X115" i="30"/>
  <c r="X114" i="30"/>
  <c r="X113" i="30"/>
  <c r="U113" i="30"/>
  <c r="T113" i="30"/>
  <c r="S113" i="30"/>
  <c r="R113" i="30"/>
  <c r="Q113" i="30"/>
  <c r="P113" i="30"/>
  <c r="O113" i="30"/>
  <c r="N113" i="30"/>
  <c r="M113" i="30"/>
  <c r="L113" i="30"/>
  <c r="K113" i="30"/>
  <c r="J113" i="30"/>
  <c r="I113" i="30"/>
  <c r="H113" i="30"/>
  <c r="G113" i="30"/>
  <c r="F113" i="30"/>
  <c r="E113" i="30"/>
  <c r="D113" i="30"/>
  <c r="X112" i="30"/>
  <c r="X111" i="30"/>
  <c r="X110" i="30"/>
  <c r="X109" i="30"/>
  <c r="U109" i="30"/>
  <c r="T109" i="30"/>
  <c r="S109" i="30"/>
  <c r="R109" i="30"/>
  <c r="Q109" i="30"/>
  <c r="P109" i="30"/>
  <c r="O109" i="30"/>
  <c r="N109" i="30"/>
  <c r="M109" i="30"/>
  <c r="L109" i="30"/>
  <c r="K109" i="30"/>
  <c r="J109" i="30"/>
  <c r="I109" i="30"/>
  <c r="H109" i="30"/>
  <c r="G109" i="30"/>
  <c r="F109" i="30"/>
  <c r="E109" i="30"/>
  <c r="X108" i="30"/>
  <c r="X107" i="30"/>
  <c r="X106" i="30"/>
  <c r="X105" i="30"/>
  <c r="X104" i="30"/>
  <c r="X103" i="30"/>
  <c r="X102" i="30"/>
  <c r="X101" i="30"/>
  <c r="X100" i="30"/>
  <c r="U100" i="30"/>
  <c r="T100" i="30"/>
  <c r="S100" i="30"/>
  <c r="R100" i="30"/>
  <c r="Q100" i="30"/>
  <c r="P100" i="30"/>
  <c r="O100" i="30"/>
  <c r="N100" i="30"/>
  <c r="M100" i="30"/>
  <c r="L100" i="30"/>
  <c r="K100" i="30"/>
  <c r="J100" i="30"/>
  <c r="I100" i="30"/>
  <c r="H100" i="30"/>
  <c r="G100" i="30"/>
  <c r="F100" i="30"/>
  <c r="E100" i="30"/>
  <c r="D100" i="30"/>
  <c r="X99" i="30"/>
  <c r="X98" i="30"/>
  <c r="X97" i="30"/>
  <c r="X96" i="30"/>
  <c r="X95" i="30"/>
  <c r="X94" i="30"/>
  <c r="X93" i="30"/>
  <c r="X92" i="30"/>
  <c r="X91" i="30"/>
  <c r="X90" i="30"/>
  <c r="X89" i="30"/>
  <c r="X88" i="30"/>
  <c r="U86" i="30"/>
  <c r="T86" i="30"/>
  <c r="S86" i="30"/>
  <c r="R86" i="30"/>
  <c r="Q86" i="30"/>
  <c r="P86" i="30"/>
  <c r="O86" i="30"/>
  <c r="N86" i="30"/>
  <c r="M86" i="30"/>
  <c r="L86" i="30"/>
  <c r="K86" i="30"/>
  <c r="J86" i="30"/>
  <c r="I86" i="30"/>
  <c r="H86" i="30"/>
  <c r="G86" i="30"/>
  <c r="F86" i="30"/>
  <c r="E86" i="30"/>
  <c r="D86" i="30"/>
  <c r="C86" i="30"/>
  <c r="X87" i="30"/>
  <c r="B86" i="30"/>
  <c r="X77" i="30"/>
  <c r="X76" i="30"/>
  <c r="X75" i="30"/>
  <c r="X74" i="30"/>
  <c r="X73" i="30"/>
  <c r="X72" i="30"/>
  <c r="X71" i="30"/>
  <c r="X70" i="30"/>
  <c r="X69" i="30"/>
  <c r="X68" i="30"/>
  <c r="X67" i="30"/>
  <c r="X66" i="30"/>
  <c r="X65" i="30"/>
  <c r="X64" i="30"/>
  <c r="X63" i="30"/>
  <c r="X62" i="30"/>
  <c r="X61" i="30"/>
  <c r="X60" i="30"/>
  <c r="U60" i="30"/>
  <c r="T60" i="30"/>
  <c r="S60" i="30"/>
  <c r="R60" i="30"/>
  <c r="Q60" i="30"/>
  <c r="P60" i="30"/>
  <c r="O60" i="30"/>
  <c r="N60" i="30"/>
  <c r="M60" i="30"/>
  <c r="X59" i="30"/>
  <c r="X58" i="30"/>
  <c r="X57" i="30"/>
  <c r="X56" i="30"/>
  <c r="X55" i="30"/>
  <c r="U55" i="30"/>
  <c r="T55" i="30"/>
  <c r="S55" i="30"/>
  <c r="R55" i="30"/>
  <c r="X54" i="30"/>
  <c r="X53" i="30"/>
  <c r="X52" i="30"/>
  <c r="X51" i="30"/>
  <c r="U51" i="30"/>
  <c r="T51" i="30"/>
  <c r="S51" i="30"/>
  <c r="R51" i="30"/>
  <c r="Q51" i="30"/>
  <c r="P51" i="30"/>
  <c r="O51" i="30"/>
  <c r="N51" i="30"/>
  <c r="M51" i="30"/>
  <c r="L51" i="30"/>
  <c r="K51" i="30"/>
  <c r="J51" i="30"/>
  <c r="X50" i="30"/>
  <c r="X49" i="30"/>
  <c r="X48" i="30"/>
  <c r="X47" i="30"/>
  <c r="X46" i="30"/>
  <c r="X45" i="30"/>
  <c r="X44" i="30"/>
  <c r="X43" i="30"/>
  <c r="X42" i="30"/>
  <c r="U42" i="30"/>
  <c r="T42" i="30"/>
  <c r="S42" i="30"/>
  <c r="R42" i="30"/>
  <c r="Q42" i="30"/>
  <c r="P42" i="30"/>
  <c r="O42" i="30"/>
  <c r="N42" i="30"/>
  <c r="M42" i="30"/>
  <c r="L42" i="30"/>
  <c r="X41" i="30"/>
  <c r="K41" i="30"/>
  <c r="X40" i="30"/>
  <c r="X39" i="30"/>
  <c r="X38" i="30"/>
  <c r="X37" i="30"/>
  <c r="X36" i="30"/>
  <c r="X35" i="30"/>
  <c r="X34" i="30"/>
  <c r="X33" i="30"/>
  <c r="X32" i="30"/>
  <c r="X31" i="30"/>
  <c r="X30" i="30"/>
  <c r="U28" i="30"/>
  <c r="T28" i="30"/>
  <c r="S28" i="30"/>
  <c r="R28" i="30"/>
  <c r="Q28" i="30"/>
  <c r="P28" i="30"/>
  <c r="O28" i="30"/>
  <c r="N28" i="30"/>
  <c r="M28" i="30"/>
  <c r="L28" i="30"/>
  <c r="K28" i="30"/>
  <c r="J28" i="30"/>
  <c r="I28" i="30"/>
  <c r="H28" i="30"/>
  <c r="G28" i="30"/>
  <c r="F28" i="30"/>
  <c r="E28" i="30"/>
  <c r="D28" i="30"/>
  <c r="C28" i="30"/>
  <c r="X29" i="30"/>
  <c r="B28" i="30"/>
  <c r="U6" i="30"/>
  <c r="T6" i="30"/>
  <c r="S6" i="30"/>
  <c r="R6" i="30"/>
  <c r="Q6" i="30"/>
  <c r="P6" i="30"/>
  <c r="O6" i="30"/>
  <c r="N6" i="30"/>
  <c r="M6" i="30"/>
  <c r="L6" i="30"/>
  <c r="K6" i="30"/>
  <c r="J6" i="30"/>
  <c r="I6" i="30"/>
  <c r="H6" i="30"/>
  <c r="G6" i="30"/>
  <c r="F6" i="30"/>
  <c r="E6" i="30"/>
  <c r="D6" i="30"/>
  <c r="C6" i="30"/>
  <c r="B6" i="30"/>
  <c r="T21" i="7"/>
  <c r="S21" i="7"/>
  <c r="R21" i="7"/>
  <c r="Q21" i="7"/>
  <c r="P21" i="7"/>
  <c r="O21" i="7"/>
  <c r="N21" i="7"/>
  <c r="M21" i="7"/>
  <c r="L21" i="7"/>
  <c r="K20" i="7"/>
  <c r="B7" i="7"/>
  <c r="J111" i="30"/>
  <c r="H111" i="30"/>
  <c r="G112" i="30"/>
  <c r="F110" i="30"/>
  <c r="F135" i="30"/>
  <c r="E135" i="30"/>
  <c r="E116" i="30"/>
  <c r="G107" i="30"/>
  <c r="C73" i="8"/>
  <c r="O90" i="30"/>
  <c r="C71" i="8"/>
  <c r="L93" i="30"/>
  <c r="L92" i="30"/>
  <c r="H69" i="8"/>
  <c r="H67" i="8"/>
  <c r="C9" i="5"/>
  <c r="H99" i="29"/>
  <c r="E99" i="29"/>
  <c r="C99" i="29"/>
  <c r="H98" i="29"/>
  <c r="E98" i="29"/>
  <c r="C98" i="29"/>
  <c r="H97" i="29"/>
  <c r="E97" i="29"/>
  <c r="C97" i="29"/>
  <c r="H96" i="29"/>
  <c r="E96" i="29"/>
  <c r="C96" i="29"/>
  <c r="T17" i="30"/>
  <c r="H95" i="29"/>
  <c r="E95" i="29"/>
  <c r="C95" i="29"/>
  <c r="H94" i="29"/>
  <c r="E94" i="29"/>
  <c r="C94" i="29"/>
  <c r="R17" i="30"/>
  <c r="H93" i="29"/>
  <c r="E93" i="29"/>
  <c r="C93" i="29"/>
  <c r="H92" i="29"/>
  <c r="E92" i="29"/>
  <c r="C92" i="29"/>
  <c r="P17" i="30"/>
  <c r="H91" i="29"/>
  <c r="E91" i="29"/>
  <c r="C91" i="29"/>
  <c r="H90" i="29"/>
  <c r="E90" i="29"/>
  <c r="C90" i="29"/>
  <c r="H89" i="29"/>
  <c r="E89" i="29"/>
  <c r="C89" i="29"/>
  <c r="H88" i="29"/>
  <c r="E88" i="29"/>
  <c r="C88" i="29"/>
  <c r="I17" i="30"/>
  <c r="H87" i="29"/>
  <c r="E87" i="29"/>
  <c r="C87" i="29"/>
  <c r="H86" i="29"/>
  <c r="E86" i="29"/>
  <c r="C86" i="29"/>
  <c r="G17" i="30"/>
  <c r="H85" i="29"/>
  <c r="E85" i="29"/>
  <c r="C85" i="29"/>
  <c r="H84" i="29"/>
  <c r="E84" i="29"/>
  <c r="C84" i="29"/>
  <c r="H83" i="29"/>
  <c r="E83" i="29"/>
  <c r="D83" i="29"/>
  <c r="D17" i="30"/>
  <c r="H82" i="29"/>
  <c r="F82" i="29"/>
  <c r="C82" i="29"/>
  <c r="D60" i="30"/>
  <c r="M72" i="29"/>
  <c r="T31" i="7"/>
  <c r="H72" i="29"/>
  <c r="G72" i="29"/>
  <c r="T32" i="7"/>
  <c r="F72" i="29"/>
  <c r="S36" i="7"/>
  <c r="M71" i="29"/>
  <c r="S33" i="7"/>
  <c r="H71" i="29"/>
  <c r="G71" i="29"/>
  <c r="S37" i="7"/>
  <c r="F71" i="29"/>
  <c r="M70" i="29"/>
  <c r="R31" i="7"/>
  <c r="H70" i="29"/>
  <c r="G70" i="29"/>
  <c r="F70" i="29"/>
  <c r="Q36" i="7"/>
  <c r="M69" i="29"/>
  <c r="H69" i="29"/>
  <c r="G69" i="29"/>
  <c r="F69" i="29"/>
  <c r="Q24" i="7"/>
  <c r="M68" i="29"/>
  <c r="P31" i="7"/>
  <c r="H68" i="29"/>
  <c r="G68" i="29"/>
  <c r="P32" i="7"/>
  <c r="F68" i="29"/>
  <c r="O36" i="7"/>
  <c r="M67" i="29"/>
  <c r="O33" i="7"/>
  <c r="H67" i="29"/>
  <c r="G67" i="29"/>
  <c r="O37" i="7"/>
  <c r="F67" i="29"/>
  <c r="M66" i="29"/>
  <c r="N31" i="7"/>
  <c r="H66" i="29"/>
  <c r="G66" i="29"/>
  <c r="F66" i="29"/>
  <c r="M36" i="7"/>
  <c r="M65" i="29"/>
  <c r="H65" i="29"/>
  <c r="G65" i="29"/>
  <c r="F65" i="29"/>
  <c r="M24" i="7"/>
  <c r="M64" i="29"/>
  <c r="L31" i="7"/>
  <c r="H64" i="29"/>
  <c r="G64" i="29"/>
  <c r="L32" i="7"/>
  <c r="F64" i="29"/>
  <c r="K36" i="7"/>
  <c r="M63" i="29"/>
  <c r="K33" i="7"/>
  <c r="H63" i="29"/>
  <c r="G63" i="29"/>
  <c r="K37" i="7"/>
  <c r="F63" i="29"/>
  <c r="M62" i="29"/>
  <c r="J31" i="7"/>
  <c r="H62" i="29"/>
  <c r="G62" i="29"/>
  <c r="F62" i="29"/>
  <c r="I36" i="7"/>
  <c r="M61" i="29"/>
  <c r="H61" i="29"/>
  <c r="G61" i="29"/>
  <c r="F61" i="29"/>
  <c r="I24" i="7"/>
  <c r="M60" i="29"/>
  <c r="H31" i="7"/>
  <c r="H60" i="29"/>
  <c r="G60" i="29"/>
  <c r="H32" i="7"/>
  <c r="F60" i="29"/>
  <c r="G36" i="7"/>
  <c r="M59" i="29"/>
  <c r="G33" i="7"/>
  <c r="H59" i="29"/>
  <c r="B59" i="29"/>
  <c r="G23" i="7"/>
  <c r="F59" i="29"/>
  <c r="M58" i="29"/>
  <c r="G58" i="29"/>
  <c r="D58" i="29"/>
  <c r="F58" i="29"/>
  <c r="M57" i="29"/>
  <c r="H57" i="29"/>
  <c r="G57" i="29"/>
  <c r="B57" i="29"/>
  <c r="F57" i="29"/>
  <c r="M56" i="29"/>
  <c r="C50" i="7"/>
  <c r="U50" i="7"/>
  <c r="C23" i="7"/>
  <c r="F56" i="29"/>
  <c r="C24" i="7"/>
  <c r="P48" i="29"/>
  <c r="S48" i="29"/>
  <c r="J48" i="29"/>
  <c r="F48" i="29"/>
  <c r="D48" i="29"/>
  <c r="B48" i="29"/>
  <c r="P47" i="29"/>
  <c r="S47" i="29"/>
  <c r="T28" i="7"/>
  <c r="R52" i="8"/>
  <c r="R22" i="8"/>
  <c r="J47" i="29"/>
  <c r="F47" i="29"/>
  <c r="T20" i="7"/>
  <c r="D47" i="29"/>
  <c r="B47" i="29"/>
  <c r="P46" i="29"/>
  <c r="S46" i="29"/>
  <c r="S28" i="7"/>
  <c r="S35" i="7"/>
  <c r="R51" i="8"/>
  <c r="R21" i="8"/>
  <c r="J46" i="29"/>
  <c r="S22" i="7"/>
  <c r="S27" i="7"/>
  <c r="F46" i="29"/>
  <c r="D46" i="29"/>
  <c r="B46" i="29"/>
  <c r="P45" i="29"/>
  <c r="S45" i="29"/>
  <c r="R35" i="7"/>
  <c r="J45" i="29"/>
  <c r="F45" i="29"/>
  <c r="D45" i="29"/>
  <c r="R25" i="7"/>
  <c r="B45" i="29"/>
  <c r="P44" i="29"/>
  <c r="S44" i="29"/>
  <c r="J44" i="29"/>
  <c r="Q22" i="7"/>
  <c r="F44" i="29"/>
  <c r="D44" i="29"/>
  <c r="B44" i="29"/>
  <c r="P43" i="29"/>
  <c r="S43" i="29"/>
  <c r="P49" i="7"/>
  <c r="P28" i="7"/>
  <c r="R48" i="8"/>
  <c r="R18" i="8"/>
  <c r="J43" i="29"/>
  <c r="F43" i="29"/>
  <c r="P20" i="7"/>
  <c r="D43" i="29"/>
  <c r="B43" i="29"/>
  <c r="P42" i="29"/>
  <c r="S42" i="29"/>
  <c r="O28" i="7"/>
  <c r="O35" i="7"/>
  <c r="R47" i="8"/>
  <c r="R17" i="8"/>
  <c r="J42" i="29"/>
  <c r="O22" i="7"/>
  <c r="O27" i="7"/>
  <c r="F42" i="29"/>
  <c r="D42" i="29"/>
  <c r="B42" i="29"/>
  <c r="P41" i="29"/>
  <c r="S41" i="29"/>
  <c r="N49" i="7"/>
  <c r="N35" i="7"/>
  <c r="J41" i="29"/>
  <c r="F41" i="29"/>
  <c r="D41" i="29"/>
  <c r="N25" i="7"/>
  <c r="B41" i="29"/>
  <c r="P40" i="29"/>
  <c r="S40" i="29"/>
  <c r="J40" i="29"/>
  <c r="M22" i="7"/>
  <c r="F40" i="29"/>
  <c r="D40" i="29"/>
  <c r="B40" i="29"/>
  <c r="P39" i="29"/>
  <c r="S39" i="29"/>
  <c r="L28" i="7"/>
  <c r="R44" i="8"/>
  <c r="R14" i="8"/>
  <c r="J39" i="29"/>
  <c r="F39" i="29"/>
  <c r="L20" i="7"/>
  <c r="D39" i="29"/>
  <c r="B39" i="29"/>
  <c r="P38" i="29"/>
  <c r="S38" i="29"/>
  <c r="K35" i="7"/>
  <c r="R43" i="8"/>
  <c r="R13" i="8"/>
  <c r="J38" i="29"/>
  <c r="K27" i="7"/>
  <c r="F38" i="29"/>
  <c r="D38" i="29"/>
  <c r="K25" i="7"/>
  <c r="B38" i="29"/>
  <c r="P37" i="29"/>
  <c r="S37" i="29"/>
  <c r="J37" i="29"/>
  <c r="F37" i="29"/>
  <c r="D37" i="29"/>
  <c r="B37" i="29"/>
  <c r="P36" i="29"/>
  <c r="S36" i="29"/>
  <c r="I28" i="7"/>
  <c r="I35" i="7"/>
  <c r="J36" i="29"/>
  <c r="F36" i="29"/>
  <c r="E36" i="29"/>
  <c r="D36" i="29"/>
  <c r="B36" i="29"/>
  <c r="P35" i="29"/>
  <c r="S35" i="29"/>
  <c r="H49" i="7"/>
  <c r="J35" i="29"/>
  <c r="F35" i="29"/>
  <c r="J40" i="8"/>
  <c r="J10" i="8"/>
  <c r="D35" i="29"/>
  <c r="H25" i="7"/>
  <c r="B35" i="29"/>
  <c r="P34" i="29"/>
  <c r="S34" i="29"/>
  <c r="G28" i="7"/>
  <c r="R39" i="8"/>
  <c r="R9" i="8"/>
  <c r="J34" i="29"/>
  <c r="G22" i="7"/>
  <c r="G27" i="7"/>
  <c r="F34" i="29"/>
  <c r="G20" i="7"/>
  <c r="D34" i="29"/>
  <c r="B34" i="29"/>
  <c r="P33" i="29"/>
  <c r="S33" i="29"/>
  <c r="F49" i="7"/>
  <c r="K38" i="8"/>
  <c r="K8" i="8"/>
  <c r="J33" i="29"/>
  <c r="F33" i="29"/>
  <c r="F20" i="7"/>
  <c r="D33" i="29"/>
  <c r="B33" i="29"/>
  <c r="S32" i="29"/>
  <c r="N32" i="29"/>
  <c r="E35" i="7"/>
  <c r="J32" i="29"/>
  <c r="F32" i="29"/>
  <c r="D32" i="29"/>
  <c r="B32" i="29"/>
  <c r="S31" i="29"/>
  <c r="O36" i="8"/>
  <c r="O6" i="8"/>
  <c r="N31" i="29"/>
  <c r="J31" i="29"/>
  <c r="F31" i="29"/>
  <c r="D31" i="29"/>
  <c r="C25" i="7"/>
  <c r="B31" i="29"/>
  <c r="U22" i="29"/>
  <c r="Q22" i="29"/>
  <c r="O22" i="29"/>
  <c r="J22" i="29"/>
  <c r="G22" i="29"/>
  <c r="F22" i="29"/>
  <c r="E22" i="29"/>
  <c r="D22" i="29"/>
  <c r="U21" i="29"/>
  <c r="T13" i="7"/>
  <c r="Q21" i="29"/>
  <c r="O21" i="29"/>
  <c r="T18" i="7"/>
  <c r="T15" i="7"/>
  <c r="J21" i="29"/>
  <c r="G21" i="29"/>
  <c r="E21" i="29"/>
  <c r="D21" i="29"/>
  <c r="T10" i="7"/>
  <c r="U20" i="29"/>
  <c r="S14" i="7"/>
  <c r="S13" i="7"/>
  <c r="Q20" i="29"/>
  <c r="O20" i="29"/>
  <c r="S18" i="7"/>
  <c r="S15" i="7"/>
  <c r="J20" i="29"/>
  <c r="G20" i="29"/>
  <c r="E20" i="29"/>
  <c r="D20" i="29"/>
  <c r="S10" i="7"/>
  <c r="U19" i="29"/>
  <c r="R14" i="7"/>
  <c r="Q19" i="29"/>
  <c r="O19" i="29"/>
  <c r="R9" i="7"/>
  <c r="J19" i="29"/>
  <c r="G19" i="29"/>
  <c r="E19" i="29"/>
  <c r="D19" i="29"/>
  <c r="R10" i="7"/>
  <c r="U18" i="29"/>
  <c r="Q14" i="7"/>
  <c r="Q16" i="7"/>
  <c r="Q48" i="7"/>
  <c r="Q18" i="29"/>
  <c r="O18" i="29"/>
  <c r="Q15" i="7"/>
  <c r="J18" i="29"/>
  <c r="G18" i="29"/>
  <c r="E18" i="29"/>
  <c r="D18" i="29"/>
  <c r="U17" i="29"/>
  <c r="P13" i="7"/>
  <c r="Q17" i="29"/>
  <c r="O17" i="29"/>
  <c r="P18" i="7"/>
  <c r="P15" i="7"/>
  <c r="J17" i="29"/>
  <c r="G17" i="29"/>
  <c r="E17" i="29"/>
  <c r="D17" i="29"/>
  <c r="P10" i="7"/>
  <c r="U16" i="29"/>
  <c r="O14" i="7"/>
  <c r="O13" i="7"/>
  <c r="Q16" i="29"/>
  <c r="O16" i="29"/>
  <c r="O18" i="7"/>
  <c r="O15" i="7"/>
  <c r="J16" i="29"/>
  <c r="G16" i="29"/>
  <c r="E16" i="29"/>
  <c r="D16" i="29"/>
  <c r="O10" i="7"/>
  <c r="U15" i="29"/>
  <c r="N14" i="7"/>
  <c r="Q15" i="29"/>
  <c r="O15" i="29"/>
  <c r="N9" i="7"/>
  <c r="J15" i="29"/>
  <c r="G15" i="29"/>
  <c r="E15" i="29"/>
  <c r="D15" i="29"/>
  <c r="N10" i="7"/>
  <c r="U14" i="29"/>
  <c r="M14" i="7"/>
  <c r="M48" i="7"/>
  <c r="Q14" i="29"/>
  <c r="O14" i="29"/>
  <c r="M19" i="7"/>
  <c r="I14" i="29"/>
  <c r="J14" i="29"/>
  <c r="H14" i="29"/>
  <c r="G14" i="29"/>
  <c r="E14" i="29"/>
  <c r="D14" i="29"/>
  <c r="U13" i="29"/>
  <c r="Q13" i="29"/>
  <c r="O13" i="29"/>
  <c r="L9" i="7"/>
  <c r="L19" i="7"/>
  <c r="L17" i="7"/>
  <c r="J13" i="29"/>
  <c r="L33" i="30"/>
  <c r="G13" i="29"/>
  <c r="F13" i="29"/>
  <c r="E13" i="29"/>
  <c r="D13" i="29"/>
  <c r="U12" i="29"/>
  <c r="K13" i="7"/>
  <c r="K48" i="7"/>
  <c r="Q12" i="29"/>
  <c r="O12" i="29"/>
  <c r="K9" i="7"/>
  <c r="K18" i="7"/>
  <c r="J12" i="29"/>
  <c r="K33" i="30"/>
  <c r="G12" i="29"/>
  <c r="L32" i="30"/>
  <c r="E12" i="29"/>
  <c r="D12" i="29"/>
  <c r="K10" i="7"/>
  <c r="J21" i="7"/>
  <c r="J14" i="7"/>
  <c r="Q11" i="29"/>
  <c r="O11" i="29"/>
  <c r="I11" i="29"/>
  <c r="J11" i="29"/>
  <c r="J12" i="7"/>
  <c r="G11" i="29"/>
  <c r="E11" i="29"/>
  <c r="D11" i="29"/>
  <c r="J10" i="7"/>
  <c r="U10" i="29"/>
  <c r="I14" i="7"/>
  <c r="I48" i="7"/>
  <c r="Q10" i="29"/>
  <c r="O10" i="29"/>
  <c r="J10" i="29"/>
  <c r="G10" i="29"/>
  <c r="D10" i="29"/>
  <c r="I10" i="7"/>
  <c r="U9" i="29"/>
  <c r="Q9" i="29"/>
  <c r="P9" i="29"/>
  <c r="O9" i="29"/>
  <c r="H9" i="7"/>
  <c r="H17" i="7"/>
  <c r="J9" i="29"/>
  <c r="G9" i="29"/>
  <c r="E9" i="29"/>
  <c r="D9" i="29"/>
  <c r="H10" i="7"/>
  <c r="U8" i="29"/>
  <c r="Q8" i="29"/>
  <c r="P8" i="29"/>
  <c r="G19" i="7"/>
  <c r="G18" i="7"/>
  <c r="J8" i="29"/>
  <c r="G8" i="29"/>
  <c r="E8" i="29"/>
  <c r="D8" i="29"/>
  <c r="G10" i="7"/>
  <c r="U7" i="29"/>
  <c r="F16" i="7"/>
  <c r="F21" i="7"/>
  <c r="Q7" i="29"/>
  <c r="O7" i="29"/>
  <c r="F19" i="7"/>
  <c r="F15" i="7"/>
  <c r="J7" i="29"/>
  <c r="G7" i="29"/>
  <c r="F11" i="7"/>
  <c r="E7" i="29"/>
  <c r="D7" i="29"/>
  <c r="F10" i="7"/>
  <c r="F8" i="7"/>
  <c r="U6" i="29"/>
  <c r="E16" i="7"/>
  <c r="O6" i="29"/>
  <c r="E18" i="7"/>
  <c r="E15" i="7"/>
  <c r="J6" i="29"/>
  <c r="G6" i="29"/>
  <c r="E11" i="7"/>
  <c r="E6" i="29"/>
  <c r="D6" i="29"/>
  <c r="E10" i="7"/>
  <c r="E8" i="7"/>
  <c r="C13" i="7"/>
  <c r="Q5" i="29"/>
  <c r="C21" i="7"/>
  <c r="O5" i="29"/>
  <c r="C18" i="7"/>
  <c r="C15" i="7"/>
  <c r="J5" i="29"/>
  <c r="G5" i="29"/>
  <c r="C11" i="7"/>
  <c r="E5" i="29"/>
  <c r="D5" i="29"/>
  <c r="C10" i="7"/>
  <c r="R36" i="8"/>
  <c r="R6" i="8"/>
  <c r="E29" i="7"/>
  <c r="M33" i="31"/>
  <c r="R37" i="8"/>
  <c r="R7" i="8"/>
  <c r="R38" i="8"/>
  <c r="R8" i="8"/>
  <c r="R40" i="8"/>
  <c r="R10" i="8"/>
  <c r="I29" i="7"/>
  <c r="AP33" i="31"/>
  <c r="R41" i="8"/>
  <c r="R11" i="8"/>
  <c r="R42" i="8"/>
  <c r="R12" i="8"/>
  <c r="R45" i="8"/>
  <c r="R15" i="8"/>
  <c r="N29" i="7"/>
  <c r="CH33" i="31"/>
  <c r="R46" i="8"/>
  <c r="R16" i="8"/>
  <c r="R49" i="8"/>
  <c r="R19" i="8"/>
  <c r="R29" i="7"/>
  <c r="DO33" i="31"/>
  <c r="R50" i="8"/>
  <c r="R20" i="8"/>
  <c r="R53" i="8"/>
  <c r="C13" i="29"/>
  <c r="L10" i="7"/>
  <c r="C14" i="29"/>
  <c r="M10" i="7"/>
  <c r="AH45" i="31"/>
  <c r="H17" i="30"/>
  <c r="L17" i="30"/>
  <c r="O17" i="30"/>
  <c r="S17" i="30"/>
  <c r="J45" i="31"/>
  <c r="E17" i="30"/>
  <c r="S45" i="31"/>
  <c r="F17" i="30"/>
  <c r="M17" i="30"/>
  <c r="J17" i="30"/>
  <c r="Q17" i="30"/>
  <c r="U17" i="30"/>
  <c r="N17" i="30"/>
  <c r="K17" i="30"/>
  <c r="D61" i="8"/>
  <c r="D62" i="8"/>
  <c r="D63" i="8"/>
  <c r="J88" i="30"/>
  <c r="L88" i="30"/>
  <c r="X14" i="30"/>
  <c r="R25" i="31"/>
  <c r="V25" i="31"/>
  <c r="S25" i="31"/>
  <c r="W25" i="31"/>
  <c r="T25" i="31"/>
  <c r="X25" i="31"/>
  <c r="U25" i="31"/>
  <c r="Q25" i="31"/>
  <c r="AI13" i="31"/>
  <c r="AM13" i="31"/>
  <c r="AK13" i="31"/>
  <c r="AL13" i="31"/>
  <c r="AH13" i="31"/>
  <c r="AN13" i="31"/>
  <c r="AJ13" i="31"/>
  <c r="AG13" i="31"/>
  <c r="BG52" i="31"/>
  <c r="BK52" i="31"/>
  <c r="BH52" i="31"/>
  <c r="BL52" i="31"/>
  <c r="BJ52" i="31"/>
  <c r="BF52" i="31"/>
  <c r="BE52" i="31"/>
  <c r="BI52" i="31"/>
  <c r="D15" i="31"/>
  <c r="H15" i="31"/>
  <c r="E15" i="31"/>
  <c r="B15" i="31"/>
  <c r="G15" i="31"/>
  <c r="F15" i="31"/>
  <c r="C15" i="31"/>
  <c r="D19" i="31"/>
  <c r="H19" i="31"/>
  <c r="E19" i="31"/>
  <c r="B19" i="31"/>
  <c r="G19" i="31"/>
  <c r="C19" i="31"/>
  <c r="F19" i="31"/>
  <c r="L12" i="31"/>
  <c r="P12" i="31"/>
  <c r="M12" i="31"/>
  <c r="I12" i="31"/>
  <c r="J12" i="31"/>
  <c r="N12" i="31"/>
  <c r="K12" i="31"/>
  <c r="O12" i="31"/>
  <c r="K15" i="31"/>
  <c r="O15" i="31"/>
  <c r="L15" i="31"/>
  <c r="P15" i="31"/>
  <c r="M15" i="31"/>
  <c r="N15" i="31"/>
  <c r="I15" i="31"/>
  <c r="J15" i="31"/>
  <c r="K19" i="31"/>
  <c r="O19" i="31"/>
  <c r="L19" i="31"/>
  <c r="P19" i="31"/>
  <c r="M19" i="31"/>
  <c r="I19" i="31"/>
  <c r="J19" i="31"/>
  <c r="N19" i="31"/>
  <c r="L20" i="31"/>
  <c r="P20" i="31"/>
  <c r="M20" i="31"/>
  <c r="J20" i="31"/>
  <c r="N20" i="31"/>
  <c r="K20" i="31"/>
  <c r="O20" i="31"/>
  <c r="I20" i="31"/>
  <c r="U12" i="31"/>
  <c r="R12" i="31"/>
  <c r="V12" i="31"/>
  <c r="S12" i="31"/>
  <c r="W12" i="31"/>
  <c r="T12" i="31"/>
  <c r="X12" i="31"/>
  <c r="Q12" i="31"/>
  <c r="T15" i="31"/>
  <c r="X15" i="31"/>
  <c r="U15" i="31"/>
  <c r="R15" i="31"/>
  <c r="V15" i="31"/>
  <c r="W15" i="31"/>
  <c r="Q15" i="31"/>
  <c r="S15" i="31"/>
  <c r="T19" i="31"/>
  <c r="X19" i="31"/>
  <c r="U19" i="31"/>
  <c r="R19" i="31"/>
  <c r="V19" i="31"/>
  <c r="S19" i="31"/>
  <c r="Q19" i="31"/>
  <c r="W19" i="31"/>
  <c r="U20" i="31"/>
  <c r="R20" i="31"/>
  <c r="V20" i="31"/>
  <c r="Q20" i="31"/>
  <c r="S20" i="31"/>
  <c r="W20" i="31"/>
  <c r="T20" i="31"/>
  <c r="X20" i="31"/>
  <c r="CM19" i="31"/>
  <c r="CQ19" i="31"/>
  <c r="CO19" i="31"/>
  <c r="CN19" i="31"/>
  <c r="CP19" i="31"/>
  <c r="CR19" i="31"/>
  <c r="CL19" i="31"/>
  <c r="CK19" i="31"/>
  <c r="CT19" i="31"/>
  <c r="CX19" i="31"/>
  <c r="CV19" i="31"/>
  <c r="CZ19" i="31"/>
  <c r="CU19" i="31"/>
  <c r="CW19" i="31"/>
  <c r="CY19" i="31"/>
  <c r="CS19" i="31"/>
  <c r="DE19" i="31"/>
  <c r="DB19" i="31"/>
  <c r="DF19" i="31"/>
  <c r="DC19" i="31"/>
  <c r="DG19" i="31"/>
  <c r="DD19" i="31"/>
  <c r="DH19" i="31"/>
  <c r="DA19" i="31"/>
  <c r="DB20" i="31"/>
  <c r="DF20" i="31"/>
  <c r="DC20" i="31"/>
  <c r="DG20" i="31"/>
  <c r="DD20" i="31"/>
  <c r="DH20" i="31"/>
  <c r="DE20" i="31"/>
  <c r="DA20" i="31"/>
  <c r="DT19" i="31"/>
  <c r="DX19" i="31"/>
  <c r="DU19" i="31"/>
  <c r="DR19" i="31"/>
  <c r="DV19" i="31"/>
  <c r="DS19" i="31"/>
  <c r="DW19" i="31"/>
  <c r="DQ19" i="31"/>
  <c r="EA19" i="31"/>
  <c r="EE19" i="31"/>
  <c r="EB19" i="31"/>
  <c r="EF19" i="31"/>
  <c r="EC19" i="31"/>
  <c r="DZ19" i="31"/>
  <c r="ED19" i="31"/>
  <c r="DY19" i="31"/>
  <c r="EH19" i="31"/>
  <c r="EL19" i="31"/>
  <c r="EI19" i="31"/>
  <c r="EM19" i="31"/>
  <c r="EJ19" i="31"/>
  <c r="EN19" i="31"/>
  <c r="EK19" i="31"/>
  <c r="EG19" i="31"/>
  <c r="EI20" i="31"/>
  <c r="EM20" i="31"/>
  <c r="EJ20" i="31"/>
  <c r="EN20" i="31"/>
  <c r="EK20" i="31"/>
  <c r="EH20" i="31"/>
  <c r="EL20" i="31"/>
  <c r="EG20" i="31"/>
  <c r="L33" i="31"/>
  <c r="U24" i="31"/>
  <c r="R24" i="31"/>
  <c r="V24" i="31"/>
  <c r="Q24" i="31"/>
  <c r="S24" i="31"/>
  <c r="W24" i="31"/>
  <c r="X24" i="31"/>
  <c r="T24" i="31"/>
  <c r="BI29" i="31"/>
  <c r="BF29" i="31"/>
  <c r="BJ29" i="31"/>
  <c r="BL29" i="31"/>
  <c r="BG29" i="31"/>
  <c r="BH29" i="31"/>
  <c r="BE29" i="31"/>
  <c r="BK29" i="31"/>
  <c r="BQ24" i="31"/>
  <c r="BN24" i="31"/>
  <c r="BR24" i="31"/>
  <c r="BP24" i="31"/>
  <c r="BS24" i="31"/>
  <c r="BM24" i="31"/>
  <c r="BT24" i="31"/>
  <c r="BO24" i="31"/>
  <c r="BQ32" i="31"/>
  <c r="BN32" i="31"/>
  <c r="BR32" i="31"/>
  <c r="BP32" i="31"/>
  <c r="BS32" i="31"/>
  <c r="BM32" i="31"/>
  <c r="BT32" i="31"/>
  <c r="BO32" i="31"/>
  <c r="CU24" i="31"/>
  <c r="CY24" i="31"/>
  <c r="CW24" i="31"/>
  <c r="CZ24" i="31"/>
  <c r="CT24" i="31"/>
  <c r="CV24" i="31"/>
  <c r="CX24" i="31"/>
  <c r="CS24" i="31"/>
  <c r="CU32" i="31"/>
  <c r="CY32" i="31"/>
  <c r="CW32" i="31"/>
  <c r="CZ32" i="31"/>
  <c r="CT32" i="31"/>
  <c r="CV32" i="31"/>
  <c r="CX32" i="31"/>
  <c r="CS32" i="31"/>
  <c r="EB24" i="31"/>
  <c r="EF24" i="31"/>
  <c r="EC24" i="31"/>
  <c r="DZ24" i="31"/>
  <c r="ED24" i="31"/>
  <c r="EE24" i="31"/>
  <c r="EA24" i="31"/>
  <c r="DY24" i="31"/>
  <c r="EB32" i="31"/>
  <c r="EF32" i="31"/>
  <c r="EC32" i="31"/>
  <c r="DZ32" i="31"/>
  <c r="ED32" i="31"/>
  <c r="EA32" i="31"/>
  <c r="EE32" i="31"/>
  <c r="DY32" i="31"/>
  <c r="C28" i="31"/>
  <c r="G28" i="31"/>
  <c r="H28" i="31"/>
  <c r="D28" i="31"/>
  <c r="B28" i="31"/>
  <c r="F28" i="31"/>
  <c r="E28" i="31"/>
  <c r="AC27" i="31"/>
  <c r="Z27" i="31"/>
  <c r="AD27" i="31"/>
  <c r="Y27" i="31"/>
  <c r="AA27" i="31"/>
  <c r="AE27" i="31"/>
  <c r="AB27" i="31"/>
  <c r="AF27" i="31"/>
  <c r="Z37" i="31"/>
  <c r="AD37" i="31"/>
  <c r="AA37" i="31"/>
  <c r="AE37" i="31"/>
  <c r="AB37" i="31"/>
  <c r="AF37" i="31"/>
  <c r="Y37" i="31"/>
  <c r="AC37" i="31"/>
  <c r="AK35" i="31"/>
  <c r="AL35" i="31"/>
  <c r="AH35" i="31"/>
  <c r="AM35" i="31"/>
  <c r="AI35" i="31"/>
  <c r="AN35" i="31"/>
  <c r="AJ35" i="31"/>
  <c r="AG35" i="31"/>
  <c r="BA35" i="31"/>
  <c r="AX35" i="31"/>
  <c r="BB35" i="31"/>
  <c r="AZ35" i="31"/>
  <c r="BC35" i="31"/>
  <c r="BD35" i="31"/>
  <c r="AW35" i="31"/>
  <c r="AY35" i="31"/>
  <c r="BH41" i="31"/>
  <c r="BL41" i="31"/>
  <c r="BI41" i="31"/>
  <c r="BG41" i="31"/>
  <c r="BJ41" i="31"/>
  <c r="BK41" i="31"/>
  <c r="BE41" i="31"/>
  <c r="BF41" i="31"/>
  <c r="BI37" i="31"/>
  <c r="BF37" i="31"/>
  <c r="BJ37" i="31"/>
  <c r="BL37" i="31"/>
  <c r="BG37" i="31"/>
  <c r="BH37" i="31"/>
  <c r="BK37" i="31"/>
  <c r="BE37" i="31"/>
  <c r="BP35" i="31"/>
  <c r="BT35" i="31"/>
  <c r="BQ35" i="31"/>
  <c r="BS35" i="31"/>
  <c r="BN35" i="31"/>
  <c r="BO35" i="31"/>
  <c r="BR35" i="31"/>
  <c r="BM35" i="31"/>
  <c r="CF35" i="31"/>
  <c r="CJ35" i="31"/>
  <c r="CG35" i="31"/>
  <c r="CD35" i="31"/>
  <c r="CH35" i="31"/>
  <c r="CE35" i="31"/>
  <c r="CI35" i="31"/>
  <c r="CC35" i="31"/>
  <c r="CO41" i="31"/>
  <c r="CM41" i="31"/>
  <c r="CQ41" i="31"/>
  <c r="CL41" i="31"/>
  <c r="CN41" i="31"/>
  <c r="CP41" i="31"/>
  <c r="CR41" i="31"/>
  <c r="CK41" i="31"/>
  <c r="CO37" i="31"/>
  <c r="CM37" i="31"/>
  <c r="CQ37" i="31"/>
  <c r="CP37" i="31"/>
  <c r="CR37" i="31"/>
  <c r="CL37" i="31"/>
  <c r="CN37" i="31"/>
  <c r="CK37" i="31"/>
  <c r="CT35" i="31"/>
  <c r="CX35" i="31"/>
  <c r="CV35" i="31"/>
  <c r="CZ35" i="31"/>
  <c r="CU35" i="31"/>
  <c r="CW35" i="31"/>
  <c r="CY35" i="31"/>
  <c r="CS35" i="31"/>
  <c r="DM35" i="31"/>
  <c r="DJ35" i="31"/>
  <c r="DN35" i="31"/>
  <c r="DK35" i="31"/>
  <c r="DL35" i="31"/>
  <c r="DO35" i="31"/>
  <c r="DP35" i="31"/>
  <c r="DI35" i="31"/>
  <c r="DR41" i="31"/>
  <c r="DV41" i="31"/>
  <c r="DS41" i="31"/>
  <c r="DW41" i="31"/>
  <c r="DT41" i="31"/>
  <c r="DX41" i="31"/>
  <c r="DU41" i="31"/>
  <c r="DQ41" i="31"/>
  <c r="DR37" i="31"/>
  <c r="DV37" i="31"/>
  <c r="DS37" i="31"/>
  <c r="DW37" i="31"/>
  <c r="DT37" i="31"/>
  <c r="DX37" i="31"/>
  <c r="DU37" i="31"/>
  <c r="DQ37" i="31"/>
  <c r="EA35" i="31"/>
  <c r="EE35" i="31"/>
  <c r="EB35" i="31"/>
  <c r="EF35" i="31"/>
  <c r="EC35" i="31"/>
  <c r="DZ35" i="31"/>
  <c r="DY35" i="31"/>
  <c r="ED35" i="31"/>
  <c r="M45" i="31"/>
  <c r="F14" i="31"/>
  <c r="C14" i="31"/>
  <c r="G14" i="31"/>
  <c r="E14" i="31"/>
  <c r="H14" i="31"/>
  <c r="B14" i="31"/>
  <c r="D14" i="31"/>
  <c r="F22" i="31"/>
  <c r="C22" i="31"/>
  <c r="G22" i="31"/>
  <c r="E22" i="31"/>
  <c r="H22" i="31"/>
  <c r="D22" i="31"/>
  <c r="B22" i="31"/>
  <c r="D17" i="31"/>
  <c r="H17" i="31"/>
  <c r="E17" i="31"/>
  <c r="C17" i="31"/>
  <c r="F17" i="31"/>
  <c r="B17" i="31"/>
  <c r="G17" i="31"/>
  <c r="AJ14" i="31"/>
  <c r="AN14" i="31"/>
  <c r="AI14" i="31"/>
  <c r="AK14" i="31"/>
  <c r="AL14" i="31"/>
  <c r="AM14" i="31"/>
  <c r="AH14" i="31"/>
  <c r="AG14" i="31"/>
  <c r="BG22" i="31"/>
  <c r="BK22" i="31"/>
  <c r="BH22" i="31"/>
  <c r="BL22" i="31"/>
  <c r="BF22" i="31"/>
  <c r="BI22" i="31"/>
  <c r="BJ22" i="31"/>
  <c r="BE22" i="31"/>
  <c r="BN21" i="31"/>
  <c r="BR21" i="31"/>
  <c r="BO21" i="31"/>
  <c r="BS21" i="31"/>
  <c r="BP21" i="31"/>
  <c r="BQ21" i="31"/>
  <c r="BT21" i="31"/>
  <c r="BM21" i="31"/>
  <c r="CF14" i="31"/>
  <c r="CJ14" i="31"/>
  <c r="CG14" i="31"/>
  <c r="CD14" i="31"/>
  <c r="CH14" i="31"/>
  <c r="CE14" i="31"/>
  <c r="CI14" i="31"/>
  <c r="CC14" i="31"/>
  <c r="CL14" i="31"/>
  <c r="CP14" i="31"/>
  <c r="CN14" i="31"/>
  <c r="CR14" i="31"/>
  <c r="CQ14" i="31"/>
  <c r="CM14" i="31"/>
  <c r="CO14" i="31"/>
  <c r="CK14" i="31"/>
  <c r="CL22" i="31"/>
  <c r="CP22" i="31"/>
  <c r="CN22" i="31"/>
  <c r="CR22" i="31"/>
  <c r="CQ22" i="31"/>
  <c r="CM22" i="31"/>
  <c r="CO22" i="31"/>
  <c r="CK22" i="31"/>
  <c r="CO17" i="31"/>
  <c r="CM17" i="31"/>
  <c r="CQ17" i="31"/>
  <c r="CL17" i="31"/>
  <c r="CN17" i="31"/>
  <c r="CP17" i="31"/>
  <c r="CK17" i="31"/>
  <c r="CR17" i="31"/>
  <c r="CW14" i="31"/>
  <c r="CU14" i="31"/>
  <c r="CY14" i="31"/>
  <c r="CX14" i="31"/>
  <c r="CZ14" i="31"/>
  <c r="CT14" i="31"/>
  <c r="CV14" i="31"/>
  <c r="CS14" i="31"/>
  <c r="CW22" i="31"/>
  <c r="CU22" i="31"/>
  <c r="CY22" i="31"/>
  <c r="CX22" i="31"/>
  <c r="CZ22" i="31"/>
  <c r="CT22" i="31"/>
  <c r="CV22" i="31"/>
  <c r="CS22" i="31"/>
  <c r="CV17" i="31"/>
  <c r="CZ17" i="31"/>
  <c r="CT17" i="31"/>
  <c r="CX17" i="31"/>
  <c r="CU17" i="31"/>
  <c r="CW17" i="31"/>
  <c r="CY17" i="31"/>
  <c r="CS17" i="31"/>
  <c r="DL14" i="31"/>
  <c r="DP14" i="31"/>
  <c r="DM14" i="31"/>
  <c r="DJ14" i="31"/>
  <c r="DN14" i="31"/>
  <c r="DK14" i="31"/>
  <c r="DO14" i="31"/>
  <c r="DI14" i="31"/>
  <c r="DS14" i="31"/>
  <c r="DW14" i="31"/>
  <c r="DT14" i="31"/>
  <c r="DX14" i="31"/>
  <c r="DU14" i="31"/>
  <c r="DV14" i="31"/>
  <c r="DR14" i="31"/>
  <c r="DQ14" i="31"/>
  <c r="DS22" i="31"/>
  <c r="DW22" i="31"/>
  <c r="DT22" i="31"/>
  <c r="DX22" i="31"/>
  <c r="DU22" i="31"/>
  <c r="DR22" i="31"/>
  <c r="DV22" i="31"/>
  <c r="DQ22" i="31"/>
  <c r="DR17" i="31"/>
  <c r="DV17" i="31"/>
  <c r="DS17" i="31"/>
  <c r="DW17" i="31"/>
  <c r="DT17" i="31"/>
  <c r="DX17" i="31"/>
  <c r="DU17" i="31"/>
  <c r="DQ17" i="31"/>
  <c r="DZ14" i="31"/>
  <c r="ED14" i="31"/>
  <c r="EA14" i="31"/>
  <c r="EE14" i="31"/>
  <c r="EB14" i="31"/>
  <c r="EF14" i="31"/>
  <c r="EC14" i="31"/>
  <c r="DY14" i="31"/>
  <c r="DZ22" i="31"/>
  <c r="ED22" i="31"/>
  <c r="EA22" i="31"/>
  <c r="EE22" i="31"/>
  <c r="EB22" i="31"/>
  <c r="EF22" i="31"/>
  <c r="EC22" i="31"/>
  <c r="DY22" i="31"/>
  <c r="EC17" i="31"/>
  <c r="DZ17" i="31"/>
  <c r="ED17" i="31"/>
  <c r="EA17" i="31"/>
  <c r="EE17" i="31"/>
  <c r="EF17" i="31"/>
  <c r="EB17" i="31"/>
  <c r="DY17" i="31"/>
  <c r="M39" i="31"/>
  <c r="J39" i="31"/>
  <c r="N39" i="31"/>
  <c r="I39" i="31"/>
  <c r="K39" i="31"/>
  <c r="O39" i="31"/>
  <c r="L39" i="31"/>
  <c r="P39" i="31"/>
  <c r="U53" i="31"/>
  <c r="R53" i="31"/>
  <c r="V53" i="31"/>
  <c r="Q53" i="31"/>
  <c r="S53" i="31"/>
  <c r="W53" i="31"/>
  <c r="T53" i="31"/>
  <c r="X53" i="31"/>
  <c r="AC31" i="31"/>
  <c r="Z31" i="31"/>
  <c r="AD31" i="31"/>
  <c r="Y31" i="31"/>
  <c r="AA31" i="31"/>
  <c r="AE31" i="31"/>
  <c r="AB31" i="31"/>
  <c r="AF31" i="31"/>
  <c r="AH53" i="31"/>
  <c r="AL53" i="31"/>
  <c r="AI53" i="31"/>
  <c r="AM53" i="31"/>
  <c r="AJ53" i="31"/>
  <c r="AN53" i="31"/>
  <c r="AG53" i="31"/>
  <c r="AK53" i="31"/>
  <c r="AR39" i="31"/>
  <c r="AV39" i="31"/>
  <c r="AT39" i="31"/>
  <c r="AP39" i="31"/>
  <c r="AU39" i="31"/>
  <c r="AQ39" i="31"/>
  <c r="AS39" i="31"/>
  <c r="AO39" i="31"/>
  <c r="BG31" i="31"/>
  <c r="BK31" i="31"/>
  <c r="BH31" i="31"/>
  <c r="BL31" i="31"/>
  <c r="BF31" i="31"/>
  <c r="BI31" i="31"/>
  <c r="BJ31" i="31"/>
  <c r="BE31" i="31"/>
  <c r="CD53" i="31"/>
  <c r="CH53" i="31"/>
  <c r="CE53" i="31"/>
  <c r="CI53" i="31"/>
  <c r="CF53" i="31"/>
  <c r="CJ53" i="31"/>
  <c r="CG53" i="31"/>
  <c r="CC53" i="31"/>
  <c r="CM31" i="31"/>
  <c r="CQ31" i="31"/>
  <c r="CO31" i="31"/>
  <c r="CR31" i="31"/>
  <c r="CL31" i="31"/>
  <c r="CN31" i="31"/>
  <c r="CP31" i="31"/>
  <c r="CK31" i="31"/>
  <c r="CM39" i="31"/>
  <c r="CQ39" i="31"/>
  <c r="CO39" i="31"/>
  <c r="CR39" i="31"/>
  <c r="CL39" i="31"/>
  <c r="CN39" i="31"/>
  <c r="CP39" i="31"/>
  <c r="CK39" i="31"/>
  <c r="CV53" i="31"/>
  <c r="CZ53" i="31"/>
  <c r="CT53" i="31"/>
  <c r="CX53" i="31"/>
  <c r="CW53" i="31"/>
  <c r="CY53" i="31"/>
  <c r="CS53" i="31"/>
  <c r="CU53" i="31"/>
  <c r="DT31" i="31"/>
  <c r="DX31" i="31"/>
  <c r="DU31" i="31"/>
  <c r="DR31" i="31"/>
  <c r="DV31" i="31"/>
  <c r="DS31" i="31"/>
  <c r="DW31" i="31"/>
  <c r="DQ31" i="31"/>
  <c r="DT39" i="31"/>
  <c r="DX39" i="31"/>
  <c r="DU39" i="31"/>
  <c r="DR39" i="31"/>
  <c r="DV39" i="31"/>
  <c r="DW39" i="31"/>
  <c r="DS39" i="31"/>
  <c r="DQ39" i="31"/>
  <c r="AQ46" i="31"/>
  <c r="AU46" i="31"/>
  <c r="AS46" i="31"/>
  <c r="AT46" i="31"/>
  <c r="AP46" i="31"/>
  <c r="AV46" i="31"/>
  <c r="AR46" i="31"/>
  <c r="AO46" i="31"/>
  <c r="AX44" i="31"/>
  <c r="BB44" i="31"/>
  <c r="AY44" i="31"/>
  <c r="BC44" i="31"/>
  <c r="BA44" i="31"/>
  <c r="BD44" i="31"/>
  <c r="AW44" i="31"/>
  <c r="AZ44" i="31"/>
  <c r="BI58" i="31"/>
  <c r="BF58" i="31"/>
  <c r="BJ58" i="31"/>
  <c r="BH58" i="31"/>
  <c r="BK58" i="31"/>
  <c r="BL58" i="31"/>
  <c r="BE58" i="31"/>
  <c r="BG58" i="31"/>
  <c r="BI46" i="31"/>
  <c r="BF46" i="31"/>
  <c r="BJ46" i="31"/>
  <c r="BL46" i="31"/>
  <c r="BG46" i="31"/>
  <c r="BH46" i="31"/>
  <c r="BK46" i="31"/>
  <c r="BE46" i="31"/>
  <c r="BY46" i="31"/>
  <c r="BV46" i="31"/>
  <c r="BZ46" i="31"/>
  <c r="BX46" i="31"/>
  <c r="CA46" i="31"/>
  <c r="BU46" i="31"/>
  <c r="CB46" i="31"/>
  <c r="BW46" i="31"/>
  <c r="CG44" i="31"/>
  <c r="CD44" i="31"/>
  <c r="CH44" i="31"/>
  <c r="CE44" i="31"/>
  <c r="CI44" i="31"/>
  <c r="CF44" i="31"/>
  <c r="CJ44" i="31"/>
  <c r="CC44" i="31"/>
  <c r="CM58" i="31"/>
  <c r="CQ58" i="31"/>
  <c r="CN58" i="31"/>
  <c r="CR58" i="31"/>
  <c r="CO58" i="31"/>
  <c r="CL58" i="31"/>
  <c r="CP58" i="31"/>
  <c r="CK58" i="31"/>
  <c r="CL46" i="31"/>
  <c r="CP46" i="31"/>
  <c r="CN46" i="31"/>
  <c r="CR46" i="31"/>
  <c r="CQ46" i="31"/>
  <c r="CM46" i="31"/>
  <c r="CO46" i="31"/>
  <c r="CK46" i="31"/>
  <c r="DD46" i="31"/>
  <c r="DH46" i="31"/>
  <c r="DB46" i="31"/>
  <c r="DF46" i="31"/>
  <c r="DE46" i="31"/>
  <c r="DG46" i="31"/>
  <c r="DC46" i="31"/>
  <c r="DA46" i="31"/>
  <c r="DJ44" i="31"/>
  <c r="DN44" i="31"/>
  <c r="DK44" i="31"/>
  <c r="DO44" i="31"/>
  <c r="DL44" i="31"/>
  <c r="DM44" i="31"/>
  <c r="DP44" i="31"/>
  <c r="DI44" i="31"/>
  <c r="DS58" i="31"/>
  <c r="DW58" i="31"/>
  <c r="DT58" i="31"/>
  <c r="DX58" i="31"/>
  <c r="DU58" i="31"/>
  <c r="DR58" i="31"/>
  <c r="DV58" i="31"/>
  <c r="DQ58" i="31"/>
  <c r="DS46" i="31"/>
  <c r="DW46" i="31"/>
  <c r="DT46" i="31"/>
  <c r="DX46" i="31"/>
  <c r="DU46" i="31"/>
  <c r="DV46" i="31"/>
  <c r="DR46" i="31"/>
  <c r="DQ46" i="31"/>
  <c r="EK46" i="31"/>
  <c r="EH46" i="31"/>
  <c r="EL46" i="31"/>
  <c r="EI46" i="31"/>
  <c r="EM46" i="31"/>
  <c r="EJ46" i="31"/>
  <c r="EN46" i="31"/>
  <c r="EG46" i="31"/>
  <c r="C50" i="31"/>
  <c r="G50" i="31"/>
  <c r="F50" i="31"/>
  <c r="H50" i="31"/>
  <c r="B50" i="31"/>
  <c r="E50" i="31"/>
  <c r="D50" i="31"/>
  <c r="K47" i="31"/>
  <c r="O47" i="31"/>
  <c r="L47" i="31"/>
  <c r="P47" i="31"/>
  <c r="J47" i="31"/>
  <c r="M47" i="31"/>
  <c r="N47" i="31"/>
  <c r="I47" i="31"/>
  <c r="M51" i="31"/>
  <c r="J51" i="31"/>
  <c r="N51" i="31"/>
  <c r="I51" i="31"/>
  <c r="L51" i="31"/>
  <c r="O51" i="31"/>
  <c r="P51" i="31"/>
  <c r="K51" i="31"/>
  <c r="W45" i="31"/>
  <c r="Q45" i="31"/>
  <c r="AR47" i="31"/>
  <c r="AV47" i="31"/>
  <c r="AQ47" i="31"/>
  <c r="AS47" i="31"/>
  <c r="AT47" i="31"/>
  <c r="AP47" i="31"/>
  <c r="AU47" i="31"/>
  <c r="AO47" i="31"/>
  <c r="BV47" i="31"/>
  <c r="BZ47" i="31"/>
  <c r="BW47" i="31"/>
  <c r="CA47" i="31"/>
  <c r="BY47" i="31"/>
  <c r="CB47" i="31"/>
  <c r="BX47" i="31"/>
  <c r="BU47" i="31"/>
  <c r="BV51" i="31"/>
  <c r="BZ51" i="31"/>
  <c r="BW51" i="31"/>
  <c r="CA51" i="31"/>
  <c r="BX51" i="31"/>
  <c r="BY51" i="31"/>
  <c r="CB51" i="31"/>
  <c r="BU51" i="31"/>
  <c r="DE47" i="31"/>
  <c r="DC47" i="31"/>
  <c r="DG47" i="31"/>
  <c r="DF47" i="31"/>
  <c r="DH47" i="31"/>
  <c r="DB47" i="31"/>
  <c r="DD47" i="31"/>
  <c r="DA47" i="31"/>
  <c r="EH47" i="31"/>
  <c r="EL47" i="31"/>
  <c r="EI47" i="31"/>
  <c r="EM47" i="31"/>
  <c r="EJ47" i="31"/>
  <c r="EN47" i="31"/>
  <c r="EK47" i="31"/>
  <c r="EG47" i="31"/>
  <c r="EH51" i="31"/>
  <c r="EL51" i="31"/>
  <c r="EI51" i="31"/>
  <c r="EM51" i="31"/>
  <c r="EJ51" i="31"/>
  <c r="EN51" i="31"/>
  <c r="EK51" i="31"/>
  <c r="EG51" i="31"/>
  <c r="AH49" i="31"/>
  <c r="AL49" i="31"/>
  <c r="AI49" i="31"/>
  <c r="AM49" i="31"/>
  <c r="AJ49" i="31"/>
  <c r="AN49" i="31"/>
  <c r="AG49" i="31"/>
  <c r="AK49" i="31"/>
  <c r="BP60" i="31"/>
  <c r="BT60" i="31"/>
  <c r="BQ60" i="31"/>
  <c r="BS60" i="31"/>
  <c r="BN60" i="31"/>
  <c r="BO60" i="31"/>
  <c r="BM60" i="31"/>
  <c r="BR60" i="31"/>
  <c r="CV49" i="31"/>
  <c r="CZ49" i="31"/>
  <c r="CT49" i="31"/>
  <c r="CX49" i="31"/>
  <c r="CU49" i="31"/>
  <c r="CW49" i="31"/>
  <c r="CY49" i="31"/>
  <c r="CS49" i="31"/>
  <c r="EB60" i="31"/>
  <c r="EF60" i="31"/>
  <c r="EC60" i="31"/>
  <c r="DZ60" i="31"/>
  <c r="ED60" i="31"/>
  <c r="EA60" i="31"/>
  <c r="EE60" i="31"/>
  <c r="DY60" i="31"/>
  <c r="E25" i="31"/>
  <c r="D25" i="31"/>
  <c r="F25" i="31"/>
  <c r="B25" i="31"/>
  <c r="G25" i="31"/>
  <c r="C25" i="31"/>
  <c r="H25" i="31"/>
  <c r="J14" i="31"/>
  <c r="N14" i="31"/>
  <c r="K14" i="31"/>
  <c r="O14" i="31"/>
  <c r="L14" i="31"/>
  <c r="P14" i="31"/>
  <c r="I14" i="31"/>
  <c r="M14" i="31"/>
  <c r="J22" i="31"/>
  <c r="N22" i="31"/>
  <c r="K22" i="31"/>
  <c r="O22" i="31"/>
  <c r="L22" i="31"/>
  <c r="P22" i="31"/>
  <c r="M22" i="31"/>
  <c r="I22" i="31"/>
  <c r="AB22" i="31"/>
  <c r="AF22" i="31"/>
  <c r="AC22" i="31"/>
  <c r="Z22" i="31"/>
  <c r="AD22" i="31"/>
  <c r="AA22" i="31"/>
  <c r="AE22" i="31"/>
  <c r="Y22" i="31"/>
  <c r="AI21" i="31"/>
  <c r="AM21" i="31"/>
  <c r="AH21" i="31"/>
  <c r="AN21" i="31"/>
  <c r="AJ21" i="31"/>
  <c r="AK21" i="31"/>
  <c r="AG21" i="31"/>
  <c r="AL21" i="31"/>
  <c r="BF17" i="31"/>
  <c r="BJ17" i="31"/>
  <c r="BG17" i="31"/>
  <c r="BK17" i="31"/>
  <c r="BI17" i="31"/>
  <c r="BL17" i="31"/>
  <c r="BE17" i="31"/>
  <c r="BH17" i="31"/>
  <c r="T23" i="31"/>
  <c r="X23" i="31"/>
  <c r="U23" i="31"/>
  <c r="R23" i="31"/>
  <c r="V23" i="31"/>
  <c r="S23" i="31"/>
  <c r="W23" i="31"/>
  <c r="Q23" i="31"/>
  <c r="AC23" i="31"/>
  <c r="Z23" i="31"/>
  <c r="AD23" i="31"/>
  <c r="Y23" i="31"/>
  <c r="AA23" i="31"/>
  <c r="AE23" i="31"/>
  <c r="AF23" i="31"/>
  <c r="AB23" i="31"/>
  <c r="AR18" i="31"/>
  <c r="AV18" i="31"/>
  <c r="AS18" i="31"/>
  <c r="AQ18" i="31"/>
  <c r="AT18" i="31"/>
  <c r="AU18" i="31"/>
  <c r="AP18" i="31"/>
  <c r="AO18" i="31"/>
  <c r="AY16" i="31"/>
  <c r="BC16" i="31"/>
  <c r="AZ16" i="31"/>
  <c r="BD16" i="31"/>
  <c r="AX16" i="31"/>
  <c r="BA16" i="31"/>
  <c r="AW16" i="31"/>
  <c r="BB16" i="31"/>
  <c r="BA18" i="31"/>
  <c r="AX18" i="31"/>
  <c r="BB18" i="31"/>
  <c r="AZ18" i="31"/>
  <c r="BC18" i="31"/>
  <c r="BD18" i="31"/>
  <c r="AY18" i="31"/>
  <c r="AW18" i="31"/>
  <c r="BP23" i="31"/>
  <c r="BT23" i="31"/>
  <c r="BQ23" i="31"/>
  <c r="BO23" i="31"/>
  <c r="BR23" i="31"/>
  <c r="BS23" i="31"/>
  <c r="BM23" i="31"/>
  <c r="BN23" i="31"/>
  <c r="BY23" i="31"/>
  <c r="BV23" i="31"/>
  <c r="BZ23" i="31"/>
  <c r="BW23" i="31"/>
  <c r="CA23" i="31"/>
  <c r="BX23" i="31"/>
  <c r="CB23" i="31"/>
  <c r="BU23" i="31"/>
  <c r="BY18" i="31"/>
  <c r="BV18" i="31"/>
  <c r="BZ18" i="31"/>
  <c r="BW18" i="31"/>
  <c r="CA18" i="31"/>
  <c r="CB18" i="31"/>
  <c r="BU18" i="31"/>
  <c r="BX18" i="31"/>
  <c r="CE18" i="31"/>
  <c r="CI18" i="31"/>
  <c r="CF18" i="31"/>
  <c r="CJ18" i="31"/>
  <c r="CG18" i="31"/>
  <c r="CC18" i="31"/>
  <c r="CD18" i="31"/>
  <c r="CH18" i="31"/>
  <c r="CL18" i="31"/>
  <c r="CP18" i="31"/>
  <c r="CN18" i="31"/>
  <c r="CR18" i="31"/>
  <c r="CM18" i="31"/>
  <c r="CO18" i="31"/>
  <c r="CQ18" i="31"/>
  <c r="CK18" i="31"/>
  <c r="DD18" i="31"/>
  <c r="DH18" i="31"/>
  <c r="DE18" i="31"/>
  <c r="DB18" i="31"/>
  <c r="DF18" i="31"/>
  <c r="DG18" i="31"/>
  <c r="DA18" i="31"/>
  <c r="DC18" i="31"/>
  <c r="DL18" i="31"/>
  <c r="DP18" i="31"/>
  <c r="DM18" i="31"/>
  <c r="DJ18" i="31"/>
  <c r="DN18" i="31"/>
  <c r="DK18" i="31"/>
  <c r="DO18" i="31"/>
  <c r="DI18" i="31"/>
  <c r="DS18" i="31"/>
  <c r="DW18" i="31"/>
  <c r="DT18" i="31"/>
  <c r="DX18" i="31"/>
  <c r="DU18" i="31"/>
  <c r="DR18" i="31"/>
  <c r="DV18" i="31"/>
  <c r="DQ18" i="31"/>
  <c r="EK18" i="31"/>
  <c r="EH18" i="31"/>
  <c r="EL18" i="31"/>
  <c r="EI18" i="31"/>
  <c r="EM18" i="31"/>
  <c r="EN18" i="31"/>
  <c r="EJ18" i="31"/>
  <c r="EG18" i="31"/>
  <c r="E29" i="31"/>
  <c r="G29" i="31"/>
  <c r="C29" i="31"/>
  <c r="H29" i="31"/>
  <c r="D29" i="31"/>
  <c r="F29" i="31"/>
  <c r="B29" i="31"/>
  <c r="Z24" i="31"/>
  <c r="AD24" i="31"/>
  <c r="AA24" i="31"/>
  <c r="AE24" i="31"/>
  <c r="AB24" i="31"/>
  <c r="AF24" i="31"/>
  <c r="AC24" i="31"/>
  <c r="Y24" i="31"/>
  <c r="AB26" i="31"/>
  <c r="AF26" i="31"/>
  <c r="AC26" i="31"/>
  <c r="Z26" i="31"/>
  <c r="AD26" i="31"/>
  <c r="AA26" i="31"/>
  <c r="AE26" i="31"/>
  <c r="Y26" i="31"/>
  <c r="Z32" i="31"/>
  <c r="AD32" i="31"/>
  <c r="AA32" i="31"/>
  <c r="AE32" i="31"/>
  <c r="AB32" i="31"/>
  <c r="AF32" i="31"/>
  <c r="Y32" i="31"/>
  <c r="AC32" i="31"/>
  <c r="AI29" i="31"/>
  <c r="AM29" i="31"/>
  <c r="AK29" i="31"/>
  <c r="AL29" i="31"/>
  <c r="AH29" i="31"/>
  <c r="AN29" i="31"/>
  <c r="AJ29" i="31"/>
  <c r="AG29" i="31"/>
  <c r="AS32" i="31"/>
  <c r="AP32" i="31"/>
  <c r="AT32" i="31"/>
  <c r="AV32" i="31"/>
  <c r="AQ32" i="31"/>
  <c r="AR32" i="31"/>
  <c r="AO32" i="31"/>
  <c r="AU32" i="31"/>
  <c r="BX26" i="31"/>
  <c r="CB26" i="31"/>
  <c r="BY26" i="31"/>
  <c r="BV26" i="31"/>
  <c r="BZ26" i="31"/>
  <c r="CA26" i="31"/>
  <c r="BU26" i="31"/>
  <c r="BW26" i="31"/>
  <c r="CD29" i="31"/>
  <c r="CH29" i="31"/>
  <c r="CE29" i="31"/>
  <c r="CI29" i="31"/>
  <c r="CF29" i="31"/>
  <c r="CJ29" i="31"/>
  <c r="CG29" i="31"/>
  <c r="CC29" i="31"/>
  <c r="CE33" i="31"/>
  <c r="CG33" i="31"/>
  <c r="CL26" i="31"/>
  <c r="CP26" i="31"/>
  <c r="CN26" i="31"/>
  <c r="CR26" i="31"/>
  <c r="CM26" i="31"/>
  <c r="CO26" i="31"/>
  <c r="CQ26" i="31"/>
  <c r="CK26" i="31"/>
  <c r="CN32" i="31"/>
  <c r="CR32" i="31"/>
  <c r="CL32" i="31"/>
  <c r="CP32" i="31"/>
  <c r="CM32" i="31"/>
  <c r="CO32" i="31"/>
  <c r="CQ32" i="31"/>
  <c r="CK32" i="31"/>
  <c r="DD26" i="31"/>
  <c r="DH26" i="31"/>
  <c r="DE26" i="31"/>
  <c r="DB26" i="31"/>
  <c r="DF26" i="31"/>
  <c r="DC26" i="31"/>
  <c r="DG26" i="31"/>
  <c r="DA26" i="31"/>
  <c r="DK29" i="31"/>
  <c r="DO29" i="31"/>
  <c r="DL29" i="31"/>
  <c r="DP29" i="31"/>
  <c r="DM29" i="31"/>
  <c r="DN29" i="31"/>
  <c r="DJ29" i="31"/>
  <c r="DI29" i="31"/>
  <c r="DS26" i="31"/>
  <c r="DW26" i="31"/>
  <c r="DT26" i="31"/>
  <c r="DX26" i="31"/>
  <c r="DU26" i="31"/>
  <c r="DR26" i="31"/>
  <c r="DV26" i="31"/>
  <c r="DQ26" i="31"/>
  <c r="DU32" i="31"/>
  <c r="DR32" i="31"/>
  <c r="DV32" i="31"/>
  <c r="DS32" i="31"/>
  <c r="DW32" i="31"/>
  <c r="DX32" i="31"/>
  <c r="DT32" i="31"/>
  <c r="DQ32" i="31"/>
  <c r="EK26" i="31"/>
  <c r="EH26" i="31"/>
  <c r="EL26" i="31"/>
  <c r="EI26" i="31"/>
  <c r="EM26" i="31"/>
  <c r="EJ26" i="31"/>
  <c r="EN26" i="31"/>
  <c r="EG26" i="31"/>
  <c r="E27" i="31"/>
  <c r="B27" i="31"/>
  <c r="C27" i="31"/>
  <c r="H27" i="31"/>
  <c r="D27" i="31"/>
  <c r="F27" i="31"/>
  <c r="G27" i="31"/>
  <c r="AS28" i="31"/>
  <c r="AP28" i="31"/>
  <c r="AT28" i="31"/>
  <c r="AR28" i="31"/>
  <c r="AU28" i="31"/>
  <c r="AV28" i="31"/>
  <c r="AO28" i="31"/>
  <c r="AQ28" i="31"/>
  <c r="BV28" i="31"/>
  <c r="BZ28" i="31"/>
  <c r="BW28" i="31"/>
  <c r="CA28" i="31"/>
  <c r="BX28" i="31"/>
  <c r="CB28" i="31"/>
  <c r="BU28" i="31"/>
  <c r="BY28" i="31"/>
  <c r="DB28" i="31"/>
  <c r="DF28" i="31"/>
  <c r="DC28" i="31"/>
  <c r="DG28" i="31"/>
  <c r="DD28" i="31"/>
  <c r="DH28" i="31"/>
  <c r="DE28" i="31"/>
  <c r="DA28" i="31"/>
  <c r="EI28" i="31"/>
  <c r="EM28" i="31"/>
  <c r="EJ28" i="31"/>
  <c r="EN28" i="31"/>
  <c r="EK28" i="31"/>
  <c r="EH28" i="31"/>
  <c r="EL28" i="31"/>
  <c r="EG28" i="31"/>
  <c r="D13" i="31"/>
  <c r="H13" i="31"/>
  <c r="E13" i="31"/>
  <c r="C13" i="31"/>
  <c r="F13" i="31"/>
  <c r="G13" i="31"/>
  <c r="B13" i="31"/>
  <c r="AS52" i="31"/>
  <c r="AT52" i="31"/>
  <c r="AP52" i="31"/>
  <c r="AU52" i="31"/>
  <c r="AQ52" i="31"/>
  <c r="AV52" i="31"/>
  <c r="AR52" i="31"/>
  <c r="AO52" i="31"/>
  <c r="AY25" i="31"/>
  <c r="BC25" i="31"/>
  <c r="AZ25" i="31"/>
  <c r="BD25" i="31"/>
  <c r="AX25" i="31"/>
  <c r="BA25" i="31"/>
  <c r="AW25" i="31"/>
  <c r="BB25" i="31"/>
  <c r="BF13" i="31"/>
  <c r="BJ13" i="31"/>
  <c r="BG13" i="31"/>
  <c r="BK13" i="31"/>
  <c r="BH13" i="31"/>
  <c r="BE13" i="31"/>
  <c r="BI13" i="31"/>
  <c r="BL13" i="31"/>
  <c r="BP13" i="31"/>
  <c r="BT13" i="31"/>
  <c r="BQ13" i="31"/>
  <c r="BO13" i="31"/>
  <c r="BR13" i="31"/>
  <c r="BS13" i="31"/>
  <c r="BN13" i="31"/>
  <c r="BM13" i="31"/>
  <c r="BW52" i="31"/>
  <c r="CA52" i="31"/>
  <c r="BX52" i="31"/>
  <c r="CB52" i="31"/>
  <c r="BV52" i="31"/>
  <c r="BY52" i="31"/>
  <c r="BZ52" i="31"/>
  <c r="BU52" i="31"/>
  <c r="CE13" i="31"/>
  <c r="CI13" i="31"/>
  <c r="CF13" i="31"/>
  <c r="CJ13" i="31"/>
  <c r="CG13" i="31"/>
  <c r="CH13" i="31"/>
  <c r="CC13" i="31"/>
  <c r="CD13" i="31"/>
  <c r="DB52" i="31"/>
  <c r="DF52" i="31"/>
  <c r="DD52" i="31"/>
  <c r="DH52" i="31"/>
  <c r="DC52" i="31"/>
  <c r="DE52" i="31"/>
  <c r="DG52" i="31"/>
  <c r="DA52" i="31"/>
  <c r="DK13" i="31"/>
  <c r="DO13" i="31"/>
  <c r="DL13" i="31"/>
  <c r="DP13" i="31"/>
  <c r="DM13" i="31"/>
  <c r="DN13" i="31"/>
  <c r="DJ13" i="31"/>
  <c r="DI13" i="31"/>
  <c r="CF39" i="31"/>
  <c r="CJ39" i="31"/>
  <c r="CG39" i="31"/>
  <c r="CD39" i="31"/>
  <c r="CH39" i="31"/>
  <c r="CI39" i="31"/>
  <c r="CE39" i="31"/>
  <c r="CC39" i="31"/>
  <c r="DM39" i="31"/>
  <c r="DJ39" i="31"/>
  <c r="DN39" i="31"/>
  <c r="DO39" i="31"/>
  <c r="DP39" i="31"/>
  <c r="DK39" i="31"/>
  <c r="DL39" i="31"/>
  <c r="DI39" i="31"/>
  <c r="C54" i="31"/>
  <c r="G54" i="31"/>
  <c r="E54" i="31"/>
  <c r="B54" i="31"/>
  <c r="F54" i="31"/>
  <c r="H54" i="31"/>
  <c r="D54" i="31"/>
  <c r="L44" i="31"/>
  <c r="P44" i="31"/>
  <c r="M44" i="31"/>
  <c r="J44" i="31"/>
  <c r="N44" i="31"/>
  <c r="O44" i="31"/>
  <c r="I44" i="31"/>
  <c r="K44" i="31"/>
  <c r="R54" i="31"/>
  <c r="V54" i="31"/>
  <c r="S54" i="31"/>
  <c r="W54" i="31"/>
  <c r="T54" i="31"/>
  <c r="X54" i="31"/>
  <c r="Q54" i="31"/>
  <c r="U54" i="31"/>
  <c r="T46" i="31"/>
  <c r="X46" i="31"/>
  <c r="U46" i="31"/>
  <c r="R46" i="31"/>
  <c r="V46" i="31"/>
  <c r="S46" i="31"/>
  <c r="W46" i="31"/>
  <c r="Q46" i="31"/>
  <c r="AH36" i="31"/>
  <c r="AL36" i="31"/>
  <c r="AJ36" i="31"/>
  <c r="AK36" i="31"/>
  <c r="AG36" i="31"/>
  <c r="AM36" i="31"/>
  <c r="AI36" i="31"/>
  <c r="AN36" i="31"/>
  <c r="AS40" i="31"/>
  <c r="AR40" i="31"/>
  <c r="AT40" i="31"/>
  <c r="AP40" i="31"/>
  <c r="AU40" i="31"/>
  <c r="AQ40" i="31"/>
  <c r="AV40" i="31"/>
  <c r="AO40" i="31"/>
  <c r="BG40" i="31"/>
  <c r="BK40" i="31"/>
  <c r="BH40" i="31"/>
  <c r="BL40" i="31"/>
  <c r="BF40" i="31"/>
  <c r="BI40" i="31"/>
  <c r="BJ40" i="31"/>
  <c r="BE40" i="31"/>
  <c r="BQ36" i="31"/>
  <c r="BN36" i="31"/>
  <c r="BR36" i="31"/>
  <c r="BT36" i="31"/>
  <c r="BO36" i="31"/>
  <c r="BM36" i="31"/>
  <c r="BP36" i="31"/>
  <c r="BS36" i="31"/>
  <c r="BN54" i="31"/>
  <c r="BR54" i="31"/>
  <c r="BO54" i="31"/>
  <c r="BS54" i="31"/>
  <c r="BP54" i="31"/>
  <c r="BQ54" i="31"/>
  <c r="BT54" i="31"/>
  <c r="BM54" i="31"/>
  <c r="BW40" i="31"/>
  <c r="CA40" i="31"/>
  <c r="BX40" i="31"/>
  <c r="CB40" i="31"/>
  <c r="BZ40" i="31"/>
  <c r="BV40" i="31"/>
  <c r="BU40" i="31"/>
  <c r="BY40" i="31"/>
  <c r="CN40" i="31"/>
  <c r="CR40" i="31"/>
  <c r="CL40" i="31"/>
  <c r="CP40" i="31"/>
  <c r="CM40" i="31"/>
  <c r="CO40" i="31"/>
  <c r="CK40" i="31"/>
  <c r="CQ40" i="31"/>
  <c r="CU36" i="31"/>
  <c r="CY36" i="31"/>
  <c r="CW36" i="31"/>
  <c r="CV36" i="31"/>
  <c r="CX36" i="31"/>
  <c r="CZ36" i="31"/>
  <c r="CT36" i="31"/>
  <c r="CS36" i="31"/>
  <c r="DB40" i="31"/>
  <c r="DF40" i="31"/>
  <c r="DD40" i="31"/>
  <c r="DH40" i="31"/>
  <c r="DG40" i="31"/>
  <c r="DC40" i="31"/>
  <c r="DE40" i="31"/>
  <c r="DA40" i="31"/>
  <c r="DU40" i="31"/>
  <c r="DR40" i="31"/>
  <c r="DV40" i="31"/>
  <c r="DS40" i="31"/>
  <c r="DW40" i="31"/>
  <c r="DT40" i="31"/>
  <c r="DX40" i="31"/>
  <c r="DQ40" i="31"/>
  <c r="EB36" i="31"/>
  <c r="EF36" i="31"/>
  <c r="EC36" i="31"/>
  <c r="DZ36" i="31"/>
  <c r="ED36" i="31"/>
  <c r="EA36" i="31"/>
  <c r="EE36" i="31"/>
  <c r="DY36" i="31"/>
  <c r="DZ54" i="31"/>
  <c r="ED54" i="31"/>
  <c r="EA54" i="31"/>
  <c r="EE54" i="31"/>
  <c r="EB54" i="31"/>
  <c r="EF54" i="31"/>
  <c r="EC54" i="31"/>
  <c r="DY54" i="31"/>
  <c r="EI40" i="31"/>
  <c r="EM40" i="31"/>
  <c r="EJ40" i="31"/>
  <c r="EN40" i="31"/>
  <c r="EK40" i="31"/>
  <c r="EH40" i="31"/>
  <c r="EL40" i="31"/>
  <c r="EG40" i="31"/>
  <c r="R50" i="31"/>
  <c r="V50" i="31"/>
  <c r="S50" i="31"/>
  <c r="W50" i="31"/>
  <c r="T50" i="31"/>
  <c r="X50" i="31"/>
  <c r="U50" i="31"/>
  <c r="Q50" i="31"/>
  <c r="AL45" i="31"/>
  <c r="AM45" i="31"/>
  <c r="AN45" i="31"/>
  <c r="AG45" i="31"/>
  <c r="AZ50" i="31"/>
  <c r="BD50" i="31"/>
  <c r="BA50" i="31"/>
  <c r="AY50" i="31"/>
  <c r="BB50" i="31"/>
  <c r="BC50" i="31"/>
  <c r="AX50" i="31"/>
  <c r="AW50" i="31"/>
  <c r="BF51" i="31"/>
  <c r="BJ51" i="31"/>
  <c r="BG51" i="31"/>
  <c r="BK51" i="31"/>
  <c r="BI51" i="31"/>
  <c r="BL51" i="31"/>
  <c r="BE51" i="31"/>
  <c r="BH51" i="31"/>
  <c r="CE50" i="31"/>
  <c r="CI50" i="31"/>
  <c r="CF50" i="31"/>
  <c r="CJ50" i="31"/>
  <c r="CG50" i="31"/>
  <c r="CC50" i="31"/>
  <c r="CD50" i="31"/>
  <c r="CH50" i="31"/>
  <c r="DL50" i="31"/>
  <c r="DP50" i="31"/>
  <c r="DM50" i="31"/>
  <c r="DJ50" i="31"/>
  <c r="DK50" i="31"/>
  <c r="DN50" i="31"/>
  <c r="DO50" i="31"/>
  <c r="DI50" i="31"/>
  <c r="AR43" i="31"/>
  <c r="AV43" i="31"/>
  <c r="AS43" i="31"/>
  <c r="AT43" i="31"/>
  <c r="AP43" i="31"/>
  <c r="AU43" i="31"/>
  <c r="AO43" i="31"/>
  <c r="AQ43" i="31"/>
  <c r="DT51" i="31"/>
  <c r="DX51" i="31"/>
  <c r="DU51" i="31"/>
  <c r="DR51" i="31"/>
  <c r="DV51" i="31"/>
  <c r="DS51" i="31"/>
  <c r="DW51" i="31"/>
  <c r="DQ51" i="31"/>
  <c r="EY12" i="31"/>
  <c r="FA12" i="31"/>
  <c r="EW12" i="31"/>
  <c r="FB12" i="31"/>
  <c r="EZ12" i="31"/>
  <c r="EV12" i="31"/>
  <c r="FC12" i="31"/>
  <c r="EX12" i="31"/>
  <c r="AP49" i="31"/>
  <c r="AT49" i="31"/>
  <c r="AS49" i="31"/>
  <c r="AU49" i="31"/>
  <c r="AO49" i="31"/>
  <c r="AQ49" i="31"/>
  <c r="AV49" i="31"/>
  <c r="AR49" i="31"/>
  <c r="BH57" i="31"/>
  <c r="BL57" i="31"/>
  <c r="BI57" i="31"/>
  <c r="BG57" i="31"/>
  <c r="BJ57" i="31"/>
  <c r="BK57" i="31"/>
  <c r="BE57" i="31"/>
  <c r="BF57" i="31"/>
  <c r="DC57" i="31"/>
  <c r="DG57" i="31"/>
  <c r="DE57" i="31"/>
  <c r="DH57" i="31"/>
  <c r="DB57" i="31"/>
  <c r="DD57" i="31"/>
  <c r="DF57" i="31"/>
  <c r="DA57" i="31"/>
  <c r="DR57" i="31"/>
  <c r="DV57" i="31"/>
  <c r="DS57" i="31"/>
  <c r="DW57" i="31"/>
  <c r="DT57" i="31"/>
  <c r="DX57" i="31"/>
  <c r="DU57" i="31"/>
  <c r="DQ57" i="31"/>
  <c r="H5" i="29"/>
  <c r="D33" i="30"/>
  <c r="D8" i="30"/>
  <c r="L5" i="29"/>
  <c r="G36" i="8"/>
  <c r="G6" i="8"/>
  <c r="D40" i="30"/>
  <c r="T5" i="29"/>
  <c r="D35" i="30"/>
  <c r="H6" i="29"/>
  <c r="E33" i="30"/>
  <c r="E8" i="30"/>
  <c r="L6" i="29"/>
  <c r="G37" i="8"/>
  <c r="G7" i="8"/>
  <c r="E40" i="30"/>
  <c r="Q6" i="29"/>
  <c r="E42" i="30"/>
  <c r="T6" i="29"/>
  <c r="E35" i="30"/>
  <c r="C7" i="29"/>
  <c r="C38" i="8"/>
  <c r="C8" i="8"/>
  <c r="F31" i="30"/>
  <c r="K7" i="29"/>
  <c r="F39" i="30"/>
  <c r="F38" i="30"/>
  <c r="P7" i="29"/>
  <c r="H38" i="8"/>
  <c r="H8" i="8"/>
  <c r="S7" i="29"/>
  <c r="F34" i="30"/>
  <c r="G7" i="30"/>
  <c r="B8" i="29"/>
  <c r="G29" i="30"/>
  <c r="B39" i="8"/>
  <c r="F8" i="29"/>
  <c r="G32" i="30"/>
  <c r="E39" i="8"/>
  <c r="E9" i="8"/>
  <c r="I8" i="29"/>
  <c r="F39" i="8"/>
  <c r="F9" i="8"/>
  <c r="G36" i="30"/>
  <c r="V8" i="29"/>
  <c r="G37" i="30"/>
  <c r="G42" i="30"/>
  <c r="H7" i="30"/>
  <c r="B40" i="8"/>
  <c r="B9" i="29"/>
  <c r="H29" i="30"/>
  <c r="F9" i="29"/>
  <c r="H32" i="30"/>
  <c r="I9" i="29"/>
  <c r="F40" i="8"/>
  <c r="F10" i="8"/>
  <c r="H36" i="30"/>
  <c r="E40" i="8"/>
  <c r="E10" i="8"/>
  <c r="V9" i="29"/>
  <c r="H37" i="30"/>
  <c r="I7" i="30"/>
  <c r="B10" i="29"/>
  <c r="B41" i="8"/>
  <c r="I29" i="30"/>
  <c r="F10" i="29"/>
  <c r="I32" i="30"/>
  <c r="J32" i="30"/>
  <c r="I10" i="29"/>
  <c r="F41" i="8"/>
  <c r="F11" i="8"/>
  <c r="E41" i="8"/>
  <c r="E11" i="8"/>
  <c r="I36" i="30"/>
  <c r="V10" i="29"/>
  <c r="I37" i="30"/>
  <c r="J7" i="30"/>
  <c r="B42" i="8"/>
  <c r="J29" i="30"/>
  <c r="F11" i="29"/>
  <c r="K32" i="30"/>
  <c r="V11" i="29"/>
  <c r="J37" i="30"/>
  <c r="K7" i="30"/>
  <c r="B12" i="29"/>
  <c r="K29" i="30"/>
  <c r="B43" i="8"/>
  <c r="V12" i="29"/>
  <c r="K37" i="30"/>
  <c r="B13" i="29"/>
  <c r="L7" i="30"/>
  <c r="I13" i="29"/>
  <c r="F44" i="8"/>
  <c r="F14" i="8"/>
  <c r="E44" i="8"/>
  <c r="E14" i="8"/>
  <c r="L36" i="30"/>
  <c r="V13" i="29"/>
  <c r="L37" i="30"/>
  <c r="M7" i="30"/>
  <c r="B45" i="8"/>
  <c r="B14" i="29"/>
  <c r="M29" i="30"/>
  <c r="F14" i="29"/>
  <c r="N11" i="7"/>
  <c r="V14" i="29"/>
  <c r="M37" i="30"/>
  <c r="N7" i="30"/>
  <c r="B15" i="29"/>
  <c r="B46" i="8"/>
  <c r="N29" i="30"/>
  <c r="F15" i="29"/>
  <c r="O32" i="30"/>
  <c r="E46" i="8"/>
  <c r="E16" i="8"/>
  <c r="I15" i="29"/>
  <c r="N36" i="30"/>
  <c r="F46" i="8"/>
  <c r="F16" i="8"/>
  <c r="V15" i="29"/>
  <c r="N37" i="30"/>
  <c r="O10" i="30"/>
  <c r="I47" i="8"/>
  <c r="I17" i="8"/>
  <c r="N16" i="29"/>
  <c r="O30" i="30"/>
  <c r="O9" i="30"/>
  <c r="D47" i="8"/>
  <c r="D17" i="8"/>
  <c r="R16" i="29"/>
  <c r="O69" i="30"/>
  <c r="H17" i="29"/>
  <c r="P33" i="30"/>
  <c r="P8" i="30"/>
  <c r="L17" i="29"/>
  <c r="G48" i="8"/>
  <c r="G18" i="8"/>
  <c r="P40" i="30"/>
  <c r="T17" i="29"/>
  <c r="P35" i="30"/>
  <c r="C49" i="8"/>
  <c r="C19" i="8"/>
  <c r="C18" i="29"/>
  <c r="Q31" i="30"/>
  <c r="K18" i="29"/>
  <c r="Q38" i="30"/>
  <c r="Q39" i="30"/>
  <c r="P18" i="29"/>
  <c r="H49" i="8"/>
  <c r="H19" i="8"/>
  <c r="S18" i="29"/>
  <c r="Q34" i="30"/>
  <c r="R7" i="30"/>
  <c r="B50" i="8"/>
  <c r="B19" i="29"/>
  <c r="R29" i="30"/>
  <c r="F19" i="29"/>
  <c r="S32" i="30"/>
  <c r="F50" i="8"/>
  <c r="F20" i="8"/>
  <c r="E50" i="8"/>
  <c r="E20" i="8"/>
  <c r="I19" i="29"/>
  <c r="R36" i="30"/>
  <c r="V19" i="29"/>
  <c r="R37" i="30"/>
  <c r="S10" i="30"/>
  <c r="I51" i="8"/>
  <c r="I21" i="8"/>
  <c r="N20" i="29"/>
  <c r="S30" i="30"/>
  <c r="S9" i="30"/>
  <c r="D51" i="8"/>
  <c r="D21" i="8"/>
  <c r="R20" i="29"/>
  <c r="S69" i="30"/>
  <c r="H21" i="29"/>
  <c r="T33" i="30"/>
  <c r="T8" i="30"/>
  <c r="L21" i="29"/>
  <c r="G52" i="8"/>
  <c r="G22" i="8"/>
  <c r="T40" i="30"/>
  <c r="T21" i="29"/>
  <c r="T35" i="30"/>
  <c r="C53" i="8"/>
  <c r="C23" i="8"/>
  <c r="C22" i="29"/>
  <c r="U31" i="30"/>
  <c r="K22" i="29"/>
  <c r="U38" i="30"/>
  <c r="U39" i="30"/>
  <c r="P22" i="29"/>
  <c r="H53" i="8"/>
  <c r="H23" i="8"/>
  <c r="S22" i="29"/>
  <c r="U34" i="30"/>
  <c r="H31" i="29"/>
  <c r="D48" i="30"/>
  <c r="L31" i="29"/>
  <c r="D56" i="30"/>
  <c r="O31" i="29"/>
  <c r="P36" i="8"/>
  <c r="P6" i="8"/>
  <c r="H33" i="29"/>
  <c r="F48" i="30"/>
  <c r="L33" i="29"/>
  <c r="F56" i="30"/>
  <c r="O33" i="29"/>
  <c r="P38" i="8"/>
  <c r="P8" i="8"/>
  <c r="N34" i="29"/>
  <c r="G70" i="30"/>
  <c r="G49" i="7"/>
  <c r="H35" i="29"/>
  <c r="H48" i="30"/>
  <c r="L35" i="29"/>
  <c r="H56" i="30"/>
  <c r="O35" i="29"/>
  <c r="P40" i="8"/>
  <c r="P10" i="8"/>
  <c r="N36" i="29"/>
  <c r="I70" i="30"/>
  <c r="I49" i="7"/>
  <c r="H37" i="29"/>
  <c r="J48" i="30"/>
  <c r="L37" i="29"/>
  <c r="J56" i="30"/>
  <c r="O37" i="29"/>
  <c r="P42" i="8"/>
  <c r="P12" i="8"/>
  <c r="E38" i="29"/>
  <c r="J43" i="8"/>
  <c r="J13" i="8"/>
  <c r="K13" i="30"/>
  <c r="I38" i="29"/>
  <c r="K43" i="30"/>
  <c r="K47" i="30"/>
  <c r="K43" i="8"/>
  <c r="K13" i="8"/>
  <c r="M38" i="29"/>
  <c r="K49" i="30"/>
  <c r="O43" i="8"/>
  <c r="O13" i="8"/>
  <c r="Q38" i="29"/>
  <c r="C39" i="29"/>
  <c r="L46" i="30"/>
  <c r="L26" i="7"/>
  <c r="G39" i="29"/>
  <c r="M44" i="8"/>
  <c r="M14" i="8"/>
  <c r="L11" i="30"/>
  <c r="K39" i="29"/>
  <c r="L50" i="30"/>
  <c r="L12" i="30"/>
  <c r="L30" i="7"/>
  <c r="L44" i="8"/>
  <c r="L14" i="8"/>
  <c r="R39" i="29"/>
  <c r="H40" i="29"/>
  <c r="M48" i="30"/>
  <c r="L40" i="29"/>
  <c r="M56" i="30"/>
  <c r="O40" i="29"/>
  <c r="P45" i="8"/>
  <c r="P15" i="8"/>
  <c r="E41" i="29"/>
  <c r="J46" i="8"/>
  <c r="J16" i="8"/>
  <c r="N41" i="30"/>
  <c r="N13" i="30"/>
  <c r="I41" i="29"/>
  <c r="N43" i="30"/>
  <c r="N47" i="30"/>
  <c r="M41" i="29"/>
  <c r="K46" i="8"/>
  <c r="K16" i="8"/>
  <c r="N49" i="30"/>
  <c r="Q41" i="29"/>
  <c r="O46" i="8"/>
  <c r="O16" i="8"/>
  <c r="N42" i="29"/>
  <c r="O70" i="30"/>
  <c r="O49" i="7"/>
  <c r="C43" i="29"/>
  <c r="P46" i="30"/>
  <c r="P26" i="7"/>
  <c r="G43" i="29"/>
  <c r="M48" i="8"/>
  <c r="M18" i="8"/>
  <c r="P11" i="30"/>
  <c r="K43" i="29"/>
  <c r="P50" i="30"/>
  <c r="P12" i="30"/>
  <c r="P30" i="7"/>
  <c r="L48" i="8"/>
  <c r="L18" i="8"/>
  <c r="R43" i="29"/>
  <c r="H44" i="29"/>
  <c r="Q48" i="30"/>
  <c r="L44" i="29"/>
  <c r="Q56" i="30"/>
  <c r="O44" i="29"/>
  <c r="P49" i="8"/>
  <c r="P19" i="8"/>
  <c r="E45" i="29"/>
  <c r="J50" i="8"/>
  <c r="J20" i="8"/>
  <c r="R41" i="30"/>
  <c r="R13" i="30"/>
  <c r="I45" i="29"/>
  <c r="R43" i="30"/>
  <c r="R47" i="30"/>
  <c r="M45" i="29"/>
  <c r="K50" i="8"/>
  <c r="K20" i="8"/>
  <c r="R49" i="30"/>
  <c r="Q45" i="29"/>
  <c r="O50" i="8"/>
  <c r="O20" i="8"/>
  <c r="N46" i="29"/>
  <c r="S70" i="30"/>
  <c r="S49" i="7"/>
  <c r="C47" i="29"/>
  <c r="T46" i="30"/>
  <c r="T26" i="7"/>
  <c r="G47" i="29"/>
  <c r="M52" i="8"/>
  <c r="M22" i="8"/>
  <c r="T11" i="30"/>
  <c r="K47" i="29"/>
  <c r="T50" i="30"/>
  <c r="T12" i="30"/>
  <c r="T30" i="7"/>
  <c r="L52" i="8"/>
  <c r="L22" i="8"/>
  <c r="R47" i="29"/>
  <c r="H48" i="29"/>
  <c r="U48" i="30"/>
  <c r="L48" i="29"/>
  <c r="U56" i="30"/>
  <c r="O48" i="29"/>
  <c r="P53" i="8"/>
  <c r="G56" i="29"/>
  <c r="D55" i="30"/>
  <c r="H55" i="30"/>
  <c r="C40" i="7"/>
  <c r="F44" i="31"/>
  <c r="D19" i="30"/>
  <c r="I57" i="29"/>
  <c r="E71" i="30"/>
  <c r="E75" i="30"/>
  <c r="E18" i="30"/>
  <c r="N58" i="29"/>
  <c r="F57" i="30"/>
  <c r="F19" i="30"/>
  <c r="R58" i="29"/>
  <c r="F61" i="30"/>
  <c r="I59" i="29"/>
  <c r="G75" i="30"/>
  <c r="G71" i="30"/>
  <c r="L59" i="29"/>
  <c r="G63" i="30"/>
  <c r="G18" i="30"/>
  <c r="P59" i="29"/>
  <c r="G59" i="30"/>
  <c r="N60" i="29"/>
  <c r="H57" i="30"/>
  <c r="H19" i="30"/>
  <c r="R60" i="29"/>
  <c r="H61" i="30"/>
  <c r="D61" i="29"/>
  <c r="I44" i="30"/>
  <c r="I58" i="30"/>
  <c r="K61" i="29"/>
  <c r="I54" i="30"/>
  <c r="I15" i="30"/>
  <c r="O61" i="29"/>
  <c r="B62" i="29"/>
  <c r="J53" i="30"/>
  <c r="I62" i="29"/>
  <c r="J75" i="30"/>
  <c r="J71" i="30"/>
  <c r="L62" i="29"/>
  <c r="J63" i="30"/>
  <c r="J18" i="30"/>
  <c r="P62" i="29"/>
  <c r="J59" i="30"/>
  <c r="E63" i="29"/>
  <c r="K45" i="30"/>
  <c r="K14" i="30"/>
  <c r="C63" i="29"/>
  <c r="J63" i="29"/>
  <c r="K52" i="30"/>
  <c r="Q63" i="29"/>
  <c r="N64" i="29"/>
  <c r="L57" i="30"/>
  <c r="L19" i="30"/>
  <c r="R64" i="29"/>
  <c r="L61" i="30"/>
  <c r="D65" i="29"/>
  <c r="M44" i="30"/>
  <c r="M58" i="30"/>
  <c r="K65" i="29"/>
  <c r="M54" i="30"/>
  <c r="M15" i="30"/>
  <c r="O65" i="29"/>
  <c r="B66" i="29"/>
  <c r="N53" i="30"/>
  <c r="I66" i="29"/>
  <c r="N75" i="30"/>
  <c r="N71" i="30"/>
  <c r="L66" i="29"/>
  <c r="N63" i="30"/>
  <c r="N18" i="30"/>
  <c r="P66" i="29"/>
  <c r="N59" i="30"/>
  <c r="E67" i="29"/>
  <c r="O45" i="30"/>
  <c r="O14" i="30"/>
  <c r="C67" i="29"/>
  <c r="J67" i="29"/>
  <c r="O52" i="30"/>
  <c r="Q67" i="29"/>
  <c r="N68" i="29"/>
  <c r="P57" i="30"/>
  <c r="P19" i="30"/>
  <c r="R68" i="29"/>
  <c r="P61" i="30"/>
  <c r="D69" i="29"/>
  <c r="Q44" i="30"/>
  <c r="Q58" i="30"/>
  <c r="K69" i="29"/>
  <c r="Q54" i="30"/>
  <c r="Q15" i="30"/>
  <c r="O69" i="29"/>
  <c r="B70" i="29"/>
  <c r="R53" i="30"/>
  <c r="I70" i="29"/>
  <c r="R75" i="30"/>
  <c r="R71" i="30"/>
  <c r="L70" i="29"/>
  <c r="R63" i="30"/>
  <c r="R18" i="30"/>
  <c r="P70" i="29"/>
  <c r="R59" i="30"/>
  <c r="E71" i="29"/>
  <c r="S45" i="30"/>
  <c r="S14" i="30"/>
  <c r="C71" i="29"/>
  <c r="J71" i="29"/>
  <c r="S52" i="30"/>
  <c r="Q71" i="29"/>
  <c r="N72" i="29"/>
  <c r="T57" i="30"/>
  <c r="T19" i="30"/>
  <c r="R72" i="29"/>
  <c r="T61" i="30"/>
  <c r="U44" i="30"/>
  <c r="U58" i="30"/>
  <c r="U54" i="30"/>
  <c r="U15" i="30"/>
  <c r="G83" i="29"/>
  <c r="E67" i="30"/>
  <c r="B84" i="29"/>
  <c r="F64" i="30"/>
  <c r="F60" i="30"/>
  <c r="F84" i="29"/>
  <c r="F68" i="30"/>
  <c r="F20" i="30"/>
  <c r="J84" i="29"/>
  <c r="D85" i="29"/>
  <c r="N39" i="8"/>
  <c r="N9" i="8"/>
  <c r="B86" i="29"/>
  <c r="H64" i="30"/>
  <c r="F86" i="29"/>
  <c r="H68" i="30"/>
  <c r="H20" i="30"/>
  <c r="J86" i="29"/>
  <c r="D87" i="29"/>
  <c r="N41" i="8"/>
  <c r="N11" i="8"/>
  <c r="B88" i="29"/>
  <c r="J64" i="30"/>
  <c r="F88" i="29"/>
  <c r="J68" i="30"/>
  <c r="J20" i="30"/>
  <c r="J88" i="29"/>
  <c r="D89" i="29"/>
  <c r="N43" i="8"/>
  <c r="N13" i="8"/>
  <c r="B90" i="29"/>
  <c r="L64" i="30"/>
  <c r="F90" i="29"/>
  <c r="L68" i="30"/>
  <c r="L20" i="30"/>
  <c r="J90" i="29"/>
  <c r="D91" i="29"/>
  <c r="N45" i="8"/>
  <c r="N15" i="8"/>
  <c r="B92" i="29"/>
  <c r="N64" i="30"/>
  <c r="F92" i="29"/>
  <c r="N68" i="30"/>
  <c r="N20" i="30"/>
  <c r="J92" i="29"/>
  <c r="D93" i="29"/>
  <c r="N47" i="8"/>
  <c r="N17" i="8"/>
  <c r="B94" i="29"/>
  <c r="P64" i="30"/>
  <c r="F94" i="29"/>
  <c r="P68" i="30"/>
  <c r="P20" i="30"/>
  <c r="J94" i="29"/>
  <c r="D95" i="29"/>
  <c r="N49" i="8"/>
  <c r="N19" i="8"/>
  <c r="B96" i="29"/>
  <c r="H60" i="30"/>
  <c r="R64" i="30"/>
  <c r="F96" i="29"/>
  <c r="R68" i="30"/>
  <c r="R20" i="30"/>
  <c r="J96" i="29"/>
  <c r="D97" i="29"/>
  <c r="N51" i="8"/>
  <c r="N21" i="8"/>
  <c r="B98" i="29"/>
  <c r="J60" i="30"/>
  <c r="T64" i="30"/>
  <c r="F98" i="29"/>
  <c r="T68" i="30"/>
  <c r="T20" i="30"/>
  <c r="J98" i="29"/>
  <c r="D99" i="29"/>
  <c r="N53" i="8"/>
  <c r="C61" i="8"/>
  <c r="D89" i="30"/>
  <c r="D97" i="30"/>
  <c r="D96" i="30"/>
  <c r="H61" i="8"/>
  <c r="D92" i="30"/>
  <c r="C62" i="8"/>
  <c r="E89" i="30"/>
  <c r="E96" i="30"/>
  <c r="E97" i="30"/>
  <c r="H62" i="8"/>
  <c r="E92" i="30"/>
  <c r="C63" i="8"/>
  <c r="F89" i="30"/>
  <c r="F97" i="30"/>
  <c r="F96" i="30"/>
  <c r="H63" i="8"/>
  <c r="F92" i="30"/>
  <c r="C64" i="8"/>
  <c r="G89" i="30"/>
  <c r="G97" i="30"/>
  <c r="G96" i="30"/>
  <c r="H64" i="8"/>
  <c r="G92" i="30"/>
  <c r="C65" i="8"/>
  <c r="H89" i="30"/>
  <c r="H97" i="30"/>
  <c r="H96" i="30"/>
  <c r="H65" i="8"/>
  <c r="H92" i="30"/>
  <c r="B66" i="8"/>
  <c r="I87" i="30"/>
  <c r="I90" i="30"/>
  <c r="F66" i="8"/>
  <c r="E66" i="8"/>
  <c r="I94" i="30"/>
  <c r="I95" i="30"/>
  <c r="D67" i="8"/>
  <c r="J127" i="30"/>
  <c r="D68" i="8"/>
  <c r="K127" i="30"/>
  <c r="D69" i="8"/>
  <c r="L127" i="30"/>
  <c r="I70" i="8"/>
  <c r="M88" i="30"/>
  <c r="D70" i="8"/>
  <c r="M127" i="30"/>
  <c r="I71" i="8"/>
  <c r="N88" i="30"/>
  <c r="D71" i="8"/>
  <c r="N127" i="30"/>
  <c r="I72" i="8"/>
  <c r="O88" i="30"/>
  <c r="D72" i="8"/>
  <c r="O127" i="30"/>
  <c r="I73" i="8"/>
  <c r="P88" i="30"/>
  <c r="D73" i="8"/>
  <c r="P127" i="30"/>
  <c r="I74" i="8"/>
  <c r="Q88" i="30"/>
  <c r="D74" i="8"/>
  <c r="Q127" i="30"/>
  <c r="R91" i="30"/>
  <c r="G75" i="8"/>
  <c r="R98" i="30"/>
  <c r="R93" i="30"/>
  <c r="C76" i="8"/>
  <c r="S89" i="30"/>
  <c r="S96" i="30"/>
  <c r="S97" i="30"/>
  <c r="H76" i="8"/>
  <c r="S92" i="30"/>
  <c r="B77" i="8"/>
  <c r="T87" i="30"/>
  <c r="T90" i="30"/>
  <c r="E77" i="8"/>
  <c r="F77" i="8"/>
  <c r="T94" i="30"/>
  <c r="T95" i="30"/>
  <c r="I78" i="8"/>
  <c r="U88" i="30"/>
  <c r="D78" i="8"/>
  <c r="U127" i="30"/>
  <c r="D128" i="30"/>
  <c r="E104" i="30"/>
  <c r="M62" i="8"/>
  <c r="E108" i="30"/>
  <c r="L62" i="8"/>
  <c r="F106" i="30"/>
  <c r="F114" i="30"/>
  <c r="P63" i="8"/>
  <c r="H106" i="30"/>
  <c r="H114" i="30"/>
  <c r="P65" i="8"/>
  <c r="I128" i="30"/>
  <c r="J106" i="30"/>
  <c r="J114" i="30"/>
  <c r="P67" i="8"/>
  <c r="K128" i="30"/>
  <c r="L106" i="30"/>
  <c r="L114" i="30"/>
  <c r="P69" i="8"/>
  <c r="M128" i="30"/>
  <c r="N104" i="30"/>
  <c r="M71" i="8"/>
  <c r="N108" i="30"/>
  <c r="L71" i="8"/>
  <c r="O106" i="30"/>
  <c r="O114" i="30"/>
  <c r="P72" i="8"/>
  <c r="J73" i="8"/>
  <c r="P101" i="30"/>
  <c r="P105" i="30"/>
  <c r="K73" i="8"/>
  <c r="P107" i="30"/>
  <c r="O73" i="8"/>
  <c r="Q128" i="30"/>
  <c r="R104" i="30"/>
  <c r="M75" i="8"/>
  <c r="R108" i="30"/>
  <c r="L75" i="8"/>
  <c r="S106" i="30"/>
  <c r="S114" i="30"/>
  <c r="P76" i="8"/>
  <c r="J77" i="8"/>
  <c r="T101" i="30"/>
  <c r="T105" i="30"/>
  <c r="K77" i="8"/>
  <c r="T107" i="30"/>
  <c r="O77" i="8"/>
  <c r="U128" i="30"/>
  <c r="D116" i="30"/>
  <c r="D102" i="30"/>
  <c r="D112" i="30"/>
  <c r="E110" i="30"/>
  <c r="F112" i="30"/>
  <c r="G110" i="30"/>
  <c r="H116" i="30"/>
  <c r="H102" i="30"/>
  <c r="H112" i="30"/>
  <c r="I110" i="30"/>
  <c r="J116" i="30"/>
  <c r="J102" i="30"/>
  <c r="J112" i="30"/>
  <c r="R68" i="8"/>
  <c r="K103" i="30"/>
  <c r="K110" i="30"/>
  <c r="L115" i="30"/>
  <c r="L119" i="30"/>
  <c r="M102" i="30"/>
  <c r="M116" i="30"/>
  <c r="M112" i="30"/>
  <c r="N111" i="30"/>
  <c r="N133" i="30"/>
  <c r="N129" i="30"/>
  <c r="N123" i="30"/>
  <c r="N76" i="30"/>
  <c r="N74" i="30"/>
  <c r="N65" i="30"/>
  <c r="N132" i="30"/>
  <c r="N73" i="30"/>
  <c r="N135" i="30"/>
  <c r="N131" i="30"/>
  <c r="N72" i="30"/>
  <c r="N134" i="30"/>
  <c r="N130" i="30"/>
  <c r="N124" i="30"/>
  <c r="N77" i="30"/>
  <c r="N66" i="30"/>
  <c r="N121" i="30"/>
  <c r="N117" i="30"/>
  <c r="R72" i="8"/>
  <c r="O103" i="30"/>
  <c r="O110" i="30"/>
  <c r="P115" i="30"/>
  <c r="P119" i="30"/>
  <c r="Q102" i="30"/>
  <c r="Q116" i="30"/>
  <c r="Q112" i="30"/>
  <c r="R111" i="30"/>
  <c r="R133" i="30"/>
  <c r="R129" i="30"/>
  <c r="R123" i="30"/>
  <c r="R76" i="30"/>
  <c r="R74" i="30"/>
  <c r="R65" i="30"/>
  <c r="R132" i="30"/>
  <c r="R73" i="30"/>
  <c r="R135" i="30"/>
  <c r="R131" i="30"/>
  <c r="R72" i="30"/>
  <c r="R134" i="30"/>
  <c r="R130" i="30"/>
  <c r="R124" i="30"/>
  <c r="R77" i="30"/>
  <c r="R66" i="30"/>
  <c r="R121" i="30"/>
  <c r="R117" i="30"/>
  <c r="R76" i="8"/>
  <c r="S103" i="30"/>
  <c r="S110" i="30"/>
  <c r="T115" i="30"/>
  <c r="T119" i="30"/>
  <c r="U102" i="30"/>
  <c r="U116" i="30"/>
  <c r="U112" i="30"/>
  <c r="D125" i="30"/>
  <c r="G125" i="30"/>
  <c r="H118" i="30"/>
  <c r="H122" i="30"/>
  <c r="H126" i="30"/>
  <c r="N66" i="8"/>
  <c r="J118" i="30"/>
  <c r="J122" i="30"/>
  <c r="J126" i="30"/>
  <c r="N68" i="8"/>
  <c r="L118" i="30"/>
  <c r="L122" i="30"/>
  <c r="L126" i="30"/>
  <c r="N70" i="8"/>
  <c r="N118" i="30"/>
  <c r="N122" i="30"/>
  <c r="N126" i="30"/>
  <c r="N72" i="8"/>
  <c r="P118" i="30"/>
  <c r="P122" i="30"/>
  <c r="P126" i="30"/>
  <c r="N74" i="8"/>
  <c r="R118" i="30"/>
  <c r="R122" i="30"/>
  <c r="R126" i="30"/>
  <c r="N76" i="8"/>
  <c r="T118" i="30"/>
  <c r="T122" i="30"/>
  <c r="T126" i="30"/>
  <c r="N78" i="8"/>
  <c r="I8" i="7"/>
  <c r="N8" i="7"/>
  <c r="R8" i="7"/>
  <c r="H11" i="7"/>
  <c r="O11" i="7"/>
  <c r="S11" i="7"/>
  <c r="E12" i="7"/>
  <c r="I12" i="7"/>
  <c r="P12" i="7"/>
  <c r="T12" i="7"/>
  <c r="F13" i="7"/>
  <c r="E14" i="7"/>
  <c r="H15" i="7"/>
  <c r="I16" i="7"/>
  <c r="M16" i="7"/>
  <c r="C17" i="7"/>
  <c r="P17" i="7"/>
  <c r="T17" i="7"/>
  <c r="P19" i="7"/>
  <c r="T19" i="7"/>
  <c r="CO25" i="31"/>
  <c r="CM25" i="31"/>
  <c r="CQ25" i="31"/>
  <c r="CL25" i="31"/>
  <c r="CN25" i="31"/>
  <c r="CP25" i="31"/>
  <c r="CK25" i="31"/>
  <c r="CR25" i="31"/>
  <c r="DR25" i="31"/>
  <c r="DV25" i="31"/>
  <c r="DS25" i="31"/>
  <c r="DW25" i="31"/>
  <c r="DT25" i="31"/>
  <c r="DX25" i="31"/>
  <c r="DU25" i="31"/>
  <c r="DQ25" i="31"/>
  <c r="E22" i="7"/>
  <c r="I22" i="7"/>
  <c r="I23" i="7"/>
  <c r="M23" i="7"/>
  <c r="Q23" i="7"/>
  <c r="H24" i="7"/>
  <c r="L24" i="7"/>
  <c r="P24" i="7"/>
  <c r="T24" i="7"/>
  <c r="F25" i="7"/>
  <c r="J25" i="7"/>
  <c r="K28" i="7"/>
  <c r="M29" i="7"/>
  <c r="Q29" i="7"/>
  <c r="F31" i="7"/>
  <c r="E34" i="7"/>
  <c r="K34" i="7"/>
  <c r="O34" i="7"/>
  <c r="S34" i="7"/>
  <c r="F36" i="7"/>
  <c r="E37" i="7"/>
  <c r="J37" i="7"/>
  <c r="N37" i="7"/>
  <c r="R37" i="7"/>
  <c r="F38" i="7"/>
  <c r="J38" i="7"/>
  <c r="N38" i="7"/>
  <c r="R38" i="7"/>
  <c r="CF43" i="31"/>
  <c r="CJ43" i="31"/>
  <c r="CG43" i="31"/>
  <c r="CD43" i="31"/>
  <c r="CH43" i="31"/>
  <c r="CE43" i="31"/>
  <c r="CC43" i="31"/>
  <c r="CI43" i="31"/>
  <c r="DM43" i="31"/>
  <c r="DJ43" i="31"/>
  <c r="DN43" i="31"/>
  <c r="DK43" i="31"/>
  <c r="DL43" i="31"/>
  <c r="DO43" i="31"/>
  <c r="DP43" i="31"/>
  <c r="DI43" i="31"/>
  <c r="D10" i="30"/>
  <c r="N5" i="29"/>
  <c r="I36" i="8"/>
  <c r="I6" i="8"/>
  <c r="D30" i="30"/>
  <c r="D9" i="30"/>
  <c r="D36" i="8"/>
  <c r="D6" i="8"/>
  <c r="R5" i="29"/>
  <c r="D69" i="30"/>
  <c r="C48" i="7"/>
  <c r="E10" i="30"/>
  <c r="N6" i="29"/>
  <c r="I37" i="8"/>
  <c r="I7" i="8"/>
  <c r="E30" i="30"/>
  <c r="E9" i="30"/>
  <c r="R6" i="29"/>
  <c r="E69" i="30"/>
  <c r="D37" i="8"/>
  <c r="D7" i="8"/>
  <c r="H7" i="29"/>
  <c r="F33" i="30"/>
  <c r="F8" i="30"/>
  <c r="G38" i="8"/>
  <c r="G8" i="8"/>
  <c r="L7" i="29"/>
  <c r="F40" i="30"/>
  <c r="T7" i="29"/>
  <c r="F35" i="30"/>
  <c r="C8" i="29"/>
  <c r="C39" i="8"/>
  <c r="C9" i="8"/>
  <c r="G31" i="30"/>
  <c r="K8" i="29"/>
  <c r="G38" i="30"/>
  <c r="G39" i="30"/>
  <c r="S8" i="29"/>
  <c r="G34" i="30"/>
  <c r="C9" i="29"/>
  <c r="C40" i="8"/>
  <c r="C10" i="8"/>
  <c r="H31" i="30"/>
  <c r="K9" i="29"/>
  <c r="H38" i="30"/>
  <c r="H39" i="30"/>
  <c r="S9" i="29"/>
  <c r="H42" i="30"/>
  <c r="H34" i="30"/>
  <c r="C41" i="8"/>
  <c r="C11" i="8"/>
  <c r="I31" i="30"/>
  <c r="K10" i="29"/>
  <c r="I38" i="30"/>
  <c r="I39" i="30"/>
  <c r="H41" i="8"/>
  <c r="H11" i="8"/>
  <c r="P10" i="29"/>
  <c r="C11" i="29"/>
  <c r="C42" i="8"/>
  <c r="C12" i="8"/>
  <c r="J31" i="30"/>
  <c r="K11" i="29"/>
  <c r="J39" i="30"/>
  <c r="J38" i="30"/>
  <c r="H42" i="8"/>
  <c r="H12" i="8"/>
  <c r="P11" i="29"/>
  <c r="S11" i="29"/>
  <c r="J34" i="30"/>
  <c r="C12" i="29"/>
  <c r="C43" i="8"/>
  <c r="C13" i="8"/>
  <c r="K31" i="30"/>
  <c r="K12" i="29"/>
  <c r="K38" i="30"/>
  <c r="K39" i="30"/>
  <c r="P12" i="29"/>
  <c r="H43" i="8"/>
  <c r="H13" i="8"/>
  <c r="S12" i="29"/>
  <c r="K34" i="30"/>
  <c r="K13" i="29"/>
  <c r="L38" i="30"/>
  <c r="L39" i="30"/>
  <c r="P13" i="29"/>
  <c r="H44" i="8"/>
  <c r="H14" i="8"/>
  <c r="S13" i="29"/>
  <c r="L34" i="30"/>
  <c r="K14" i="29"/>
  <c r="M38" i="30"/>
  <c r="M39" i="30"/>
  <c r="P14" i="29"/>
  <c r="H45" i="8"/>
  <c r="H15" i="8"/>
  <c r="S14" i="29"/>
  <c r="M34" i="30"/>
  <c r="C15" i="29"/>
  <c r="N31" i="30"/>
  <c r="C46" i="8"/>
  <c r="C16" i="8"/>
  <c r="K15" i="29"/>
  <c r="N39" i="30"/>
  <c r="N38" i="30"/>
  <c r="P15" i="29"/>
  <c r="H46" i="8"/>
  <c r="H16" i="8"/>
  <c r="S15" i="29"/>
  <c r="N34" i="30"/>
  <c r="O7" i="30"/>
  <c r="B16" i="29"/>
  <c r="B47" i="8"/>
  <c r="O29" i="30"/>
  <c r="F16" i="29"/>
  <c r="P32" i="30"/>
  <c r="E47" i="8"/>
  <c r="E17" i="8"/>
  <c r="I16" i="29"/>
  <c r="F47" i="8"/>
  <c r="F17" i="8"/>
  <c r="O36" i="30"/>
  <c r="V16" i="29"/>
  <c r="O37" i="30"/>
  <c r="P10" i="30"/>
  <c r="N17" i="29"/>
  <c r="I48" i="8"/>
  <c r="I18" i="8"/>
  <c r="P30" i="30"/>
  <c r="P9" i="30"/>
  <c r="D48" i="8"/>
  <c r="D18" i="8"/>
  <c r="R17" i="29"/>
  <c r="P69" i="30"/>
  <c r="P48" i="7"/>
  <c r="H18" i="29"/>
  <c r="Q33" i="30"/>
  <c r="Q8" i="30"/>
  <c r="G49" i="8"/>
  <c r="G19" i="8"/>
  <c r="L18" i="29"/>
  <c r="Q40" i="30"/>
  <c r="T18" i="29"/>
  <c r="Q35" i="30"/>
  <c r="C19" i="29"/>
  <c r="C50" i="8"/>
  <c r="C20" i="8"/>
  <c r="R31" i="30"/>
  <c r="K19" i="29"/>
  <c r="R39" i="30"/>
  <c r="R38" i="30"/>
  <c r="H50" i="8"/>
  <c r="H20" i="8"/>
  <c r="P19" i="29"/>
  <c r="S19" i="29"/>
  <c r="R34" i="30"/>
  <c r="S7" i="30"/>
  <c r="B20" i="29"/>
  <c r="B51" i="8"/>
  <c r="S29" i="30"/>
  <c r="F20" i="29"/>
  <c r="T32" i="30"/>
  <c r="E51" i="8"/>
  <c r="E21" i="8"/>
  <c r="I20" i="29"/>
  <c r="F51" i="8"/>
  <c r="F21" i="8"/>
  <c r="S36" i="30"/>
  <c r="V20" i="29"/>
  <c r="S37" i="30"/>
  <c r="T10" i="30"/>
  <c r="N21" i="29"/>
  <c r="I52" i="8"/>
  <c r="I22" i="8"/>
  <c r="T30" i="30"/>
  <c r="T9" i="30"/>
  <c r="D52" i="8"/>
  <c r="D22" i="8"/>
  <c r="R21" i="29"/>
  <c r="T69" i="30"/>
  <c r="T48" i="7"/>
  <c r="H22" i="29"/>
  <c r="U33" i="30"/>
  <c r="U8" i="30"/>
  <c r="G53" i="8"/>
  <c r="G23" i="8"/>
  <c r="L22" i="29"/>
  <c r="U40" i="30"/>
  <c r="T22" i="29"/>
  <c r="U35" i="30"/>
  <c r="E31" i="29"/>
  <c r="D41" i="30"/>
  <c r="J36" i="8"/>
  <c r="J6" i="8"/>
  <c r="M31" i="29"/>
  <c r="K36" i="8"/>
  <c r="K6" i="8"/>
  <c r="D49" i="30"/>
  <c r="C32" i="29"/>
  <c r="E46" i="30"/>
  <c r="E26" i="7"/>
  <c r="G32" i="29"/>
  <c r="M37" i="8"/>
  <c r="M7" i="8"/>
  <c r="E11" i="30"/>
  <c r="K32" i="29"/>
  <c r="E50" i="30"/>
  <c r="E12" i="30"/>
  <c r="R32" i="29"/>
  <c r="L37" i="8"/>
  <c r="L7" i="8"/>
  <c r="E33" i="29"/>
  <c r="J38" i="8"/>
  <c r="J8" i="8"/>
  <c r="F41" i="30"/>
  <c r="F13" i="30"/>
  <c r="I33" i="29"/>
  <c r="F43" i="30"/>
  <c r="F47" i="30"/>
  <c r="Q33" i="29"/>
  <c r="O38" i="8"/>
  <c r="O8" i="8"/>
  <c r="C34" i="29"/>
  <c r="G46" i="30"/>
  <c r="M39" i="8"/>
  <c r="M9" i="8"/>
  <c r="G26" i="7"/>
  <c r="G11" i="30"/>
  <c r="K34" i="29"/>
  <c r="G50" i="30"/>
  <c r="G12" i="30"/>
  <c r="G30" i="7"/>
  <c r="R34" i="29"/>
  <c r="L39" i="8"/>
  <c r="L9" i="8"/>
  <c r="H13" i="30"/>
  <c r="I35" i="29"/>
  <c r="H47" i="30"/>
  <c r="H43" i="30"/>
  <c r="M35" i="29"/>
  <c r="H49" i="30"/>
  <c r="K40" i="8"/>
  <c r="K10" i="8"/>
  <c r="Q35" i="29"/>
  <c r="O40" i="8"/>
  <c r="O10" i="8"/>
  <c r="C36" i="29"/>
  <c r="I46" i="30"/>
  <c r="I26" i="7"/>
  <c r="G36" i="29"/>
  <c r="M41" i="8"/>
  <c r="M11" i="8"/>
  <c r="I11" i="30"/>
  <c r="K36" i="29"/>
  <c r="I50" i="30"/>
  <c r="I12" i="30"/>
  <c r="I30" i="7"/>
  <c r="R36" i="29"/>
  <c r="L41" i="8"/>
  <c r="L11" i="8"/>
  <c r="E37" i="29"/>
  <c r="J42" i="8"/>
  <c r="J12" i="8"/>
  <c r="J41" i="30"/>
  <c r="J13" i="30"/>
  <c r="I37" i="29"/>
  <c r="J43" i="30"/>
  <c r="J47" i="30"/>
  <c r="M37" i="29"/>
  <c r="K42" i="8"/>
  <c r="K12" i="8"/>
  <c r="J49" i="30"/>
  <c r="Q37" i="29"/>
  <c r="O42" i="8"/>
  <c r="O12" i="8"/>
  <c r="N38" i="29"/>
  <c r="K70" i="30"/>
  <c r="K49" i="7"/>
  <c r="H39" i="29"/>
  <c r="L48" i="30"/>
  <c r="L39" i="29"/>
  <c r="L56" i="30"/>
  <c r="O39" i="29"/>
  <c r="P44" i="8"/>
  <c r="P14" i="8"/>
  <c r="E40" i="29"/>
  <c r="J45" i="8"/>
  <c r="J15" i="8"/>
  <c r="M41" i="30"/>
  <c r="M13" i="30"/>
  <c r="I40" i="29"/>
  <c r="M47" i="30"/>
  <c r="M43" i="30"/>
  <c r="M40" i="29"/>
  <c r="K45" i="8"/>
  <c r="K15" i="8"/>
  <c r="M49" i="30"/>
  <c r="Q40" i="29"/>
  <c r="O45" i="8"/>
  <c r="O15" i="8"/>
  <c r="N41" i="29"/>
  <c r="N70" i="30"/>
  <c r="C42" i="29"/>
  <c r="O46" i="30"/>
  <c r="O26" i="7"/>
  <c r="G42" i="29"/>
  <c r="M47" i="8"/>
  <c r="M17" i="8"/>
  <c r="O11" i="30"/>
  <c r="K42" i="29"/>
  <c r="O50" i="30"/>
  <c r="O12" i="30"/>
  <c r="O30" i="7"/>
  <c r="L47" i="8"/>
  <c r="L17" i="8"/>
  <c r="R42" i="29"/>
  <c r="H43" i="29"/>
  <c r="P48" i="30"/>
  <c r="L43" i="29"/>
  <c r="P56" i="30"/>
  <c r="O43" i="29"/>
  <c r="P48" i="8"/>
  <c r="P18" i="8"/>
  <c r="E44" i="29"/>
  <c r="J49" i="8"/>
  <c r="J19" i="8"/>
  <c r="Q41" i="30"/>
  <c r="Q13" i="30"/>
  <c r="I44" i="29"/>
  <c r="Q47" i="30"/>
  <c r="Q43" i="30"/>
  <c r="M44" i="29"/>
  <c r="K49" i="8"/>
  <c r="K19" i="8"/>
  <c r="Q49" i="30"/>
  <c r="Q44" i="29"/>
  <c r="O49" i="8"/>
  <c r="O19" i="8"/>
  <c r="N45" i="29"/>
  <c r="R70" i="30"/>
  <c r="C46" i="29"/>
  <c r="S46" i="30"/>
  <c r="S26" i="7"/>
  <c r="G46" i="29"/>
  <c r="M51" i="8"/>
  <c r="M21" i="8"/>
  <c r="S11" i="30"/>
  <c r="K46" i="29"/>
  <c r="S50" i="30"/>
  <c r="S12" i="30"/>
  <c r="S30" i="7"/>
  <c r="L51" i="8"/>
  <c r="L21" i="8"/>
  <c r="R46" i="29"/>
  <c r="H47" i="29"/>
  <c r="T48" i="30"/>
  <c r="L47" i="29"/>
  <c r="T56" i="30"/>
  <c r="O47" i="29"/>
  <c r="P52" i="8"/>
  <c r="P22" i="8"/>
  <c r="E48" i="29"/>
  <c r="J53" i="8"/>
  <c r="U41" i="30"/>
  <c r="U13" i="30"/>
  <c r="I48" i="29"/>
  <c r="U47" i="30"/>
  <c r="U43" i="30"/>
  <c r="M48" i="29"/>
  <c r="K53" i="8"/>
  <c r="U49" i="30"/>
  <c r="Q48" i="29"/>
  <c r="O53" i="8"/>
  <c r="D56" i="29"/>
  <c r="D44" i="30"/>
  <c r="D58" i="30"/>
  <c r="H56" i="29"/>
  <c r="E55" i="30"/>
  <c r="K56" i="29"/>
  <c r="D54" i="30"/>
  <c r="D15" i="30"/>
  <c r="E57" i="29"/>
  <c r="E45" i="30"/>
  <c r="C57" i="29"/>
  <c r="E14" i="30"/>
  <c r="K58" i="29"/>
  <c r="F54" i="30"/>
  <c r="O58" i="29"/>
  <c r="F15" i="30"/>
  <c r="C59" i="29"/>
  <c r="G14" i="30"/>
  <c r="J59" i="29"/>
  <c r="G52" i="30"/>
  <c r="Q59" i="29"/>
  <c r="D60" i="29"/>
  <c r="H44" i="30"/>
  <c r="H58" i="30"/>
  <c r="K60" i="29"/>
  <c r="H54" i="30"/>
  <c r="H15" i="30"/>
  <c r="O60" i="29"/>
  <c r="B61" i="29"/>
  <c r="I53" i="30"/>
  <c r="I61" i="29"/>
  <c r="I71" i="30"/>
  <c r="I75" i="30"/>
  <c r="L61" i="29"/>
  <c r="I63" i="30"/>
  <c r="I18" i="30"/>
  <c r="P61" i="29"/>
  <c r="I59" i="30"/>
  <c r="E62" i="29"/>
  <c r="J45" i="30"/>
  <c r="J14" i="30"/>
  <c r="C62" i="29"/>
  <c r="J62" i="29"/>
  <c r="J52" i="30"/>
  <c r="Q62" i="29"/>
  <c r="N63" i="29"/>
  <c r="K57" i="30"/>
  <c r="K19" i="30"/>
  <c r="R63" i="29"/>
  <c r="K61" i="30"/>
  <c r="D64" i="29"/>
  <c r="L44" i="30"/>
  <c r="L58" i="30"/>
  <c r="K64" i="29"/>
  <c r="L54" i="30"/>
  <c r="L15" i="30"/>
  <c r="O64" i="29"/>
  <c r="B65" i="29"/>
  <c r="M53" i="30"/>
  <c r="I65" i="29"/>
  <c r="M71" i="30"/>
  <c r="M75" i="30"/>
  <c r="L65" i="29"/>
  <c r="M63" i="30"/>
  <c r="M18" i="30"/>
  <c r="P65" i="29"/>
  <c r="M59" i="30"/>
  <c r="E66" i="29"/>
  <c r="N45" i="30"/>
  <c r="N14" i="30"/>
  <c r="C66" i="29"/>
  <c r="J66" i="29"/>
  <c r="N52" i="30"/>
  <c r="Q66" i="29"/>
  <c r="N67" i="29"/>
  <c r="O57" i="30"/>
  <c r="O19" i="30"/>
  <c r="R67" i="29"/>
  <c r="O61" i="30"/>
  <c r="D68" i="29"/>
  <c r="P44" i="30"/>
  <c r="P58" i="30"/>
  <c r="K68" i="29"/>
  <c r="P54" i="30"/>
  <c r="P15" i="30"/>
  <c r="O68" i="29"/>
  <c r="B69" i="29"/>
  <c r="Q53" i="30"/>
  <c r="I69" i="29"/>
  <c r="Q71" i="30"/>
  <c r="Q75" i="30"/>
  <c r="L69" i="29"/>
  <c r="Q63" i="30"/>
  <c r="Q18" i="30"/>
  <c r="P69" i="29"/>
  <c r="Q59" i="30"/>
  <c r="E70" i="29"/>
  <c r="R45" i="30"/>
  <c r="R14" i="30"/>
  <c r="C70" i="29"/>
  <c r="J70" i="29"/>
  <c r="R52" i="30"/>
  <c r="Q70" i="29"/>
  <c r="N71" i="29"/>
  <c r="S57" i="30"/>
  <c r="S19" i="30"/>
  <c r="R71" i="29"/>
  <c r="S61" i="30"/>
  <c r="D72" i="29"/>
  <c r="T44" i="30"/>
  <c r="T58" i="30"/>
  <c r="K72" i="29"/>
  <c r="T54" i="30"/>
  <c r="T15" i="30"/>
  <c r="O72" i="29"/>
  <c r="U53" i="30"/>
  <c r="U71" i="30"/>
  <c r="U75" i="30"/>
  <c r="U63" i="30"/>
  <c r="U18" i="30"/>
  <c r="U59" i="30"/>
  <c r="G84" i="29"/>
  <c r="F67" i="30"/>
  <c r="I85" i="29"/>
  <c r="G62" i="30"/>
  <c r="G86" i="29"/>
  <c r="H67" i="30"/>
  <c r="I87" i="29"/>
  <c r="G88" i="29"/>
  <c r="J67" i="30"/>
  <c r="I89" i="29"/>
  <c r="G90" i="29"/>
  <c r="L67" i="30"/>
  <c r="I91" i="29"/>
  <c r="G92" i="29"/>
  <c r="N67" i="30"/>
  <c r="I93" i="29"/>
  <c r="G94" i="29"/>
  <c r="P67" i="30"/>
  <c r="I95" i="29"/>
  <c r="G96" i="29"/>
  <c r="R67" i="30"/>
  <c r="I97" i="29"/>
  <c r="G98" i="29"/>
  <c r="T67" i="30"/>
  <c r="I99" i="29"/>
  <c r="D91" i="30"/>
  <c r="G61" i="8"/>
  <c r="D98" i="30"/>
  <c r="D93" i="30"/>
  <c r="E91" i="30"/>
  <c r="G62" i="8"/>
  <c r="E98" i="30"/>
  <c r="E93" i="30"/>
  <c r="F91" i="30"/>
  <c r="G63" i="8"/>
  <c r="F98" i="30"/>
  <c r="F93" i="30"/>
  <c r="G91" i="30"/>
  <c r="G64" i="8"/>
  <c r="G98" i="30"/>
  <c r="G93" i="30"/>
  <c r="H91" i="30"/>
  <c r="G65" i="8"/>
  <c r="H98" i="30"/>
  <c r="H93" i="30"/>
  <c r="C66" i="8"/>
  <c r="I89" i="30"/>
  <c r="I96" i="30"/>
  <c r="I97" i="30"/>
  <c r="H66" i="8"/>
  <c r="I92" i="30"/>
  <c r="B67" i="8"/>
  <c r="J87" i="30"/>
  <c r="J90" i="30"/>
  <c r="F67" i="8"/>
  <c r="E67" i="8"/>
  <c r="J94" i="30"/>
  <c r="J95" i="30"/>
  <c r="B68" i="8"/>
  <c r="K87" i="30"/>
  <c r="K90" i="30"/>
  <c r="F68" i="8"/>
  <c r="E68" i="8"/>
  <c r="K94" i="30"/>
  <c r="K95" i="30"/>
  <c r="B69" i="8"/>
  <c r="L87" i="30"/>
  <c r="L90" i="30"/>
  <c r="F69" i="8"/>
  <c r="E69" i="8"/>
  <c r="L94" i="30"/>
  <c r="L95" i="30"/>
  <c r="B70" i="8"/>
  <c r="M87" i="30"/>
  <c r="M90" i="30"/>
  <c r="M95" i="30"/>
  <c r="B71" i="8"/>
  <c r="N87" i="30"/>
  <c r="N90" i="30"/>
  <c r="N95" i="30"/>
  <c r="O87" i="30"/>
  <c r="O95" i="30"/>
  <c r="B73" i="8"/>
  <c r="P87" i="30"/>
  <c r="E73" i="8"/>
  <c r="F73" i="8"/>
  <c r="P94" i="30"/>
  <c r="P95" i="30"/>
  <c r="B74" i="8"/>
  <c r="Q87" i="30"/>
  <c r="Q90" i="30"/>
  <c r="F74" i="8"/>
  <c r="E74" i="8"/>
  <c r="Q94" i="30"/>
  <c r="Q95" i="30"/>
  <c r="I75" i="8"/>
  <c r="R88" i="30"/>
  <c r="D75" i="8"/>
  <c r="R127" i="30"/>
  <c r="S91" i="30"/>
  <c r="G76" i="8"/>
  <c r="S98" i="30"/>
  <c r="S93" i="30"/>
  <c r="C77" i="8"/>
  <c r="T89" i="30"/>
  <c r="T97" i="30"/>
  <c r="T96" i="30"/>
  <c r="H77" i="8"/>
  <c r="T92" i="30"/>
  <c r="B78" i="8"/>
  <c r="U87" i="30"/>
  <c r="U90" i="30"/>
  <c r="F78" i="8"/>
  <c r="E78" i="8"/>
  <c r="U94" i="30"/>
  <c r="U95" i="30"/>
  <c r="D104" i="30"/>
  <c r="M61" i="8"/>
  <c r="D108" i="30"/>
  <c r="L61" i="8"/>
  <c r="D109" i="30"/>
  <c r="V109" i="30"/>
  <c r="W109" i="30"/>
  <c r="E106" i="30"/>
  <c r="E114" i="30"/>
  <c r="P62" i="8"/>
  <c r="J63" i="8"/>
  <c r="F101" i="30"/>
  <c r="F105" i="30"/>
  <c r="K63" i="8"/>
  <c r="F107" i="30"/>
  <c r="O63" i="8"/>
  <c r="G104" i="30"/>
  <c r="M64" i="8"/>
  <c r="L64" i="8"/>
  <c r="J65" i="8"/>
  <c r="O65" i="8"/>
  <c r="I104" i="30"/>
  <c r="M66" i="8"/>
  <c r="I108" i="30"/>
  <c r="J101" i="30"/>
  <c r="J105" i="30"/>
  <c r="K67" i="8"/>
  <c r="J107" i="30"/>
  <c r="O67" i="8"/>
  <c r="K104" i="30"/>
  <c r="M68" i="8"/>
  <c r="K108" i="30"/>
  <c r="L68" i="8"/>
  <c r="J69" i="8"/>
  <c r="L101" i="30"/>
  <c r="L105" i="30"/>
  <c r="K69" i="8"/>
  <c r="L107" i="30"/>
  <c r="O69" i="8"/>
  <c r="M104" i="30"/>
  <c r="M70" i="8"/>
  <c r="M108" i="30"/>
  <c r="L70" i="8"/>
  <c r="N106" i="30"/>
  <c r="N114" i="30"/>
  <c r="P71" i="8"/>
  <c r="J72" i="8"/>
  <c r="O105" i="30"/>
  <c r="O101" i="30"/>
  <c r="K72" i="8"/>
  <c r="O107" i="30"/>
  <c r="O72" i="8"/>
  <c r="P128" i="30"/>
  <c r="Q104" i="30"/>
  <c r="M74" i="8"/>
  <c r="Q108" i="30"/>
  <c r="L74" i="8"/>
  <c r="R106" i="30"/>
  <c r="R114" i="30"/>
  <c r="P75" i="8"/>
  <c r="J76" i="8"/>
  <c r="S105" i="30"/>
  <c r="S101" i="30"/>
  <c r="K76" i="8"/>
  <c r="S107" i="30"/>
  <c r="O76" i="8"/>
  <c r="T128" i="30"/>
  <c r="U104" i="30"/>
  <c r="M78" i="8"/>
  <c r="U108" i="30"/>
  <c r="L78" i="8"/>
  <c r="D111" i="30"/>
  <c r="D133" i="30"/>
  <c r="D129" i="30"/>
  <c r="D123" i="30"/>
  <c r="D76" i="30"/>
  <c r="D74" i="30"/>
  <c r="D65" i="30"/>
  <c r="D132" i="30"/>
  <c r="D73" i="30"/>
  <c r="D135" i="30"/>
  <c r="D131" i="30"/>
  <c r="D72" i="30"/>
  <c r="D134" i="30"/>
  <c r="D130" i="30"/>
  <c r="D124" i="30"/>
  <c r="D77" i="30"/>
  <c r="D66" i="30"/>
  <c r="D121" i="30"/>
  <c r="D117" i="30"/>
  <c r="E115" i="30"/>
  <c r="E119" i="30"/>
  <c r="F111" i="30"/>
  <c r="F121" i="30"/>
  <c r="F117" i="30"/>
  <c r="G115" i="30"/>
  <c r="G119" i="30"/>
  <c r="H135" i="30"/>
  <c r="H131" i="30"/>
  <c r="H72" i="30"/>
  <c r="H134" i="30"/>
  <c r="H130" i="30"/>
  <c r="H124" i="30"/>
  <c r="H77" i="30"/>
  <c r="H66" i="30"/>
  <c r="H133" i="30"/>
  <c r="H129" i="30"/>
  <c r="H123" i="30"/>
  <c r="H76" i="30"/>
  <c r="H74" i="30"/>
  <c r="H65" i="30"/>
  <c r="H132" i="30"/>
  <c r="H73" i="30"/>
  <c r="H121" i="30"/>
  <c r="H117" i="30"/>
  <c r="I115" i="30"/>
  <c r="I119" i="30"/>
  <c r="J133" i="30"/>
  <c r="J129" i="30"/>
  <c r="J123" i="30"/>
  <c r="J76" i="30"/>
  <c r="J74" i="30"/>
  <c r="J65" i="30"/>
  <c r="J132" i="30"/>
  <c r="J73" i="30"/>
  <c r="J135" i="30"/>
  <c r="J131" i="30"/>
  <c r="J72" i="30"/>
  <c r="J134" i="30"/>
  <c r="J130" i="30"/>
  <c r="J124" i="30"/>
  <c r="J77" i="30"/>
  <c r="J66" i="30"/>
  <c r="J121" i="30"/>
  <c r="J117" i="30"/>
  <c r="K115" i="30"/>
  <c r="K119" i="30"/>
  <c r="L116" i="30"/>
  <c r="L102" i="30"/>
  <c r="L112" i="30"/>
  <c r="M111" i="30"/>
  <c r="M134" i="30"/>
  <c r="M130" i="30"/>
  <c r="M124" i="30"/>
  <c r="M77" i="30"/>
  <c r="M66" i="30"/>
  <c r="M133" i="30"/>
  <c r="M129" i="30"/>
  <c r="M123" i="30"/>
  <c r="M76" i="30"/>
  <c r="M74" i="30"/>
  <c r="M65" i="30"/>
  <c r="M132" i="30"/>
  <c r="M73" i="30"/>
  <c r="M135" i="30"/>
  <c r="M131" i="30"/>
  <c r="M72" i="30"/>
  <c r="M121" i="30"/>
  <c r="M117" i="30"/>
  <c r="R71" i="8"/>
  <c r="N103" i="30"/>
  <c r="N110" i="30"/>
  <c r="O115" i="30"/>
  <c r="O119" i="30"/>
  <c r="P116" i="30"/>
  <c r="P102" i="30"/>
  <c r="P112" i="30"/>
  <c r="Q111" i="30"/>
  <c r="Q134" i="30"/>
  <c r="Q130" i="30"/>
  <c r="Q124" i="30"/>
  <c r="Q77" i="30"/>
  <c r="Q66" i="30"/>
  <c r="Q133" i="30"/>
  <c r="Q129" i="30"/>
  <c r="Q123" i="30"/>
  <c r="Q76" i="30"/>
  <c r="Q74" i="30"/>
  <c r="Q65" i="30"/>
  <c r="Q132" i="30"/>
  <c r="Q73" i="30"/>
  <c r="Q135" i="30"/>
  <c r="Q131" i="30"/>
  <c r="Q72" i="30"/>
  <c r="Q121" i="30"/>
  <c r="Q117" i="30"/>
  <c r="R75" i="8"/>
  <c r="R103" i="30"/>
  <c r="R110" i="30"/>
  <c r="S115" i="30"/>
  <c r="S119" i="30"/>
  <c r="T116" i="30"/>
  <c r="T102" i="30"/>
  <c r="T112" i="30"/>
  <c r="U111" i="30"/>
  <c r="U134" i="30"/>
  <c r="U130" i="30"/>
  <c r="U124" i="30"/>
  <c r="U77" i="30"/>
  <c r="U66" i="30"/>
  <c r="U133" i="30"/>
  <c r="U129" i="30"/>
  <c r="U123" i="30"/>
  <c r="U76" i="30"/>
  <c r="U74" i="30"/>
  <c r="U65" i="30"/>
  <c r="U132" i="30"/>
  <c r="U73" i="30"/>
  <c r="U135" i="30"/>
  <c r="U131" i="30"/>
  <c r="U72" i="30"/>
  <c r="U121" i="30"/>
  <c r="U117" i="30"/>
  <c r="N61" i="8"/>
  <c r="E118" i="30"/>
  <c r="E122" i="30"/>
  <c r="H125" i="30"/>
  <c r="J125" i="30"/>
  <c r="L125" i="30"/>
  <c r="N125" i="30"/>
  <c r="P125" i="30"/>
  <c r="R125" i="30"/>
  <c r="T125" i="30"/>
  <c r="J8" i="7"/>
  <c r="O8" i="7"/>
  <c r="S8" i="7"/>
  <c r="E9" i="7"/>
  <c r="O9" i="7"/>
  <c r="S9" i="7"/>
  <c r="I11" i="7"/>
  <c r="P11" i="7"/>
  <c r="T11" i="7"/>
  <c r="F12" i="7"/>
  <c r="Q12" i="7"/>
  <c r="G13" i="7"/>
  <c r="L13" i="7"/>
  <c r="F14" i="7"/>
  <c r="I15" i="7"/>
  <c r="J16" i="7"/>
  <c r="N16" i="7"/>
  <c r="R16" i="7"/>
  <c r="E17" i="7"/>
  <c r="I17" i="7"/>
  <c r="M17" i="7"/>
  <c r="Q17" i="7"/>
  <c r="H18" i="7"/>
  <c r="L18" i="7"/>
  <c r="Q19" i="7"/>
  <c r="M20" i="7"/>
  <c r="Q20" i="7"/>
  <c r="G21" i="7"/>
  <c r="BN25" i="31"/>
  <c r="BR25" i="31"/>
  <c r="BO25" i="31"/>
  <c r="BS25" i="31"/>
  <c r="BQ25" i="31"/>
  <c r="BT25" i="31"/>
  <c r="BP25" i="31"/>
  <c r="BM25" i="31"/>
  <c r="CV25" i="31"/>
  <c r="CZ25" i="31"/>
  <c r="CT25" i="31"/>
  <c r="CX25" i="31"/>
  <c r="CU25" i="31"/>
  <c r="CW25" i="31"/>
  <c r="CS25" i="31"/>
  <c r="CY25" i="31"/>
  <c r="EC25" i="31"/>
  <c r="DZ25" i="31"/>
  <c r="ED25" i="31"/>
  <c r="EA25" i="31"/>
  <c r="EE25" i="31"/>
  <c r="EB25" i="31"/>
  <c r="EF25" i="31"/>
  <c r="DY25" i="31"/>
  <c r="F22" i="7"/>
  <c r="J22" i="7"/>
  <c r="N22" i="7"/>
  <c r="R22" i="7"/>
  <c r="E23" i="7"/>
  <c r="J23" i="7"/>
  <c r="N23" i="7"/>
  <c r="R23" i="7"/>
  <c r="G25" i="7"/>
  <c r="O25" i="7"/>
  <c r="S25" i="7"/>
  <c r="C27" i="7"/>
  <c r="H27" i="7"/>
  <c r="L27" i="7"/>
  <c r="P27" i="7"/>
  <c r="T27" i="7"/>
  <c r="H28" i="7"/>
  <c r="F29" i="7"/>
  <c r="J29" i="7"/>
  <c r="G31" i="7"/>
  <c r="K31" i="7"/>
  <c r="O31" i="7"/>
  <c r="S31" i="7"/>
  <c r="I32" i="7"/>
  <c r="M32" i="7"/>
  <c r="Q32" i="7"/>
  <c r="H33" i="7"/>
  <c r="L33" i="7"/>
  <c r="P33" i="7"/>
  <c r="T33" i="7"/>
  <c r="H34" i="7"/>
  <c r="L34" i="7"/>
  <c r="P34" i="7"/>
  <c r="T34" i="7"/>
  <c r="F35" i="7"/>
  <c r="J35" i="7"/>
  <c r="H36" i="7"/>
  <c r="L36" i="7"/>
  <c r="P36" i="7"/>
  <c r="T36" i="7"/>
  <c r="G37" i="7"/>
  <c r="G38" i="7"/>
  <c r="K38" i="7"/>
  <c r="O38" i="7"/>
  <c r="S38" i="7"/>
  <c r="CM43" i="31"/>
  <c r="CQ43" i="31"/>
  <c r="CO43" i="31"/>
  <c r="CN43" i="31"/>
  <c r="CP43" i="31"/>
  <c r="CR43" i="31"/>
  <c r="CL43" i="31"/>
  <c r="CK43" i="31"/>
  <c r="DT43" i="31"/>
  <c r="DX43" i="31"/>
  <c r="DU43" i="31"/>
  <c r="DR43" i="31"/>
  <c r="DV43" i="31"/>
  <c r="DS43" i="31"/>
  <c r="DW43" i="31"/>
  <c r="DQ43" i="31"/>
  <c r="S48" i="7"/>
  <c r="D7" i="30"/>
  <c r="D29" i="30"/>
  <c r="B36" i="8"/>
  <c r="F5" i="29"/>
  <c r="D32" i="30"/>
  <c r="I5" i="29"/>
  <c r="D36" i="30"/>
  <c r="F36" i="8"/>
  <c r="F6" i="8"/>
  <c r="E36" i="8"/>
  <c r="E6" i="8"/>
  <c r="V5" i="29"/>
  <c r="D37" i="30"/>
  <c r="E7" i="30"/>
  <c r="B6" i="29"/>
  <c r="B37" i="8"/>
  <c r="E29" i="30"/>
  <c r="F6" i="29"/>
  <c r="E32" i="30"/>
  <c r="F37" i="8"/>
  <c r="F7" i="8"/>
  <c r="I6" i="29"/>
  <c r="E37" i="8"/>
  <c r="E7" i="8"/>
  <c r="E36" i="30"/>
  <c r="V6" i="29"/>
  <c r="E37" i="30"/>
  <c r="F10" i="30"/>
  <c r="N7" i="29"/>
  <c r="I38" i="8"/>
  <c r="I8" i="8"/>
  <c r="F30" i="30"/>
  <c r="F9" i="30"/>
  <c r="R7" i="29"/>
  <c r="D38" i="8"/>
  <c r="D8" i="8"/>
  <c r="F48" i="7"/>
  <c r="F69" i="30"/>
  <c r="F42" i="30"/>
  <c r="H8" i="29"/>
  <c r="G33" i="30"/>
  <c r="G8" i="30"/>
  <c r="L8" i="29"/>
  <c r="G40" i="30"/>
  <c r="G39" i="8"/>
  <c r="G9" i="8"/>
  <c r="T8" i="29"/>
  <c r="G35" i="30"/>
  <c r="H9" i="29"/>
  <c r="H33" i="30"/>
  <c r="H8" i="30"/>
  <c r="G40" i="8"/>
  <c r="G10" i="8"/>
  <c r="L9" i="29"/>
  <c r="H40" i="30"/>
  <c r="T9" i="29"/>
  <c r="H35" i="30"/>
  <c r="H10" i="29"/>
  <c r="I33" i="30"/>
  <c r="L10" i="29"/>
  <c r="I8" i="30"/>
  <c r="T10" i="29"/>
  <c r="I42" i="30"/>
  <c r="I35" i="30"/>
  <c r="H11" i="29"/>
  <c r="J33" i="30"/>
  <c r="G42" i="8"/>
  <c r="G12" i="8"/>
  <c r="J8" i="30"/>
  <c r="T11" i="29"/>
  <c r="J35" i="30"/>
  <c r="K8" i="30"/>
  <c r="G43" i="8"/>
  <c r="G13" i="8"/>
  <c r="L12" i="29"/>
  <c r="K40" i="30"/>
  <c r="T12" i="29"/>
  <c r="K35" i="30"/>
  <c r="L8" i="30"/>
  <c r="L13" i="29"/>
  <c r="G44" i="8"/>
  <c r="G14" i="8"/>
  <c r="L40" i="30"/>
  <c r="T13" i="29"/>
  <c r="L35" i="30"/>
  <c r="M8" i="30"/>
  <c r="L14" i="29"/>
  <c r="M40" i="30"/>
  <c r="G45" i="8"/>
  <c r="G15" i="8"/>
  <c r="T14" i="29"/>
  <c r="M35" i="30"/>
  <c r="H15" i="29"/>
  <c r="N33" i="30"/>
  <c r="N8" i="30"/>
  <c r="L15" i="29"/>
  <c r="G46" i="8"/>
  <c r="G16" i="8"/>
  <c r="N40" i="30"/>
  <c r="T15" i="29"/>
  <c r="N35" i="30"/>
  <c r="C16" i="29"/>
  <c r="C47" i="8"/>
  <c r="C17" i="8"/>
  <c r="O31" i="30"/>
  <c r="K16" i="29"/>
  <c r="O38" i="30"/>
  <c r="O39" i="30"/>
  <c r="H47" i="8"/>
  <c r="H17" i="8"/>
  <c r="P16" i="29"/>
  <c r="S16" i="29"/>
  <c r="O34" i="30"/>
  <c r="P7" i="30"/>
  <c r="B17" i="29"/>
  <c r="B48" i="8"/>
  <c r="P29" i="30"/>
  <c r="F17" i="29"/>
  <c r="Q32" i="30"/>
  <c r="F48" i="8"/>
  <c r="F18" i="8"/>
  <c r="I17" i="29"/>
  <c r="E48" i="8"/>
  <c r="E18" i="8"/>
  <c r="P36" i="30"/>
  <c r="V17" i="29"/>
  <c r="P37" i="30"/>
  <c r="Q10" i="30"/>
  <c r="I49" i="8"/>
  <c r="I19" i="8"/>
  <c r="N18" i="29"/>
  <c r="Q30" i="30"/>
  <c r="Q9" i="30"/>
  <c r="R18" i="29"/>
  <c r="D49" i="8"/>
  <c r="D19" i="8"/>
  <c r="Q69" i="30"/>
  <c r="H19" i="29"/>
  <c r="R33" i="30"/>
  <c r="R8" i="30"/>
  <c r="L19" i="29"/>
  <c r="G50" i="8"/>
  <c r="G20" i="8"/>
  <c r="R40" i="30"/>
  <c r="T19" i="29"/>
  <c r="R35" i="30"/>
  <c r="C51" i="8"/>
  <c r="C21" i="8"/>
  <c r="C20" i="29"/>
  <c r="S31" i="30"/>
  <c r="K20" i="29"/>
  <c r="S38" i="30"/>
  <c r="S39" i="30"/>
  <c r="H51" i="8"/>
  <c r="H21" i="8"/>
  <c r="P20" i="29"/>
  <c r="S20" i="29"/>
  <c r="S34" i="30"/>
  <c r="T7" i="30"/>
  <c r="B21" i="29"/>
  <c r="B52" i="8"/>
  <c r="T29" i="30"/>
  <c r="F21" i="29"/>
  <c r="U32" i="30"/>
  <c r="F52" i="8"/>
  <c r="F22" i="8"/>
  <c r="I21" i="29"/>
  <c r="E52" i="8"/>
  <c r="E22" i="8"/>
  <c r="T36" i="30"/>
  <c r="V21" i="29"/>
  <c r="T37" i="30"/>
  <c r="U10" i="30"/>
  <c r="I53" i="8"/>
  <c r="I23" i="8"/>
  <c r="N22" i="29"/>
  <c r="U30" i="30"/>
  <c r="U9" i="30"/>
  <c r="R22" i="29"/>
  <c r="D53" i="8"/>
  <c r="D23" i="8"/>
  <c r="U69" i="30"/>
  <c r="H32" i="29"/>
  <c r="E48" i="30"/>
  <c r="L32" i="29"/>
  <c r="E56" i="30"/>
  <c r="O32" i="29"/>
  <c r="P37" i="8"/>
  <c r="P7" i="8"/>
  <c r="N33" i="29"/>
  <c r="F70" i="30"/>
  <c r="H34" i="29"/>
  <c r="G48" i="30"/>
  <c r="L34" i="29"/>
  <c r="G56" i="30"/>
  <c r="O34" i="29"/>
  <c r="P39" i="8"/>
  <c r="P9" i="8"/>
  <c r="N35" i="29"/>
  <c r="H70" i="30"/>
  <c r="H36" i="29"/>
  <c r="I48" i="30"/>
  <c r="L36" i="29"/>
  <c r="I56" i="30"/>
  <c r="O36" i="29"/>
  <c r="P41" i="8"/>
  <c r="P11" i="8"/>
  <c r="N37" i="29"/>
  <c r="J70" i="30"/>
  <c r="C38" i="29"/>
  <c r="K46" i="30"/>
  <c r="K26" i="7"/>
  <c r="G38" i="29"/>
  <c r="M43" i="8"/>
  <c r="M13" i="8"/>
  <c r="K11" i="30"/>
  <c r="K38" i="29"/>
  <c r="K50" i="30"/>
  <c r="K12" i="30"/>
  <c r="K30" i="7"/>
  <c r="R38" i="29"/>
  <c r="L43" i="8"/>
  <c r="L13" i="8"/>
  <c r="E39" i="29"/>
  <c r="L41" i="30"/>
  <c r="J44" i="8"/>
  <c r="J14" i="8"/>
  <c r="L13" i="30"/>
  <c r="I39" i="29"/>
  <c r="L47" i="30"/>
  <c r="L43" i="30"/>
  <c r="M39" i="29"/>
  <c r="K44" i="8"/>
  <c r="K14" i="8"/>
  <c r="L49" i="30"/>
  <c r="Q39" i="29"/>
  <c r="O44" i="8"/>
  <c r="O14" i="8"/>
  <c r="N40" i="29"/>
  <c r="M70" i="30"/>
  <c r="M49" i="7"/>
  <c r="C41" i="29"/>
  <c r="N46" i="30"/>
  <c r="N26" i="7"/>
  <c r="G41" i="29"/>
  <c r="M46" i="8"/>
  <c r="M16" i="8"/>
  <c r="N11" i="30"/>
  <c r="K41" i="29"/>
  <c r="N50" i="30"/>
  <c r="N12" i="30"/>
  <c r="N30" i="7"/>
  <c r="R41" i="29"/>
  <c r="L46" i="8"/>
  <c r="L16" i="8"/>
  <c r="H42" i="29"/>
  <c r="O48" i="30"/>
  <c r="L42" i="29"/>
  <c r="O56" i="30"/>
  <c r="O42" i="29"/>
  <c r="P47" i="8"/>
  <c r="P17" i="8"/>
  <c r="E43" i="29"/>
  <c r="J48" i="8"/>
  <c r="J18" i="8"/>
  <c r="P41" i="30"/>
  <c r="P13" i="30"/>
  <c r="I43" i="29"/>
  <c r="P47" i="30"/>
  <c r="P43" i="30"/>
  <c r="M43" i="29"/>
  <c r="K48" i="8"/>
  <c r="K18" i="8"/>
  <c r="P49" i="30"/>
  <c r="Q43" i="29"/>
  <c r="O48" i="8"/>
  <c r="O18" i="8"/>
  <c r="N44" i="29"/>
  <c r="Q70" i="30"/>
  <c r="Q49" i="7"/>
  <c r="C45" i="29"/>
  <c r="R46" i="30"/>
  <c r="R26" i="7"/>
  <c r="G45" i="29"/>
  <c r="M50" i="8"/>
  <c r="M20" i="8"/>
  <c r="R11" i="30"/>
  <c r="K45" i="29"/>
  <c r="R50" i="30"/>
  <c r="R12" i="30"/>
  <c r="R30" i="7"/>
  <c r="R45" i="29"/>
  <c r="L50" i="8"/>
  <c r="L20" i="8"/>
  <c r="H46" i="29"/>
  <c r="S48" i="30"/>
  <c r="L46" i="29"/>
  <c r="S56" i="30"/>
  <c r="O46" i="29"/>
  <c r="P51" i="8"/>
  <c r="P21" i="8"/>
  <c r="E47" i="29"/>
  <c r="J52" i="8"/>
  <c r="J22" i="8"/>
  <c r="T41" i="30"/>
  <c r="T13" i="30"/>
  <c r="I47" i="29"/>
  <c r="T47" i="30"/>
  <c r="T43" i="30"/>
  <c r="M47" i="29"/>
  <c r="K52" i="8"/>
  <c r="K22" i="8"/>
  <c r="T49" i="30"/>
  <c r="Q47" i="29"/>
  <c r="O52" i="8"/>
  <c r="O22" i="8"/>
  <c r="N48" i="29"/>
  <c r="U70" i="30"/>
  <c r="I56" i="29"/>
  <c r="D71" i="30"/>
  <c r="D75" i="30"/>
  <c r="D18" i="30"/>
  <c r="E19" i="30"/>
  <c r="R57" i="29"/>
  <c r="E61" i="30"/>
  <c r="I58" i="29"/>
  <c r="F75" i="30"/>
  <c r="F71" i="30"/>
  <c r="L58" i="29"/>
  <c r="F63" i="30"/>
  <c r="F18" i="30"/>
  <c r="P58" i="29"/>
  <c r="F59" i="30"/>
  <c r="G19" i="30"/>
  <c r="R59" i="29"/>
  <c r="G61" i="30"/>
  <c r="B60" i="29"/>
  <c r="H53" i="30"/>
  <c r="I60" i="29"/>
  <c r="H71" i="30"/>
  <c r="H75" i="30"/>
  <c r="L60" i="29"/>
  <c r="H63" i="30"/>
  <c r="H18" i="30"/>
  <c r="P60" i="29"/>
  <c r="H59" i="30"/>
  <c r="E61" i="29"/>
  <c r="I45" i="30"/>
  <c r="I14" i="30"/>
  <c r="C61" i="29"/>
  <c r="J61" i="29"/>
  <c r="I52" i="30"/>
  <c r="Q61" i="29"/>
  <c r="N62" i="29"/>
  <c r="J57" i="30"/>
  <c r="J19" i="30"/>
  <c r="R62" i="29"/>
  <c r="J61" i="30"/>
  <c r="D63" i="29"/>
  <c r="K58" i="30"/>
  <c r="K44" i="30"/>
  <c r="K63" i="29"/>
  <c r="K54" i="30"/>
  <c r="K15" i="30"/>
  <c r="O63" i="29"/>
  <c r="B64" i="29"/>
  <c r="L53" i="30"/>
  <c r="I64" i="29"/>
  <c r="L71" i="30"/>
  <c r="L75" i="30"/>
  <c r="L64" i="29"/>
  <c r="L63" i="30"/>
  <c r="L18" i="30"/>
  <c r="P64" i="29"/>
  <c r="L59" i="30"/>
  <c r="E65" i="29"/>
  <c r="M45" i="30"/>
  <c r="M14" i="30"/>
  <c r="C65" i="29"/>
  <c r="J65" i="29"/>
  <c r="M52" i="30"/>
  <c r="Q65" i="29"/>
  <c r="N66" i="29"/>
  <c r="N57" i="30"/>
  <c r="N19" i="30"/>
  <c r="R66" i="29"/>
  <c r="N61" i="30"/>
  <c r="D67" i="29"/>
  <c r="O58" i="30"/>
  <c r="O44" i="30"/>
  <c r="K67" i="29"/>
  <c r="O54" i="30"/>
  <c r="O15" i="30"/>
  <c r="O67" i="29"/>
  <c r="B68" i="29"/>
  <c r="P53" i="30"/>
  <c r="I68" i="29"/>
  <c r="P71" i="30"/>
  <c r="P75" i="30"/>
  <c r="L68" i="29"/>
  <c r="P63" i="30"/>
  <c r="P18" i="30"/>
  <c r="P68" i="29"/>
  <c r="P59" i="30"/>
  <c r="E69" i="29"/>
  <c r="Q45" i="30"/>
  <c r="Q14" i="30"/>
  <c r="C69" i="29"/>
  <c r="J69" i="29"/>
  <c r="Q52" i="30"/>
  <c r="Q69" i="29"/>
  <c r="N70" i="29"/>
  <c r="R57" i="30"/>
  <c r="R19" i="30"/>
  <c r="R70" i="29"/>
  <c r="R61" i="30"/>
  <c r="D71" i="29"/>
  <c r="S58" i="30"/>
  <c r="S44" i="30"/>
  <c r="K71" i="29"/>
  <c r="S54" i="30"/>
  <c r="S15" i="30"/>
  <c r="O71" i="29"/>
  <c r="B72" i="29"/>
  <c r="T53" i="30"/>
  <c r="I72" i="29"/>
  <c r="T71" i="30"/>
  <c r="T75" i="30"/>
  <c r="L72" i="29"/>
  <c r="T63" i="30"/>
  <c r="T18" i="30"/>
  <c r="P72" i="29"/>
  <c r="T59" i="30"/>
  <c r="U45" i="30"/>
  <c r="U14" i="30"/>
  <c r="U52" i="30"/>
  <c r="J82" i="29"/>
  <c r="D20" i="30"/>
  <c r="I83" i="29"/>
  <c r="E62" i="30"/>
  <c r="D84" i="29"/>
  <c r="N38" i="8"/>
  <c r="N8" i="8"/>
  <c r="B85" i="29"/>
  <c r="G64" i="30"/>
  <c r="F85" i="29"/>
  <c r="G68" i="30"/>
  <c r="G20" i="30"/>
  <c r="J85" i="29"/>
  <c r="D86" i="29"/>
  <c r="N40" i="8"/>
  <c r="N10" i="8"/>
  <c r="B87" i="29"/>
  <c r="I64" i="30"/>
  <c r="F87" i="29"/>
  <c r="I68" i="30"/>
  <c r="I20" i="30"/>
  <c r="J87" i="29"/>
  <c r="N42" i="8"/>
  <c r="N12" i="8"/>
  <c r="D88" i="29"/>
  <c r="B89" i="29"/>
  <c r="K64" i="30"/>
  <c r="F89" i="29"/>
  <c r="K68" i="30"/>
  <c r="K20" i="30"/>
  <c r="J89" i="29"/>
  <c r="D90" i="29"/>
  <c r="N44" i="8"/>
  <c r="N14" i="8"/>
  <c r="B91" i="29"/>
  <c r="M64" i="30"/>
  <c r="F91" i="29"/>
  <c r="M68" i="30"/>
  <c r="M20" i="30"/>
  <c r="J91" i="29"/>
  <c r="D92" i="29"/>
  <c r="N46" i="8"/>
  <c r="N16" i="8"/>
  <c r="B93" i="29"/>
  <c r="O64" i="30"/>
  <c r="F93" i="29"/>
  <c r="O68" i="30"/>
  <c r="O20" i="30"/>
  <c r="J93" i="29"/>
  <c r="N48" i="8"/>
  <c r="N18" i="8"/>
  <c r="D94" i="29"/>
  <c r="B95" i="29"/>
  <c r="G60" i="30"/>
  <c r="Q64" i="30"/>
  <c r="F95" i="29"/>
  <c r="Q68" i="30"/>
  <c r="Q20" i="30"/>
  <c r="J95" i="29"/>
  <c r="N50" i="8"/>
  <c r="N20" i="8"/>
  <c r="D96" i="29"/>
  <c r="B97" i="29"/>
  <c r="S64" i="30"/>
  <c r="I60" i="30"/>
  <c r="F97" i="29"/>
  <c r="S68" i="30"/>
  <c r="S20" i="30"/>
  <c r="J97" i="29"/>
  <c r="N52" i="8"/>
  <c r="N22" i="8"/>
  <c r="D98" i="29"/>
  <c r="B99" i="29"/>
  <c r="K60" i="30"/>
  <c r="U64" i="30"/>
  <c r="F99" i="29"/>
  <c r="U68" i="30"/>
  <c r="U20" i="30"/>
  <c r="J99" i="29"/>
  <c r="I61" i="8"/>
  <c r="D88" i="30"/>
  <c r="I62" i="8"/>
  <c r="E88" i="30"/>
  <c r="I63" i="8"/>
  <c r="F88" i="30"/>
  <c r="I64" i="8"/>
  <c r="G88" i="30"/>
  <c r="I65" i="8"/>
  <c r="H88" i="30"/>
  <c r="D65" i="8"/>
  <c r="H127" i="30"/>
  <c r="I91" i="30"/>
  <c r="G66" i="8"/>
  <c r="I98" i="30"/>
  <c r="I93" i="30"/>
  <c r="C67" i="8"/>
  <c r="J89" i="30"/>
  <c r="J97" i="30"/>
  <c r="J96" i="30"/>
  <c r="C68" i="8"/>
  <c r="K89" i="30"/>
  <c r="K97" i="30"/>
  <c r="K96" i="30"/>
  <c r="C69" i="8"/>
  <c r="L89" i="30"/>
  <c r="L97" i="30"/>
  <c r="L96" i="30"/>
  <c r="C70" i="8"/>
  <c r="M89" i="30"/>
  <c r="H70" i="8"/>
  <c r="M92" i="30"/>
  <c r="H71" i="8"/>
  <c r="N92" i="30"/>
  <c r="O96" i="30"/>
  <c r="O97" i="30"/>
  <c r="H72" i="8"/>
  <c r="O92" i="30"/>
  <c r="P97" i="30"/>
  <c r="P96" i="30"/>
  <c r="H73" i="8"/>
  <c r="P92" i="30"/>
  <c r="C74" i="8"/>
  <c r="Q89" i="30"/>
  <c r="Q97" i="30"/>
  <c r="Q96" i="30"/>
  <c r="H74" i="8"/>
  <c r="Q92" i="30"/>
  <c r="B75" i="8"/>
  <c r="R87" i="30"/>
  <c r="R90" i="30"/>
  <c r="F75" i="8"/>
  <c r="E75" i="8"/>
  <c r="R94" i="30"/>
  <c r="R95" i="30"/>
  <c r="I76" i="8"/>
  <c r="S88" i="30"/>
  <c r="D76" i="8"/>
  <c r="S127" i="30"/>
  <c r="T91" i="30"/>
  <c r="G77" i="8"/>
  <c r="T98" i="30"/>
  <c r="T93" i="30"/>
  <c r="C78" i="8"/>
  <c r="U89" i="30"/>
  <c r="U97" i="30"/>
  <c r="U96" i="30"/>
  <c r="H78" i="8"/>
  <c r="U92" i="30"/>
  <c r="D106" i="30"/>
  <c r="D114" i="30"/>
  <c r="P61" i="8"/>
  <c r="J62" i="8"/>
  <c r="E105" i="30"/>
  <c r="E101" i="30"/>
  <c r="K62" i="8"/>
  <c r="E107" i="30"/>
  <c r="O62" i="8"/>
  <c r="G106" i="30"/>
  <c r="P64" i="8"/>
  <c r="H128" i="30"/>
  <c r="I106" i="30"/>
  <c r="I114" i="30"/>
  <c r="J128" i="30"/>
  <c r="K106" i="30"/>
  <c r="K114" i="30"/>
  <c r="P68" i="8"/>
  <c r="L128" i="30"/>
  <c r="M106" i="30"/>
  <c r="M114" i="30"/>
  <c r="P70" i="8"/>
  <c r="J71" i="8"/>
  <c r="N101" i="30"/>
  <c r="N105" i="30"/>
  <c r="K71" i="8"/>
  <c r="N107" i="30"/>
  <c r="O71" i="8"/>
  <c r="O128" i="30"/>
  <c r="P104" i="30"/>
  <c r="M73" i="8"/>
  <c r="P108" i="30"/>
  <c r="L73" i="8"/>
  <c r="Q106" i="30"/>
  <c r="Q114" i="30"/>
  <c r="P74" i="8"/>
  <c r="J75" i="8"/>
  <c r="R101" i="30"/>
  <c r="R105" i="30"/>
  <c r="K75" i="8"/>
  <c r="R107" i="30"/>
  <c r="O75" i="8"/>
  <c r="S128" i="30"/>
  <c r="T104" i="30"/>
  <c r="M77" i="8"/>
  <c r="T108" i="30"/>
  <c r="L77" i="8"/>
  <c r="U106" i="30"/>
  <c r="U114" i="30"/>
  <c r="P78" i="8"/>
  <c r="R61" i="8"/>
  <c r="D103" i="30"/>
  <c r="D110" i="30"/>
  <c r="E112" i="30"/>
  <c r="R63" i="8"/>
  <c r="G116" i="30"/>
  <c r="G102" i="30"/>
  <c r="H110" i="30"/>
  <c r="I102" i="30"/>
  <c r="I116" i="30"/>
  <c r="I112" i="30"/>
  <c r="R67" i="8"/>
  <c r="J103" i="30"/>
  <c r="J110" i="30"/>
  <c r="K116" i="30"/>
  <c r="K102" i="30"/>
  <c r="K112" i="30"/>
  <c r="L111" i="30"/>
  <c r="L135" i="30"/>
  <c r="L131" i="30"/>
  <c r="L72" i="30"/>
  <c r="L134" i="30"/>
  <c r="L130" i="30"/>
  <c r="L124" i="30"/>
  <c r="L77" i="30"/>
  <c r="L66" i="30"/>
  <c r="L133" i="30"/>
  <c r="L129" i="30"/>
  <c r="L123" i="30"/>
  <c r="L76" i="30"/>
  <c r="L74" i="30"/>
  <c r="L65" i="30"/>
  <c r="L132" i="30"/>
  <c r="L73" i="30"/>
  <c r="L121" i="30"/>
  <c r="L117" i="30"/>
  <c r="R70" i="8"/>
  <c r="M103" i="30"/>
  <c r="M110" i="30"/>
  <c r="N115" i="30"/>
  <c r="N119" i="30"/>
  <c r="O116" i="30"/>
  <c r="O102" i="30"/>
  <c r="O112" i="30"/>
  <c r="P111" i="30"/>
  <c r="P135" i="30"/>
  <c r="P131" i="30"/>
  <c r="P72" i="30"/>
  <c r="P134" i="30"/>
  <c r="P130" i="30"/>
  <c r="P124" i="30"/>
  <c r="P77" i="30"/>
  <c r="P66" i="30"/>
  <c r="P133" i="30"/>
  <c r="P129" i="30"/>
  <c r="P123" i="30"/>
  <c r="P76" i="30"/>
  <c r="P74" i="30"/>
  <c r="P65" i="30"/>
  <c r="P132" i="30"/>
  <c r="P73" i="30"/>
  <c r="P121" i="30"/>
  <c r="P117" i="30"/>
  <c r="R74" i="8"/>
  <c r="Q103" i="30"/>
  <c r="Q110" i="30"/>
  <c r="R115" i="30"/>
  <c r="R119" i="30"/>
  <c r="S116" i="30"/>
  <c r="S102" i="30"/>
  <c r="S112" i="30"/>
  <c r="T111" i="30"/>
  <c r="T135" i="30"/>
  <c r="T131" i="30"/>
  <c r="T72" i="30"/>
  <c r="T134" i="30"/>
  <c r="T130" i="30"/>
  <c r="T124" i="30"/>
  <c r="T77" i="30"/>
  <c r="T66" i="30"/>
  <c r="T133" i="30"/>
  <c r="T129" i="30"/>
  <c r="T123" i="30"/>
  <c r="T76" i="30"/>
  <c r="T74" i="30"/>
  <c r="T65" i="30"/>
  <c r="T132" i="30"/>
  <c r="T73" i="30"/>
  <c r="T121" i="30"/>
  <c r="T117" i="30"/>
  <c r="R78" i="8"/>
  <c r="U103" i="30"/>
  <c r="U110" i="30"/>
  <c r="U120" i="30"/>
  <c r="Q120" i="30"/>
  <c r="M120" i="30"/>
  <c r="I120" i="30"/>
  <c r="E120" i="30"/>
  <c r="T120" i="30"/>
  <c r="P120" i="30"/>
  <c r="L120" i="30"/>
  <c r="H120" i="30"/>
  <c r="D120" i="30"/>
  <c r="S120" i="30"/>
  <c r="O120" i="30"/>
  <c r="K120" i="30"/>
  <c r="G120" i="30"/>
  <c r="R120" i="30"/>
  <c r="N120" i="30"/>
  <c r="J120" i="30"/>
  <c r="F120" i="30"/>
  <c r="F118" i="30"/>
  <c r="F122" i="30"/>
  <c r="N65" i="8"/>
  <c r="I118" i="30"/>
  <c r="I122" i="30"/>
  <c r="I126" i="30"/>
  <c r="N67" i="8"/>
  <c r="K122" i="30"/>
  <c r="K118" i="30"/>
  <c r="K126" i="30"/>
  <c r="N69" i="8"/>
  <c r="M118" i="30"/>
  <c r="M122" i="30"/>
  <c r="M126" i="30"/>
  <c r="N71" i="8"/>
  <c r="O122" i="30"/>
  <c r="O118" i="30"/>
  <c r="O126" i="30"/>
  <c r="N73" i="8"/>
  <c r="Q118" i="30"/>
  <c r="Q122" i="30"/>
  <c r="Q126" i="30"/>
  <c r="N75" i="8"/>
  <c r="S122" i="30"/>
  <c r="S118" i="30"/>
  <c r="S126" i="30"/>
  <c r="N77" i="8"/>
  <c r="U118" i="30"/>
  <c r="U122" i="30"/>
  <c r="U126" i="30"/>
  <c r="G8" i="7"/>
  <c r="K8" i="7"/>
  <c r="P8" i="7"/>
  <c r="T8" i="7"/>
  <c r="F9" i="7"/>
  <c r="P9" i="7"/>
  <c r="T9" i="7"/>
  <c r="J11" i="7"/>
  <c r="Q11" i="7"/>
  <c r="G12" i="7"/>
  <c r="N12" i="7"/>
  <c r="R12" i="7"/>
  <c r="H13" i="7"/>
  <c r="M13" i="7"/>
  <c r="Q13" i="7"/>
  <c r="G14" i="7"/>
  <c r="K14" i="7"/>
  <c r="L15" i="7"/>
  <c r="G16" i="7"/>
  <c r="K16" i="7"/>
  <c r="O16" i="7"/>
  <c r="S16" i="7"/>
  <c r="F17" i="7"/>
  <c r="J17" i="7"/>
  <c r="N17" i="7"/>
  <c r="R17" i="7"/>
  <c r="I18" i="7"/>
  <c r="M18" i="7"/>
  <c r="Q18" i="7"/>
  <c r="C19" i="7"/>
  <c r="H19" i="7"/>
  <c r="N19" i="7"/>
  <c r="R19" i="7"/>
  <c r="C20" i="7"/>
  <c r="J20" i="7"/>
  <c r="N20" i="7"/>
  <c r="R20" i="7"/>
  <c r="H21" i="7"/>
  <c r="BW25" i="31"/>
  <c r="CA25" i="31"/>
  <c r="BX25" i="31"/>
  <c r="CB25" i="31"/>
  <c r="BY25" i="31"/>
  <c r="BV25" i="31"/>
  <c r="BZ25" i="31"/>
  <c r="BU25" i="31"/>
  <c r="DC25" i="31"/>
  <c r="DG25" i="31"/>
  <c r="DD25" i="31"/>
  <c r="DH25" i="31"/>
  <c r="DE25" i="31"/>
  <c r="DF25" i="31"/>
  <c r="DA25" i="31"/>
  <c r="DB25" i="31"/>
  <c r="EJ25" i="31"/>
  <c r="EN25" i="31"/>
  <c r="EK25" i="31"/>
  <c r="EH25" i="31"/>
  <c r="EL25" i="31"/>
  <c r="EM25" i="31"/>
  <c r="EI25" i="31"/>
  <c r="EG25" i="31"/>
  <c r="K22" i="7"/>
  <c r="K23" i="7"/>
  <c r="O23" i="7"/>
  <c r="S23" i="7"/>
  <c r="E24" i="7"/>
  <c r="J24" i="7"/>
  <c r="N24" i="7"/>
  <c r="R24" i="7"/>
  <c r="L25" i="7"/>
  <c r="P25" i="7"/>
  <c r="T25" i="7"/>
  <c r="E27" i="7"/>
  <c r="I27" i="7"/>
  <c r="M27" i="7"/>
  <c r="Q27" i="7"/>
  <c r="C28" i="7"/>
  <c r="M28" i="7"/>
  <c r="Q28" i="7"/>
  <c r="G29" i="7"/>
  <c r="K29" i="7"/>
  <c r="O29" i="7"/>
  <c r="S29" i="7"/>
  <c r="J32" i="7"/>
  <c r="N32" i="7"/>
  <c r="R32" i="7"/>
  <c r="C33" i="7"/>
  <c r="I33" i="7"/>
  <c r="M33" i="7"/>
  <c r="Q33" i="7"/>
  <c r="I34" i="7"/>
  <c r="M34" i="7"/>
  <c r="Q34" i="7"/>
  <c r="G35" i="7"/>
  <c r="L35" i="7"/>
  <c r="P35" i="7"/>
  <c r="T35" i="7"/>
  <c r="H37" i="7"/>
  <c r="L37" i="7"/>
  <c r="P37" i="7"/>
  <c r="T37" i="7"/>
  <c r="H38" i="7"/>
  <c r="L38" i="7"/>
  <c r="P38" i="7"/>
  <c r="T38" i="7"/>
  <c r="CT43" i="31"/>
  <c r="CX43" i="31"/>
  <c r="CV43" i="31"/>
  <c r="CZ43" i="31"/>
  <c r="CU43" i="31"/>
  <c r="CW43" i="31"/>
  <c r="CY43" i="31"/>
  <c r="CS43" i="31"/>
  <c r="EA43" i="31"/>
  <c r="EE43" i="31"/>
  <c r="EB43" i="31"/>
  <c r="EF43" i="31"/>
  <c r="EC43" i="31"/>
  <c r="DZ43" i="31"/>
  <c r="ED43" i="31"/>
  <c r="DY43" i="31"/>
  <c r="E48" i="7"/>
  <c r="J49" i="7"/>
  <c r="R49" i="7"/>
  <c r="C36" i="8"/>
  <c r="C6" i="8"/>
  <c r="D31" i="30"/>
  <c r="K5" i="29"/>
  <c r="D38" i="30"/>
  <c r="D39" i="30"/>
  <c r="H36" i="8"/>
  <c r="H6" i="8"/>
  <c r="P5" i="29"/>
  <c r="D42" i="30"/>
  <c r="S5" i="29"/>
  <c r="D34" i="30"/>
  <c r="C37" i="8"/>
  <c r="C7" i="8"/>
  <c r="E31" i="30"/>
  <c r="K6" i="29"/>
  <c r="E38" i="30"/>
  <c r="E39" i="30"/>
  <c r="P6" i="29"/>
  <c r="H37" i="8"/>
  <c r="H7" i="8"/>
  <c r="S6" i="29"/>
  <c r="E34" i="30"/>
  <c r="F7" i="30"/>
  <c r="B7" i="29"/>
  <c r="F29" i="30"/>
  <c r="F7" i="29"/>
  <c r="F32" i="30"/>
  <c r="I7" i="29"/>
  <c r="F38" i="8"/>
  <c r="F8" i="8"/>
  <c r="F36" i="30"/>
  <c r="E38" i="8"/>
  <c r="E8" i="8"/>
  <c r="V7" i="29"/>
  <c r="F37" i="30"/>
  <c r="G10" i="30"/>
  <c r="N8" i="29"/>
  <c r="I39" i="8"/>
  <c r="I9" i="8"/>
  <c r="G30" i="30"/>
  <c r="G9" i="30"/>
  <c r="R8" i="29"/>
  <c r="D39" i="8"/>
  <c r="D9" i="8"/>
  <c r="G69" i="30"/>
  <c r="H10" i="30"/>
  <c r="N9" i="29"/>
  <c r="I40" i="8"/>
  <c r="I10" i="8"/>
  <c r="H30" i="30"/>
  <c r="H9" i="30"/>
  <c r="R9" i="29"/>
  <c r="H69" i="30"/>
  <c r="D40" i="8"/>
  <c r="D10" i="8"/>
  <c r="H48" i="7"/>
  <c r="I10" i="30"/>
  <c r="I9" i="7"/>
  <c r="I9" i="30"/>
  <c r="R10" i="29"/>
  <c r="D41" i="8"/>
  <c r="D11" i="8"/>
  <c r="I69" i="30"/>
  <c r="N11" i="29"/>
  <c r="J10" i="30"/>
  <c r="J9" i="30"/>
  <c r="R11" i="29"/>
  <c r="J48" i="7"/>
  <c r="D42" i="8"/>
  <c r="D12" i="8"/>
  <c r="J69" i="30"/>
  <c r="U11" i="29"/>
  <c r="J42" i="30"/>
  <c r="K10" i="30"/>
  <c r="N12" i="29"/>
  <c r="K30" i="30"/>
  <c r="I43" i="8"/>
  <c r="I13" i="8"/>
  <c r="K9" i="30"/>
  <c r="R12" i="29"/>
  <c r="D43" i="8"/>
  <c r="D13" i="8"/>
  <c r="K69" i="30"/>
  <c r="L10" i="30"/>
  <c r="N13" i="29"/>
  <c r="I44" i="8"/>
  <c r="I14" i="8"/>
  <c r="L30" i="30"/>
  <c r="L9" i="30"/>
  <c r="D44" i="8"/>
  <c r="D14" i="8"/>
  <c r="R13" i="29"/>
  <c r="L69" i="30"/>
  <c r="L48" i="7"/>
  <c r="M10" i="30"/>
  <c r="N14" i="29"/>
  <c r="I45" i="8"/>
  <c r="I15" i="8"/>
  <c r="M30" i="30"/>
  <c r="M9" i="30"/>
  <c r="D45" i="8"/>
  <c r="D15" i="8"/>
  <c r="R14" i="29"/>
  <c r="M69" i="30"/>
  <c r="N10" i="30"/>
  <c r="N15" i="29"/>
  <c r="I46" i="8"/>
  <c r="I16" i="8"/>
  <c r="N30" i="30"/>
  <c r="N9" i="30"/>
  <c r="R15" i="29"/>
  <c r="D46" i="8"/>
  <c r="D16" i="8"/>
  <c r="N48" i="7"/>
  <c r="N69" i="30"/>
  <c r="H16" i="29"/>
  <c r="O33" i="30"/>
  <c r="O8" i="30"/>
  <c r="L16" i="29"/>
  <c r="G47" i="8"/>
  <c r="G17" i="8"/>
  <c r="O40" i="30"/>
  <c r="T16" i="29"/>
  <c r="O35" i="30"/>
  <c r="C48" i="8"/>
  <c r="C18" i="8"/>
  <c r="C17" i="29"/>
  <c r="P31" i="30"/>
  <c r="K17" i="29"/>
  <c r="P38" i="30"/>
  <c r="P39" i="30"/>
  <c r="H48" i="8"/>
  <c r="H18" i="8"/>
  <c r="P17" i="29"/>
  <c r="S17" i="29"/>
  <c r="P34" i="30"/>
  <c r="Q7" i="30"/>
  <c r="B18" i="29"/>
  <c r="B49" i="8"/>
  <c r="Q29" i="30"/>
  <c r="F18" i="29"/>
  <c r="R32" i="30"/>
  <c r="F49" i="8"/>
  <c r="F19" i="8"/>
  <c r="E49" i="8"/>
  <c r="E19" i="8"/>
  <c r="I18" i="29"/>
  <c r="Q36" i="30"/>
  <c r="V18" i="29"/>
  <c r="Q37" i="30"/>
  <c r="R10" i="30"/>
  <c r="I50" i="8"/>
  <c r="I20" i="8"/>
  <c r="N19" i="29"/>
  <c r="R30" i="30"/>
  <c r="R9" i="30"/>
  <c r="D50" i="8"/>
  <c r="D20" i="8"/>
  <c r="R19" i="29"/>
  <c r="R48" i="7"/>
  <c r="R69" i="30"/>
  <c r="H20" i="29"/>
  <c r="S33" i="30"/>
  <c r="S8" i="30"/>
  <c r="L20" i="29"/>
  <c r="G51" i="8"/>
  <c r="G21" i="8"/>
  <c r="S40" i="30"/>
  <c r="T20" i="29"/>
  <c r="S35" i="30"/>
  <c r="C52" i="8"/>
  <c r="C22" i="8"/>
  <c r="C21" i="29"/>
  <c r="T31" i="30"/>
  <c r="K21" i="29"/>
  <c r="T38" i="30"/>
  <c r="T39" i="30"/>
  <c r="H52" i="8"/>
  <c r="H22" i="8"/>
  <c r="P21" i="29"/>
  <c r="S21" i="29"/>
  <c r="T34" i="30"/>
  <c r="U7" i="30"/>
  <c r="B53" i="8"/>
  <c r="U29" i="30"/>
  <c r="F53" i="8"/>
  <c r="F23" i="8"/>
  <c r="E53" i="8"/>
  <c r="E23" i="8"/>
  <c r="I22" i="29"/>
  <c r="U36" i="30"/>
  <c r="V22" i="29"/>
  <c r="U37" i="30"/>
  <c r="C31" i="29"/>
  <c r="D46" i="30"/>
  <c r="C26" i="7"/>
  <c r="G31" i="29"/>
  <c r="M36" i="8"/>
  <c r="M6" i="8"/>
  <c r="D11" i="30"/>
  <c r="K31" i="29"/>
  <c r="D50" i="30"/>
  <c r="R31" i="29"/>
  <c r="L36" i="8"/>
  <c r="L6" i="8"/>
  <c r="J37" i="8"/>
  <c r="J7" i="8"/>
  <c r="E32" i="29"/>
  <c r="E41" i="30"/>
  <c r="E13" i="30"/>
  <c r="I32" i="29"/>
  <c r="E47" i="30"/>
  <c r="E43" i="30"/>
  <c r="M32" i="29"/>
  <c r="K37" i="8"/>
  <c r="K7" i="8"/>
  <c r="E49" i="30"/>
  <c r="Q32" i="29"/>
  <c r="O37" i="8"/>
  <c r="O7" i="8"/>
  <c r="C33" i="29"/>
  <c r="F46" i="30"/>
  <c r="F26" i="7"/>
  <c r="G33" i="29"/>
  <c r="M38" i="8"/>
  <c r="M8" i="8"/>
  <c r="F11" i="30"/>
  <c r="K33" i="29"/>
  <c r="F50" i="30"/>
  <c r="F12" i="30"/>
  <c r="F30" i="7"/>
  <c r="E34" i="29"/>
  <c r="J39" i="8"/>
  <c r="J9" i="8"/>
  <c r="G41" i="30"/>
  <c r="G13" i="30"/>
  <c r="I34" i="29"/>
  <c r="G43" i="30"/>
  <c r="G47" i="30"/>
  <c r="M34" i="29"/>
  <c r="G49" i="30"/>
  <c r="K39" i="8"/>
  <c r="K9" i="8"/>
  <c r="Q34" i="29"/>
  <c r="O39" i="8"/>
  <c r="O9" i="8"/>
  <c r="C35" i="29"/>
  <c r="H46" i="30"/>
  <c r="H26" i="7"/>
  <c r="M40" i="8"/>
  <c r="M10" i="8"/>
  <c r="G35" i="29"/>
  <c r="H11" i="30"/>
  <c r="K35" i="29"/>
  <c r="H50" i="30"/>
  <c r="H12" i="30"/>
  <c r="H30" i="7"/>
  <c r="L40" i="8"/>
  <c r="L10" i="8"/>
  <c r="R35" i="29"/>
  <c r="I13" i="30"/>
  <c r="I36" i="29"/>
  <c r="I47" i="30"/>
  <c r="I43" i="30"/>
  <c r="K41" i="8"/>
  <c r="K11" i="8"/>
  <c r="M36" i="29"/>
  <c r="I49" i="30"/>
  <c r="O41" i="8"/>
  <c r="O11" i="8"/>
  <c r="Q36" i="29"/>
  <c r="C37" i="29"/>
  <c r="J46" i="30"/>
  <c r="J26" i="7"/>
  <c r="G37" i="29"/>
  <c r="M42" i="8"/>
  <c r="M12" i="8"/>
  <c r="J11" i="30"/>
  <c r="K37" i="29"/>
  <c r="J50" i="30"/>
  <c r="J12" i="30"/>
  <c r="J30" i="7"/>
  <c r="R37" i="29"/>
  <c r="L42" i="8"/>
  <c r="L12" i="8"/>
  <c r="H38" i="29"/>
  <c r="K48" i="30"/>
  <c r="O38" i="29"/>
  <c r="P43" i="8"/>
  <c r="P13" i="8"/>
  <c r="N39" i="29"/>
  <c r="L70" i="30"/>
  <c r="C40" i="29"/>
  <c r="M46" i="30"/>
  <c r="M26" i="7"/>
  <c r="G40" i="29"/>
  <c r="M45" i="8"/>
  <c r="M15" i="8"/>
  <c r="M11" i="30"/>
  <c r="K40" i="29"/>
  <c r="M50" i="30"/>
  <c r="M12" i="30"/>
  <c r="M30" i="7"/>
  <c r="R40" i="29"/>
  <c r="L45" i="8"/>
  <c r="L15" i="8"/>
  <c r="H41" i="29"/>
  <c r="N48" i="30"/>
  <c r="L41" i="29"/>
  <c r="N56" i="30"/>
  <c r="O41" i="29"/>
  <c r="P46" i="8"/>
  <c r="P16" i="8"/>
  <c r="E42" i="29"/>
  <c r="J47" i="8"/>
  <c r="J17" i="8"/>
  <c r="O41" i="30"/>
  <c r="O13" i="30"/>
  <c r="I42" i="29"/>
  <c r="O43" i="30"/>
  <c r="O47" i="30"/>
  <c r="M42" i="29"/>
  <c r="K47" i="8"/>
  <c r="K17" i="8"/>
  <c r="O49" i="30"/>
  <c r="Q42" i="29"/>
  <c r="O47" i="8"/>
  <c r="O17" i="8"/>
  <c r="N43" i="29"/>
  <c r="P70" i="30"/>
  <c r="C44" i="29"/>
  <c r="Q46" i="30"/>
  <c r="Q26" i="7"/>
  <c r="G44" i="29"/>
  <c r="M49" i="8"/>
  <c r="M19" i="8"/>
  <c r="Q11" i="30"/>
  <c r="K44" i="29"/>
  <c r="Q50" i="30"/>
  <c r="Q12" i="30"/>
  <c r="Q30" i="7"/>
  <c r="R44" i="29"/>
  <c r="L49" i="8"/>
  <c r="L19" i="8"/>
  <c r="H45" i="29"/>
  <c r="R48" i="30"/>
  <c r="L45" i="29"/>
  <c r="R56" i="30"/>
  <c r="O45" i="29"/>
  <c r="P50" i="8"/>
  <c r="P20" i="8"/>
  <c r="E46" i="29"/>
  <c r="J51" i="8"/>
  <c r="J21" i="8"/>
  <c r="S41" i="30"/>
  <c r="S13" i="30"/>
  <c r="I46" i="29"/>
  <c r="S43" i="30"/>
  <c r="S47" i="30"/>
  <c r="M46" i="29"/>
  <c r="K51" i="8"/>
  <c r="K21" i="8"/>
  <c r="S49" i="30"/>
  <c r="Q46" i="29"/>
  <c r="O51" i="8"/>
  <c r="O21" i="8"/>
  <c r="N47" i="29"/>
  <c r="T70" i="30"/>
  <c r="C48" i="29"/>
  <c r="U46" i="30"/>
  <c r="G48" i="29"/>
  <c r="M53" i="8"/>
  <c r="U11" i="30"/>
  <c r="K48" i="29"/>
  <c r="U50" i="30"/>
  <c r="U12" i="30"/>
  <c r="R48" i="29"/>
  <c r="L53" i="8"/>
  <c r="E56" i="29"/>
  <c r="D45" i="30"/>
  <c r="D14" i="30"/>
  <c r="C56" i="29"/>
  <c r="D57" i="29"/>
  <c r="E58" i="30"/>
  <c r="E44" i="30"/>
  <c r="O57" i="29"/>
  <c r="E15" i="30"/>
  <c r="E58" i="29"/>
  <c r="F45" i="30"/>
  <c r="C58" i="29"/>
  <c r="F14" i="30"/>
  <c r="J58" i="29"/>
  <c r="F52" i="30"/>
  <c r="D59" i="29"/>
  <c r="G58" i="30"/>
  <c r="G44" i="30"/>
  <c r="K59" i="29"/>
  <c r="G54" i="30"/>
  <c r="G15" i="30"/>
  <c r="O59" i="29"/>
  <c r="E60" i="29"/>
  <c r="H45" i="30"/>
  <c r="H14" i="30"/>
  <c r="C60" i="29"/>
  <c r="J60" i="29"/>
  <c r="H52" i="30"/>
  <c r="Q60" i="29"/>
  <c r="N61" i="29"/>
  <c r="I57" i="30"/>
  <c r="I19" i="30"/>
  <c r="R61" i="29"/>
  <c r="I61" i="30"/>
  <c r="D62" i="29"/>
  <c r="J58" i="30"/>
  <c r="J44" i="30"/>
  <c r="K62" i="29"/>
  <c r="J54" i="30"/>
  <c r="J15" i="30"/>
  <c r="O62" i="29"/>
  <c r="B63" i="29"/>
  <c r="K53" i="30"/>
  <c r="I63" i="29"/>
  <c r="K75" i="30"/>
  <c r="K71" i="30"/>
  <c r="L63" i="29"/>
  <c r="K63" i="30"/>
  <c r="K18" i="30"/>
  <c r="P63" i="29"/>
  <c r="K59" i="30"/>
  <c r="E64" i="29"/>
  <c r="L45" i="30"/>
  <c r="L14" i="30"/>
  <c r="C64" i="29"/>
  <c r="J64" i="29"/>
  <c r="L52" i="30"/>
  <c r="Q64" i="29"/>
  <c r="N65" i="29"/>
  <c r="M57" i="30"/>
  <c r="M19" i="30"/>
  <c r="R65" i="29"/>
  <c r="M61" i="30"/>
  <c r="D66" i="29"/>
  <c r="N58" i="30"/>
  <c r="N44" i="30"/>
  <c r="K66" i="29"/>
  <c r="N54" i="30"/>
  <c r="N15" i="30"/>
  <c r="O66" i="29"/>
  <c r="B67" i="29"/>
  <c r="O53" i="30"/>
  <c r="I67" i="29"/>
  <c r="O75" i="30"/>
  <c r="O71" i="30"/>
  <c r="L67" i="29"/>
  <c r="O63" i="30"/>
  <c r="O18" i="30"/>
  <c r="P67" i="29"/>
  <c r="O59" i="30"/>
  <c r="E68" i="29"/>
  <c r="P45" i="30"/>
  <c r="P14" i="30"/>
  <c r="C68" i="29"/>
  <c r="J68" i="29"/>
  <c r="P52" i="30"/>
  <c r="Q68" i="29"/>
  <c r="N69" i="29"/>
  <c r="Q57" i="30"/>
  <c r="Q19" i="30"/>
  <c r="R69" i="29"/>
  <c r="Q61" i="30"/>
  <c r="D70" i="29"/>
  <c r="R58" i="30"/>
  <c r="R44" i="30"/>
  <c r="K70" i="29"/>
  <c r="R54" i="30"/>
  <c r="R15" i="30"/>
  <c r="O70" i="29"/>
  <c r="B71" i="29"/>
  <c r="S53" i="30"/>
  <c r="I71" i="29"/>
  <c r="S75" i="30"/>
  <c r="S71" i="30"/>
  <c r="L71" i="29"/>
  <c r="S63" i="30"/>
  <c r="S18" i="30"/>
  <c r="P71" i="29"/>
  <c r="S59" i="30"/>
  <c r="E72" i="29"/>
  <c r="T45" i="30"/>
  <c r="T14" i="30"/>
  <c r="C72" i="29"/>
  <c r="J72" i="29"/>
  <c r="T52" i="30"/>
  <c r="Q72" i="29"/>
  <c r="U57" i="30"/>
  <c r="U19" i="30"/>
  <c r="U61" i="30"/>
  <c r="G82" i="29"/>
  <c r="D67" i="30"/>
  <c r="B83" i="29"/>
  <c r="E64" i="30"/>
  <c r="E60" i="30"/>
  <c r="F83" i="29"/>
  <c r="E68" i="30"/>
  <c r="J83" i="29"/>
  <c r="E20" i="30"/>
  <c r="I84" i="29"/>
  <c r="F62" i="30"/>
  <c r="G85" i="29"/>
  <c r="G67" i="30"/>
  <c r="I86" i="29"/>
  <c r="H62" i="30"/>
  <c r="G87" i="29"/>
  <c r="I67" i="30"/>
  <c r="I88" i="29"/>
  <c r="G89" i="29"/>
  <c r="K67" i="30"/>
  <c r="I90" i="29"/>
  <c r="G91" i="29"/>
  <c r="M67" i="30"/>
  <c r="I92" i="29"/>
  <c r="G93" i="29"/>
  <c r="O67" i="30"/>
  <c r="I94" i="29"/>
  <c r="G95" i="29"/>
  <c r="Q67" i="30"/>
  <c r="I96" i="29"/>
  <c r="G97" i="29"/>
  <c r="S67" i="30"/>
  <c r="I98" i="29"/>
  <c r="G99" i="29"/>
  <c r="U67" i="30"/>
  <c r="B61" i="8"/>
  <c r="D87" i="30"/>
  <c r="D90" i="30"/>
  <c r="F61" i="8"/>
  <c r="E61" i="8"/>
  <c r="D94" i="30"/>
  <c r="D95" i="30"/>
  <c r="B62" i="8"/>
  <c r="E87" i="30"/>
  <c r="E90" i="30"/>
  <c r="F62" i="8"/>
  <c r="E62" i="8"/>
  <c r="E94" i="30"/>
  <c r="E95" i="30"/>
  <c r="B63" i="8"/>
  <c r="F87" i="30"/>
  <c r="F90" i="30"/>
  <c r="E63" i="8"/>
  <c r="F63" i="8"/>
  <c r="F94" i="30"/>
  <c r="F95" i="30"/>
  <c r="B64" i="8"/>
  <c r="G87" i="30"/>
  <c r="G90" i="30"/>
  <c r="F64" i="8"/>
  <c r="E64" i="8"/>
  <c r="G94" i="30"/>
  <c r="G95" i="30"/>
  <c r="B65" i="8"/>
  <c r="H87" i="30"/>
  <c r="H90" i="30"/>
  <c r="F65" i="8"/>
  <c r="E65" i="8"/>
  <c r="H94" i="30"/>
  <c r="H95" i="30"/>
  <c r="I66" i="8"/>
  <c r="I88" i="30"/>
  <c r="D66" i="8"/>
  <c r="I127" i="30"/>
  <c r="J91" i="30"/>
  <c r="G67" i="8"/>
  <c r="J98" i="30"/>
  <c r="J93" i="30"/>
  <c r="K91" i="30"/>
  <c r="G68" i="8"/>
  <c r="K98" i="30"/>
  <c r="K93" i="30"/>
  <c r="L91" i="30"/>
  <c r="G69" i="8"/>
  <c r="L98" i="30"/>
  <c r="M91" i="30"/>
  <c r="M93" i="30"/>
  <c r="N91" i="30"/>
  <c r="G71" i="8"/>
  <c r="N98" i="30"/>
  <c r="N93" i="30"/>
  <c r="G72" i="8"/>
  <c r="O98" i="30"/>
  <c r="O93" i="30"/>
  <c r="P91" i="30"/>
  <c r="G73" i="8"/>
  <c r="P98" i="30"/>
  <c r="P93" i="30"/>
  <c r="Q91" i="30"/>
  <c r="G74" i="8"/>
  <c r="Q98" i="30"/>
  <c r="Q93" i="30"/>
  <c r="C75" i="8"/>
  <c r="R89" i="30"/>
  <c r="R97" i="30"/>
  <c r="R96" i="30"/>
  <c r="H75" i="8"/>
  <c r="R92" i="30"/>
  <c r="B76" i="8"/>
  <c r="S87" i="30"/>
  <c r="S90" i="30"/>
  <c r="F76" i="8"/>
  <c r="E76" i="8"/>
  <c r="S94" i="30"/>
  <c r="S95" i="30"/>
  <c r="I77" i="8"/>
  <c r="T88" i="30"/>
  <c r="D77" i="8"/>
  <c r="T127" i="30"/>
  <c r="U91" i="30"/>
  <c r="G78" i="8"/>
  <c r="U98" i="30"/>
  <c r="U93" i="30"/>
  <c r="J61" i="8"/>
  <c r="D99" i="30"/>
  <c r="V99" i="30"/>
  <c r="W99" i="30"/>
  <c r="D101" i="30"/>
  <c r="D105" i="30"/>
  <c r="K61" i="8"/>
  <c r="D107" i="30"/>
  <c r="O61" i="8"/>
  <c r="E128" i="30"/>
  <c r="F104" i="30"/>
  <c r="M63" i="8"/>
  <c r="F108" i="30"/>
  <c r="L63" i="8"/>
  <c r="J64" i="8"/>
  <c r="O64" i="8"/>
  <c r="H104" i="30"/>
  <c r="M65" i="8"/>
  <c r="H108" i="30"/>
  <c r="L65" i="8"/>
  <c r="I101" i="30"/>
  <c r="I105" i="30"/>
  <c r="O66" i="8"/>
  <c r="J104" i="30"/>
  <c r="M67" i="8"/>
  <c r="J108" i="30"/>
  <c r="L67" i="8"/>
  <c r="K105" i="30"/>
  <c r="K101" i="30"/>
  <c r="K68" i="8"/>
  <c r="K107" i="30"/>
  <c r="O68" i="8"/>
  <c r="L104" i="30"/>
  <c r="M69" i="8"/>
  <c r="L108" i="30"/>
  <c r="L69" i="8"/>
  <c r="J70" i="8"/>
  <c r="M101" i="30"/>
  <c r="M105" i="30"/>
  <c r="K70" i="8"/>
  <c r="M107" i="30"/>
  <c r="O70" i="8"/>
  <c r="N128" i="30"/>
  <c r="O104" i="30"/>
  <c r="M72" i="8"/>
  <c r="O108" i="30"/>
  <c r="L72" i="8"/>
  <c r="P106" i="30"/>
  <c r="P114" i="30"/>
  <c r="P73" i="8"/>
  <c r="J74" i="8"/>
  <c r="Q101" i="30"/>
  <c r="Q105" i="30"/>
  <c r="K74" i="8"/>
  <c r="Q107" i="30"/>
  <c r="O74" i="8"/>
  <c r="R128" i="30"/>
  <c r="S104" i="30"/>
  <c r="M76" i="8"/>
  <c r="S108" i="30"/>
  <c r="L76" i="8"/>
  <c r="T106" i="30"/>
  <c r="T114" i="30"/>
  <c r="P77" i="8"/>
  <c r="J78" i="8"/>
  <c r="U101" i="30"/>
  <c r="U105" i="30"/>
  <c r="K78" i="8"/>
  <c r="U107" i="30"/>
  <c r="O78" i="8"/>
  <c r="D115" i="30"/>
  <c r="D119" i="30"/>
  <c r="E111" i="30"/>
  <c r="E121" i="30"/>
  <c r="E117" i="30"/>
  <c r="G132" i="30"/>
  <c r="G73" i="30"/>
  <c r="G135" i="30"/>
  <c r="G131" i="30"/>
  <c r="G72" i="30"/>
  <c r="G134" i="30"/>
  <c r="G130" i="30"/>
  <c r="G124" i="30"/>
  <c r="G77" i="30"/>
  <c r="G66" i="30"/>
  <c r="G133" i="30"/>
  <c r="G129" i="30"/>
  <c r="G123" i="30"/>
  <c r="G76" i="30"/>
  <c r="G74" i="30"/>
  <c r="G65" i="30"/>
  <c r="G121" i="30"/>
  <c r="G117" i="30"/>
  <c r="H115" i="30"/>
  <c r="H119" i="30"/>
  <c r="I134" i="30"/>
  <c r="I130" i="30"/>
  <c r="I124" i="30"/>
  <c r="I77" i="30"/>
  <c r="I66" i="30"/>
  <c r="I133" i="30"/>
  <c r="I129" i="30"/>
  <c r="I123" i="30"/>
  <c r="I76" i="30"/>
  <c r="I74" i="30"/>
  <c r="I65" i="30"/>
  <c r="I132" i="30"/>
  <c r="I73" i="30"/>
  <c r="I135" i="30"/>
  <c r="I131" i="30"/>
  <c r="I72" i="30"/>
  <c r="I121" i="30"/>
  <c r="I117" i="30"/>
  <c r="J115" i="30"/>
  <c r="J119" i="30"/>
  <c r="K111" i="30"/>
  <c r="K132" i="30"/>
  <c r="K73" i="30"/>
  <c r="K135" i="30"/>
  <c r="K131" i="30"/>
  <c r="K72" i="30"/>
  <c r="K134" i="30"/>
  <c r="K130" i="30"/>
  <c r="K124" i="30"/>
  <c r="K77" i="30"/>
  <c r="K66" i="30"/>
  <c r="K133" i="30"/>
  <c r="K129" i="30"/>
  <c r="K123" i="30"/>
  <c r="K76" i="30"/>
  <c r="K74" i="30"/>
  <c r="K65" i="30"/>
  <c r="K121" i="30"/>
  <c r="K117" i="30"/>
  <c r="R69" i="8"/>
  <c r="L103" i="30"/>
  <c r="L110" i="30"/>
  <c r="M115" i="30"/>
  <c r="M119" i="30"/>
  <c r="N116" i="30"/>
  <c r="N102" i="30"/>
  <c r="N112" i="30"/>
  <c r="O111" i="30"/>
  <c r="O132" i="30"/>
  <c r="O73" i="30"/>
  <c r="O135" i="30"/>
  <c r="O131" i="30"/>
  <c r="O72" i="30"/>
  <c r="O134" i="30"/>
  <c r="O130" i="30"/>
  <c r="O124" i="30"/>
  <c r="O77" i="30"/>
  <c r="O66" i="30"/>
  <c r="O133" i="30"/>
  <c r="O129" i="30"/>
  <c r="O123" i="30"/>
  <c r="O76" i="30"/>
  <c r="O74" i="30"/>
  <c r="O65" i="30"/>
  <c r="O121" i="30"/>
  <c r="O117" i="30"/>
  <c r="R73" i="8"/>
  <c r="P103" i="30"/>
  <c r="P110" i="30"/>
  <c r="Q115" i="30"/>
  <c r="Q119" i="30"/>
  <c r="R116" i="30"/>
  <c r="R102" i="30"/>
  <c r="R112" i="30"/>
  <c r="S111" i="30"/>
  <c r="S132" i="30"/>
  <c r="S73" i="30"/>
  <c r="S135" i="30"/>
  <c r="S131" i="30"/>
  <c r="S72" i="30"/>
  <c r="S134" i="30"/>
  <c r="S130" i="30"/>
  <c r="S124" i="30"/>
  <c r="S77" i="30"/>
  <c r="S66" i="30"/>
  <c r="S133" i="30"/>
  <c r="S129" i="30"/>
  <c r="S123" i="30"/>
  <c r="S76" i="30"/>
  <c r="S74" i="30"/>
  <c r="S65" i="30"/>
  <c r="S121" i="30"/>
  <c r="S117" i="30"/>
  <c r="R77" i="8"/>
  <c r="T103" i="30"/>
  <c r="T110" i="30"/>
  <c r="U115" i="30"/>
  <c r="U119" i="30"/>
  <c r="D118" i="30"/>
  <c r="D122" i="30"/>
  <c r="D126" i="30"/>
  <c r="N62" i="8"/>
  <c r="G122" i="30"/>
  <c r="G118" i="30"/>
  <c r="G126" i="30"/>
  <c r="I125" i="30"/>
  <c r="K125" i="30"/>
  <c r="M125" i="30"/>
  <c r="O125" i="30"/>
  <c r="Q125" i="30"/>
  <c r="S125" i="30"/>
  <c r="U125" i="30"/>
  <c r="H8" i="7"/>
  <c r="M8" i="7"/>
  <c r="Q8" i="7"/>
  <c r="G9" i="7"/>
  <c r="M9" i="7"/>
  <c r="Q9" i="7"/>
  <c r="Q10" i="7"/>
  <c r="G11" i="7"/>
  <c r="K11" i="7"/>
  <c r="R11" i="7"/>
  <c r="C12" i="7"/>
  <c r="H12" i="7"/>
  <c r="O12" i="7"/>
  <c r="S12" i="7"/>
  <c r="E13" i="7"/>
  <c r="J13" i="7"/>
  <c r="N13" i="7"/>
  <c r="R13" i="7"/>
  <c r="C14" i="7"/>
  <c r="H14" i="7"/>
  <c r="L14" i="7"/>
  <c r="P14" i="7"/>
  <c r="T14" i="7"/>
  <c r="G15" i="7"/>
  <c r="N15" i="7"/>
  <c r="R15" i="7"/>
  <c r="C16" i="7"/>
  <c r="H16" i="7"/>
  <c r="L16" i="7"/>
  <c r="P16" i="7"/>
  <c r="T16" i="7"/>
  <c r="G17" i="7"/>
  <c r="K17" i="7"/>
  <c r="O17" i="7"/>
  <c r="S17" i="7"/>
  <c r="F18" i="7"/>
  <c r="J18" i="7"/>
  <c r="N18" i="7"/>
  <c r="R18" i="7"/>
  <c r="E19" i="7"/>
  <c r="K19" i="7"/>
  <c r="O19" i="7"/>
  <c r="S19" i="7"/>
  <c r="E20" i="7"/>
  <c r="BI24" i="31"/>
  <c r="BF24" i="31"/>
  <c r="BJ24" i="31"/>
  <c r="BH24" i="31"/>
  <c r="BK24" i="31"/>
  <c r="BL24" i="31"/>
  <c r="BE24" i="31"/>
  <c r="BG24" i="31"/>
  <c r="O20" i="7"/>
  <c r="S20" i="7"/>
  <c r="E21" i="7"/>
  <c r="I21" i="7"/>
  <c r="CD25" i="31"/>
  <c r="CH25" i="31"/>
  <c r="CE25" i="31"/>
  <c r="CI25" i="31"/>
  <c r="CF25" i="31"/>
  <c r="CJ25" i="31"/>
  <c r="CC25" i="31"/>
  <c r="CG25" i="31"/>
  <c r="DK25" i="31"/>
  <c r="DO25" i="31"/>
  <c r="DL25" i="31"/>
  <c r="DP25" i="31"/>
  <c r="DM25" i="31"/>
  <c r="DJ25" i="31"/>
  <c r="DN25" i="31"/>
  <c r="DI25" i="31"/>
  <c r="H22" i="7"/>
  <c r="L22" i="7"/>
  <c r="P22" i="7"/>
  <c r="T22" i="7"/>
  <c r="H23" i="7"/>
  <c r="L23" i="7"/>
  <c r="P23" i="7"/>
  <c r="T23" i="7"/>
  <c r="F24" i="7"/>
  <c r="K24" i="7"/>
  <c r="O24" i="7"/>
  <c r="S24" i="7"/>
  <c r="E25" i="7"/>
  <c r="I25" i="7"/>
  <c r="M25" i="7"/>
  <c r="Q25" i="7"/>
  <c r="F27" i="7"/>
  <c r="J27" i="7"/>
  <c r="N27" i="7"/>
  <c r="R27" i="7"/>
  <c r="E28" i="7"/>
  <c r="J28" i="7"/>
  <c r="N28" i="7"/>
  <c r="R28" i="7"/>
  <c r="C29" i="7"/>
  <c r="H29" i="7"/>
  <c r="L29" i="7"/>
  <c r="P29" i="7"/>
  <c r="T29" i="7"/>
  <c r="I31" i="7"/>
  <c r="M31" i="7"/>
  <c r="Q31" i="7"/>
  <c r="K32" i="7"/>
  <c r="O32" i="7"/>
  <c r="S32" i="7"/>
  <c r="F33" i="7"/>
  <c r="J33" i="7"/>
  <c r="N33" i="7"/>
  <c r="R33" i="7"/>
  <c r="C34" i="7"/>
  <c r="J34" i="7"/>
  <c r="N34" i="7"/>
  <c r="R34" i="7"/>
  <c r="C35" i="7"/>
  <c r="H35" i="7"/>
  <c r="M35" i="7"/>
  <c r="Q35" i="7"/>
  <c r="J36" i="7"/>
  <c r="N36" i="7"/>
  <c r="R36" i="7"/>
  <c r="C37" i="7"/>
  <c r="I37" i="7"/>
  <c r="M37" i="7"/>
  <c r="Q37" i="7"/>
  <c r="I38" i="7"/>
  <c r="M38" i="7"/>
  <c r="Q38" i="7"/>
  <c r="BV43" i="31"/>
  <c r="BZ43" i="31"/>
  <c r="BW43" i="31"/>
  <c r="CA43" i="31"/>
  <c r="BX43" i="31"/>
  <c r="BY43" i="31"/>
  <c r="CB43" i="31"/>
  <c r="BU43" i="31"/>
  <c r="DE43" i="31"/>
  <c r="DC43" i="31"/>
  <c r="DG43" i="31"/>
  <c r="DB43" i="31"/>
  <c r="DD43" i="31"/>
  <c r="DF43" i="31"/>
  <c r="DH43" i="31"/>
  <c r="DA43" i="31"/>
  <c r="EH43" i="31"/>
  <c r="EL43" i="31"/>
  <c r="EI43" i="31"/>
  <c r="EM43" i="31"/>
  <c r="EJ43" i="31"/>
  <c r="EN43" i="31"/>
  <c r="EK43" i="31"/>
  <c r="EG43" i="31"/>
  <c r="G48" i="7"/>
  <c r="O48" i="7"/>
  <c r="L49" i="7"/>
  <c r="T49" i="7"/>
  <c r="V100" i="30"/>
  <c r="W100" i="30"/>
  <c r="V113" i="30"/>
  <c r="W113" i="30"/>
  <c r="X10" i="30"/>
  <c r="X12" i="30"/>
  <c r="X7" i="30"/>
  <c r="X9" i="30"/>
  <c r="X13" i="30"/>
  <c r="X17" i="30"/>
  <c r="X19" i="30"/>
  <c r="X20" i="30"/>
  <c r="N64" i="8"/>
  <c r="H40" i="8"/>
  <c r="H10" i="8"/>
  <c r="H39" i="8"/>
  <c r="H9" i="8"/>
  <c r="J9" i="7"/>
  <c r="J30" i="30"/>
  <c r="I42" i="8"/>
  <c r="I12" i="8"/>
  <c r="M15" i="7"/>
  <c r="M36" i="30"/>
  <c r="E45" i="8"/>
  <c r="E15" i="8"/>
  <c r="F45" i="8"/>
  <c r="F15" i="8"/>
  <c r="M12" i="7"/>
  <c r="M33" i="30"/>
  <c r="H13" i="29"/>
  <c r="L12" i="7"/>
  <c r="N32" i="30"/>
  <c r="M11" i="7"/>
  <c r="M32" i="30"/>
  <c r="L29" i="30"/>
  <c r="B44" i="8"/>
  <c r="L8" i="7"/>
  <c r="F119" i="30"/>
  <c r="F115" i="30"/>
  <c r="F76" i="30"/>
  <c r="F77" i="30"/>
  <c r="F65" i="30"/>
  <c r="F66" i="30"/>
  <c r="F72" i="30"/>
  <c r="F73" i="30"/>
  <c r="F74" i="30"/>
  <c r="F123" i="30"/>
  <c r="F124" i="30"/>
  <c r="F129" i="30"/>
  <c r="F130" i="30"/>
  <c r="F131" i="30"/>
  <c r="F132" i="30"/>
  <c r="F133" i="30"/>
  <c r="F134" i="30"/>
  <c r="F116" i="30"/>
  <c r="F102" i="30"/>
  <c r="I103" i="30"/>
  <c r="R66" i="8"/>
  <c r="H103" i="30"/>
  <c r="R65" i="8"/>
  <c r="G103" i="30"/>
  <c r="F103" i="30"/>
  <c r="EW28" i="31"/>
  <c r="EY28" i="31"/>
  <c r="FA28" i="31"/>
  <c r="FC28" i="31"/>
  <c r="EV28" i="31"/>
  <c r="EX28" i="31"/>
  <c r="EZ28" i="31"/>
  <c r="FB28" i="31"/>
  <c r="E103" i="30"/>
  <c r="R62" i="8"/>
  <c r="GC36" i="31"/>
  <c r="GE36" i="31"/>
  <c r="GG36" i="31"/>
  <c r="GI36" i="31"/>
  <c r="GB36" i="31"/>
  <c r="GD36" i="31"/>
  <c r="GF36" i="31"/>
  <c r="GH36" i="31"/>
  <c r="G111" i="30"/>
  <c r="GJ34" i="31"/>
  <c r="GL34" i="31"/>
  <c r="GN34" i="31"/>
  <c r="GP34" i="31"/>
  <c r="GK34" i="31"/>
  <c r="GM34" i="31"/>
  <c r="GO34" i="31"/>
  <c r="GQ34" i="31"/>
  <c r="G128" i="30"/>
  <c r="FM27" i="31"/>
  <c r="FO27" i="31"/>
  <c r="FQ27" i="31"/>
  <c r="FS27" i="31"/>
  <c r="FL27" i="31"/>
  <c r="FN27" i="31"/>
  <c r="FP27" i="31"/>
  <c r="FR27" i="31"/>
  <c r="G101" i="30"/>
  <c r="G105" i="30"/>
  <c r="GJ24" i="31"/>
  <c r="GL24" i="31"/>
  <c r="GN24" i="31"/>
  <c r="GP24" i="31"/>
  <c r="GK24" i="31"/>
  <c r="GM24" i="31"/>
  <c r="GO24" i="31"/>
  <c r="GQ24" i="31"/>
  <c r="G70" i="8"/>
  <c r="M98" i="30"/>
  <c r="FL52" i="31"/>
  <c r="FN52" i="31"/>
  <c r="FP52" i="31"/>
  <c r="FR52" i="31"/>
  <c r="FM52" i="31"/>
  <c r="FO52" i="31"/>
  <c r="FQ52" i="31"/>
  <c r="FS52" i="31"/>
  <c r="G127" i="30"/>
  <c r="D64" i="8"/>
  <c r="F125" i="30"/>
  <c r="F126" i="30"/>
  <c r="E65" i="30"/>
  <c r="E72" i="30"/>
  <c r="E74" i="30"/>
  <c r="E76" i="30"/>
  <c r="E124" i="30"/>
  <c r="E130" i="30"/>
  <c r="E132" i="30"/>
  <c r="E134" i="30"/>
  <c r="E66" i="30"/>
  <c r="E73" i="30"/>
  <c r="E77" i="30"/>
  <c r="E123" i="30"/>
  <c r="E129" i="30"/>
  <c r="E131" i="30"/>
  <c r="E133" i="30"/>
  <c r="E102" i="30"/>
  <c r="P90" i="30"/>
  <c r="P89" i="30"/>
  <c r="D68" i="30"/>
  <c r="D64" i="30"/>
  <c r="B82" i="29"/>
  <c r="C39" i="7"/>
  <c r="U39" i="7"/>
  <c r="D61" i="30"/>
  <c r="R56" i="29"/>
  <c r="Q58" i="29"/>
  <c r="AA40" i="31"/>
  <c r="AC40" i="31"/>
  <c r="AE40" i="31"/>
  <c r="Z40" i="31"/>
  <c r="AB40" i="31"/>
  <c r="AD40" i="31"/>
  <c r="AF40" i="31"/>
  <c r="Y40" i="31"/>
  <c r="G57" i="30"/>
  <c r="N59" i="29"/>
  <c r="G32" i="7"/>
  <c r="G53" i="30"/>
  <c r="F23" i="7"/>
  <c r="F58" i="30"/>
  <c r="F37" i="7"/>
  <c r="F44" i="30"/>
  <c r="I20" i="7"/>
  <c r="I41" i="30"/>
  <c r="J41" i="8"/>
  <c r="J11" i="8"/>
  <c r="E30" i="7"/>
  <c r="E49" i="7"/>
  <c r="E70" i="30"/>
  <c r="C49" i="7"/>
  <c r="D70" i="30"/>
  <c r="M31" i="30"/>
  <c r="C45" i="8"/>
  <c r="C15" i="8"/>
  <c r="L11" i="7"/>
  <c r="F12" i="29"/>
  <c r="J19" i="7"/>
  <c r="J40" i="30"/>
  <c r="L11" i="29"/>
  <c r="E10" i="29"/>
  <c r="I13" i="7"/>
  <c r="I34" i="30"/>
  <c r="S10" i="29"/>
  <c r="U5" i="29"/>
  <c r="BG39" i="31"/>
  <c r="BI39" i="31"/>
  <c r="BK39" i="31"/>
  <c r="BF39" i="31"/>
  <c r="BH39" i="31"/>
  <c r="BJ39" i="31"/>
  <c r="BL39" i="31"/>
  <c r="BE39" i="31"/>
  <c r="K56" i="30"/>
  <c r="L38" i="29"/>
  <c r="K66" i="8"/>
  <c r="I107" i="30"/>
  <c r="H107" i="30"/>
  <c r="K65" i="8"/>
  <c r="K64" i="8"/>
  <c r="H101" i="30"/>
  <c r="H105" i="30"/>
  <c r="J68" i="8"/>
  <c r="J67" i="8"/>
  <c r="J66" i="8"/>
  <c r="I69" i="8"/>
  <c r="N37" i="8"/>
  <c r="N7" i="8"/>
  <c r="C83" i="29"/>
  <c r="E32" i="7"/>
  <c r="E53" i="30"/>
  <c r="F127" i="30"/>
  <c r="E127" i="30"/>
  <c r="K92" i="30"/>
  <c r="D127" i="30"/>
  <c r="H68" i="8"/>
  <c r="I67" i="8"/>
  <c r="N89" i="30"/>
  <c r="B72" i="8"/>
  <c r="F49" i="30"/>
  <c r="M33" i="29"/>
  <c r="F28" i="7"/>
  <c r="G34" i="29"/>
  <c r="E35" i="29"/>
  <c r="H20" i="7"/>
  <c r="H41" i="30"/>
  <c r="I19" i="7"/>
  <c r="I40" i="30"/>
  <c r="G41" i="8"/>
  <c r="G11" i="8"/>
  <c r="J36" i="30"/>
  <c r="E42" i="8"/>
  <c r="E12" i="8"/>
  <c r="J15" i="7"/>
  <c r="F42" i="8"/>
  <c r="F12" i="8"/>
  <c r="H12" i="29"/>
  <c r="K12" i="7"/>
  <c r="L31" i="30"/>
  <c r="C44" i="8"/>
  <c r="C14" i="8"/>
  <c r="E126" i="30"/>
  <c r="E125" i="30"/>
  <c r="N63" i="8"/>
  <c r="I111" i="30"/>
  <c r="Q31" i="29"/>
  <c r="P32" i="29"/>
  <c r="O8" i="29"/>
  <c r="F43" i="8"/>
  <c r="F13" i="8"/>
  <c r="I12" i="29"/>
  <c r="E43" i="8"/>
  <c r="E13" i="8"/>
  <c r="K15" i="7"/>
  <c r="K36" i="30"/>
  <c r="R33" i="29"/>
  <c r="L38" i="8"/>
  <c r="L8" i="8"/>
  <c r="N10" i="29"/>
  <c r="I41" i="8"/>
  <c r="I11" i="8"/>
  <c r="I30" i="30"/>
  <c r="C32" i="7"/>
  <c r="D53" i="30"/>
  <c r="L56" i="29"/>
  <c r="D63" i="30"/>
  <c r="I55" i="30"/>
  <c r="C42" i="7"/>
  <c r="U42" i="7"/>
  <c r="J55" i="30"/>
  <c r="N56" i="29"/>
  <c r="D57" i="30"/>
  <c r="K55" i="30"/>
  <c r="C36" i="7"/>
  <c r="L55" i="30"/>
  <c r="P56" i="29"/>
  <c r="D59" i="30"/>
  <c r="N55" i="30"/>
  <c r="C38" i="7"/>
  <c r="J57" i="29"/>
  <c r="E31" i="7"/>
  <c r="E52" i="30"/>
  <c r="K57" i="29"/>
  <c r="E33" i="7"/>
  <c r="E54" i="30"/>
  <c r="Q57" i="29"/>
  <c r="B58" i="29"/>
  <c r="F32" i="7"/>
  <c r="F53" i="30"/>
  <c r="E59" i="29"/>
  <c r="G45" i="30"/>
  <c r="G24" i="7"/>
  <c r="E82" i="29"/>
  <c r="T62" i="30"/>
  <c r="R62" i="30"/>
  <c r="P62" i="30"/>
  <c r="N62" i="30"/>
  <c r="L62" i="30"/>
  <c r="J62" i="30"/>
  <c r="D62" i="30"/>
  <c r="I82" i="29"/>
  <c r="U62" i="30"/>
  <c r="S62" i="30"/>
  <c r="Q62" i="30"/>
  <c r="O62" i="30"/>
  <c r="M62" i="30"/>
  <c r="K62" i="30"/>
  <c r="I62" i="30"/>
  <c r="C41" i="7"/>
  <c r="U41" i="7"/>
  <c r="J92" i="30"/>
  <c r="F70" i="8"/>
  <c r="M94" i="30"/>
  <c r="E70" i="8"/>
  <c r="N97" i="30"/>
  <c r="N96" i="30"/>
  <c r="O91" i="30"/>
  <c r="F72" i="8"/>
  <c r="O94" i="30"/>
  <c r="E72" i="8"/>
  <c r="G114" i="30"/>
  <c r="P66" i="8"/>
  <c r="J56" i="29"/>
  <c r="G55" i="30"/>
  <c r="D52" i="30"/>
  <c r="F55" i="30"/>
  <c r="C31" i="7"/>
  <c r="M55" i="30"/>
  <c r="O56" i="29"/>
  <c r="O55" i="30"/>
  <c r="Q56" i="29"/>
  <c r="E63" i="30"/>
  <c r="L57" i="29"/>
  <c r="E57" i="30"/>
  <c r="N57" i="29"/>
  <c r="E36" i="7"/>
  <c r="E59" i="30"/>
  <c r="P57" i="29"/>
  <c r="E38" i="7"/>
  <c r="H58" i="29"/>
  <c r="F34" i="7"/>
  <c r="G59" i="29"/>
  <c r="G34" i="7"/>
  <c r="D82" i="29"/>
  <c r="N36" i="8"/>
  <c r="N6" i="8"/>
  <c r="K88" i="30"/>
  <c r="I68" i="8"/>
  <c r="M96" i="30"/>
  <c r="M97" i="30"/>
  <c r="E71" i="8"/>
  <c r="F71" i="8"/>
  <c r="N94" i="30"/>
  <c r="C72" i="8"/>
  <c r="O89" i="30"/>
  <c r="F128" i="30"/>
  <c r="R64" i="8"/>
  <c r="G108" i="30"/>
  <c r="L66" i="8"/>
  <c r="I33" i="31"/>
  <c r="AV33" i="31"/>
  <c r="AU33" i="31"/>
  <c r="CF33" i="31"/>
  <c r="CD33" i="31"/>
  <c r="AO33" i="31"/>
  <c r="AT33" i="31"/>
  <c r="O33" i="31"/>
  <c r="J33" i="31"/>
  <c r="G44" i="31"/>
  <c r="DJ33" i="31"/>
  <c r="C44" i="31"/>
  <c r="DL33" i="31"/>
  <c r="DK33" i="31"/>
  <c r="DI33" i="31"/>
  <c r="U18" i="7"/>
  <c r="V18" i="7"/>
  <c r="U10" i="7"/>
  <c r="V10" i="7"/>
  <c r="U34" i="7"/>
  <c r="V34" i="7"/>
  <c r="U15" i="7"/>
  <c r="V15" i="7"/>
  <c r="U11" i="7"/>
  <c r="V11" i="7"/>
  <c r="U8" i="7"/>
  <c r="V8" i="7"/>
  <c r="U13" i="7"/>
  <c r="U16" i="7"/>
  <c r="V16" i="7"/>
  <c r="U14" i="7"/>
  <c r="V14" i="7"/>
  <c r="U12" i="7"/>
  <c r="V12" i="7"/>
  <c r="U19" i="7"/>
  <c r="V19" i="7"/>
  <c r="U17" i="7"/>
  <c r="V17" i="7"/>
  <c r="U48" i="7"/>
  <c r="V48" i="7"/>
  <c r="U9" i="7"/>
  <c r="V9" i="7"/>
  <c r="U36" i="7"/>
  <c r="V36" i="7"/>
  <c r="U31" i="7"/>
  <c r="V31" i="7"/>
  <c r="U38" i="7"/>
  <c r="V38" i="7"/>
  <c r="U33" i="7"/>
  <c r="V33" i="7"/>
  <c r="D44" i="31"/>
  <c r="U40" i="7"/>
  <c r="V40" i="7"/>
  <c r="U32" i="7"/>
  <c r="V32" i="7"/>
  <c r="U37" i="7"/>
  <c r="V37" i="7"/>
  <c r="U25" i="7"/>
  <c r="V25" i="7"/>
  <c r="U24" i="7"/>
  <c r="V24" i="7"/>
  <c r="U23" i="7"/>
  <c r="V23" i="7"/>
  <c r="U35" i="7"/>
  <c r="V35" i="7"/>
  <c r="U49" i="7"/>
  <c r="V49" i="7"/>
  <c r="U29" i="7"/>
  <c r="V29" i="7"/>
  <c r="U26" i="7"/>
  <c r="V26" i="7"/>
  <c r="U28" i="7"/>
  <c r="V28" i="7"/>
  <c r="U20" i="7"/>
  <c r="V20" i="7"/>
  <c r="U27" i="7"/>
  <c r="V27" i="7"/>
  <c r="AK45" i="31"/>
  <c r="AJ45" i="31"/>
  <c r="AI45" i="31"/>
  <c r="V45" i="31"/>
  <c r="X45" i="31"/>
  <c r="P45" i="31"/>
  <c r="B44" i="31"/>
  <c r="E44" i="31"/>
  <c r="H44" i="31"/>
  <c r="L45" i="31"/>
  <c r="N45" i="31"/>
  <c r="R45" i="31"/>
  <c r="U45" i="31"/>
  <c r="T45" i="31"/>
  <c r="W40" i="7"/>
  <c r="DN33" i="31"/>
  <c r="DM33" i="31"/>
  <c r="DP33" i="31"/>
  <c r="CC33" i="31"/>
  <c r="CJ33" i="31"/>
  <c r="CI33" i="31"/>
  <c r="AS33" i="31"/>
  <c r="AR33" i="31"/>
  <c r="AQ33" i="31"/>
  <c r="P33" i="31"/>
  <c r="K33" i="31"/>
  <c r="N33" i="31"/>
  <c r="O45" i="31"/>
  <c r="K45" i="31"/>
  <c r="I45" i="31"/>
  <c r="V82" i="7"/>
  <c r="W82" i="7"/>
  <c r="W50" i="7"/>
  <c r="W35" i="7"/>
  <c r="V118" i="30"/>
  <c r="W118" i="30"/>
  <c r="V48" i="30"/>
  <c r="W48" i="30"/>
  <c r="V106" i="30"/>
  <c r="W106" i="30"/>
  <c r="V112" i="30"/>
  <c r="W112" i="30"/>
  <c r="V104" i="30"/>
  <c r="W104" i="30"/>
  <c r="V46" i="30"/>
  <c r="W46" i="30"/>
  <c r="V70" i="30"/>
  <c r="W70" i="30"/>
  <c r="V66" i="30"/>
  <c r="W66" i="30"/>
  <c r="V134" i="30"/>
  <c r="W134" i="30"/>
  <c r="V76" i="30"/>
  <c r="W76" i="30"/>
  <c r="V33" i="30"/>
  <c r="W33" i="30"/>
  <c r="V39" i="30"/>
  <c r="W39" i="30"/>
  <c r="V37" i="30"/>
  <c r="W37" i="30"/>
  <c r="V114" i="30"/>
  <c r="W114" i="30"/>
  <c r="V56" i="30"/>
  <c r="W56" i="30"/>
  <c r="V91" i="30"/>
  <c r="W91" i="30"/>
  <c r="V64" i="30"/>
  <c r="W64" i="30"/>
  <c r="V128" i="30"/>
  <c r="W128" i="30"/>
  <c r="V92" i="30"/>
  <c r="W92" i="30"/>
  <c r="V111" i="30"/>
  <c r="W111" i="30"/>
  <c r="V105" i="30"/>
  <c r="W105" i="30"/>
  <c r="V90" i="30"/>
  <c r="W90" i="30"/>
  <c r="V87" i="30"/>
  <c r="W87" i="30"/>
  <c r="V67" i="30"/>
  <c r="W67" i="30"/>
  <c r="V49" i="30"/>
  <c r="W49" i="30"/>
  <c r="V34" i="30"/>
  <c r="W34" i="30"/>
  <c r="V116" i="30"/>
  <c r="W116" i="30"/>
  <c r="V93" i="30"/>
  <c r="W93" i="30"/>
  <c r="V110" i="30"/>
  <c r="W110" i="30"/>
  <c r="V31" i="30"/>
  <c r="W31" i="30"/>
  <c r="V41" i="30"/>
  <c r="W41" i="30"/>
  <c r="V122" i="30"/>
  <c r="W122" i="30"/>
  <c r="V121" i="30"/>
  <c r="W121" i="30"/>
  <c r="V135" i="30"/>
  <c r="W135" i="30"/>
  <c r="V129" i="30"/>
  <c r="W129" i="30"/>
  <c r="V96" i="30"/>
  <c r="W96" i="30"/>
  <c r="V125" i="30"/>
  <c r="W125" i="30"/>
  <c r="V68" i="30"/>
  <c r="W68" i="30"/>
  <c r="V133" i="30"/>
  <c r="W133" i="30"/>
  <c r="V77" i="30"/>
  <c r="W77" i="30"/>
  <c r="V130" i="30"/>
  <c r="W130" i="30"/>
  <c r="V72" i="30"/>
  <c r="W72" i="30"/>
  <c r="V95" i="30"/>
  <c r="W95" i="30"/>
  <c r="FE53" i="31"/>
  <c r="FI53" i="31"/>
  <c r="FF53" i="31"/>
  <c r="FJ53" i="31"/>
  <c r="FG53" i="31"/>
  <c r="FK53" i="31"/>
  <c r="FD53" i="31"/>
  <c r="FH53" i="31"/>
  <c r="HJ19" i="31"/>
  <c r="HN19" i="31"/>
  <c r="HK19" i="31"/>
  <c r="HO19" i="31"/>
  <c r="HH19" i="31"/>
  <c r="HI19" i="31"/>
  <c r="HL19" i="31"/>
  <c r="HM19" i="31"/>
  <c r="C42" i="31"/>
  <c r="G42" i="31"/>
  <c r="D42" i="31"/>
  <c r="B42" i="31"/>
  <c r="E42" i="31"/>
  <c r="F42" i="31"/>
  <c r="H42" i="31"/>
  <c r="ER52" i="31"/>
  <c r="EO52" i="31"/>
  <c r="ES52" i="31"/>
  <c r="EP52" i="31"/>
  <c r="ET52" i="31"/>
  <c r="EQ52" i="31"/>
  <c r="EU52" i="31"/>
  <c r="HB18" i="31"/>
  <c r="HF18" i="31"/>
  <c r="HC18" i="31"/>
  <c r="HG18" i="31"/>
  <c r="GZ18" i="31"/>
  <c r="HD18" i="31"/>
  <c r="HA18" i="31"/>
  <c r="HE18" i="31"/>
  <c r="FW32" i="31"/>
  <c r="GA32" i="31"/>
  <c r="FT32" i="31"/>
  <c r="FX32" i="31"/>
  <c r="FU32" i="31"/>
  <c r="FY32" i="31"/>
  <c r="FV32" i="31"/>
  <c r="FZ32" i="31"/>
  <c r="FL33" i="31"/>
  <c r="FP33" i="31"/>
  <c r="FM33" i="31"/>
  <c r="FQ33" i="31"/>
  <c r="FN33" i="31"/>
  <c r="FR33" i="31"/>
  <c r="FO33" i="31"/>
  <c r="FS33" i="31"/>
  <c r="C40" i="31"/>
  <c r="G40" i="31"/>
  <c r="E40" i="31"/>
  <c r="F40" i="31"/>
  <c r="D40" i="31"/>
  <c r="H40" i="31"/>
  <c r="B40" i="31"/>
  <c r="BH19" i="31"/>
  <c r="BL19" i="31"/>
  <c r="BI19" i="31"/>
  <c r="BK19" i="31"/>
  <c r="BF19" i="31"/>
  <c r="BG19" i="31"/>
  <c r="BE19" i="31"/>
  <c r="BJ19" i="31"/>
  <c r="EX50" i="31"/>
  <c r="FB50" i="31"/>
  <c r="EY50" i="31"/>
  <c r="FC50" i="31"/>
  <c r="EV50" i="31"/>
  <c r="EZ50" i="31"/>
  <c r="EW50" i="31"/>
  <c r="FA50" i="31"/>
  <c r="HR14" i="31"/>
  <c r="HV14" i="31"/>
  <c r="HS14" i="31"/>
  <c r="HW14" i="31"/>
  <c r="HP14" i="31"/>
  <c r="HT14" i="31"/>
  <c r="HQ14" i="31"/>
  <c r="HU14" i="31"/>
  <c r="GR25" i="31"/>
  <c r="GV25" i="31"/>
  <c r="GS25" i="31"/>
  <c r="GW25" i="31"/>
  <c r="GT25" i="31"/>
  <c r="GX25" i="31"/>
  <c r="GU25" i="31"/>
  <c r="GY25" i="31"/>
  <c r="GJ25" i="31"/>
  <c r="GN25" i="31"/>
  <c r="GK25" i="31"/>
  <c r="GO25" i="31"/>
  <c r="GL25" i="31"/>
  <c r="GP25" i="31"/>
  <c r="GM25" i="31"/>
  <c r="GQ25" i="31"/>
  <c r="EV52" i="31"/>
  <c r="EZ52" i="31"/>
  <c r="EW52" i="31"/>
  <c r="FA52" i="31"/>
  <c r="EX52" i="31"/>
  <c r="FB52" i="31"/>
  <c r="EY52" i="31"/>
  <c r="FC52" i="31"/>
  <c r="GE24" i="31"/>
  <c r="GI24" i="31"/>
  <c r="GB24" i="31"/>
  <c r="GF24" i="31"/>
  <c r="GC24" i="31"/>
  <c r="GG24" i="31"/>
  <c r="GD24" i="31"/>
  <c r="GH24" i="31"/>
  <c r="V131" i="30"/>
  <c r="W131" i="30"/>
  <c r="V73" i="30"/>
  <c r="W73" i="30"/>
  <c r="V124" i="30"/>
  <c r="W124" i="30"/>
  <c r="V32" i="30"/>
  <c r="W32" i="30"/>
  <c r="IP13" i="31"/>
  <c r="IT13" i="31"/>
  <c r="IQ13" i="31"/>
  <c r="IU13" i="31"/>
  <c r="IN13" i="31"/>
  <c r="IR13" i="31"/>
  <c r="IO13" i="31"/>
  <c r="IS13" i="31"/>
  <c r="DM60" i="31"/>
  <c r="DJ60" i="31"/>
  <c r="DN60" i="31"/>
  <c r="DK60" i="31"/>
  <c r="DO60" i="31"/>
  <c r="DP60" i="31"/>
  <c r="DL60" i="31"/>
  <c r="DI60" i="31"/>
  <c r="EK58" i="31"/>
  <c r="EH58" i="31"/>
  <c r="EL58" i="31"/>
  <c r="EI58" i="31"/>
  <c r="EM58" i="31"/>
  <c r="EJ58" i="31"/>
  <c r="EN58" i="31"/>
  <c r="EG58" i="31"/>
  <c r="AC57" i="31"/>
  <c r="Z57" i="31"/>
  <c r="AD57" i="31"/>
  <c r="Y57" i="31"/>
  <c r="AA57" i="31"/>
  <c r="AE57" i="31"/>
  <c r="AF57" i="31"/>
  <c r="AB57" i="31"/>
  <c r="AA55" i="31"/>
  <c r="AE55" i="31"/>
  <c r="AB55" i="31"/>
  <c r="AF55" i="31"/>
  <c r="AC55" i="31"/>
  <c r="AD55" i="31"/>
  <c r="Y55" i="31"/>
  <c r="Z55" i="31"/>
  <c r="BQ53" i="31"/>
  <c r="BN53" i="31"/>
  <c r="BR53" i="31"/>
  <c r="BT53" i="31"/>
  <c r="BO53" i="31"/>
  <c r="BM53" i="31"/>
  <c r="BP53" i="31"/>
  <c r="BS53" i="31"/>
  <c r="AR51" i="31"/>
  <c r="AV51" i="31"/>
  <c r="AP51" i="31"/>
  <c r="AU51" i="31"/>
  <c r="AQ51" i="31"/>
  <c r="AS51" i="31"/>
  <c r="AT51" i="31"/>
  <c r="AO51" i="31"/>
  <c r="AQ50" i="31"/>
  <c r="AU50" i="31"/>
  <c r="AR50" i="31"/>
  <c r="AS50" i="31"/>
  <c r="AT50" i="31"/>
  <c r="AO50" i="31"/>
  <c r="AP50" i="31"/>
  <c r="AV50" i="31"/>
  <c r="BH49" i="31"/>
  <c r="BL49" i="31"/>
  <c r="BI49" i="31"/>
  <c r="BG49" i="31"/>
  <c r="BJ49" i="31"/>
  <c r="BK49" i="31"/>
  <c r="BF49" i="31"/>
  <c r="BE49" i="31"/>
  <c r="BG48" i="31"/>
  <c r="BK48" i="31"/>
  <c r="BH48" i="31"/>
  <c r="BL48" i="31"/>
  <c r="BF48" i="31"/>
  <c r="BI48" i="31"/>
  <c r="BJ48" i="31"/>
  <c r="BE48" i="31"/>
  <c r="BF47" i="31"/>
  <c r="BJ47" i="31"/>
  <c r="BG47" i="31"/>
  <c r="BK47" i="31"/>
  <c r="BH47" i="31"/>
  <c r="BE47" i="31"/>
  <c r="BI47" i="31"/>
  <c r="BL47" i="31"/>
  <c r="BN46" i="31"/>
  <c r="BR46" i="31"/>
  <c r="BO46" i="31"/>
  <c r="BS46" i="31"/>
  <c r="BP46" i="31"/>
  <c r="BQ46" i="31"/>
  <c r="BM46" i="31"/>
  <c r="BT46" i="31"/>
  <c r="CU44" i="31"/>
  <c r="CY44" i="31"/>
  <c r="CW44" i="31"/>
  <c r="CV44" i="31"/>
  <c r="CX44" i="31"/>
  <c r="CZ44" i="31"/>
  <c r="CT44" i="31"/>
  <c r="CS44" i="31"/>
  <c r="EK42" i="31"/>
  <c r="EH42" i="31"/>
  <c r="EL42" i="31"/>
  <c r="EI42" i="31"/>
  <c r="EM42" i="31"/>
  <c r="EJ42" i="31"/>
  <c r="EN42" i="31"/>
  <c r="EG42" i="31"/>
  <c r="EJ41" i="31"/>
  <c r="EN41" i="31"/>
  <c r="EK41" i="31"/>
  <c r="EH41" i="31"/>
  <c r="EL41" i="31"/>
  <c r="EM41" i="31"/>
  <c r="EI41" i="31"/>
  <c r="EG41" i="31"/>
  <c r="E41" i="31"/>
  <c r="D41" i="31"/>
  <c r="F41" i="31"/>
  <c r="B41" i="31"/>
  <c r="G41" i="31"/>
  <c r="C41" i="31"/>
  <c r="H41" i="31"/>
  <c r="EH39" i="31"/>
  <c r="EL39" i="31"/>
  <c r="EI39" i="31"/>
  <c r="EM39" i="31"/>
  <c r="EJ39" i="31"/>
  <c r="EN39" i="31"/>
  <c r="EK39" i="31"/>
  <c r="EG39" i="31"/>
  <c r="E39" i="31"/>
  <c r="B39" i="31"/>
  <c r="F39" i="31"/>
  <c r="G39" i="31"/>
  <c r="H39" i="31"/>
  <c r="C39" i="31"/>
  <c r="D39" i="31"/>
  <c r="C38" i="31"/>
  <c r="G38" i="31"/>
  <c r="F38" i="31"/>
  <c r="H38" i="31"/>
  <c r="D38" i="31"/>
  <c r="B38" i="31"/>
  <c r="E38" i="31"/>
  <c r="T37" i="31"/>
  <c r="X37" i="31"/>
  <c r="U37" i="31"/>
  <c r="R37" i="31"/>
  <c r="V37" i="31"/>
  <c r="S37" i="31"/>
  <c r="W37" i="31"/>
  <c r="Q37" i="31"/>
  <c r="EH35" i="31"/>
  <c r="EL35" i="31"/>
  <c r="EI35" i="31"/>
  <c r="EM35" i="31"/>
  <c r="EJ35" i="31"/>
  <c r="EN35" i="31"/>
  <c r="EK35" i="31"/>
  <c r="EG35" i="31"/>
  <c r="EC33" i="31"/>
  <c r="DZ33" i="31"/>
  <c r="ED33" i="31"/>
  <c r="EA33" i="31"/>
  <c r="EE33" i="31"/>
  <c r="EF33" i="31"/>
  <c r="EB33" i="31"/>
  <c r="DY33" i="31"/>
  <c r="E33" i="31"/>
  <c r="D33" i="31"/>
  <c r="F33" i="31"/>
  <c r="H33" i="31"/>
  <c r="C33" i="31"/>
  <c r="G33" i="31"/>
  <c r="B33" i="31"/>
  <c r="W29" i="7"/>
  <c r="L32" i="31"/>
  <c r="P32" i="31"/>
  <c r="M32" i="31"/>
  <c r="J32" i="31"/>
  <c r="N32" i="31"/>
  <c r="K32" i="31"/>
  <c r="O32" i="31"/>
  <c r="I32" i="31"/>
  <c r="S31" i="31"/>
  <c r="W31" i="31"/>
  <c r="T31" i="31"/>
  <c r="X31" i="31"/>
  <c r="U31" i="31"/>
  <c r="R31" i="31"/>
  <c r="V31" i="31"/>
  <c r="Q31" i="31"/>
  <c r="AP29" i="31"/>
  <c r="AT29" i="31"/>
  <c r="AQ29" i="31"/>
  <c r="AU29" i="31"/>
  <c r="AS29" i="31"/>
  <c r="AV29" i="31"/>
  <c r="AO29" i="31"/>
  <c r="AR29" i="31"/>
  <c r="BH28" i="31"/>
  <c r="BL28" i="31"/>
  <c r="BI28" i="31"/>
  <c r="BK28" i="31"/>
  <c r="BF28" i="31"/>
  <c r="BG28" i="31"/>
  <c r="BJ28" i="31"/>
  <c r="BE28" i="31"/>
  <c r="BP27" i="31"/>
  <c r="BT27" i="31"/>
  <c r="BQ27" i="31"/>
  <c r="BS27" i="31"/>
  <c r="BN27" i="31"/>
  <c r="BO27" i="31"/>
  <c r="BM27" i="31"/>
  <c r="BR27" i="31"/>
  <c r="BO26" i="31"/>
  <c r="BS26" i="31"/>
  <c r="BP26" i="31"/>
  <c r="BT26" i="31"/>
  <c r="BR26" i="31"/>
  <c r="BN26" i="31"/>
  <c r="BQ26" i="31"/>
  <c r="BM26" i="31"/>
  <c r="M25" i="31"/>
  <c r="J25" i="31"/>
  <c r="N25" i="31"/>
  <c r="I25" i="31"/>
  <c r="K25" i="31"/>
  <c r="O25" i="31"/>
  <c r="L25" i="31"/>
  <c r="P25" i="31"/>
  <c r="DT23" i="31"/>
  <c r="DX23" i="31"/>
  <c r="DU23" i="31"/>
  <c r="DR23" i="31"/>
  <c r="DV23" i="31"/>
  <c r="DW23" i="31"/>
  <c r="DQ23" i="31"/>
  <c r="DS23" i="31"/>
  <c r="DL22" i="31"/>
  <c r="DP22" i="31"/>
  <c r="DM22" i="31"/>
  <c r="DJ22" i="31"/>
  <c r="DN22" i="31"/>
  <c r="DO22" i="31"/>
  <c r="DK22" i="31"/>
  <c r="DI22" i="31"/>
  <c r="DR21" i="31"/>
  <c r="DV21" i="31"/>
  <c r="DS21" i="31"/>
  <c r="DW21" i="31"/>
  <c r="DT21" i="31"/>
  <c r="DX21" i="31"/>
  <c r="DU21" i="31"/>
  <c r="DQ21" i="31"/>
  <c r="EB20" i="31"/>
  <c r="EF20" i="31"/>
  <c r="EC20" i="31"/>
  <c r="DZ20" i="31"/>
  <c r="ED20" i="31"/>
  <c r="EA20" i="31"/>
  <c r="EE20" i="31"/>
  <c r="DY20" i="31"/>
  <c r="F20" i="31"/>
  <c r="C20" i="31"/>
  <c r="G20" i="31"/>
  <c r="D20" i="31"/>
  <c r="B20" i="31"/>
  <c r="E20" i="31"/>
  <c r="H20" i="31"/>
  <c r="W16" i="7"/>
  <c r="DZ18" i="31"/>
  <c r="ED18" i="31"/>
  <c r="EA18" i="31"/>
  <c r="EE18" i="31"/>
  <c r="EB18" i="31"/>
  <c r="EF18" i="31"/>
  <c r="EC18" i="31"/>
  <c r="DY18" i="31"/>
  <c r="F18" i="31"/>
  <c r="C18" i="31"/>
  <c r="G18" i="31"/>
  <c r="E18" i="31"/>
  <c r="H18" i="31"/>
  <c r="B18" i="31"/>
  <c r="D18" i="31"/>
  <c r="W14" i="7"/>
  <c r="M17" i="31"/>
  <c r="J17" i="31"/>
  <c r="N17" i="31"/>
  <c r="I17" i="31"/>
  <c r="K17" i="31"/>
  <c r="O17" i="31"/>
  <c r="P17" i="31"/>
  <c r="L17" i="31"/>
  <c r="F16" i="31"/>
  <c r="C16" i="31"/>
  <c r="G16" i="31"/>
  <c r="B16" i="31"/>
  <c r="D16" i="31"/>
  <c r="E16" i="31"/>
  <c r="H16" i="31"/>
  <c r="EK14" i="31"/>
  <c r="EH14" i="31"/>
  <c r="EL14" i="31"/>
  <c r="EI14" i="31"/>
  <c r="EM14" i="31"/>
  <c r="EJ14" i="31"/>
  <c r="EN14" i="31"/>
  <c r="EG14" i="31"/>
  <c r="EJ13" i="31"/>
  <c r="EN13" i="31"/>
  <c r="EK13" i="31"/>
  <c r="EH13" i="31"/>
  <c r="EL13" i="31"/>
  <c r="EI13" i="31"/>
  <c r="EM13" i="31"/>
  <c r="EG13" i="31"/>
  <c r="EI12" i="31"/>
  <c r="EM12" i="31"/>
  <c r="EJ12" i="31"/>
  <c r="EN12" i="31"/>
  <c r="EK12" i="31"/>
  <c r="EH12" i="31"/>
  <c r="EL12" i="31"/>
  <c r="EG12" i="31"/>
  <c r="F12" i="31"/>
  <c r="C12" i="31"/>
  <c r="G12" i="31"/>
  <c r="D12" i="31"/>
  <c r="E12" i="31"/>
  <c r="B12" i="31"/>
  <c r="H12" i="31"/>
  <c r="IV45" i="31"/>
  <c r="IZ45" i="31"/>
  <c r="IX45" i="31"/>
  <c r="JB45" i="31"/>
  <c r="JC45" i="31"/>
  <c r="IY45" i="31"/>
  <c r="JA45" i="31"/>
  <c r="IW45" i="31"/>
  <c r="HP45" i="31"/>
  <c r="HT45" i="31"/>
  <c r="HR45" i="31"/>
  <c r="HV45" i="31"/>
  <c r="HW45" i="31"/>
  <c r="HS45" i="31"/>
  <c r="HU45" i="31"/>
  <c r="HQ45" i="31"/>
  <c r="GK45" i="31"/>
  <c r="GO45" i="31"/>
  <c r="GL45" i="31"/>
  <c r="GP45" i="31"/>
  <c r="GM45" i="31"/>
  <c r="GQ45" i="31"/>
  <c r="GJ45" i="31"/>
  <c r="GN45" i="31"/>
  <c r="FO51" i="31"/>
  <c r="FS51" i="31"/>
  <c r="FL51" i="31"/>
  <c r="FP51" i="31"/>
  <c r="FM51" i="31"/>
  <c r="FQ51" i="31"/>
  <c r="FN51" i="31"/>
  <c r="FR51" i="31"/>
  <c r="FO43" i="31"/>
  <c r="FS43" i="31"/>
  <c r="FL43" i="31"/>
  <c r="FP43" i="31"/>
  <c r="FM43" i="31"/>
  <c r="FQ43" i="31"/>
  <c r="FN43" i="31"/>
  <c r="FR43" i="31"/>
  <c r="EQ47" i="31"/>
  <c r="EU47" i="31"/>
  <c r="ER47" i="31"/>
  <c r="EO47" i="31"/>
  <c r="ES47" i="31"/>
  <c r="EP47" i="31"/>
  <c r="ET47" i="31"/>
  <c r="W101" i="7"/>
  <c r="V101" i="7"/>
  <c r="JT44" i="31"/>
  <c r="JX44" i="31"/>
  <c r="JV44" i="31"/>
  <c r="JZ44" i="31"/>
  <c r="KA44" i="31"/>
  <c r="JU44" i="31"/>
  <c r="JW44" i="31"/>
  <c r="JY44" i="31"/>
  <c r="JD42" i="31"/>
  <c r="JH42" i="31"/>
  <c r="JF42" i="31"/>
  <c r="JJ42" i="31"/>
  <c r="JG42" i="31"/>
  <c r="JI42" i="31"/>
  <c r="JK42" i="31"/>
  <c r="JE42" i="31"/>
  <c r="JD46" i="31"/>
  <c r="JH46" i="31"/>
  <c r="JF46" i="31"/>
  <c r="JJ46" i="31"/>
  <c r="JG46" i="31"/>
  <c r="JI46" i="31"/>
  <c r="JK46" i="31"/>
  <c r="JE46" i="31"/>
  <c r="JD54" i="31"/>
  <c r="JH54" i="31"/>
  <c r="JE54" i="31"/>
  <c r="JI54" i="31"/>
  <c r="JF54" i="31"/>
  <c r="JJ54" i="31"/>
  <c r="JG54" i="31"/>
  <c r="JK54" i="31"/>
  <c r="JD58" i="31"/>
  <c r="JH58" i="31"/>
  <c r="JE58" i="31"/>
  <c r="JI58" i="31"/>
  <c r="JF58" i="31"/>
  <c r="JJ58" i="31"/>
  <c r="JG58" i="31"/>
  <c r="JK58" i="31"/>
  <c r="IN40" i="31"/>
  <c r="IR40" i="31"/>
  <c r="IO40" i="31"/>
  <c r="IS40" i="31"/>
  <c r="IP40" i="31"/>
  <c r="IT40" i="31"/>
  <c r="IQ40" i="31"/>
  <c r="IU40" i="31"/>
  <c r="CN59" i="31"/>
  <c r="CR59" i="31"/>
  <c r="CO59" i="31"/>
  <c r="CL59" i="31"/>
  <c r="CP59" i="31"/>
  <c r="CM59" i="31"/>
  <c r="CQ59" i="31"/>
  <c r="CK59" i="31"/>
  <c r="HX56" i="31"/>
  <c r="IB56" i="31"/>
  <c r="HY56" i="31"/>
  <c r="IC56" i="31"/>
  <c r="HZ56" i="31"/>
  <c r="ID56" i="31"/>
  <c r="IA56" i="31"/>
  <c r="IE56" i="31"/>
  <c r="HX60" i="31"/>
  <c r="IB60" i="31"/>
  <c r="HY60" i="31"/>
  <c r="IC60" i="31"/>
  <c r="HZ60" i="31"/>
  <c r="ID60" i="31"/>
  <c r="IA60" i="31"/>
  <c r="IE60" i="31"/>
  <c r="HY48" i="31"/>
  <c r="IC48" i="31"/>
  <c r="HZ48" i="31"/>
  <c r="ID48" i="31"/>
  <c r="IA48" i="31"/>
  <c r="IE48" i="31"/>
  <c r="HX48" i="31"/>
  <c r="IB48" i="31"/>
  <c r="HP37" i="31"/>
  <c r="HT37" i="31"/>
  <c r="HQ37" i="31"/>
  <c r="HU37" i="31"/>
  <c r="HR37" i="31"/>
  <c r="HV37" i="31"/>
  <c r="HS37" i="31"/>
  <c r="HW37" i="31"/>
  <c r="HH44" i="31"/>
  <c r="HL44" i="31"/>
  <c r="HJ44" i="31"/>
  <c r="HN44" i="31"/>
  <c r="HO44" i="31"/>
  <c r="HI44" i="31"/>
  <c r="HK44" i="31"/>
  <c r="HM44" i="31"/>
  <c r="GS42" i="31"/>
  <c r="GW42" i="31"/>
  <c r="GR42" i="31"/>
  <c r="GV42" i="31"/>
  <c r="GY42" i="31"/>
  <c r="GT42" i="31"/>
  <c r="GU42" i="31"/>
  <c r="GX42" i="31"/>
  <c r="GT46" i="31"/>
  <c r="GX46" i="31"/>
  <c r="GU46" i="31"/>
  <c r="GY46" i="31"/>
  <c r="GR46" i="31"/>
  <c r="GV46" i="31"/>
  <c r="GS46" i="31"/>
  <c r="GW46" i="31"/>
  <c r="GT54" i="31"/>
  <c r="GX54" i="31"/>
  <c r="GU54" i="31"/>
  <c r="GY54" i="31"/>
  <c r="GR54" i="31"/>
  <c r="GV54" i="31"/>
  <c r="GS54" i="31"/>
  <c r="GW54" i="31"/>
  <c r="GT58" i="31"/>
  <c r="GX58" i="31"/>
  <c r="GU58" i="31"/>
  <c r="GY58" i="31"/>
  <c r="GR58" i="31"/>
  <c r="GV58" i="31"/>
  <c r="GS58" i="31"/>
  <c r="GW58" i="31"/>
  <c r="GD46" i="31"/>
  <c r="GH46" i="31"/>
  <c r="GE46" i="31"/>
  <c r="GI46" i="31"/>
  <c r="GB46" i="31"/>
  <c r="GF46" i="31"/>
  <c r="GC46" i="31"/>
  <c r="GG46" i="31"/>
  <c r="GC49" i="31"/>
  <c r="GG49" i="31"/>
  <c r="GD49" i="31"/>
  <c r="GH49" i="31"/>
  <c r="GE49" i="31"/>
  <c r="GI49" i="31"/>
  <c r="GB49" i="31"/>
  <c r="GF49" i="31"/>
  <c r="GD54" i="31"/>
  <c r="GH54" i="31"/>
  <c r="GE54" i="31"/>
  <c r="GI54" i="31"/>
  <c r="GB54" i="31"/>
  <c r="GF54" i="31"/>
  <c r="GC54" i="31"/>
  <c r="GG54" i="31"/>
  <c r="GD58" i="31"/>
  <c r="GH58" i="31"/>
  <c r="GE58" i="31"/>
  <c r="GI58" i="31"/>
  <c r="GB58" i="31"/>
  <c r="GF58" i="31"/>
  <c r="GC58" i="31"/>
  <c r="GG58" i="31"/>
  <c r="FO55" i="31"/>
  <c r="FS55" i="31"/>
  <c r="FL55" i="31"/>
  <c r="FP55" i="31"/>
  <c r="FM55" i="31"/>
  <c r="FQ55" i="31"/>
  <c r="FN55" i="31"/>
  <c r="FR55" i="31"/>
  <c r="FO59" i="31"/>
  <c r="FS59" i="31"/>
  <c r="FL59" i="31"/>
  <c r="FP59" i="31"/>
  <c r="FM59" i="31"/>
  <c r="FQ59" i="31"/>
  <c r="FN59" i="31"/>
  <c r="FR59" i="31"/>
  <c r="EW42" i="31"/>
  <c r="FA42" i="31"/>
  <c r="EX42" i="31"/>
  <c r="FB42" i="31"/>
  <c r="EY42" i="31"/>
  <c r="FC42" i="31"/>
  <c r="EV42" i="31"/>
  <c r="EZ42" i="31"/>
  <c r="EQ40" i="31"/>
  <c r="EU40" i="31"/>
  <c r="ER40" i="31"/>
  <c r="EO40" i="31"/>
  <c r="ES40" i="31"/>
  <c r="EP40" i="31"/>
  <c r="ET40" i="31"/>
  <c r="JD34" i="31"/>
  <c r="JH34" i="31"/>
  <c r="JF34" i="31"/>
  <c r="JJ34" i="31"/>
  <c r="JI34" i="31"/>
  <c r="JK34" i="31"/>
  <c r="JE34" i="31"/>
  <c r="JG34" i="31"/>
  <c r="IN32" i="31"/>
  <c r="IR32" i="31"/>
  <c r="IP32" i="31"/>
  <c r="IT32" i="31"/>
  <c r="IO32" i="31"/>
  <c r="IQ32" i="31"/>
  <c r="IS32" i="31"/>
  <c r="IU32" i="31"/>
  <c r="IP24" i="31"/>
  <c r="IT24" i="31"/>
  <c r="IQ24" i="31"/>
  <c r="IU24" i="31"/>
  <c r="IN24" i="31"/>
  <c r="IR24" i="31"/>
  <c r="IS24" i="31"/>
  <c r="IO24" i="31"/>
  <c r="HX33" i="31"/>
  <c r="IB33" i="31"/>
  <c r="HZ33" i="31"/>
  <c r="ID33" i="31"/>
  <c r="HY33" i="31"/>
  <c r="IA33" i="31"/>
  <c r="IC33" i="31"/>
  <c r="IE33" i="31"/>
  <c r="HX30" i="31"/>
  <c r="IB30" i="31"/>
  <c r="HY30" i="31"/>
  <c r="IC30" i="31"/>
  <c r="HZ30" i="31"/>
  <c r="ID30" i="31"/>
  <c r="IA30" i="31"/>
  <c r="IE30" i="31"/>
  <c r="GS26" i="31"/>
  <c r="GW26" i="31"/>
  <c r="GT26" i="31"/>
  <c r="GX26" i="31"/>
  <c r="GU26" i="31"/>
  <c r="GY26" i="31"/>
  <c r="GR26" i="31"/>
  <c r="GV26" i="31"/>
  <c r="GC26" i="31"/>
  <c r="GG26" i="31"/>
  <c r="GD26" i="31"/>
  <c r="GH26" i="31"/>
  <c r="GE26" i="31"/>
  <c r="GI26" i="31"/>
  <c r="GB26" i="31"/>
  <c r="GF26" i="31"/>
  <c r="GD27" i="31"/>
  <c r="GH27" i="31"/>
  <c r="GE27" i="31"/>
  <c r="GI27" i="31"/>
  <c r="GB27" i="31"/>
  <c r="GF27" i="31"/>
  <c r="GC27" i="31"/>
  <c r="GG27" i="31"/>
  <c r="FE34" i="31"/>
  <c r="FI34" i="31"/>
  <c r="FF34" i="31"/>
  <c r="FJ34" i="31"/>
  <c r="FG34" i="31"/>
  <c r="FK34" i="31"/>
  <c r="FD34" i="31"/>
  <c r="FH34" i="31"/>
  <c r="EQ24" i="31"/>
  <c r="EU24" i="31"/>
  <c r="ER24" i="31"/>
  <c r="EO24" i="31"/>
  <c r="ES24" i="31"/>
  <c r="EP24" i="31"/>
  <c r="ET24" i="31"/>
  <c r="JV16" i="31"/>
  <c r="JZ16" i="31"/>
  <c r="JT16" i="31"/>
  <c r="JX16" i="31"/>
  <c r="JW16" i="31"/>
  <c r="JY16" i="31"/>
  <c r="KA16" i="31"/>
  <c r="JU16" i="31"/>
  <c r="JF20" i="31"/>
  <c r="JJ20" i="31"/>
  <c r="JG20" i="31"/>
  <c r="JK20" i="31"/>
  <c r="JD20" i="31"/>
  <c r="JH20" i="31"/>
  <c r="JE20" i="31"/>
  <c r="JI20" i="31"/>
  <c r="JF15" i="31"/>
  <c r="JJ15" i="31"/>
  <c r="JG15" i="31"/>
  <c r="JK15" i="31"/>
  <c r="JD15" i="31"/>
  <c r="JH15" i="31"/>
  <c r="JE15" i="31"/>
  <c r="JI15" i="31"/>
  <c r="IX25" i="31"/>
  <c r="JB25" i="31"/>
  <c r="IY25" i="31"/>
  <c r="JC25" i="31"/>
  <c r="IV25" i="31"/>
  <c r="IZ25" i="31"/>
  <c r="JA25" i="31"/>
  <c r="IW25" i="31"/>
  <c r="IX21" i="31"/>
  <c r="JB21" i="31"/>
  <c r="IY21" i="31"/>
  <c r="JC21" i="31"/>
  <c r="IV21" i="31"/>
  <c r="IZ21" i="31"/>
  <c r="IW21" i="31"/>
  <c r="JA21" i="31"/>
  <c r="IO18" i="31"/>
  <c r="IS18" i="31"/>
  <c r="IP18" i="31"/>
  <c r="IT18" i="31"/>
  <c r="IQ18" i="31"/>
  <c r="IU18" i="31"/>
  <c r="IN18" i="31"/>
  <c r="IR18" i="31"/>
  <c r="IH23" i="31"/>
  <c r="IL23" i="31"/>
  <c r="II23" i="31"/>
  <c r="IM23" i="31"/>
  <c r="IF23" i="31"/>
  <c r="IJ23" i="31"/>
  <c r="IK23" i="31"/>
  <c r="IG23" i="31"/>
  <c r="IH16" i="31"/>
  <c r="IL16" i="31"/>
  <c r="IF16" i="31"/>
  <c r="IJ16" i="31"/>
  <c r="II16" i="31"/>
  <c r="IK16" i="31"/>
  <c r="IM16" i="31"/>
  <c r="IG16" i="31"/>
  <c r="HB23" i="31"/>
  <c r="HF23" i="31"/>
  <c r="HC23" i="31"/>
  <c r="HG23" i="31"/>
  <c r="GZ23" i="31"/>
  <c r="HD23" i="31"/>
  <c r="HA23" i="31"/>
  <c r="HE23" i="31"/>
  <c r="GL18" i="31"/>
  <c r="GP18" i="31"/>
  <c r="GM18" i="31"/>
  <c r="GQ18" i="31"/>
  <c r="GJ18" i="31"/>
  <c r="GN18" i="31"/>
  <c r="GK18" i="31"/>
  <c r="GO18" i="31"/>
  <c r="GJ16" i="31"/>
  <c r="GN16" i="31"/>
  <c r="GK16" i="31"/>
  <c r="GO16" i="31"/>
  <c r="GL16" i="31"/>
  <c r="GP16" i="31"/>
  <c r="GM16" i="31"/>
  <c r="GQ16" i="31"/>
  <c r="GB52" i="31"/>
  <c r="GF52" i="31"/>
  <c r="GC52" i="31"/>
  <c r="GG52" i="31"/>
  <c r="GD52" i="31"/>
  <c r="GH52" i="31"/>
  <c r="GE52" i="31"/>
  <c r="GI52" i="31"/>
  <c r="FT20" i="31"/>
  <c r="FX20" i="31"/>
  <c r="FU20" i="31"/>
  <c r="FY20" i="31"/>
  <c r="FV20" i="31"/>
  <c r="FZ20" i="31"/>
  <c r="FW20" i="31"/>
  <c r="GA20" i="31"/>
  <c r="FJ12" i="31"/>
  <c r="FI12" i="31"/>
  <c r="FE12" i="31"/>
  <c r="FG12" i="31"/>
  <c r="FH12" i="31"/>
  <c r="FD12" i="31"/>
  <c r="FK12" i="31"/>
  <c r="FF12" i="31"/>
  <c r="CD45" i="31"/>
  <c r="CH45" i="31"/>
  <c r="CE45" i="31"/>
  <c r="CI45" i="31"/>
  <c r="CF45" i="31"/>
  <c r="CJ45" i="31"/>
  <c r="CG45" i="31"/>
  <c r="CC45" i="31"/>
  <c r="BI54" i="31"/>
  <c r="BF54" i="31"/>
  <c r="BJ54" i="31"/>
  <c r="BL54" i="31"/>
  <c r="BG54" i="31"/>
  <c r="BH54" i="31"/>
  <c r="BK54" i="31"/>
  <c r="BE54" i="31"/>
  <c r="EK30" i="31"/>
  <c r="EH30" i="31"/>
  <c r="EL30" i="31"/>
  <c r="EI30" i="31"/>
  <c r="EM30" i="31"/>
  <c r="EJ30" i="31"/>
  <c r="EN30" i="31"/>
  <c r="EG30" i="31"/>
  <c r="DD30" i="31"/>
  <c r="DH30" i="31"/>
  <c r="DE30" i="31"/>
  <c r="DB30" i="31"/>
  <c r="DF30" i="31"/>
  <c r="DC30" i="31"/>
  <c r="DG30" i="31"/>
  <c r="DA30" i="31"/>
  <c r="BX30" i="31"/>
  <c r="CB30" i="31"/>
  <c r="BY30" i="31"/>
  <c r="BV30" i="31"/>
  <c r="BZ30" i="31"/>
  <c r="BU30" i="31"/>
  <c r="BW30" i="31"/>
  <c r="CA30" i="31"/>
  <c r="AZ30" i="31"/>
  <c r="BD30" i="31"/>
  <c r="BA30" i="31"/>
  <c r="BC30" i="31"/>
  <c r="AX30" i="31"/>
  <c r="AY30" i="31"/>
  <c r="AW30" i="31"/>
  <c r="BB30" i="31"/>
  <c r="AJ30" i="31"/>
  <c r="AN30" i="31"/>
  <c r="AI30" i="31"/>
  <c r="AK30" i="31"/>
  <c r="AL30" i="31"/>
  <c r="AH30" i="31"/>
  <c r="AM30" i="31"/>
  <c r="AG30" i="31"/>
  <c r="R34" i="31"/>
  <c r="V34" i="31"/>
  <c r="S34" i="31"/>
  <c r="W34" i="31"/>
  <c r="T34" i="31"/>
  <c r="X34" i="31"/>
  <c r="Q34" i="31"/>
  <c r="U34" i="31"/>
  <c r="C30" i="31"/>
  <c r="G30" i="31"/>
  <c r="F30" i="31"/>
  <c r="H30" i="31"/>
  <c r="B30" i="31"/>
  <c r="D30" i="31"/>
  <c r="E30" i="31"/>
  <c r="W26" i="7"/>
  <c r="AK52" i="31"/>
  <c r="AH52" i="31"/>
  <c r="AL52" i="31"/>
  <c r="AG52" i="31"/>
  <c r="AI52" i="31"/>
  <c r="AM52" i="31"/>
  <c r="AJ52" i="31"/>
  <c r="AN52" i="31"/>
  <c r="EO13" i="31"/>
  <c r="ES13" i="31"/>
  <c r="EP13" i="31"/>
  <c r="ET13" i="31"/>
  <c r="EQ13" i="31"/>
  <c r="EU13" i="31"/>
  <c r="ER13" i="31"/>
  <c r="CT59" i="31"/>
  <c r="CX59" i="31"/>
  <c r="CV59" i="31"/>
  <c r="CZ59" i="31"/>
  <c r="CU59" i="31"/>
  <c r="CW59" i="31"/>
  <c r="CY59" i="31"/>
  <c r="CS59" i="31"/>
  <c r="EI56" i="31"/>
  <c r="EM56" i="31"/>
  <c r="EJ56" i="31"/>
  <c r="EN56" i="31"/>
  <c r="EK56" i="31"/>
  <c r="EH56" i="31"/>
  <c r="EL56" i="31"/>
  <c r="EG56" i="31"/>
  <c r="CW54" i="31"/>
  <c r="CU54" i="31"/>
  <c r="CY54" i="31"/>
  <c r="CX54" i="31"/>
  <c r="CZ54" i="31"/>
  <c r="CT54" i="31"/>
  <c r="CV54" i="31"/>
  <c r="CS54" i="31"/>
  <c r="EI52" i="31"/>
  <c r="EM52" i="31"/>
  <c r="EJ52" i="31"/>
  <c r="EN52" i="31"/>
  <c r="EK52" i="31"/>
  <c r="EH52" i="31"/>
  <c r="EL52" i="31"/>
  <c r="EG52" i="31"/>
  <c r="DZ50" i="31"/>
  <c r="ED50" i="31"/>
  <c r="EA50" i="31"/>
  <c r="EE50" i="31"/>
  <c r="EB50" i="31"/>
  <c r="EF50" i="31"/>
  <c r="EC50" i="31"/>
  <c r="DY50" i="31"/>
  <c r="DK49" i="31"/>
  <c r="DO49" i="31"/>
  <c r="DL49" i="31"/>
  <c r="DP49" i="31"/>
  <c r="DJ49" i="31"/>
  <c r="DM49" i="31"/>
  <c r="DN49" i="31"/>
  <c r="DI49" i="31"/>
  <c r="DJ48" i="31"/>
  <c r="DN48" i="31"/>
  <c r="DK48" i="31"/>
  <c r="DO48" i="31"/>
  <c r="DP48" i="31"/>
  <c r="DL48" i="31"/>
  <c r="DM48" i="31"/>
  <c r="DI48" i="31"/>
  <c r="DM47" i="31"/>
  <c r="DJ47" i="31"/>
  <c r="DN47" i="31"/>
  <c r="DO47" i="31"/>
  <c r="DP47" i="31"/>
  <c r="DK47" i="31"/>
  <c r="DL47" i="31"/>
  <c r="DI47" i="31"/>
  <c r="Z46" i="31"/>
  <c r="AD46" i="31"/>
  <c r="AA46" i="31"/>
  <c r="AE46" i="31"/>
  <c r="AB46" i="31"/>
  <c r="AF46" i="31"/>
  <c r="AC46" i="31"/>
  <c r="Y46" i="31"/>
  <c r="AB44" i="31"/>
  <c r="AF44" i="31"/>
  <c r="AC44" i="31"/>
  <c r="Z44" i="31"/>
  <c r="AD44" i="31"/>
  <c r="AA44" i="31"/>
  <c r="AE44" i="31"/>
  <c r="Y44" i="31"/>
  <c r="CW42" i="31"/>
  <c r="CU42" i="31"/>
  <c r="CY42" i="31"/>
  <c r="CT42" i="31"/>
  <c r="CV42" i="31"/>
  <c r="CX42" i="31"/>
  <c r="CZ42" i="31"/>
  <c r="CS42" i="31"/>
  <c r="CV41" i="31"/>
  <c r="CZ41" i="31"/>
  <c r="CT41" i="31"/>
  <c r="CX41" i="31"/>
  <c r="CU41" i="31"/>
  <c r="CW41" i="31"/>
  <c r="CY41" i="31"/>
  <c r="CS41" i="31"/>
  <c r="CT39" i="31"/>
  <c r="CX39" i="31"/>
  <c r="CV39" i="31"/>
  <c r="CZ39" i="31"/>
  <c r="CY39" i="31"/>
  <c r="CU39" i="31"/>
  <c r="CW39" i="31"/>
  <c r="CS39" i="31"/>
  <c r="DD38" i="31"/>
  <c r="DH38" i="31"/>
  <c r="DE38" i="31"/>
  <c r="DB38" i="31"/>
  <c r="DF38" i="31"/>
  <c r="DC38" i="31"/>
  <c r="DG38" i="31"/>
  <c r="DA38" i="31"/>
  <c r="DC37" i="31"/>
  <c r="DG37" i="31"/>
  <c r="DD37" i="31"/>
  <c r="DH37" i="31"/>
  <c r="DE37" i="31"/>
  <c r="DB37" i="31"/>
  <c r="DF37" i="31"/>
  <c r="DA37" i="31"/>
  <c r="DJ36" i="31"/>
  <c r="DN36" i="31"/>
  <c r="DK36" i="31"/>
  <c r="DO36" i="31"/>
  <c r="DL36" i="31"/>
  <c r="DM36" i="31"/>
  <c r="DP36" i="31"/>
  <c r="DI36" i="31"/>
  <c r="CO33" i="31"/>
  <c r="CM33" i="31"/>
  <c r="CQ33" i="31"/>
  <c r="CL33" i="31"/>
  <c r="CN33" i="31"/>
  <c r="CP33" i="31"/>
  <c r="CR33" i="31"/>
  <c r="CK33" i="31"/>
  <c r="DB32" i="31"/>
  <c r="DF32" i="31"/>
  <c r="DC32" i="31"/>
  <c r="DG32" i="31"/>
  <c r="DD32" i="31"/>
  <c r="DH32" i="31"/>
  <c r="DE32" i="31"/>
  <c r="DA32" i="31"/>
  <c r="DE31" i="31"/>
  <c r="DB31" i="31"/>
  <c r="DF31" i="31"/>
  <c r="DC31" i="31"/>
  <c r="DG31" i="31"/>
  <c r="DD31" i="31"/>
  <c r="DH31" i="31"/>
  <c r="DA31" i="31"/>
  <c r="EC29" i="31"/>
  <c r="DZ29" i="31"/>
  <c r="ED29" i="31"/>
  <c r="EA29" i="31"/>
  <c r="EE29" i="31"/>
  <c r="EB29" i="31"/>
  <c r="EF29" i="31"/>
  <c r="DY29" i="31"/>
  <c r="CG28" i="31"/>
  <c r="CD28" i="31"/>
  <c r="CH28" i="31"/>
  <c r="CE28" i="31"/>
  <c r="CI28" i="31"/>
  <c r="CF28" i="31"/>
  <c r="CJ28" i="31"/>
  <c r="CC28" i="31"/>
  <c r="CM27" i="31"/>
  <c r="CQ27" i="31"/>
  <c r="CO27" i="31"/>
  <c r="CN27" i="31"/>
  <c r="CP27" i="31"/>
  <c r="CR27" i="31"/>
  <c r="CL27" i="31"/>
  <c r="CK27" i="31"/>
  <c r="DJ24" i="31"/>
  <c r="DN24" i="31"/>
  <c r="DK24" i="31"/>
  <c r="DO24" i="31"/>
  <c r="DL24" i="31"/>
  <c r="DP24" i="31"/>
  <c r="DM24" i="31"/>
  <c r="DI24" i="31"/>
  <c r="DM23" i="31"/>
  <c r="DJ23" i="31"/>
  <c r="DN23" i="31"/>
  <c r="DK23" i="31"/>
  <c r="DO23" i="31"/>
  <c r="DL23" i="31"/>
  <c r="DP23" i="31"/>
  <c r="DI23" i="31"/>
  <c r="EK22" i="31"/>
  <c r="EH22" i="31"/>
  <c r="EL22" i="31"/>
  <c r="EI22" i="31"/>
  <c r="EM22" i="31"/>
  <c r="EJ22" i="31"/>
  <c r="EN22" i="31"/>
  <c r="EG22" i="31"/>
  <c r="DK21" i="31"/>
  <c r="DO21" i="31"/>
  <c r="DL21" i="31"/>
  <c r="DP21" i="31"/>
  <c r="DM21" i="31"/>
  <c r="DJ21" i="31"/>
  <c r="DN21" i="31"/>
  <c r="DI21" i="31"/>
  <c r="DU20" i="31"/>
  <c r="DR20" i="31"/>
  <c r="DV20" i="31"/>
  <c r="DS20" i="31"/>
  <c r="DW20" i="31"/>
  <c r="DT20" i="31"/>
  <c r="DX20" i="31"/>
  <c r="DQ20" i="31"/>
  <c r="BP19" i="31"/>
  <c r="BT19" i="31"/>
  <c r="BQ19" i="31"/>
  <c r="BS19" i="31"/>
  <c r="BN19" i="31"/>
  <c r="BO19" i="31"/>
  <c r="BR19" i="31"/>
  <c r="BM19" i="31"/>
  <c r="DC17" i="31"/>
  <c r="DG17" i="31"/>
  <c r="DD17" i="31"/>
  <c r="DH17" i="31"/>
  <c r="DE17" i="31"/>
  <c r="DB17" i="31"/>
  <c r="DF17" i="31"/>
  <c r="DA17" i="31"/>
  <c r="CG16" i="31"/>
  <c r="CD16" i="31"/>
  <c r="CH16" i="31"/>
  <c r="CE16" i="31"/>
  <c r="CI16" i="31"/>
  <c r="CJ16" i="31"/>
  <c r="CC16" i="31"/>
  <c r="CF16" i="31"/>
  <c r="AX15" i="31"/>
  <c r="BB15" i="31"/>
  <c r="AY15" i="31"/>
  <c r="BC15" i="31"/>
  <c r="AZ15" i="31"/>
  <c r="BA15" i="31"/>
  <c r="AW15" i="31"/>
  <c r="BD15" i="31"/>
  <c r="CV13" i="31"/>
  <c r="CZ13" i="31"/>
  <c r="CT13" i="31"/>
  <c r="CX13" i="31"/>
  <c r="CW13" i="31"/>
  <c r="CY13" i="31"/>
  <c r="CU13" i="31"/>
  <c r="CS13" i="31"/>
  <c r="BI12" i="31"/>
  <c r="BF12" i="31"/>
  <c r="BJ12" i="31"/>
  <c r="BL12" i="31"/>
  <c r="BG12" i="31"/>
  <c r="BE12" i="31"/>
  <c r="BH12" i="31"/>
  <c r="BK12" i="31"/>
  <c r="JT43" i="31"/>
  <c r="JX43" i="31"/>
  <c r="JV43" i="31"/>
  <c r="JZ43" i="31"/>
  <c r="KA43" i="31"/>
  <c r="JY43" i="31"/>
  <c r="JU43" i="31"/>
  <c r="JW43" i="31"/>
  <c r="IN43" i="31"/>
  <c r="IR43" i="31"/>
  <c r="IP43" i="31"/>
  <c r="IT43" i="31"/>
  <c r="IQ43" i="31"/>
  <c r="IS43" i="31"/>
  <c r="IU43" i="31"/>
  <c r="IO43" i="31"/>
  <c r="HH43" i="31"/>
  <c r="HL43" i="31"/>
  <c r="HJ43" i="31"/>
  <c r="HN43" i="31"/>
  <c r="HK43" i="31"/>
  <c r="HM43" i="31"/>
  <c r="HO43" i="31"/>
  <c r="HI43" i="31"/>
  <c r="GE43" i="31"/>
  <c r="GI43" i="31"/>
  <c r="GB43" i="31"/>
  <c r="GF43" i="31"/>
  <c r="GC43" i="31"/>
  <c r="GG43" i="31"/>
  <c r="GD43" i="31"/>
  <c r="GH43" i="31"/>
  <c r="FG47" i="31"/>
  <c r="FK47" i="31"/>
  <c r="FD47" i="31"/>
  <c r="FH47" i="31"/>
  <c r="FE47" i="31"/>
  <c r="FI47" i="31"/>
  <c r="FF47" i="31"/>
  <c r="FJ47" i="31"/>
  <c r="V120" i="30"/>
  <c r="W120" i="30"/>
  <c r="EA55" i="31"/>
  <c r="EE55" i="31"/>
  <c r="EB55" i="31"/>
  <c r="EF55" i="31"/>
  <c r="EC55" i="31"/>
  <c r="DZ55" i="31"/>
  <c r="ED55" i="31"/>
  <c r="DY55" i="31"/>
  <c r="JL57" i="31"/>
  <c r="JP57" i="31"/>
  <c r="JM57" i="31"/>
  <c r="JQ57" i="31"/>
  <c r="JN57" i="31"/>
  <c r="JR57" i="31"/>
  <c r="JO57" i="31"/>
  <c r="JS57" i="31"/>
  <c r="JM49" i="31"/>
  <c r="JQ49" i="31"/>
  <c r="JN49" i="31"/>
  <c r="JR49" i="31"/>
  <c r="JL49" i="31"/>
  <c r="JP49" i="31"/>
  <c r="JO49" i="31"/>
  <c r="JS49" i="31"/>
  <c r="IV40" i="31"/>
  <c r="IZ40" i="31"/>
  <c r="IW40" i="31"/>
  <c r="JA40" i="31"/>
  <c r="IX40" i="31"/>
  <c r="JB40" i="31"/>
  <c r="IY40" i="31"/>
  <c r="JC40" i="31"/>
  <c r="CU56" i="31"/>
  <c r="CY56" i="31"/>
  <c r="CW56" i="31"/>
  <c r="CZ56" i="31"/>
  <c r="CT56" i="31"/>
  <c r="CV56" i="31"/>
  <c r="CX56" i="31"/>
  <c r="CS56" i="31"/>
  <c r="IF54" i="31"/>
  <c r="IJ54" i="31"/>
  <c r="IG54" i="31"/>
  <c r="IK54" i="31"/>
  <c r="IH54" i="31"/>
  <c r="IL54" i="31"/>
  <c r="II54" i="31"/>
  <c r="IM54" i="31"/>
  <c r="IF58" i="31"/>
  <c r="IJ58" i="31"/>
  <c r="IG58" i="31"/>
  <c r="IK58" i="31"/>
  <c r="IH58" i="31"/>
  <c r="IL58" i="31"/>
  <c r="II58" i="31"/>
  <c r="IM58" i="31"/>
  <c r="HX37" i="31"/>
  <c r="IB37" i="31"/>
  <c r="HY37" i="31"/>
  <c r="IC37" i="31"/>
  <c r="HZ37" i="31"/>
  <c r="ID37" i="31"/>
  <c r="IA37" i="31"/>
  <c r="IE37" i="31"/>
  <c r="HP44" i="31"/>
  <c r="HT44" i="31"/>
  <c r="HR44" i="31"/>
  <c r="HV44" i="31"/>
  <c r="HW44" i="31"/>
  <c r="HQ44" i="31"/>
  <c r="HS44" i="31"/>
  <c r="HU44" i="31"/>
  <c r="HA42" i="31"/>
  <c r="HE42" i="31"/>
  <c r="GZ42" i="31"/>
  <c r="HD42" i="31"/>
  <c r="HG42" i="31"/>
  <c r="HB42" i="31"/>
  <c r="HC42" i="31"/>
  <c r="HF42" i="31"/>
  <c r="HB46" i="31"/>
  <c r="HF46" i="31"/>
  <c r="HC46" i="31"/>
  <c r="HG46" i="31"/>
  <c r="GZ46" i="31"/>
  <c r="HD46" i="31"/>
  <c r="HA46" i="31"/>
  <c r="HE46" i="31"/>
  <c r="BQ57" i="31"/>
  <c r="BN57" i="31"/>
  <c r="BR57" i="31"/>
  <c r="BP57" i="31"/>
  <c r="BS57" i="31"/>
  <c r="BM57" i="31"/>
  <c r="BT57" i="31"/>
  <c r="BO57" i="31"/>
  <c r="HC55" i="31"/>
  <c r="HG55" i="31"/>
  <c r="GZ55" i="31"/>
  <c r="HD55" i="31"/>
  <c r="HA55" i="31"/>
  <c r="HE55" i="31"/>
  <c r="HB55" i="31"/>
  <c r="HF55" i="31"/>
  <c r="HC59" i="31"/>
  <c r="HG59" i="31"/>
  <c r="GZ59" i="31"/>
  <c r="HD59" i="31"/>
  <c r="HA59" i="31"/>
  <c r="HE59" i="31"/>
  <c r="HB59" i="31"/>
  <c r="HF59" i="31"/>
  <c r="HC36" i="31"/>
  <c r="HG36" i="31"/>
  <c r="GZ36" i="31"/>
  <c r="HD36" i="31"/>
  <c r="HA36" i="31"/>
  <c r="HE36" i="31"/>
  <c r="HB36" i="31"/>
  <c r="HF36" i="31"/>
  <c r="GR41" i="31"/>
  <c r="GV41" i="31"/>
  <c r="GS41" i="31"/>
  <c r="GW41" i="31"/>
  <c r="GT41" i="31"/>
  <c r="GX41" i="31"/>
  <c r="GU41" i="31"/>
  <c r="GY41" i="31"/>
  <c r="GM28" i="31"/>
  <c r="GQ28" i="31"/>
  <c r="GJ28" i="31"/>
  <c r="GN28" i="31"/>
  <c r="GK28" i="31"/>
  <c r="GO28" i="31"/>
  <c r="GL28" i="31"/>
  <c r="GP28" i="31"/>
  <c r="FV35" i="31"/>
  <c r="FZ35" i="31"/>
  <c r="FW35" i="31"/>
  <c r="GA35" i="31"/>
  <c r="FT35" i="31"/>
  <c r="FX35" i="31"/>
  <c r="FU35" i="31"/>
  <c r="FY35" i="31"/>
  <c r="JL29" i="31"/>
  <c r="JP29" i="31"/>
  <c r="JM29" i="31"/>
  <c r="JQ29" i="31"/>
  <c r="JN29" i="31"/>
  <c r="JR29" i="31"/>
  <c r="JO29" i="31"/>
  <c r="JS29" i="31"/>
  <c r="IV32" i="31"/>
  <c r="IZ32" i="31"/>
  <c r="IX32" i="31"/>
  <c r="JB32" i="31"/>
  <c r="IW32" i="31"/>
  <c r="IY32" i="31"/>
  <c r="JA32" i="31"/>
  <c r="JC32" i="31"/>
  <c r="IX26" i="31"/>
  <c r="JB26" i="31"/>
  <c r="IV26" i="31"/>
  <c r="IZ26" i="31"/>
  <c r="JC26" i="31"/>
  <c r="IW26" i="31"/>
  <c r="IY26" i="31"/>
  <c r="JA26" i="31"/>
  <c r="IX27" i="31"/>
  <c r="JB27" i="31"/>
  <c r="IV27" i="31"/>
  <c r="IZ27" i="31"/>
  <c r="JC27" i="31"/>
  <c r="IW27" i="31"/>
  <c r="IY27" i="31"/>
  <c r="JA27" i="31"/>
  <c r="HA53" i="31"/>
  <c r="HE53" i="31"/>
  <c r="HB53" i="31"/>
  <c r="HF53" i="31"/>
  <c r="HC53" i="31"/>
  <c r="HG53" i="31"/>
  <c r="GZ53" i="31"/>
  <c r="HD53" i="31"/>
  <c r="GT39" i="31"/>
  <c r="GX39" i="31"/>
  <c r="GU39" i="31"/>
  <c r="GY39" i="31"/>
  <c r="GR39" i="31"/>
  <c r="GV39" i="31"/>
  <c r="GS39" i="31"/>
  <c r="GW39" i="31"/>
  <c r="GK53" i="31"/>
  <c r="GO53" i="31"/>
  <c r="GL53" i="31"/>
  <c r="GP53" i="31"/>
  <c r="GM53" i="31"/>
  <c r="GQ53" i="31"/>
  <c r="GJ53" i="31"/>
  <c r="GN53" i="31"/>
  <c r="EW26" i="31"/>
  <c r="FA26" i="31"/>
  <c r="EX26" i="31"/>
  <c r="FB26" i="31"/>
  <c r="EY26" i="31"/>
  <c r="FC26" i="31"/>
  <c r="EV26" i="31"/>
  <c r="EZ26" i="31"/>
  <c r="EY24" i="31"/>
  <c r="FC24" i="31"/>
  <c r="EV24" i="31"/>
  <c r="EZ24" i="31"/>
  <c r="EW24" i="31"/>
  <c r="FA24" i="31"/>
  <c r="EX24" i="31"/>
  <c r="FB24" i="31"/>
  <c r="JV25" i="31"/>
  <c r="JZ25" i="31"/>
  <c r="JW25" i="31"/>
  <c r="KA25" i="31"/>
  <c r="JT25" i="31"/>
  <c r="JX25" i="31"/>
  <c r="JU25" i="31"/>
  <c r="JY25" i="31"/>
  <c r="JV21" i="31"/>
  <c r="JZ21" i="31"/>
  <c r="JW21" i="31"/>
  <c r="KA21" i="31"/>
  <c r="JT21" i="31"/>
  <c r="JX21" i="31"/>
  <c r="JY21" i="31"/>
  <c r="JU21" i="31"/>
  <c r="JN18" i="31"/>
  <c r="JR18" i="31"/>
  <c r="JO18" i="31"/>
  <c r="JS18" i="31"/>
  <c r="JL18" i="31"/>
  <c r="JM18" i="31"/>
  <c r="JP18" i="31"/>
  <c r="JQ18" i="31"/>
  <c r="IG17" i="31"/>
  <c r="IK17" i="31"/>
  <c r="IH17" i="31"/>
  <c r="IL17" i="31"/>
  <c r="II17" i="31"/>
  <c r="IM17" i="31"/>
  <c r="IF17" i="31"/>
  <c r="IJ17" i="31"/>
  <c r="IH22" i="31"/>
  <c r="IL22" i="31"/>
  <c r="II22" i="31"/>
  <c r="IM22" i="31"/>
  <c r="IF22" i="31"/>
  <c r="IJ22" i="31"/>
  <c r="IK22" i="31"/>
  <c r="IG22" i="31"/>
  <c r="HY17" i="31"/>
  <c r="IC17" i="31"/>
  <c r="HZ17" i="31"/>
  <c r="ID17" i="31"/>
  <c r="IA17" i="31"/>
  <c r="IE17" i="31"/>
  <c r="HX17" i="31"/>
  <c r="IB17" i="31"/>
  <c r="HQ17" i="31"/>
  <c r="HU17" i="31"/>
  <c r="HR17" i="31"/>
  <c r="HV17" i="31"/>
  <c r="HS17" i="31"/>
  <c r="HW17" i="31"/>
  <c r="HP17" i="31"/>
  <c r="HT17" i="31"/>
  <c r="GK22" i="31"/>
  <c r="GO22" i="31"/>
  <c r="GL22" i="31"/>
  <c r="GP22" i="31"/>
  <c r="GM22" i="31"/>
  <c r="GQ22" i="31"/>
  <c r="GJ22" i="31"/>
  <c r="GN22" i="31"/>
  <c r="GL14" i="31"/>
  <c r="GP14" i="31"/>
  <c r="GM14" i="31"/>
  <c r="GQ14" i="31"/>
  <c r="GJ14" i="31"/>
  <c r="GN14" i="31"/>
  <c r="GK14" i="31"/>
  <c r="GO14" i="31"/>
  <c r="FM13" i="31"/>
  <c r="FQ13" i="31"/>
  <c r="FN13" i="31"/>
  <c r="FR13" i="31"/>
  <c r="FO13" i="31"/>
  <c r="FS13" i="31"/>
  <c r="FL13" i="31"/>
  <c r="FP13" i="31"/>
  <c r="DZ58" i="31"/>
  <c r="ED58" i="31"/>
  <c r="EA58" i="31"/>
  <c r="EE58" i="31"/>
  <c r="EB58" i="31"/>
  <c r="EF58" i="31"/>
  <c r="EC58" i="31"/>
  <c r="DY58" i="31"/>
  <c r="DL30" i="31"/>
  <c r="DP30" i="31"/>
  <c r="DM30" i="31"/>
  <c r="DN30" i="31"/>
  <c r="DO30" i="31"/>
  <c r="DJ30" i="31"/>
  <c r="DK30" i="31"/>
  <c r="DI30" i="31"/>
  <c r="CE34" i="31"/>
  <c r="CI34" i="31"/>
  <c r="CF34" i="31"/>
  <c r="CJ34" i="31"/>
  <c r="CG34" i="31"/>
  <c r="CC34" i="31"/>
  <c r="CD34" i="31"/>
  <c r="CH34" i="31"/>
  <c r="BX53" i="31"/>
  <c r="CB53" i="31"/>
  <c r="BY53" i="31"/>
  <c r="BW53" i="31"/>
  <c r="BZ53" i="31"/>
  <c r="CA53" i="31"/>
  <c r="BV53" i="31"/>
  <c r="BU53" i="31"/>
  <c r="GY12" i="31"/>
  <c r="GU12" i="31"/>
  <c r="GX12" i="31"/>
  <c r="GT12" i="31"/>
  <c r="GW12" i="31"/>
  <c r="GS12" i="31"/>
  <c r="GV12" i="31"/>
  <c r="GR12" i="31"/>
  <c r="E59" i="31"/>
  <c r="G59" i="31"/>
  <c r="B59" i="31"/>
  <c r="C59" i="31"/>
  <c r="H59" i="31"/>
  <c r="D59" i="31"/>
  <c r="F59" i="31"/>
  <c r="BG56" i="31"/>
  <c r="BK56" i="31"/>
  <c r="BH56" i="31"/>
  <c r="BL56" i="31"/>
  <c r="BF56" i="31"/>
  <c r="BI56" i="31"/>
  <c r="BJ56" i="31"/>
  <c r="BE56" i="31"/>
  <c r="DU52" i="31"/>
  <c r="DR52" i="31"/>
  <c r="DV52" i="31"/>
  <c r="DS52" i="31"/>
  <c r="DW52" i="31"/>
  <c r="DT52" i="31"/>
  <c r="DX52" i="31"/>
  <c r="DQ52" i="31"/>
  <c r="Z50" i="31"/>
  <c r="AD50" i="31"/>
  <c r="AA50" i="31"/>
  <c r="AE50" i="31"/>
  <c r="AB50" i="31"/>
  <c r="AF50" i="31"/>
  <c r="Y50" i="31"/>
  <c r="AC50" i="31"/>
  <c r="EI48" i="31"/>
  <c r="EM48" i="31"/>
  <c r="EJ48" i="31"/>
  <c r="EN48" i="31"/>
  <c r="EK48" i="31"/>
  <c r="EL48" i="31"/>
  <c r="EH48" i="31"/>
  <c r="EG48" i="31"/>
  <c r="DL46" i="31"/>
  <c r="DP46" i="31"/>
  <c r="DM46" i="31"/>
  <c r="DN46" i="31"/>
  <c r="DO46" i="31"/>
  <c r="DJ46" i="31"/>
  <c r="DK46" i="31"/>
  <c r="DI46" i="31"/>
  <c r="BA43" i="31"/>
  <c r="AX43" i="31"/>
  <c r="BB43" i="31"/>
  <c r="AZ43" i="31"/>
  <c r="BC43" i="31"/>
  <c r="BD43" i="31"/>
  <c r="AW43" i="31"/>
  <c r="AY43" i="31"/>
  <c r="BI42" i="31"/>
  <c r="BF42" i="31"/>
  <c r="BJ42" i="31"/>
  <c r="BH42" i="31"/>
  <c r="BK42" i="31"/>
  <c r="BL42" i="31"/>
  <c r="BG42" i="31"/>
  <c r="BE42" i="31"/>
  <c r="CU40" i="31"/>
  <c r="CY40" i="31"/>
  <c r="CW40" i="31"/>
  <c r="CZ40" i="31"/>
  <c r="CT40" i="31"/>
  <c r="CV40" i="31"/>
  <c r="CX40" i="31"/>
  <c r="CS40" i="31"/>
  <c r="R39" i="31"/>
  <c r="V39" i="31"/>
  <c r="S39" i="31"/>
  <c r="W39" i="31"/>
  <c r="T39" i="31"/>
  <c r="X39" i="31"/>
  <c r="Q39" i="31"/>
  <c r="U39" i="31"/>
  <c r="AI38" i="31"/>
  <c r="AM38" i="31"/>
  <c r="AJ38" i="31"/>
  <c r="AN38" i="31"/>
  <c r="AK38" i="31"/>
  <c r="AL38" i="31"/>
  <c r="AG38" i="31"/>
  <c r="AH38" i="31"/>
  <c r="AH37" i="31"/>
  <c r="AL37" i="31"/>
  <c r="AI37" i="31"/>
  <c r="AM37" i="31"/>
  <c r="AJ37" i="31"/>
  <c r="AN37" i="31"/>
  <c r="AG37" i="31"/>
  <c r="AK37" i="31"/>
  <c r="AS36" i="31"/>
  <c r="AP36" i="31"/>
  <c r="AT36" i="31"/>
  <c r="AR36" i="31"/>
  <c r="AU36" i="31"/>
  <c r="AV36" i="31"/>
  <c r="AQ36" i="31"/>
  <c r="AO36" i="31"/>
  <c r="AC35" i="31"/>
  <c r="Z35" i="31"/>
  <c r="AD35" i="31"/>
  <c r="Y35" i="31"/>
  <c r="AA35" i="31"/>
  <c r="AE35" i="31"/>
  <c r="AB35" i="31"/>
  <c r="AF35" i="31"/>
  <c r="EA31" i="31"/>
  <c r="EE31" i="31"/>
  <c r="EB31" i="31"/>
  <c r="EF31" i="31"/>
  <c r="EC31" i="31"/>
  <c r="ED31" i="31"/>
  <c r="DZ31" i="31"/>
  <c r="DY31" i="31"/>
  <c r="E31" i="31"/>
  <c r="B31" i="31"/>
  <c r="F31" i="31"/>
  <c r="G31" i="31"/>
  <c r="C31" i="31"/>
  <c r="D31" i="31"/>
  <c r="H31" i="31"/>
  <c r="W27" i="7"/>
  <c r="DM27" i="31"/>
  <c r="DJ27" i="31"/>
  <c r="DN27" i="31"/>
  <c r="DK27" i="31"/>
  <c r="DO27" i="31"/>
  <c r="DL27" i="31"/>
  <c r="DP27" i="31"/>
  <c r="DI27" i="31"/>
  <c r="DL26" i="31"/>
  <c r="DP26" i="31"/>
  <c r="DM26" i="31"/>
  <c r="DJ26" i="31"/>
  <c r="DN26" i="31"/>
  <c r="DK26" i="31"/>
  <c r="DO26" i="31"/>
  <c r="DI26" i="31"/>
  <c r="AA25" i="31"/>
  <c r="AE25" i="31"/>
  <c r="AB25" i="31"/>
  <c r="AF25" i="31"/>
  <c r="AC25" i="31"/>
  <c r="Y25" i="31"/>
  <c r="Z25" i="31"/>
  <c r="AD25" i="31"/>
  <c r="EH23" i="31"/>
  <c r="EL23" i="31"/>
  <c r="EI23" i="31"/>
  <c r="EM23" i="31"/>
  <c r="EJ23" i="31"/>
  <c r="EN23" i="31"/>
  <c r="EK23" i="31"/>
  <c r="EG23" i="31"/>
  <c r="EJ21" i="31"/>
  <c r="EN21" i="31"/>
  <c r="EK21" i="31"/>
  <c r="EH21" i="31"/>
  <c r="EL21" i="31"/>
  <c r="EI21" i="31"/>
  <c r="EM21" i="31"/>
  <c r="EG21" i="31"/>
  <c r="M21" i="31"/>
  <c r="J21" i="31"/>
  <c r="N21" i="31"/>
  <c r="I21" i="31"/>
  <c r="K21" i="31"/>
  <c r="O21" i="31"/>
  <c r="L21" i="31"/>
  <c r="P21" i="31"/>
  <c r="AS19" i="31"/>
  <c r="AP19" i="31"/>
  <c r="AT19" i="31"/>
  <c r="AR19" i="31"/>
  <c r="AU19" i="31"/>
  <c r="AV19" i="31"/>
  <c r="AQ19" i="31"/>
  <c r="AO19" i="31"/>
  <c r="EI16" i="31"/>
  <c r="EM16" i="31"/>
  <c r="EJ16" i="31"/>
  <c r="EN16" i="31"/>
  <c r="EK16" i="31"/>
  <c r="EL16" i="31"/>
  <c r="EH16" i="31"/>
  <c r="EG16" i="31"/>
  <c r="CT15" i="31"/>
  <c r="CX15" i="31"/>
  <c r="CV15" i="31"/>
  <c r="CZ15" i="31"/>
  <c r="CY15" i="31"/>
  <c r="CU15" i="31"/>
  <c r="CW15" i="31"/>
  <c r="CS15" i="31"/>
  <c r="CO13" i="31"/>
  <c r="CM13" i="31"/>
  <c r="CQ13" i="31"/>
  <c r="CP13" i="31"/>
  <c r="CR13" i="31"/>
  <c r="CL13" i="31"/>
  <c r="CK13" i="31"/>
  <c r="CN13" i="31"/>
  <c r="AZ12" i="31"/>
  <c r="BD12" i="31"/>
  <c r="BA12" i="31"/>
  <c r="BC12" i="31"/>
  <c r="AX12" i="31"/>
  <c r="AY12" i="31"/>
  <c r="BB12" i="31"/>
  <c r="AW12" i="31"/>
  <c r="JD45" i="31"/>
  <c r="JH45" i="31"/>
  <c r="JF45" i="31"/>
  <c r="JJ45" i="31"/>
  <c r="JK45" i="31"/>
  <c r="JI45" i="31"/>
  <c r="JE45" i="31"/>
  <c r="JG45" i="31"/>
  <c r="HX45" i="31"/>
  <c r="IB45" i="31"/>
  <c r="HZ45" i="31"/>
  <c r="ID45" i="31"/>
  <c r="IE45" i="31"/>
  <c r="IC45" i="31"/>
  <c r="HY45" i="31"/>
  <c r="IA45" i="31"/>
  <c r="GS45" i="31"/>
  <c r="GW45" i="31"/>
  <c r="GT45" i="31"/>
  <c r="GX45" i="31"/>
  <c r="GU45" i="31"/>
  <c r="GY45" i="31"/>
  <c r="GR45" i="31"/>
  <c r="GV45" i="31"/>
  <c r="JT42" i="31"/>
  <c r="JX42" i="31"/>
  <c r="JV42" i="31"/>
  <c r="JZ42" i="31"/>
  <c r="JW42" i="31"/>
  <c r="JY42" i="31"/>
  <c r="KA42" i="31"/>
  <c r="JU42" i="31"/>
  <c r="JT55" i="31"/>
  <c r="JX55" i="31"/>
  <c r="JU55" i="31"/>
  <c r="JY55" i="31"/>
  <c r="JV55" i="31"/>
  <c r="JZ55" i="31"/>
  <c r="JW55" i="31"/>
  <c r="KA55" i="31"/>
  <c r="JT59" i="31"/>
  <c r="JX59" i="31"/>
  <c r="JU59" i="31"/>
  <c r="JY59" i="31"/>
  <c r="JV59" i="31"/>
  <c r="JZ59" i="31"/>
  <c r="JW59" i="31"/>
  <c r="KA59" i="31"/>
  <c r="JL41" i="31"/>
  <c r="JP41" i="31"/>
  <c r="JN41" i="31"/>
  <c r="JR41" i="31"/>
  <c r="JO41" i="31"/>
  <c r="JQ41" i="31"/>
  <c r="JS41" i="31"/>
  <c r="JM41" i="31"/>
  <c r="JD44" i="31"/>
  <c r="JH44" i="31"/>
  <c r="JF44" i="31"/>
  <c r="JJ44" i="31"/>
  <c r="JK44" i="31"/>
  <c r="JG44" i="31"/>
  <c r="JI44" i="31"/>
  <c r="JE44" i="31"/>
  <c r="JD40" i="31"/>
  <c r="JH40" i="31"/>
  <c r="JE40" i="31"/>
  <c r="JI40" i="31"/>
  <c r="JF40" i="31"/>
  <c r="JJ40" i="31"/>
  <c r="JG40" i="31"/>
  <c r="JK40" i="31"/>
  <c r="IN46" i="31"/>
  <c r="IR46" i="31"/>
  <c r="IP46" i="31"/>
  <c r="IT46" i="31"/>
  <c r="IQ46" i="31"/>
  <c r="IS46" i="31"/>
  <c r="IU46" i="31"/>
  <c r="IO46" i="31"/>
  <c r="IO49" i="31"/>
  <c r="IS49" i="31"/>
  <c r="IP49" i="31"/>
  <c r="IT49" i="31"/>
  <c r="IN49" i="31"/>
  <c r="IR49" i="31"/>
  <c r="IQ49" i="31"/>
  <c r="IU49" i="31"/>
  <c r="IN54" i="31"/>
  <c r="IR54" i="31"/>
  <c r="IO54" i="31"/>
  <c r="IS54" i="31"/>
  <c r="IP54" i="31"/>
  <c r="IT54" i="31"/>
  <c r="IQ54" i="31"/>
  <c r="IU54" i="31"/>
  <c r="IN58" i="31"/>
  <c r="IR58" i="31"/>
  <c r="IO58" i="31"/>
  <c r="IS58" i="31"/>
  <c r="IP58" i="31"/>
  <c r="IT58" i="31"/>
  <c r="IQ58" i="31"/>
  <c r="IU58" i="31"/>
  <c r="IN36" i="31"/>
  <c r="IR36" i="31"/>
  <c r="IO36" i="31"/>
  <c r="IS36" i="31"/>
  <c r="IP36" i="31"/>
  <c r="IT36" i="31"/>
  <c r="IQ36" i="31"/>
  <c r="IU36" i="31"/>
  <c r="HP35" i="31"/>
  <c r="HT35" i="31"/>
  <c r="HR35" i="31"/>
  <c r="HV35" i="31"/>
  <c r="HU35" i="31"/>
  <c r="HW35" i="31"/>
  <c r="HQ35" i="31"/>
  <c r="HS35" i="31"/>
  <c r="HI48" i="31"/>
  <c r="HM48" i="31"/>
  <c r="HJ48" i="31"/>
  <c r="HN48" i="31"/>
  <c r="HK48" i="31"/>
  <c r="HO48" i="31"/>
  <c r="HH48" i="31"/>
  <c r="HL48" i="31"/>
  <c r="BW60" i="31"/>
  <c r="CA60" i="31"/>
  <c r="BX60" i="31"/>
  <c r="CB60" i="31"/>
  <c r="BV60" i="31"/>
  <c r="BY60" i="31"/>
  <c r="BZ60" i="31"/>
  <c r="BU60" i="31"/>
  <c r="HH57" i="31"/>
  <c r="HL57" i="31"/>
  <c r="HI57" i="31"/>
  <c r="HM57" i="31"/>
  <c r="HJ57" i="31"/>
  <c r="HN57" i="31"/>
  <c r="HK57" i="31"/>
  <c r="HO57" i="31"/>
  <c r="GS38" i="31"/>
  <c r="GW38" i="31"/>
  <c r="GT38" i="31"/>
  <c r="GX38" i="31"/>
  <c r="GU38" i="31"/>
  <c r="GY38" i="31"/>
  <c r="GR38" i="31"/>
  <c r="GV38" i="31"/>
  <c r="AY57" i="31"/>
  <c r="BC57" i="31"/>
  <c r="AZ57" i="31"/>
  <c r="BD57" i="31"/>
  <c r="AX57" i="31"/>
  <c r="BA57" i="31"/>
  <c r="AW57" i="31"/>
  <c r="BB57" i="31"/>
  <c r="GM55" i="31"/>
  <c r="GQ55" i="31"/>
  <c r="GJ55" i="31"/>
  <c r="GN55" i="31"/>
  <c r="GK55" i="31"/>
  <c r="GO55" i="31"/>
  <c r="GL55" i="31"/>
  <c r="GP55" i="31"/>
  <c r="GM59" i="31"/>
  <c r="GQ59" i="31"/>
  <c r="GJ59" i="31"/>
  <c r="GN59" i="31"/>
  <c r="GK59" i="31"/>
  <c r="GO59" i="31"/>
  <c r="GL59" i="31"/>
  <c r="GP59" i="31"/>
  <c r="GE40" i="31"/>
  <c r="GI40" i="31"/>
  <c r="GB40" i="31"/>
  <c r="GF40" i="31"/>
  <c r="GC40" i="31"/>
  <c r="GG40" i="31"/>
  <c r="GD40" i="31"/>
  <c r="GH40" i="31"/>
  <c r="AK56" i="31"/>
  <c r="AH56" i="31"/>
  <c r="AL56" i="31"/>
  <c r="AG56" i="31"/>
  <c r="AI56" i="31"/>
  <c r="AM56" i="31"/>
  <c r="AN56" i="31"/>
  <c r="AJ56" i="31"/>
  <c r="FV54" i="31"/>
  <c r="FZ54" i="31"/>
  <c r="FW54" i="31"/>
  <c r="GA54" i="31"/>
  <c r="FT54" i="31"/>
  <c r="FX54" i="31"/>
  <c r="FU54" i="31"/>
  <c r="FY54" i="31"/>
  <c r="FV58" i="31"/>
  <c r="FZ58" i="31"/>
  <c r="FW58" i="31"/>
  <c r="GA58" i="31"/>
  <c r="FT58" i="31"/>
  <c r="FX58" i="31"/>
  <c r="FU58" i="31"/>
  <c r="FY58" i="31"/>
  <c r="FL44" i="31"/>
  <c r="FP44" i="31"/>
  <c r="FM44" i="31"/>
  <c r="FQ44" i="31"/>
  <c r="FN44" i="31"/>
  <c r="FR44" i="31"/>
  <c r="FO44" i="31"/>
  <c r="FS44" i="31"/>
  <c r="FO40" i="31"/>
  <c r="FS40" i="31"/>
  <c r="FL40" i="31"/>
  <c r="FP40" i="31"/>
  <c r="FM40" i="31"/>
  <c r="FQ40" i="31"/>
  <c r="FN40" i="31"/>
  <c r="FR40" i="31"/>
  <c r="FE42" i="31"/>
  <c r="FI42" i="31"/>
  <c r="FF42" i="31"/>
  <c r="FJ42" i="31"/>
  <c r="FG42" i="31"/>
  <c r="FD42" i="31"/>
  <c r="FH42" i="31"/>
  <c r="FK42" i="31"/>
  <c r="ER48" i="31"/>
  <c r="EO48" i="31"/>
  <c r="ES48" i="31"/>
  <c r="EP48" i="31"/>
  <c r="ET48" i="31"/>
  <c r="EQ48" i="31"/>
  <c r="EU48" i="31"/>
  <c r="ER56" i="31"/>
  <c r="EO56" i="31"/>
  <c r="ES56" i="31"/>
  <c r="EP56" i="31"/>
  <c r="ET56" i="31"/>
  <c r="EQ56" i="31"/>
  <c r="EU56" i="31"/>
  <c r="ER60" i="31"/>
  <c r="EO60" i="31"/>
  <c r="ES60" i="31"/>
  <c r="EP60" i="31"/>
  <c r="ET60" i="31"/>
  <c r="EQ60" i="31"/>
  <c r="EU60" i="31"/>
  <c r="JT29" i="31"/>
  <c r="JX29" i="31"/>
  <c r="JU29" i="31"/>
  <c r="JY29" i="31"/>
  <c r="JV29" i="31"/>
  <c r="JZ29" i="31"/>
  <c r="JW29" i="31"/>
  <c r="KA29" i="31"/>
  <c r="JM53" i="31"/>
  <c r="JQ53" i="31"/>
  <c r="JL53" i="31"/>
  <c r="JP53" i="31"/>
  <c r="JN53" i="31"/>
  <c r="JO53" i="31"/>
  <c r="JR53" i="31"/>
  <c r="JS53" i="31"/>
  <c r="JD32" i="31"/>
  <c r="JH32" i="31"/>
  <c r="JF32" i="31"/>
  <c r="JJ32" i="31"/>
  <c r="JE32" i="31"/>
  <c r="JG32" i="31"/>
  <c r="JI32" i="31"/>
  <c r="JK32" i="31"/>
  <c r="JF27" i="31"/>
  <c r="JJ27" i="31"/>
  <c r="JD27" i="31"/>
  <c r="JH27" i="31"/>
  <c r="JK27" i="31"/>
  <c r="JE27" i="31"/>
  <c r="JG27" i="31"/>
  <c r="JI27" i="31"/>
  <c r="IN33" i="31"/>
  <c r="IR33" i="31"/>
  <c r="IP33" i="31"/>
  <c r="IT33" i="31"/>
  <c r="IO33" i="31"/>
  <c r="IQ33" i="31"/>
  <c r="IS33" i="31"/>
  <c r="IU33" i="31"/>
  <c r="HP31" i="31"/>
  <c r="HT31" i="31"/>
  <c r="HR31" i="31"/>
  <c r="HV31" i="31"/>
  <c r="HQ31" i="31"/>
  <c r="HS31" i="31"/>
  <c r="HU31" i="31"/>
  <c r="HW31" i="31"/>
  <c r="HH29" i="31"/>
  <c r="HL29" i="31"/>
  <c r="HI29" i="31"/>
  <c r="HM29" i="31"/>
  <c r="HJ29" i="31"/>
  <c r="HN29" i="31"/>
  <c r="HK29" i="31"/>
  <c r="HO29" i="31"/>
  <c r="GB33" i="31"/>
  <c r="GF33" i="31"/>
  <c r="GC33" i="31"/>
  <c r="GG33" i="31"/>
  <c r="GD33" i="31"/>
  <c r="GH33" i="31"/>
  <c r="GE33" i="31"/>
  <c r="GI33" i="31"/>
  <c r="FM34" i="31"/>
  <c r="FQ34" i="31"/>
  <c r="FN34" i="31"/>
  <c r="FR34" i="31"/>
  <c r="FO34" i="31"/>
  <c r="FS34" i="31"/>
  <c r="FL34" i="31"/>
  <c r="FP34" i="31"/>
  <c r="FM30" i="31"/>
  <c r="FQ30" i="31"/>
  <c r="FN30" i="31"/>
  <c r="FR30" i="31"/>
  <c r="FO30" i="31"/>
  <c r="FS30" i="31"/>
  <c r="FL30" i="31"/>
  <c r="FP30" i="31"/>
  <c r="EO30" i="31"/>
  <c r="ES30" i="31"/>
  <c r="EP30" i="31"/>
  <c r="ET30" i="31"/>
  <c r="EQ30" i="31"/>
  <c r="EU30" i="31"/>
  <c r="ER30" i="31"/>
  <c r="KA12" i="31"/>
  <c r="JW12" i="31"/>
  <c r="JZ12" i="31"/>
  <c r="JV12" i="31"/>
  <c r="JY12" i="31"/>
  <c r="JU12" i="31"/>
  <c r="JX12" i="31"/>
  <c r="JT12" i="31"/>
  <c r="JF18" i="31"/>
  <c r="JJ18" i="31"/>
  <c r="JG18" i="31"/>
  <c r="JK18" i="31"/>
  <c r="JD18" i="31"/>
  <c r="JE18" i="31"/>
  <c r="JH18" i="31"/>
  <c r="JI18" i="31"/>
  <c r="IP15" i="31"/>
  <c r="IT15" i="31"/>
  <c r="IQ15" i="31"/>
  <c r="IU15" i="31"/>
  <c r="IN15" i="31"/>
  <c r="IR15" i="31"/>
  <c r="IO15" i="31"/>
  <c r="IS15" i="31"/>
  <c r="II20" i="31"/>
  <c r="IM20" i="31"/>
  <c r="IF20" i="31"/>
  <c r="IK20" i="31"/>
  <c r="IG20" i="31"/>
  <c r="IL20" i="31"/>
  <c r="IH20" i="31"/>
  <c r="IJ20" i="31"/>
  <c r="IH19" i="31"/>
  <c r="IL19" i="31"/>
  <c r="II19" i="31"/>
  <c r="IM19" i="31"/>
  <c r="IF19" i="31"/>
  <c r="IG19" i="31"/>
  <c r="IJ19" i="31"/>
  <c r="IK19" i="31"/>
  <c r="HW12" i="31"/>
  <c r="HS12" i="31"/>
  <c r="HV12" i="31"/>
  <c r="HR12" i="31"/>
  <c r="HU12" i="31"/>
  <c r="HQ12" i="31"/>
  <c r="HT12" i="31"/>
  <c r="HP12" i="31"/>
  <c r="HC19" i="31"/>
  <c r="HG19" i="31"/>
  <c r="GZ19" i="31"/>
  <c r="HD19" i="31"/>
  <c r="HA19" i="31"/>
  <c r="HE19" i="31"/>
  <c r="HB19" i="31"/>
  <c r="HF19" i="31"/>
  <c r="HG12" i="31"/>
  <c r="HC12" i="31"/>
  <c r="HF12" i="31"/>
  <c r="HB12" i="31"/>
  <c r="HE12" i="31"/>
  <c r="HA12" i="31"/>
  <c r="HD12" i="31"/>
  <c r="GZ12" i="31"/>
  <c r="FL16" i="31"/>
  <c r="FP16" i="31"/>
  <c r="FM16" i="31"/>
  <c r="FQ16" i="31"/>
  <c r="FN16" i="31"/>
  <c r="FR16" i="31"/>
  <c r="FO16" i="31"/>
  <c r="FS16" i="31"/>
  <c r="CO45" i="31"/>
  <c r="CM45" i="31"/>
  <c r="CQ45" i="31"/>
  <c r="CP45" i="31"/>
  <c r="CR45" i="31"/>
  <c r="CL45" i="31"/>
  <c r="CK45" i="31"/>
  <c r="CN45" i="31"/>
  <c r="EK54" i="31"/>
  <c r="EH54" i="31"/>
  <c r="EL54" i="31"/>
  <c r="EI54" i="31"/>
  <c r="EM54" i="31"/>
  <c r="EJ54" i="31"/>
  <c r="EN54" i="31"/>
  <c r="EG54" i="31"/>
  <c r="DS34" i="31"/>
  <c r="DW34" i="31"/>
  <c r="DT34" i="31"/>
  <c r="DX34" i="31"/>
  <c r="DU34" i="31"/>
  <c r="DR34" i="31"/>
  <c r="DV34" i="31"/>
  <c r="DQ34" i="31"/>
  <c r="CL34" i="31"/>
  <c r="CP34" i="31"/>
  <c r="CN34" i="31"/>
  <c r="CR34" i="31"/>
  <c r="CM34" i="31"/>
  <c r="CO34" i="31"/>
  <c r="CQ34" i="31"/>
  <c r="CK34" i="31"/>
  <c r="AQ34" i="31"/>
  <c r="AU34" i="31"/>
  <c r="AR34" i="31"/>
  <c r="AV34" i="31"/>
  <c r="AP34" i="31"/>
  <c r="AS34" i="31"/>
  <c r="AT34" i="31"/>
  <c r="AO34" i="31"/>
  <c r="AB30" i="31"/>
  <c r="AF30" i="31"/>
  <c r="AC30" i="31"/>
  <c r="Z30" i="31"/>
  <c r="AD30" i="31"/>
  <c r="AE30" i="31"/>
  <c r="Y30" i="31"/>
  <c r="AA30" i="31"/>
  <c r="GI12" i="31"/>
  <c r="GH12" i="31"/>
  <c r="GD12" i="31"/>
  <c r="GG12" i="31"/>
  <c r="GC12" i="31"/>
  <c r="GE12" i="31"/>
  <c r="GF12" i="31"/>
  <c r="GB12" i="31"/>
  <c r="AP57" i="31"/>
  <c r="AT57" i="31"/>
  <c r="AQ57" i="31"/>
  <c r="AV57" i="31"/>
  <c r="AR57" i="31"/>
  <c r="AO57" i="31"/>
  <c r="AS57" i="31"/>
  <c r="AU57" i="31"/>
  <c r="AR55" i="31"/>
  <c r="AV55" i="31"/>
  <c r="AT55" i="31"/>
  <c r="AP55" i="31"/>
  <c r="AU55" i="31"/>
  <c r="AQ55" i="31"/>
  <c r="AS55" i="31"/>
  <c r="AO55" i="31"/>
  <c r="CU48" i="31"/>
  <c r="CY48" i="31"/>
  <c r="CW48" i="31"/>
  <c r="CZ48" i="31"/>
  <c r="CT48" i="31"/>
  <c r="CV48" i="31"/>
  <c r="CX48" i="31"/>
  <c r="CS48" i="31"/>
  <c r="CT47" i="31"/>
  <c r="CX47" i="31"/>
  <c r="CV47" i="31"/>
  <c r="CZ47" i="31"/>
  <c r="CY47" i="31"/>
  <c r="CU47" i="31"/>
  <c r="CW47" i="31"/>
  <c r="CS47" i="31"/>
  <c r="DB44" i="31"/>
  <c r="DF44" i="31"/>
  <c r="DD44" i="31"/>
  <c r="DH44" i="31"/>
  <c r="DC44" i="31"/>
  <c r="DE44" i="31"/>
  <c r="DG44" i="31"/>
  <c r="DA44" i="31"/>
  <c r="DL42" i="31"/>
  <c r="DP42" i="31"/>
  <c r="DM42" i="31"/>
  <c r="DJ42" i="31"/>
  <c r="DK42" i="31"/>
  <c r="DN42" i="31"/>
  <c r="DO42" i="31"/>
  <c r="DI42" i="31"/>
  <c r="DK41" i="31"/>
  <c r="DO41" i="31"/>
  <c r="DL41" i="31"/>
  <c r="DP41" i="31"/>
  <c r="DJ41" i="31"/>
  <c r="DM41" i="31"/>
  <c r="DN41" i="31"/>
  <c r="DI41" i="31"/>
  <c r="S40" i="31"/>
  <c r="W40" i="31"/>
  <c r="T40" i="31"/>
  <c r="X40" i="31"/>
  <c r="U40" i="31"/>
  <c r="V40" i="31"/>
  <c r="Q40" i="31"/>
  <c r="R40" i="31"/>
  <c r="L38" i="31"/>
  <c r="P38" i="31"/>
  <c r="M38" i="31"/>
  <c r="J38" i="31"/>
  <c r="N38" i="31"/>
  <c r="K38" i="31"/>
  <c r="O38" i="31"/>
  <c r="I38" i="31"/>
  <c r="BW33" i="31"/>
  <c r="CA33" i="31"/>
  <c r="BX33" i="31"/>
  <c r="CB33" i="31"/>
  <c r="BY33" i="31"/>
  <c r="BZ33" i="31"/>
  <c r="BV33" i="31"/>
  <c r="BU33" i="31"/>
  <c r="EB28" i="31"/>
  <c r="EF28" i="31"/>
  <c r="EC28" i="31"/>
  <c r="DZ28" i="31"/>
  <c r="ED28" i="31"/>
  <c r="EA28" i="31"/>
  <c r="EE28" i="31"/>
  <c r="DY28" i="31"/>
  <c r="EH27" i="31"/>
  <c r="EL27" i="31"/>
  <c r="EI27" i="31"/>
  <c r="EM27" i="31"/>
  <c r="EJ27" i="31"/>
  <c r="EN27" i="31"/>
  <c r="EK27" i="31"/>
  <c r="EG27" i="31"/>
  <c r="AQ26" i="31"/>
  <c r="AU26" i="31"/>
  <c r="AR26" i="31"/>
  <c r="AV26" i="31"/>
  <c r="AP26" i="31"/>
  <c r="AS26" i="31"/>
  <c r="AT26" i="31"/>
  <c r="AO26" i="31"/>
  <c r="EC21" i="31"/>
  <c r="DZ21" i="31"/>
  <c r="ED21" i="31"/>
  <c r="EA21" i="31"/>
  <c r="EE21" i="31"/>
  <c r="EB21" i="31"/>
  <c r="EF21" i="31"/>
  <c r="DY21" i="31"/>
  <c r="AP20" i="31"/>
  <c r="AT20" i="31"/>
  <c r="AQ20" i="31"/>
  <c r="AU20" i="31"/>
  <c r="AS20" i="31"/>
  <c r="AV20" i="31"/>
  <c r="AO20" i="31"/>
  <c r="AR20" i="31"/>
  <c r="EB16" i="31"/>
  <c r="EF16" i="31"/>
  <c r="EC16" i="31"/>
  <c r="DZ16" i="31"/>
  <c r="ED16" i="31"/>
  <c r="EA16" i="31"/>
  <c r="EE16" i="31"/>
  <c r="DY16" i="31"/>
  <c r="DT15" i="31"/>
  <c r="DX15" i="31"/>
  <c r="DU15" i="31"/>
  <c r="DR15" i="31"/>
  <c r="DV15" i="31"/>
  <c r="DS15" i="31"/>
  <c r="DW15" i="31"/>
  <c r="DQ15" i="31"/>
  <c r="CD12" i="31"/>
  <c r="CH12" i="31"/>
  <c r="CE12" i="31"/>
  <c r="CI12" i="31"/>
  <c r="CF12" i="31"/>
  <c r="CJ12" i="31"/>
  <c r="CG12" i="31"/>
  <c r="CC12" i="31"/>
  <c r="JM47" i="31"/>
  <c r="JQ47" i="31"/>
  <c r="JN47" i="31"/>
  <c r="JR47" i="31"/>
  <c r="JO47" i="31"/>
  <c r="JS47" i="31"/>
  <c r="JL47" i="31"/>
  <c r="JP47" i="31"/>
  <c r="IW51" i="31"/>
  <c r="JA51" i="31"/>
  <c r="IV51" i="31"/>
  <c r="IZ51" i="31"/>
  <c r="IX51" i="31"/>
  <c r="IY51" i="31"/>
  <c r="JB51" i="31"/>
  <c r="JC51" i="31"/>
  <c r="IW47" i="31"/>
  <c r="JA47" i="31"/>
  <c r="IX47" i="31"/>
  <c r="JB47" i="31"/>
  <c r="IY47" i="31"/>
  <c r="JC47" i="31"/>
  <c r="IV47" i="31"/>
  <c r="IZ47" i="31"/>
  <c r="IG47" i="31"/>
  <c r="IK47" i="31"/>
  <c r="IH47" i="31"/>
  <c r="IL47" i="31"/>
  <c r="II47" i="31"/>
  <c r="IM47" i="31"/>
  <c r="IF47" i="31"/>
  <c r="IJ47" i="31"/>
  <c r="HQ51" i="31"/>
  <c r="HU51" i="31"/>
  <c r="HP51" i="31"/>
  <c r="HT51" i="31"/>
  <c r="HR51" i="31"/>
  <c r="HS51" i="31"/>
  <c r="HV51" i="31"/>
  <c r="HW51" i="31"/>
  <c r="HQ47" i="31"/>
  <c r="HU47" i="31"/>
  <c r="HR47" i="31"/>
  <c r="HV47" i="31"/>
  <c r="HS47" i="31"/>
  <c r="HW47" i="31"/>
  <c r="HP47" i="31"/>
  <c r="HT47" i="31"/>
  <c r="HC47" i="31"/>
  <c r="HG47" i="31"/>
  <c r="GZ47" i="31"/>
  <c r="HD47" i="31"/>
  <c r="HA47" i="31"/>
  <c r="HE47" i="31"/>
  <c r="HB47" i="31"/>
  <c r="HF47" i="31"/>
  <c r="GM51" i="31"/>
  <c r="GQ51" i="31"/>
  <c r="GJ51" i="31"/>
  <c r="GN51" i="31"/>
  <c r="GK51" i="31"/>
  <c r="GO51" i="31"/>
  <c r="GL51" i="31"/>
  <c r="GP51" i="31"/>
  <c r="GM47" i="31"/>
  <c r="GQ47" i="31"/>
  <c r="GJ47" i="31"/>
  <c r="GN47" i="31"/>
  <c r="GK47" i="31"/>
  <c r="GO47" i="31"/>
  <c r="GL47" i="31"/>
  <c r="GP47" i="31"/>
  <c r="FW47" i="31"/>
  <c r="GA47" i="31"/>
  <c r="FT47" i="31"/>
  <c r="FX47" i="31"/>
  <c r="FU47" i="31"/>
  <c r="FY47" i="31"/>
  <c r="FV47" i="31"/>
  <c r="FZ47" i="31"/>
  <c r="JL38" i="31"/>
  <c r="JP38" i="31"/>
  <c r="JM38" i="31"/>
  <c r="JQ38" i="31"/>
  <c r="JN38" i="31"/>
  <c r="JR38" i="31"/>
  <c r="JO38" i="31"/>
  <c r="JS38" i="31"/>
  <c r="DJ56" i="31"/>
  <c r="DN56" i="31"/>
  <c r="DK56" i="31"/>
  <c r="DO56" i="31"/>
  <c r="DP56" i="31"/>
  <c r="DL56" i="31"/>
  <c r="DI56" i="31"/>
  <c r="DM56" i="31"/>
  <c r="IV54" i="31"/>
  <c r="IZ54" i="31"/>
  <c r="IW54" i="31"/>
  <c r="JA54" i="31"/>
  <c r="IX54" i="31"/>
  <c r="JB54" i="31"/>
  <c r="IY54" i="31"/>
  <c r="JC54" i="31"/>
  <c r="IV58" i="31"/>
  <c r="IZ58" i="31"/>
  <c r="IW58" i="31"/>
  <c r="JA58" i="31"/>
  <c r="IX58" i="31"/>
  <c r="JB58" i="31"/>
  <c r="IY58" i="31"/>
  <c r="JC58" i="31"/>
  <c r="IF40" i="31"/>
  <c r="IJ40" i="31"/>
  <c r="IG40" i="31"/>
  <c r="IK40" i="31"/>
  <c r="IH40" i="31"/>
  <c r="IL40" i="31"/>
  <c r="II40" i="31"/>
  <c r="IM40" i="31"/>
  <c r="HX35" i="31"/>
  <c r="HZ35" i="31"/>
  <c r="IB35" i="31"/>
  <c r="IC35" i="31"/>
  <c r="HY35" i="31"/>
  <c r="ID35" i="31"/>
  <c r="IA35" i="31"/>
  <c r="IE35" i="31"/>
  <c r="CD57" i="31"/>
  <c r="CH57" i="31"/>
  <c r="CE57" i="31"/>
  <c r="CI57" i="31"/>
  <c r="CF57" i="31"/>
  <c r="CJ57" i="31"/>
  <c r="CG57" i="31"/>
  <c r="CC57" i="31"/>
  <c r="HP55" i="31"/>
  <c r="HT55" i="31"/>
  <c r="HQ55" i="31"/>
  <c r="HU55" i="31"/>
  <c r="HR55" i="31"/>
  <c r="HV55" i="31"/>
  <c r="HS55" i="31"/>
  <c r="HW55" i="31"/>
  <c r="HP59" i="31"/>
  <c r="HT59" i="31"/>
  <c r="HQ59" i="31"/>
  <c r="HU59" i="31"/>
  <c r="HR59" i="31"/>
  <c r="HV59" i="31"/>
  <c r="HS59" i="31"/>
  <c r="HW59" i="31"/>
  <c r="GZ44" i="31"/>
  <c r="HD44" i="31"/>
  <c r="HA44" i="31"/>
  <c r="HE44" i="31"/>
  <c r="HB44" i="31"/>
  <c r="HF44" i="31"/>
  <c r="HC44" i="31"/>
  <c r="HG44" i="31"/>
  <c r="FT41" i="31"/>
  <c r="FX41" i="31"/>
  <c r="FU41" i="31"/>
  <c r="FY41" i="31"/>
  <c r="FV41" i="31"/>
  <c r="FZ41" i="31"/>
  <c r="FW41" i="31"/>
  <c r="GA41" i="31"/>
  <c r="ER41" i="31"/>
  <c r="EO41" i="31"/>
  <c r="ES41" i="31"/>
  <c r="EP41" i="31"/>
  <c r="ET41" i="31"/>
  <c r="EQ41" i="31"/>
  <c r="EU41" i="31"/>
  <c r="JU53" i="31"/>
  <c r="JY53" i="31"/>
  <c r="JT53" i="31"/>
  <c r="JX53" i="31"/>
  <c r="JV53" i="31"/>
  <c r="JW53" i="31"/>
  <c r="JZ53" i="31"/>
  <c r="KA53" i="31"/>
  <c r="JL32" i="31"/>
  <c r="JP32" i="31"/>
  <c r="JN32" i="31"/>
  <c r="JR32" i="31"/>
  <c r="JM32" i="31"/>
  <c r="JO32" i="31"/>
  <c r="JQ32" i="31"/>
  <c r="JS32" i="31"/>
  <c r="JN26" i="31"/>
  <c r="JR26" i="31"/>
  <c r="JL26" i="31"/>
  <c r="JP26" i="31"/>
  <c r="JS26" i="31"/>
  <c r="JM26" i="31"/>
  <c r="JO26" i="31"/>
  <c r="JQ26" i="31"/>
  <c r="JN27" i="31"/>
  <c r="JR27" i="31"/>
  <c r="JL27" i="31"/>
  <c r="JP27" i="31"/>
  <c r="JS27" i="31"/>
  <c r="JM27" i="31"/>
  <c r="JO27" i="31"/>
  <c r="JQ27" i="31"/>
  <c r="IV33" i="31"/>
  <c r="IZ33" i="31"/>
  <c r="IX33" i="31"/>
  <c r="JB33" i="31"/>
  <c r="IW33" i="31"/>
  <c r="IY33" i="31"/>
  <c r="JA33" i="31"/>
  <c r="JC33" i="31"/>
  <c r="HX31" i="31"/>
  <c r="IB31" i="31"/>
  <c r="HZ31" i="31"/>
  <c r="ID31" i="31"/>
  <c r="HY31" i="31"/>
  <c r="IA31" i="31"/>
  <c r="IC31" i="31"/>
  <c r="IE31" i="31"/>
  <c r="HP29" i="31"/>
  <c r="HT29" i="31"/>
  <c r="HQ29" i="31"/>
  <c r="HU29" i="31"/>
  <c r="HR29" i="31"/>
  <c r="HV29" i="31"/>
  <c r="HS29" i="31"/>
  <c r="HW29" i="31"/>
  <c r="HI53" i="31"/>
  <c r="HM53" i="31"/>
  <c r="HH53" i="31"/>
  <c r="HL53" i="31"/>
  <c r="HJ53" i="31"/>
  <c r="HK53" i="31"/>
  <c r="HN53" i="31"/>
  <c r="HO53" i="31"/>
  <c r="EW30" i="31"/>
  <c r="FA30" i="31"/>
  <c r="EX30" i="31"/>
  <c r="FB30" i="31"/>
  <c r="EY30" i="31"/>
  <c r="FC30" i="31"/>
  <c r="EV30" i="31"/>
  <c r="EZ30" i="31"/>
  <c r="JU52" i="31"/>
  <c r="JY52" i="31"/>
  <c r="JT52" i="31"/>
  <c r="JX52" i="31"/>
  <c r="JV52" i="31"/>
  <c r="JW52" i="31"/>
  <c r="JZ52" i="31"/>
  <c r="KA52" i="31"/>
  <c r="JN15" i="31"/>
  <c r="JR15" i="31"/>
  <c r="JL15" i="31"/>
  <c r="JP15" i="31"/>
  <c r="JO15" i="31"/>
  <c r="JQ15" i="31"/>
  <c r="JS15" i="31"/>
  <c r="JM15" i="31"/>
  <c r="IX23" i="31"/>
  <c r="JB23" i="31"/>
  <c r="IY23" i="31"/>
  <c r="JC23" i="31"/>
  <c r="IV23" i="31"/>
  <c r="IZ23" i="31"/>
  <c r="JA23" i="31"/>
  <c r="IW23" i="31"/>
  <c r="IX16" i="31"/>
  <c r="JB16" i="31"/>
  <c r="IV16" i="31"/>
  <c r="IZ16" i="31"/>
  <c r="IY16" i="31"/>
  <c r="JA16" i="31"/>
  <c r="JC16" i="31"/>
  <c r="IW16" i="31"/>
  <c r="IO52" i="31"/>
  <c r="IS52" i="31"/>
  <c r="IN52" i="31"/>
  <c r="IR52" i="31"/>
  <c r="IP52" i="31"/>
  <c r="IQ52" i="31"/>
  <c r="IT52" i="31"/>
  <c r="IU52" i="31"/>
  <c r="GZ52" i="31"/>
  <c r="HD52" i="31"/>
  <c r="HA52" i="31"/>
  <c r="HE52" i="31"/>
  <c r="HB52" i="31"/>
  <c r="HF52" i="31"/>
  <c r="HC52" i="31"/>
  <c r="HG52" i="31"/>
  <c r="GR52" i="31"/>
  <c r="GV52" i="31"/>
  <c r="GS52" i="31"/>
  <c r="GW52" i="31"/>
  <c r="GT52" i="31"/>
  <c r="GX52" i="31"/>
  <c r="GU52" i="31"/>
  <c r="GY52" i="31"/>
  <c r="FT25" i="31"/>
  <c r="FX25" i="31"/>
  <c r="FU25" i="31"/>
  <c r="FY25" i="31"/>
  <c r="FV25" i="31"/>
  <c r="FZ25" i="31"/>
  <c r="FW25" i="31"/>
  <c r="GA25" i="31"/>
  <c r="FU21" i="31"/>
  <c r="FY21" i="31"/>
  <c r="FT21" i="31"/>
  <c r="FX21" i="31"/>
  <c r="FW21" i="31"/>
  <c r="FZ21" i="31"/>
  <c r="GA21" i="31"/>
  <c r="FV21" i="31"/>
  <c r="FV14" i="31"/>
  <c r="FZ14" i="31"/>
  <c r="FW14" i="31"/>
  <c r="GA14" i="31"/>
  <c r="FT14" i="31"/>
  <c r="FX14" i="31"/>
  <c r="FU14" i="31"/>
  <c r="FY14" i="31"/>
  <c r="FM17" i="31"/>
  <c r="FQ17" i="31"/>
  <c r="FN17" i="31"/>
  <c r="FR17" i="31"/>
  <c r="FO17" i="31"/>
  <c r="FS17" i="31"/>
  <c r="FL17" i="31"/>
  <c r="FP17" i="31"/>
  <c r="FD25" i="31"/>
  <c r="FH25" i="31"/>
  <c r="FE25" i="31"/>
  <c r="FI25" i="31"/>
  <c r="FF25" i="31"/>
  <c r="FJ25" i="31"/>
  <c r="FG25" i="31"/>
  <c r="FK25" i="31"/>
  <c r="FE21" i="31"/>
  <c r="FI21" i="31"/>
  <c r="FD21" i="31"/>
  <c r="FH21" i="31"/>
  <c r="FG21" i="31"/>
  <c r="FJ21" i="31"/>
  <c r="FK21" i="31"/>
  <c r="FF21" i="31"/>
  <c r="ER25" i="31"/>
  <c r="EO25" i="31"/>
  <c r="ES25" i="31"/>
  <c r="EP25" i="31"/>
  <c r="ET25" i="31"/>
  <c r="EQ25" i="31"/>
  <c r="EU25" i="31"/>
  <c r="EO21" i="31"/>
  <c r="ES21" i="31"/>
  <c r="EP21" i="31"/>
  <c r="ER21" i="31"/>
  <c r="EQ21" i="31"/>
  <c r="ET21" i="31"/>
  <c r="EU21" i="31"/>
  <c r="EP14" i="31"/>
  <c r="ET14" i="31"/>
  <c r="EQ14" i="31"/>
  <c r="EU14" i="31"/>
  <c r="ER14" i="31"/>
  <c r="EO14" i="31"/>
  <c r="ES14" i="31"/>
  <c r="CT51" i="31"/>
  <c r="CX51" i="31"/>
  <c r="CV51" i="31"/>
  <c r="CZ51" i="31"/>
  <c r="CU51" i="31"/>
  <c r="CW51" i="31"/>
  <c r="CY51" i="31"/>
  <c r="CS51" i="31"/>
  <c r="BO51" i="31"/>
  <c r="BS51" i="31"/>
  <c r="BP51" i="31"/>
  <c r="BT51" i="31"/>
  <c r="BR51" i="31"/>
  <c r="BN51" i="31"/>
  <c r="BM51" i="31"/>
  <c r="BQ51" i="31"/>
  <c r="AJ51" i="31"/>
  <c r="AN51" i="31"/>
  <c r="AK51" i="31"/>
  <c r="AH51" i="31"/>
  <c r="AL51" i="31"/>
  <c r="AI51" i="31"/>
  <c r="AG51" i="31"/>
  <c r="AM51" i="31"/>
  <c r="DZ30" i="31"/>
  <c r="ED30" i="31"/>
  <c r="EA30" i="31"/>
  <c r="EE30" i="31"/>
  <c r="EB30" i="31"/>
  <c r="EF30" i="31"/>
  <c r="EC30" i="31"/>
  <c r="DY30" i="31"/>
  <c r="CW34" i="31"/>
  <c r="CU34" i="31"/>
  <c r="CY34" i="31"/>
  <c r="CT34" i="31"/>
  <c r="CV34" i="31"/>
  <c r="CX34" i="31"/>
  <c r="CZ34" i="31"/>
  <c r="CS34" i="31"/>
  <c r="CL53" i="31"/>
  <c r="CP53" i="31"/>
  <c r="CM53" i="31"/>
  <c r="CQ53" i="31"/>
  <c r="CN53" i="31"/>
  <c r="CR53" i="31"/>
  <c r="CO53" i="31"/>
  <c r="CK53" i="31"/>
  <c r="AP53" i="31"/>
  <c r="AT53" i="31"/>
  <c r="AR53" i="31"/>
  <c r="AS53" i="31"/>
  <c r="AO53" i="31"/>
  <c r="AU53" i="31"/>
  <c r="AQ53" i="31"/>
  <c r="AV53" i="31"/>
  <c r="U38" i="31"/>
  <c r="R38" i="31"/>
  <c r="V38" i="31"/>
  <c r="Q38" i="31"/>
  <c r="S38" i="31"/>
  <c r="W38" i="31"/>
  <c r="T38" i="31"/>
  <c r="X38" i="31"/>
  <c r="GK17" i="31"/>
  <c r="GO17" i="31"/>
  <c r="GL17" i="31"/>
  <c r="GP17" i="31"/>
  <c r="GM17" i="31"/>
  <c r="GQ17" i="31"/>
  <c r="GJ17" i="31"/>
  <c r="GN17" i="31"/>
  <c r="BI16" i="31"/>
  <c r="BF16" i="31"/>
  <c r="BJ16" i="31"/>
  <c r="BH16" i="31"/>
  <c r="BK16" i="31"/>
  <c r="BL16" i="31"/>
  <c r="BG16" i="31"/>
  <c r="BE16" i="31"/>
  <c r="AX19" i="31"/>
  <c r="BB19" i="31"/>
  <c r="AY19" i="31"/>
  <c r="BC19" i="31"/>
  <c r="BA19" i="31"/>
  <c r="BD19" i="31"/>
  <c r="AZ19" i="31"/>
  <c r="AW19" i="31"/>
  <c r="FE13" i="31"/>
  <c r="FI13" i="31"/>
  <c r="FF13" i="31"/>
  <c r="FJ13" i="31"/>
  <c r="FG13" i="31"/>
  <c r="FK13" i="31"/>
  <c r="FD13" i="31"/>
  <c r="FH13" i="31"/>
  <c r="AX60" i="31"/>
  <c r="BB60" i="31"/>
  <c r="AY60" i="31"/>
  <c r="BC60" i="31"/>
  <c r="BA60" i="31"/>
  <c r="BD60" i="31"/>
  <c r="AZ60" i="31"/>
  <c r="AW60" i="31"/>
  <c r="BY58" i="31"/>
  <c r="BV58" i="31"/>
  <c r="BZ58" i="31"/>
  <c r="CB58" i="31"/>
  <c r="BW58" i="31"/>
  <c r="BU58" i="31"/>
  <c r="BX58" i="31"/>
  <c r="CA58" i="31"/>
  <c r="CO56" i="31"/>
  <c r="CL56" i="31"/>
  <c r="CP56" i="31"/>
  <c r="CM56" i="31"/>
  <c r="CQ56" i="31"/>
  <c r="CN56" i="31"/>
  <c r="CR56" i="31"/>
  <c r="CK56" i="31"/>
  <c r="DL54" i="31"/>
  <c r="DP54" i="31"/>
  <c r="DM54" i="31"/>
  <c r="DN54" i="31"/>
  <c r="DO54" i="31"/>
  <c r="DJ54" i="31"/>
  <c r="DK54" i="31"/>
  <c r="DI54" i="31"/>
  <c r="CO52" i="31"/>
  <c r="CL52" i="31"/>
  <c r="CP52" i="31"/>
  <c r="CM52" i="31"/>
  <c r="CQ52" i="31"/>
  <c r="CN52" i="31"/>
  <c r="CK52" i="31"/>
  <c r="CR52" i="31"/>
  <c r="EK50" i="31"/>
  <c r="EH50" i="31"/>
  <c r="EL50" i="31"/>
  <c r="EI50" i="31"/>
  <c r="EM50" i="31"/>
  <c r="EN50" i="31"/>
  <c r="EJ50" i="31"/>
  <c r="EG50" i="31"/>
  <c r="L50" i="31"/>
  <c r="P50" i="31"/>
  <c r="M50" i="31"/>
  <c r="K50" i="31"/>
  <c r="N50" i="31"/>
  <c r="I50" i="31"/>
  <c r="J50" i="31"/>
  <c r="O50" i="31"/>
  <c r="AC49" i="31"/>
  <c r="Z49" i="31"/>
  <c r="AD49" i="31"/>
  <c r="Y49" i="31"/>
  <c r="AA49" i="31"/>
  <c r="AE49" i="31"/>
  <c r="AB49" i="31"/>
  <c r="AF49" i="31"/>
  <c r="AB48" i="31"/>
  <c r="AF48" i="31"/>
  <c r="AC48" i="31"/>
  <c r="Z48" i="31"/>
  <c r="AD48" i="31"/>
  <c r="AE48" i="31"/>
  <c r="Y48" i="31"/>
  <c r="AA48" i="31"/>
  <c r="AA47" i="31"/>
  <c r="AE47" i="31"/>
  <c r="AB47" i="31"/>
  <c r="AF47" i="31"/>
  <c r="AC47" i="31"/>
  <c r="Z47" i="31"/>
  <c r="AD47" i="31"/>
  <c r="Y47" i="31"/>
  <c r="AI46" i="31"/>
  <c r="AM46" i="31"/>
  <c r="AJ46" i="31"/>
  <c r="AN46" i="31"/>
  <c r="AK46" i="31"/>
  <c r="AH46" i="31"/>
  <c r="AL46" i="31"/>
  <c r="AG46" i="31"/>
  <c r="BP44" i="31"/>
  <c r="BT44" i="31"/>
  <c r="BQ44" i="31"/>
  <c r="BS44" i="31"/>
  <c r="BN44" i="31"/>
  <c r="BO44" i="31"/>
  <c r="BM44" i="31"/>
  <c r="BR44" i="31"/>
  <c r="DD42" i="31"/>
  <c r="DH42" i="31"/>
  <c r="DB42" i="31"/>
  <c r="DF42" i="31"/>
  <c r="DC42" i="31"/>
  <c r="DE42" i="31"/>
  <c r="DG42" i="31"/>
  <c r="DA42" i="31"/>
  <c r="DC41" i="31"/>
  <c r="DG41" i="31"/>
  <c r="DE41" i="31"/>
  <c r="DH41" i="31"/>
  <c r="DB41" i="31"/>
  <c r="DD41" i="31"/>
  <c r="DA41" i="31"/>
  <c r="DF41" i="31"/>
  <c r="DJ40" i="31"/>
  <c r="DN40" i="31"/>
  <c r="DK40" i="31"/>
  <c r="DO40" i="31"/>
  <c r="DP40" i="31"/>
  <c r="DL40" i="31"/>
  <c r="DM40" i="31"/>
  <c r="DI40" i="31"/>
  <c r="DE39" i="31"/>
  <c r="DB39" i="31"/>
  <c r="DF39" i="31"/>
  <c r="DC39" i="31"/>
  <c r="DG39" i="31"/>
  <c r="DD39" i="31"/>
  <c r="DH39" i="31"/>
  <c r="DA39" i="31"/>
  <c r="DL38" i="31"/>
  <c r="DP38" i="31"/>
  <c r="DM38" i="31"/>
  <c r="DN38" i="31"/>
  <c r="DO38" i="31"/>
  <c r="DJ38" i="31"/>
  <c r="DK38" i="31"/>
  <c r="DI38" i="31"/>
  <c r="DK37" i="31"/>
  <c r="DO37" i="31"/>
  <c r="DL37" i="31"/>
  <c r="DP37" i="31"/>
  <c r="DM37" i="31"/>
  <c r="DN37" i="31"/>
  <c r="DJ37" i="31"/>
  <c r="DI37" i="31"/>
  <c r="DU36" i="31"/>
  <c r="DR36" i="31"/>
  <c r="DV36" i="31"/>
  <c r="DS36" i="31"/>
  <c r="DW36" i="31"/>
  <c r="DT36" i="31"/>
  <c r="DX36" i="31"/>
  <c r="DQ36" i="31"/>
  <c r="DE35" i="31"/>
  <c r="DB35" i="31"/>
  <c r="DF35" i="31"/>
  <c r="DC35" i="31"/>
  <c r="DG35" i="31"/>
  <c r="DD35" i="31"/>
  <c r="DH35" i="31"/>
  <c r="DA35" i="31"/>
  <c r="CV33" i="31"/>
  <c r="CZ33" i="31"/>
  <c r="CT33" i="31"/>
  <c r="CX33" i="31"/>
  <c r="CU33" i="31"/>
  <c r="CW33" i="31"/>
  <c r="CS33" i="31"/>
  <c r="CY33" i="31"/>
  <c r="DJ32" i="31"/>
  <c r="DN32" i="31"/>
  <c r="DK32" i="31"/>
  <c r="DO32" i="31"/>
  <c r="DP32" i="31"/>
  <c r="DL32" i="31"/>
  <c r="DM32" i="31"/>
  <c r="DI32" i="31"/>
  <c r="DM31" i="31"/>
  <c r="DJ31" i="31"/>
  <c r="DN31" i="31"/>
  <c r="DO31" i="31"/>
  <c r="DP31" i="31"/>
  <c r="DK31" i="31"/>
  <c r="DL31" i="31"/>
  <c r="DI31" i="31"/>
  <c r="EJ29" i="31"/>
  <c r="EN29" i="31"/>
  <c r="EK29" i="31"/>
  <c r="EH29" i="31"/>
  <c r="EL29" i="31"/>
  <c r="EI29" i="31"/>
  <c r="EM29" i="31"/>
  <c r="EG29" i="31"/>
  <c r="M29" i="31"/>
  <c r="J29" i="31"/>
  <c r="N29" i="31"/>
  <c r="I29" i="31"/>
  <c r="K29" i="31"/>
  <c r="O29" i="31"/>
  <c r="L29" i="31"/>
  <c r="P29" i="31"/>
  <c r="T28" i="31"/>
  <c r="X28" i="31"/>
  <c r="U28" i="31"/>
  <c r="R28" i="31"/>
  <c r="V28" i="31"/>
  <c r="S28" i="31"/>
  <c r="W28" i="31"/>
  <c r="Q28" i="31"/>
  <c r="AK27" i="31"/>
  <c r="AI27" i="31"/>
  <c r="AN27" i="31"/>
  <c r="AJ27" i="31"/>
  <c r="AL27" i="31"/>
  <c r="AH27" i="31"/>
  <c r="AM27" i="31"/>
  <c r="AG27" i="31"/>
  <c r="AJ26" i="31"/>
  <c r="AN26" i="31"/>
  <c r="AK26" i="31"/>
  <c r="AL26" i="31"/>
  <c r="AH26" i="31"/>
  <c r="AM26" i="31"/>
  <c r="AG26" i="31"/>
  <c r="AI26" i="31"/>
  <c r="DU24" i="31"/>
  <c r="DR24" i="31"/>
  <c r="DV24" i="31"/>
  <c r="DS24" i="31"/>
  <c r="DW24" i="31"/>
  <c r="DT24" i="31"/>
  <c r="DX24" i="31"/>
  <c r="DQ24" i="31"/>
  <c r="CM23" i="31"/>
  <c r="CQ23" i="31"/>
  <c r="CO23" i="31"/>
  <c r="CR23" i="31"/>
  <c r="CL23" i="31"/>
  <c r="CN23" i="31"/>
  <c r="CP23" i="31"/>
  <c r="CK23" i="31"/>
  <c r="CE22" i="31"/>
  <c r="CI22" i="31"/>
  <c r="CF22" i="31"/>
  <c r="CJ22" i="31"/>
  <c r="CG22" i="31"/>
  <c r="CD22" i="31"/>
  <c r="CC22" i="31"/>
  <c r="CH22" i="31"/>
  <c r="CO21" i="31"/>
  <c r="CM21" i="31"/>
  <c r="CQ21" i="31"/>
  <c r="CP21" i="31"/>
  <c r="CR21" i="31"/>
  <c r="CL21" i="31"/>
  <c r="CK21" i="31"/>
  <c r="CN21" i="31"/>
  <c r="CU20" i="31"/>
  <c r="CY20" i="31"/>
  <c r="CW20" i="31"/>
  <c r="CV20" i="31"/>
  <c r="CX20" i="31"/>
  <c r="CZ20" i="31"/>
  <c r="CT20" i="31"/>
  <c r="CS20" i="31"/>
  <c r="DM19" i="31"/>
  <c r="DJ19" i="31"/>
  <c r="DN19" i="31"/>
  <c r="DK19" i="31"/>
  <c r="DO19" i="31"/>
  <c r="DL19" i="31"/>
  <c r="DP19" i="31"/>
  <c r="DI19" i="31"/>
  <c r="CW18" i="31"/>
  <c r="CU18" i="31"/>
  <c r="CY18" i="31"/>
  <c r="CT18" i="31"/>
  <c r="CV18" i="31"/>
  <c r="CX18" i="31"/>
  <c r="CZ18" i="31"/>
  <c r="CS18" i="31"/>
  <c r="DK17" i="31"/>
  <c r="DO17" i="31"/>
  <c r="DL17" i="31"/>
  <c r="DP17" i="31"/>
  <c r="DM17" i="31"/>
  <c r="DJ17" i="31"/>
  <c r="DN17" i="31"/>
  <c r="DI17" i="31"/>
  <c r="DU16" i="31"/>
  <c r="DR16" i="31"/>
  <c r="DV16" i="31"/>
  <c r="DS16" i="31"/>
  <c r="DW16" i="31"/>
  <c r="DX16" i="31"/>
  <c r="DT16" i="31"/>
  <c r="DQ16" i="31"/>
  <c r="DM15" i="31"/>
  <c r="DJ15" i="31"/>
  <c r="DN15" i="31"/>
  <c r="DK15" i="31"/>
  <c r="DO15" i="31"/>
  <c r="DP15" i="31"/>
  <c r="DL15" i="31"/>
  <c r="DI15" i="31"/>
  <c r="DD14" i="31"/>
  <c r="DH14" i="31"/>
  <c r="DE14" i="31"/>
  <c r="DB14" i="31"/>
  <c r="DF14" i="31"/>
  <c r="DC14" i="31"/>
  <c r="DG14" i="31"/>
  <c r="DA14" i="31"/>
  <c r="DC13" i="31"/>
  <c r="DG13" i="31"/>
  <c r="DD13" i="31"/>
  <c r="DH13" i="31"/>
  <c r="DE13" i="31"/>
  <c r="DB13" i="31"/>
  <c r="DF13" i="31"/>
  <c r="DA13" i="31"/>
  <c r="DB12" i="31"/>
  <c r="DF12" i="31"/>
  <c r="DC12" i="31"/>
  <c r="DG12" i="31"/>
  <c r="DD12" i="31"/>
  <c r="DH12" i="31"/>
  <c r="DE12" i="31"/>
  <c r="DA12" i="31"/>
  <c r="JE50" i="31"/>
  <c r="JI50" i="31"/>
  <c r="JF50" i="31"/>
  <c r="JJ50" i="31"/>
  <c r="JD50" i="31"/>
  <c r="JH50" i="31"/>
  <c r="JG50" i="31"/>
  <c r="JK50" i="31"/>
  <c r="HY50" i="31"/>
  <c r="IC50" i="31"/>
  <c r="HZ50" i="31"/>
  <c r="ID50" i="31"/>
  <c r="HX50" i="31"/>
  <c r="IB50" i="31"/>
  <c r="IA50" i="31"/>
  <c r="IE50" i="31"/>
  <c r="GT50" i="31"/>
  <c r="GX50" i="31"/>
  <c r="GU50" i="31"/>
  <c r="GY50" i="31"/>
  <c r="GR50" i="31"/>
  <c r="GV50" i="31"/>
  <c r="GS50" i="31"/>
  <c r="GW50" i="31"/>
  <c r="FO47" i="31"/>
  <c r="FS47" i="31"/>
  <c r="FL47" i="31"/>
  <c r="FP47" i="31"/>
  <c r="FM47" i="31"/>
  <c r="FQ47" i="31"/>
  <c r="FN47" i="31"/>
  <c r="FR47" i="31"/>
  <c r="JT38" i="31"/>
  <c r="JX38" i="31"/>
  <c r="JU38" i="31"/>
  <c r="JY38" i="31"/>
  <c r="JV38" i="31"/>
  <c r="JZ38" i="31"/>
  <c r="JW38" i="31"/>
  <c r="KA38" i="31"/>
  <c r="JL35" i="31"/>
  <c r="JP35" i="31"/>
  <c r="JM35" i="31"/>
  <c r="JQ35" i="31"/>
  <c r="JN35" i="31"/>
  <c r="JR35" i="31"/>
  <c r="JO35" i="31"/>
  <c r="JS35" i="31"/>
  <c r="JL28" i="31"/>
  <c r="JP28" i="31"/>
  <c r="JM28" i="31"/>
  <c r="JQ28" i="31"/>
  <c r="JN28" i="31"/>
  <c r="JR28" i="31"/>
  <c r="JO28" i="31"/>
  <c r="JS28" i="31"/>
  <c r="JD55" i="31"/>
  <c r="JH55" i="31"/>
  <c r="JE55" i="31"/>
  <c r="JI55" i="31"/>
  <c r="JF55" i="31"/>
  <c r="JJ55" i="31"/>
  <c r="JG55" i="31"/>
  <c r="JK55" i="31"/>
  <c r="JD59" i="31"/>
  <c r="JH59" i="31"/>
  <c r="JE59" i="31"/>
  <c r="JI59" i="31"/>
  <c r="JF59" i="31"/>
  <c r="JJ59" i="31"/>
  <c r="JG59" i="31"/>
  <c r="JK59" i="31"/>
  <c r="CO60" i="31"/>
  <c r="CL60" i="31"/>
  <c r="CP60" i="31"/>
  <c r="CM60" i="31"/>
  <c r="CQ60" i="31"/>
  <c r="CN60" i="31"/>
  <c r="CR60" i="31"/>
  <c r="CK60" i="31"/>
  <c r="HX57" i="31"/>
  <c r="IB57" i="31"/>
  <c r="HY57" i="31"/>
  <c r="IC57" i="31"/>
  <c r="HZ57" i="31"/>
  <c r="ID57" i="31"/>
  <c r="IA57" i="31"/>
  <c r="IE57" i="31"/>
  <c r="HY49" i="31"/>
  <c r="IC49" i="31"/>
  <c r="HZ49" i="31"/>
  <c r="ID49" i="31"/>
  <c r="HX49" i="31"/>
  <c r="IB49" i="31"/>
  <c r="IA49" i="31"/>
  <c r="IE49" i="31"/>
  <c r="HX36" i="31"/>
  <c r="IB36" i="31"/>
  <c r="HY36" i="31"/>
  <c r="IC36" i="31"/>
  <c r="HZ36" i="31"/>
  <c r="ID36" i="31"/>
  <c r="IA36" i="31"/>
  <c r="IE36" i="31"/>
  <c r="HP41" i="31"/>
  <c r="HT41" i="31"/>
  <c r="HQ41" i="31"/>
  <c r="HU41" i="31"/>
  <c r="HR41" i="31"/>
  <c r="HV41" i="31"/>
  <c r="HS41" i="31"/>
  <c r="HW41" i="31"/>
  <c r="HH38" i="31"/>
  <c r="HL38" i="31"/>
  <c r="HI38" i="31"/>
  <c r="HM38" i="31"/>
  <c r="HJ38" i="31"/>
  <c r="HN38" i="31"/>
  <c r="HK38" i="31"/>
  <c r="HO38" i="31"/>
  <c r="HB35" i="31"/>
  <c r="HF35" i="31"/>
  <c r="HC35" i="31"/>
  <c r="HG35" i="31"/>
  <c r="GZ35" i="31"/>
  <c r="HD35" i="31"/>
  <c r="HA35" i="31"/>
  <c r="HE35" i="31"/>
  <c r="HC28" i="31"/>
  <c r="HG28" i="31"/>
  <c r="GZ28" i="31"/>
  <c r="HD28" i="31"/>
  <c r="HA28" i="31"/>
  <c r="HE28" i="31"/>
  <c r="HB28" i="31"/>
  <c r="HF28" i="31"/>
  <c r="GU55" i="31"/>
  <c r="GY55" i="31"/>
  <c r="GR55" i="31"/>
  <c r="GV55" i="31"/>
  <c r="GS55" i="31"/>
  <c r="GW55" i="31"/>
  <c r="GT55" i="31"/>
  <c r="GX55" i="31"/>
  <c r="GU59" i="31"/>
  <c r="GY59" i="31"/>
  <c r="GR59" i="31"/>
  <c r="GV59" i="31"/>
  <c r="GS59" i="31"/>
  <c r="GW59" i="31"/>
  <c r="GT59" i="31"/>
  <c r="GX59" i="31"/>
  <c r="GM40" i="31"/>
  <c r="GQ40" i="31"/>
  <c r="GJ40" i="31"/>
  <c r="GN40" i="31"/>
  <c r="GK40" i="31"/>
  <c r="GO40" i="31"/>
  <c r="GL40" i="31"/>
  <c r="GP40" i="31"/>
  <c r="GC42" i="31"/>
  <c r="GG42" i="31"/>
  <c r="GB42" i="31"/>
  <c r="GF42" i="31"/>
  <c r="GI42" i="31"/>
  <c r="GD42" i="31"/>
  <c r="GE42" i="31"/>
  <c r="GH42" i="31"/>
  <c r="GE55" i="31"/>
  <c r="GI55" i="31"/>
  <c r="GB55" i="31"/>
  <c r="GF55" i="31"/>
  <c r="GC55" i="31"/>
  <c r="GG55" i="31"/>
  <c r="GD55" i="31"/>
  <c r="GH55" i="31"/>
  <c r="GE59" i="31"/>
  <c r="GI59" i="31"/>
  <c r="GB59" i="31"/>
  <c r="GF59" i="31"/>
  <c r="GC59" i="31"/>
  <c r="GG59" i="31"/>
  <c r="GD59" i="31"/>
  <c r="GH59" i="31"/>
  <c r="FU38" i="31"/>
  <c r="FY38" i="31"/>
  <c r="FV38" i="31"/>
  <c r="FZ38" i="31"/>
  <c r="FW38" i="31"/>
  <c r="GA38" i="31"/>
  <c r="FT38" i="31"/>
  <c r="FX38" i="31"/>
  <c r="AA59" i="31"/>
  <c r="AE59" i="31"/>
  <c r="AB59" i="31"/>
  <c r="AF59" i="31"/>
  <c r="AC59" i="31"/>
  <c r="Y59" i="31"/>
  <c r="Z59" i="31"/>
  <c r="AD59" i="31"/>
  <c r="FL56" i="31"/>
  <c r="FP56" i="31"/>
  <c r="FM56" i="31"/>
  <c r="FQ56" i="31"/>
  <c r="FN56" i="31"/>
  <c r="FR56" i="31"/>
  <c r="FO56" i="31"/>
  <c r="FS56" i="31"/>
  <c r="FL60" i="31"/>
  <c r="FP60" i="31"/>
  <c r="FM60" i="31"/>
  <c r="FQ60" i="31"/>
  <c r="FN60" i="31"/>
  <c r="FR60" i="31"/>
  <c r="FO60" i="31"/>
  <c r="FS60" i="31"/>
  <c r="FL48" i="31"/>
  <c r="FP48" i="31"/>
  <c r="FM48" i="31"/>
  <c r="FQ48" i="31"/>
  <c r="FN48" i="31"/>
  <c r="FR48" i="31"/>
  <c r="FO48" i="31"/>
  <c r="FS48" i="31"/>
  <c r="JV26" i="31"/>
  <c r="JZ26" i="31"/>
  <c r="JT26" i="31"/>
  <c r="JX26" i="31"/>
  <c r="KA26" i="31"/>
  <c r="JU26" i="31"/>
  <c r="JW26" i="31"/>
  <c r="JY26" i="31"/>
  <c r="JV27" i="31"/>
  <c r="JZ27" i="31"/>
  <c r="JT27" i="31"/>
  <c r="JX27" i="31"/>
  <c r="KA27" i="31"/>
  <c r="JU27" i="31"/>
  <c r="JW27" i="31"/>
  <c r="JY27" i="31"/>
  <c r="JL39" i="31"/>
  <c r="JP39" i="31"/>
  <c r="JM39" i="31"/>
  <c r="JQ39" i="31"/>
  <c r="JN39" i="31"/>
  <c r="JR39" i="31"/>
  <c r="JO39" i="31"/>
  <c r="JS39" i="31"/>
  <c r="IF31" i="31"/>
  <c r="IJ31" i="31"/>
  <c r="IH31" i="31"/>
  <c r="IL31" i="31"/>
  <c r="IG31" i="31"/>
  <c r="II31" i="31"/>
  <c r="IK31" i="31"/>
  <c r="IM31" i="31"/>
  <c r="HX29" i="31"/>
  <c r="IB29" i="31"/>
  <c r="HY29" i="31"/>
  <c r="IC29" i="31"/>
  <c r="HZ29" i="31"/>
  <c r="ID29" i="31"/>
  <c r="IA29" i="31"/>
  <c r="IE29" i="31"/>
  <c r="HQ53" i="31"/>
  <c r="HU53" i="31"/>
  <c r="HP53" i="31"/>
  <c r="HT53" i="31"/>
  <c r="HR53" i="31"/>
  <c r="HS53" i="31"/>
  <c r="HV53" i="31"/>
  <c r="HW53" i="31"/>
  <c r="HJ26" i="31"/>
  <c r="HN26" i="31"/>
  <c r="HK26" i="31"/>
  <c r="HO26" i="31"/>
  <c r="HH26" i="31"/>
  <c r="HL26" i="31"/>
  <c r="HM26" i="31"/>
  <c r="HI26" i="31"/>
  <c r="HJ27" i="31"/>
  <c r="HN27" i="31"/>
  <c r="HH27" i="31"/>
  <c r="HL27" i="31"/>
  <c r="HO27" i="31"/>
  <c r="HI27" i="31"/>
  <c r="HK27" i="31"/>
  <c r="HM27" i="31"/>
  <c r="GZ33" i="31"/>
  <c r="HD33" i="31"/>
  <c r="HA33" i="31"/>
  <c r="HE33" i="31"/>
  <c r="HB33" i="31"/>
  <c r="HF33" i="31"/>
  <c r="HC33" i="31"/>
  <c r="HG33" i="31"/>
  <c r="HA30" i="31"/>
  <c r="HE30" i="31"/>
  <c r="HB30" i="31"/>
  <c r="HF30" i="31"/>
  <c r="HC30" i="31"/>
  <c r="HG30" i="31"/>
  <c r="GZ30" i="31"/>
  <c r="HD30" i="31"/>
  <c r="GK30" i="31"/>
  <c r="GO30" i="31"/>
  <c r="GL30" i="31"/>
  <c r="GP30" i="31"/>
  <c r="GM30" i="31"/>
  <c r="GQ30" i="31"/>
  <c r="GJ30" i="31"/>
  <c r="GN30" i="31"/>
  <c r="FT33" i="31"/>
  <c r="FX33" i="31"/>
  <c r="FU33" i="31"/>
  <c r="FY33" i="31"/>
  <c r="FV33" i="31"/>
  <c r="FZ33" i="31"/>
  <c r="FW33" i="31"/>
  <c r="GA33" i="31"/>
  <c r="FU30" i="31"/>
  <c r="FY30" i="31"/>
  <c r="FV30" i="31"/>
  <c r="FZ30" i="31"/>
  <c r="FW30" i="31"/>
  <c r="GA30" i="31"/>
  <c r="FT30" i="31"/>
  <c r="FX30" i="31"/>
  <c r="JV23" i="31"/>
  <c r="JZ23" i="31"/>
  <c r="JW23" i="31"/>
  <c r="KA23" i="31"/>
  <c r="JT23" i="31"/>
  <c r="JX23" i="31"/>
  <c r="JU23" i="31"/>
  <c r="JY23" i="31"/>
  <c r="IX22" i="31"/>
  <c r="JB22" i="31"/>
  <c r="IY22" i="31"/>
  <c r="JC22" i="31"/>
  <c r="IV22" i="31"/>
  <c r="IZ22" i="31"/>
  <c r="JA22" i="31"/>
  <c r="IW22" i="31"/>
  <c r="IX14" i="31"/>
  <c r="JB14" i="31"/>
  <c r="IY14" i="31"/>
  <c r="JC14" i="31"/>
  <c r="IV14" i="31"/>
  <c r="IZ14" i="31"/>
  <c r="JA14" i="31"/>
  <c r="IW14" i="31"/>
  <c r="HR23" i="31"/>
  <c r="HV23" i="31"/>
  <c r="HS23" i="31"/>
  <c r="HW23" i="31"/>
  <c r="HP23" i="31"/>
  <c r="HT23" i="31"/>
  <c r="HU23" i="31"/>
  <c r="HQ23" i="31"/>
  <c r="HR16" i="31"/>
  <c r="HV16" i="31"/>
  <c r="HP16" i="31"/>
  <c r="HT16" i="31"/>
  <c r="HS16" i="31"/>
  <c r="HU16" i="31"/>
  <c r="HW16" i="31"/>
  <c r="HQ16" i="31"/>
  <c r="HI18" i="31"/>
  <c r="HM18" i="31"/>
  <c r="HJ18" i="31"/>
  <c r="HN18" i="31"/>
  <c r="HK18" i="31"/>
  <c r="HO18" i="31"/>
  <c r="HH18" i="31"/>
  <c r="HL18" i="31"/>
  <c r="GT23" i="31"/>
  <c r="GX23" i="31"/>
  <c r="GU23" i="31"/>
  <c r="GY23" i="31"/>
  <c r="GR23" i="31"/>
  <c r="GV23" i="31"/>
  <c r="GS23" i="31"/>
  <c r="GW23" i="31"/>
  <c r="GR16" i="31"/>
  <c r="GV16" i="31"/>
  <c r="GS16" i="31"/>
  <c r="GW16" i="31"/>
  <c r="GT16" i="31"/>
  <c r="GX16" i="31"/>
  <c r="GU16" i="31"/>
  <c r="GY16" i="31"/>
  <c r="FW15" i="31"/>
  <c r="GA15" i="31"/>
  <c r="FT15" i="31"/>
  <c r="FX15" i="31"/>
  <c r="FU15" i="31"/>
  <c r="FY15" i="31"/>
  <c r="FV15" i="31"/>
  <c r="FZ15" i="31"/>
  <c r="FL20" i="31"/>
  <c r="FP20" i="31"/>
  <c r="FM20" i="31"/>
  <c r="FQ20" i="31"/>
  <c r="FN20" i="31"/>
  <c r="FR20" i="31"/>
  <c r="FO20" i="31"/>
  <c r="FS20" i="31"/>
  <c r="FO19" i="31"/>
  <c r="FS19" i="31"/>
  <c r="FL19" i="31"/>
  <c r="FP19" i="31"/>
  <c r="FM19" i="31"/>
  <c r="FQ19" i="31"/>
  <c r="FN19" i="31"/>
  <c r="FR19" i="31"/>
  <c r="FD20" i="31"/>
  <c r="FH20" i="31"/>
  <c r="FE20" i="31"/>
  <c r="FI20" i="31"/>
  <c r="FF20" i="31"/>
  <c r="FJ20" i="31"/>
  <c r="FG20" i="31"/>
  <c r="FK20" i="31"/>
  <c r="FG19" i="31"/>
  <c r="FK19" i="31"/>
  <c r="FD19" i="31"/>
  <c r="FH19" i="31"/>
  <c r="FE19" i="31"/>
  <c r="FI19" i="31"/>
  <c r="FF19" i="31"/>
  <c r="FJ19" i="31"/>
  <c r="EQ19" i="31"/>
  <c r="EU19" i="31"/>
  <c r="ER19" i="31"/>
  <c r="EO19" i="31"/>
  <c r="ES19" i="31"/>
  <c r="EP19" i="31"/>
  <c r="ET19" i="31"/>
  <c r="ET12" i="31"/>
  <c r="ES12" i="31"/>
  <c r="EO12" i="31"/>
  <c r="EU12" i="31"/>
  <c r="EP12" i="31"/>
  <c r="ER12" i="31"/>
  <c r="EQ12" i="31"/>
  <c r="EC45" i="31"/>
  <c r="DZ45" i="31"/>
  <c r="ED45" i="31"/>
  <c r="EA45" i="31"/>
  <c r="EE45" i="31"/>
  <c r="EB45" i="31"/>
  <c r="EF45" i="31"/>
  <c r="DY45" i="31"/>
  <c r="BQ45" i="31"/>
  <c r="BN45" i="31"/>
  <c r="BR45" i="31"/>
  <c r="BT45" i="31"/>
  <c r="BO45" i="31"/>
  <c r="BM45" i="31"/>
  <c r="BP45" i="31"/>
  <c r="BS45" i="31"/>
  <c r="R30" i="31"/>
  <c r="V30" i="31"/>
  <c r="S30" i="31"/>
  <c r="W30" i="31"/>
  <c r="T30" i="31"/>
  <c r="X30" i="31"/>
  <c r="U30" i="31"/>
  <c r="Q30" i="31"/>
  <c r="HO12" i="31"/>
  <c r="HK12" i="31"/>
  <c r="HN12" i="31"/>
  <c r="HJ12" i="31"/>
  <c r="HM12" i="31"/>
  <c r="HI12" i="31"/>
  <c r="HL12" i="31"/>
  <c r="HH12" i="31"/>
  <c r="AJ59" i="31"/>
  <c r="AN59" i="31"/>
  <c r="AK59" i="31"/>
  <c r="AH59" i="31"/>
  <c r="AL59" i="31"/>
  <c r="AI59" i="31"/>
  <c r="AM59" i="31"/>
  <c r="AG59" i="31"/>
  <c r="BW56" i="31"/>
  <c r="CA56" i="31"/>
  <c r="BX56" i="31"/>
  <c r="CB56" i="31"/>
  <c r="BZ56" i="31"/>
  <c r="BV56" i="31"/>
  <c r="BY56" i="31"/>
  <c r="BU56" i="31"/>
  <c r="AI54" i="31"/>
  <c r="AM54" i="31"/>
  <c r="AJ54" i="31"/>
  <c r="AN54" i="31"/>
  <c r="AK54" i="31"/>
  <c r="AL54" i="31"/>
  <c r="AG54" i="31"/>
  <c r="AH54" i="31"/>
  <c r="J52" i="31"/>
  <c r="N52" i="31"/>
  <c r="K52" i="31"/>
  <c r="O52" i="31"/>
  <c r="M52" i="31"/>
  <c r="I52" i="31"/>
  <c r="P52" i="31"/>
  <c r="L52" i="31"/>
  <c r="CW50" i="31"/>
  <c r="CU50" i="31"/>
  <c r="CY50" i="31"/>
  <c r="CT50" i="31"/>
  <c r="CV50" i="31"/>
  <c r="CX50" i="31"/>
  <c r="CZ50" i="31"/>
  <c r="CS50" i="31"/>
  <c r="CD49" i="31"/>
  <c r="CH49" i="31"/>
  <c r="CE49" i="31"/>
  <c r="CI49" i="31"/>
  <c r="CF49" i="31"/>
  <c r="CJ49" i="31"/>
  <c r="CG49" i="31"/>
  <c r="CC49" i="31"/>
  <c r="CG48" i="31"/>
  <c r="CD48" i="31"/>
  <c r="CH48" i="31"/>
  <c r="CE48" i="31"/>
  <c r="CI48" i="31"/>
  <c r="CJ48" i="31"/>
  <c r="CF48" i="31"/>
  <c r="CC48" i="31"/>
  <c r="CF47" i="31"/>
  <c r="CJ47" i="31"/>
  <c r="CG47" i="31"/>
  <c r="CD47" i="31"/>
  <c r="CH47" i="31"/>
  <c r="CE47" i="31"/>
  <c r="CI47" i="31"/>
  <c r="CC47" i="31"/>
  <c r="DU44" i="31"/>
  <c r="DR44" i="31"/>
  <c r="DV44" i="31"/>
  <c r="DS44" i="31"/>
  <c r="DW44" i="31"/>
  <c r="DT44" i="31"/>
  <c r="DX44" i="31"/>
  <c r="DQ44" i="31"/>
  <c r="BF43" i="31"/>
  <c r="BJ43" i="31"/>
  <c r="BG43" i="31"/>
  <c r="BK43" i="31"/>
  <c r="BI43" i="31"/>
  <c r="BL43" i="31"/>
  <c r="BE43" i="31"/>
  <c r="BH43" i="31"/>
  <c r="BO42" i="31"/>
  <c r="BS42" i="31"/>
  <c r="BP42" i="31"/>
  <c r="BT42" i="31"/>
  <c r="BR42" i="31"/>
  <c r="BN42" i="31"/>
  <c r="BQ42" i="31"/>
  <c r="BM42" i="31"/>
  <c r="BN41" i="31"/>
  <c r="BR41" i="31"/>
  <c r="BO41" i="31"/>
  <c r="BS41" i="31"/>
  <c r="BQ41" i="31"/>
  <c r="BT41" i="31"/>
  <c r="BM41" i="31"/>
  <c r="BP41" i="31"/>
  <c r="BP39" i="31"/>
  <c r="BT39" i="31"/>
  <c r="BQ39" i="31"/>
  <c r="BO39" i="31"/>
  <c r="BR39" i="31"/>
  <c r="BS39" i="31"/>
  <c r="BN39" i="31"/>
  <c r="BM39" i="31"/>
  <c r="BY38" i="31"/>
  <c r="BV38" i="31"/>
  <c r="BZ38" i="31"/>
  <c r="BX38" i="31"/>
  <c r="CA38" i="31"/>
  <c r="BU38" i="31"/>
  <c r="CB38" i="31"/>
  <c r="BW38" i="31"/>
  <c r="BX37" i="31"/>
  <c r="CB37" i="31"/>
  <c r="BY37" i="31"/>
  <c r="BW37" i="31"/>
  <c r="BZ37" i="31"/>
  <c r="CA37" i="31"/>
  <c r="BV37" i="31"/>
  <c r="BU37" i="31"/>
  <c r="CG36" i="31"/>
  <c r="CD36" i="31"/>
  <c r="CH36" i="31"/>
  <c r="CE36" i="31"/>
  <c r="CI36" i="31"/>
  <c r="CF36" i="31"/>
  <c r="CC36" i="31"/>
  <c r="CJ36" i="31"/>
  <c r="BI33" i="31"/>
  <c r="BF33" i="31"/>
  <c r="BJ33" i="31"/>
  <c r="BH33" i="31"/>
  <c r="BK33" i="31"/>
  <c r="BL33" i="31"/>
  <c r="BG33" i="31"/>
  <c r="BE33" i="31"/>
  <c r="BV32" i="31"/>
  <c r="BZ32" i="31"/>
  <c r="BW32" i="31"/>
  <c r="CA32" i="31"/>
  <c r="BX32" i="31"/>
  <c r="CB32" i="31"/>
  <c r="BY32" i="31"/>
  <c r="BU32" i="31"/>
  <c r="BY31" i="31"/>
  <c r="BV31" i="31"/>
  <c r="BZ31" i="31"/>
  <c r="BW31" i="31"/>
  <c r="CA31" i="31"/>
  <c r="BX31" i="31"/>
  <c r="CB31" i="31"/>
  <c r="BU31" i="31"/>
  <c r="CV29" i="31"/>
  <c r="CZ29" i="31"/>
  <c r="CT29" i="31"/>
  <c r="CX29" i="31"/>
  <c r="CW29" i="31"/>
  <c r="CY29" i="31"/>
  <c r="CS29" i="31"/>
  <c r="CU29" i="31"/>
  <c r="AX28" i="31"/>
  <c r="BB28" i="31"/>
  <c r="AY28" i="31"/>
  <c r="BC28" i="31"/>
  <c r="BA28" i="31"/>
  <c r="BD28" i="31"/>
  <c r="AZ28" i="31"/>
  <c r="AW28" i="31"/>
  <c r="BG27" i="31"/>
  <c r="BK27" i="31"/>
  <c r="BH27" i="31"/>
  <c r="BL27" i="31"/>
  <c r="BJ27" i="31"/>
  <c r="BF27" i="31"/>
  <c r="BI27" i="31"/>
  <c r="BE27" i="31"/>
  <c r="CG24" i="31"/>
  <c r="CD24" i="31"/>
  <c r="CH24" i="31"/>
  <c r="CE24" i="31"/>
  <c r="CI24" i="31"/>
  <c r="CF24" i="31"/>
  <c r="CJ24" i="31"/>
  <c r="CC24" i="31"/>
  <c r="CF23" i="31"/>
  <c r="CJ23" i="31"/>
  <c r="CG23" i="31"/>
  <c r="CD23" i="31"/>
  <c r="CH23" i="31"/>
  <c r="CI23" i="31"/>
  <c r="CE23" i="31"/>
  <c r="CC23" i="31"/>
  <c r="DD22" i="31"/>
  <c r="DH22" i="31"/>
  <c r="DE22" i="31"/>
  <c r="DB22" i="31"/>
  <c r="DF22" i="31"/>
  <c r="DC22" i="31"/>
  <c r="DG22" i="31"/>
  <c r="DA22" i="31"/>
  <c r="CD21" i="31"/>
  <c r="CH21" i="31"/>
  <c r="CE21" i="31"/>
  <c r="CI21" i="31"/>
  <c r="CF21" i="31"/>
  <c r="CJ21" i="31"/>
  <c r="CG21" i="31"/>
  <c r="CC21" i="31"/>
  <c r="CN20" i="31"/>
  <c r="CR20" i="31"/>
  <c r="CL20" i="31"/>
  <c r="CP20" i="31"/>
  <c r="CO20" i="31"/>
  <c r="CQ20" i="31"/>
  <c r="CM20" i="31"/>
  <c r="CK20" i="31"/>
  <c r="BG18" i="31"/>
  <c r="BK18" i="31"/>
  <c r="BH18" i="31"/>
  <c r="BL18" i="31"/>
  <c r="BJ18" i="31"/>
  <c r="BF18" i="31"/>
  <c r="BE18" i="31"/>
  <c r="BI18" i="31"/>
  <c r="BX17" i="31"/>
  <c r="CB17" i="31"/>
  <c r="BY17" i="31"/>
  <c r="BV17" i="31"/>
  <c r="BZ17" i="31"/>
  <c r="BW17" i="31"/>
  <c r="BU17" i="31"/>
  <c r="CA17" i="31"/>
  <c r="Z16" i="31"/>
  <c r="AD16" i="31"/>
  <c r="AA16" i="31"/>
  <c r="AE16" i="31"/>
  <c r="AB16" i="31"/>
  <c r="AF16" i="31"/>
  <c r="Y16" i="31"/>
  <c r="AC16" i="31"/>
  <c r="BA14" i="31"/>
  <c r="AX14" i="31"/>
  <c r="BB14" i="31"/>
  <c r="BD14" i="31"/>
  <c r="AY14" i="31"/>
  <c r="AZ14" i="31"/>
  <c r="BC14" i="31"/>
  <c r="AW14" i="31"/>
  <c r="R13" i="31"/>
  <c r="V13" i="31"/>
  <c r="S13" i="31"/>
  <c r="W13" i="31"/>
  <c r="T13" i="31"/>
  <c r="X13" i="31"/>
  <c r="U13" i="31"/>
  <c r="Q13" i="31"/>
  <c r="Z12" i="31"/>
  <c r="AD12" i="31"/>
  <c r="AA12" i="31"/>
  <c r="AE12" i="31"/>
  <c r="Y12" i="31"/>
  <c r="AB12" i="31"/>
  <c r="AF12" i="31"/>
  <c r="AC12" i="31"/>
  <c r="JU47" i="31"/>
  <c r="JY47" i="31"/>
  <c r="JV47" i="31"/>
  <c r="JZ47" i="31"/>
  <c r="JW47" i="31"/>
  <c r="KA47" i="31"/>
  <c r="JT47" i="31"/>
  <c r="JX47" i="31"/>
  <c r="JE51" i="31"/>
  <c r="JI51" i="31"/>
  <c r="JD51" i="31"/>
  <c r="JH51" i="31"/>
  <c r="JF51" i="31"/>
  <c r="JG51" i="31"/>
  <c r="JJ51" i="31"/>
  <c r="JK51" i="31"/>
  <c r="JD43" i="31"/>
  <c r="JH43" i="31"/>
  <c r="JF43" i="31"/>
  <c r="JJ43" i="31"/>
  <c r="JK43" i="31"/>
  <c r="JE43" i="31"/>
  <c r="JG43" i="31"/>
  <c r="JI43" i="31"/>
  <c r="IO47" i="31"/>
  <c r="IS47" i="31"/>
  <c r="IP47" i="31"/>
  <c r="IT47" i="31"/>
  <c r="IQ47" i="31"/>
  <c r="IU47" i="31"/>
  <c r="IN47" i="31"/>
  <c r="IR47" i="31"/>
  <c r="HY51" i="31"/>
  <c r="IC51" i="31"/>
  <c r="HX51" i="31"/>
  <c r="IB51" i="31"/>
  <c r="HZ51" i="31"/>
  <c r="IA51" i="31"/>
  <c r="ID51" i="31"/>
  <c r="IE51" i="31"/>
  <c r="HX43" i="31"/>
  <c r="IB43" i="31"/>
  <c r="HZ43" i="31"/>
  <c r="ID43" i="31"/>
  <c r="IA43" i="31"/>
  <c r="IC43" i="31"/>
  <c r="IE43" i="31"/>
  <c r="HY43" i="31"/>
  <c r="HI47" i="31"/>
  <c r="HM47" i="31"/>
  <c r="HJ47" i="31"/>
  <c r="HN47" i="31"/>
  <c r="HK47" i="31"/>
  <c r="HO47" i="31"/>
  <c r="HH47" i="31"/>
  <c r="HL47" i="31"/>
  <c r="GU51" i="31"/>
  <c r="GY51" i="31"/>
  <c r="GR51" i="31"/>
  <c r="GV51" i="31"/>
  <c r="GS51" i="31"/>
  <c r="GW51" i="31"/>
  <c r="GT51" i="31"/>
  <c r="GX51" i="31"/>
  <c r="GU43" i="31"/>
  <c r="GY43" i="31"/>
  <c r="GR43" i="31"/>
  <c r="GV43" i="31"/>
  <c r="GS43" i="31"/>
  <c r="GW43" i="31"/>
  <c r="GT43" i="31"/>
  <c r="GX43" i="31"/>
  <c r="GE47" i="31"/>
  <c r="GI47" i="31"/>
  <c r="GB47" i="31"/>
  <c r="GF47" i="31"/>
  <c r="GC47" i="31"/>
  <c r="GG47" i="31"/>
  <c r="GD47" i="31"/>
  <c r="GH47" i="31"/>
  <c r="FM45" i="31"/>
  <c r="FQ45" i="31"/>
  <c r="FN45" i="31"/>
  <c r="FR45" i="31"/>
  <c r="FO45" i="31"/>
  <c r="FS45" i="31"/>
  <c r="FL45" i="31"/>
  <c r="FP45" i="31"/>
  <c r="EO45" i="31"/>
  <c r="ES45" i="31"/>
  <c r="EP45" i="31"/>
  <c r="ET45" i="31"/>
  <c r="EQ45" i="31"/>
  <c r="EU45" i="31"/>
  <c r="ER45" i="31"/>
  <c r="EB56" i="31"/>
  <c r="EF56" i="31"/>
  <c r="EC56" i="31"/>
  <c r="DZ56" i="31"/>
  <c r="ED56" i="31"/>
  <c r="EE56" i="31"/>
  <c r="EA56" i="31"/>
  <c r="DY56" i="31"/>
  <c r="JL54" i="31"/>
  <c r="JP54" i="31"/>
  <c r="JM54" i="31"/>
  <c r="JQ54" i="31"/>
  <c r="JN54" i="31"/>
  <c r="JR54" i="31"/>
  <c r="JO54" i="31"/>
  <c r="JS54" i="31"/>
  <c r="JL58" i="31"/>
  <c r="JP58" i="31"/>
  <c r="JM58" i="31"/>
  <c r="JQ58" i="31"/>
  <c r="JN58" i="31"/>
  <c r="JR58" i="31"/>
  <c r="JO58" i="31"/>
  <c r="JS58" i="31"/>
  <c r="JD37" i="31"/>
  <c r="JH37" i="31"/>
  <c r="JE37" i="31"/>
  <c r="JI37" i="31"/>
  <c r="JF37" i="31"/>
  <c r="JJ37" i="31"/>
  <c r="JG37" i="31"/>
  <c r="JK37" i="31"/>
  <c r="IV44" i="31"/>
  <c r="IZ44" i="31"/>
  <c r="IX44" i="31"/>
  <c r="JB44" i="31"/>
  <c r="JC44" i="31"/>
  <c r="IW44" i="31"/>
  <c r="IY44" i="31"/>
  <c r="JA44" i="31"/>
  <c r="IF42" i="31"/>
  <c r="IJ42" i="31"/>
  <c r="IH42" i="31"/>
  <c r="IL42" i="31"/>
  <c r="II42" i="31"/>
  <c r="IK42" i="31"/>
  <c r="IM42" i="31"/>
  <c r="IG42" i="31"/>
  <c r="IF46" i="31"/>
  <c r="IJ46" i="31"/>
  <c r="IH46" i="31"/>
  <c r="IL46" i="31"/>
  <c r="II46" i="31"/>
  <c r="IK46" i="31"/>
  <c r="IM46" i="31"/>
  <c r="IG46" i="31"/>
  <c r="CV57" i="31"/>
  <c r="CZ57" i="31"/>
  <c r="CT57" i="31"/>
  <c r="CX57" i="31"/>
  <c r="CU57" i="31"/>
  <c r="CW57" i="31"/>
  <c r="CS57" i="31"/>
  <c r="CY57" i="31"/>
  <c r="IF55" i="31"/>
  <c r="IJ55" i="31"/>
  <c r="IG55" i="31"/>
  <c r="IK55" i="31"/>
  <c r="IH55" i="31"/>
  <c r="IL55" i="31"/>
  <c r="II55" i="31"/>
  <c r="IM55" i="31"/>
  <c r="IF59" i="31"/>
  <c r="IJ59" i="31"/>
  <c r="IG59" i="31"/>
  <c r="IK59" i="31"/>
  <c r="IH59" i="31"/>
  <c r="IL59" i="31"/>
  <c r="II59" i="31"/>
  <c r="IM59" i="31"/>
  <c r="IF36" i="31"/>
  <c r="IJ36" i="31"/>
  <c r="IG36" i="31"/>
  <c r="IK36" i="31"/>
  <c r="IH36" i="31"/>
  <c r="IL36" i="31"/>
  <c r="II36" i="31"/>
  <c r="IM36" i="31"/>
  <c r="HX41" i="31"/>
  <c r="IB41" i="31"/>
  <c r="HY41" i="31"/>
  <c r="HZ41" i="31"/>
  <c r="ID41" i="31"/>
  <c r="IA41" i="31"/>
  <c r="IC41" i="31"/>
  <c r="IE41" i="31"/>
  <c r="HP38" i="31"/>
  <c r="HT38" i="31"/>
  <c r="HQ38" i="31"/>
  <c r="HU38" i="31"/>
  <c r="HR38" i="31"/>
  <c r="HV38" i="31"/>
  <c r="HS38" i="31"/>
  <c r="HW38" i="31"/>
  <c r="HH35" i="31"/>
  <c r="HL35" i="31"/>
  <c r="HJ35" i="31"/>
  <c r="HN35" i="31"/>
  <c r="HM35" i="31"/>
  <c r="HO35" i="31"/>
  <c r="HI35" i="31"/>
  <c r="HK35" i="31"/>
  <c r="HJ28" i="31"/>
  <c r="HN28" i="31"/>
  <c r="HH28" i="31"/>
  <c r="HL28" i="31"/>
  <c r="HO28" i="31"/>
  <c r="HI28" i="31"/>
  <c r="HK28" i="31"/>
  <c r="HM28" i="31"/>
  <c r="GZ56" i="31"/>
  <c r="HD56" i="31"/>
  <c r="HA56" i="31"/>
  <c r="HE56" i="31"/>
  <c r="HB56" i="31"/>
  <c r="HF56" i="31"/>
  <c r="HC56" i="31"/>
  <c r="HG56" i="31"/>
  <c r="GZ60" i="31"/>
  <c r="HD60" i="31"/>
  <c r="HA60" i="31"/>
  <c r="HE60" i="31"/>
  <c r="HB60" i="31"/>
  <c r="HF60" i="31"/>
  <c r="HC60" i="31"/>
  <c r="HG60" i="31"/>
  <c r="GZ48" i="31"/>
  <c r="HD48" i="31"/>
  <c r="HA48" i="31"/>
  <c r="HE48" i="31"/>
  <c r="HB48" i="31"/>
  <c r="HF48" i="31"/>
  <c r="HC48" i="31"/>
  <c r="HG48" i="31"/>
  <c r="GL35" i="31"/>
  <c r="GP35" i="31"/>
  <c r="GM35" i="31"/>
  <c r="GQ35" i="31"/>
  <c r="GJ35" i="31"/>
  <c r="GN35" i="31"/>
  <c r="GK35" i="31"/>
  <c r="GO35" i="31"/>
  <c r="FL41" i="31"/>
  <c r="FP41" i="31"/>
  <c r="FM41" i="31"/>
  <c r="FQ41" i="31"/>
  <c r="FN41" i="31"/>
  <c r="FR41" i="31"/>
  <c r="FO41" i="31"/>
  <c r="FS41" i="31"/>
  <c r="EV37" i="31"/>
  <c r="EZ37" i="31"/>
  <c r="EW37" i="31"/>
  <c r="FA37" i="31"/>
  <c r="EX37" i="31"/>
  <c r="FB37" i="31"/>
  <c r="EY37" i="31"/>
  <c r="FC37" i="31"/>
  <c r="JT39" i="31"/>
  <c r="JX39" i="31"/>
  <c r="JU39" i="31"/>
  <c r="JY39" i="31"/>
  <c r="JV39" i="31"/>
  <c r="JZ39" i="31"/>
  <c r="JW39" i="31"/>
  <c r="KA39" i="31"/>
  <c r="JT31" i="31"/>
  <c r="JX31" i="31"/>
  <c r="JV31" i="31"/>
  <c r="JZ31" i="31"/>
  <c r="JU31" i="31"/>
  <c r="JW31" i="31"/>
  <c r="JY31" i="31"/>
  <c r="KA31" i="31"/>
  <c r="JL34" i="31"/>
  <c r="JP34" i="31"/>
  <c r="JN34" i="31"/>
  <c r="JR34" i="31"/>
  <c r="JQ34" i="31"/>
  <c r="JS34" i="31"/>
  <c r="JM34" i="31"/>
  <c r="JO34" i="31"/>
  <c r="IX24" i="31"/>
  <c r="JB24" i="31"/>
  <c r="IY24" i="31"/>
  <c r="JC24" i="31"/>
  <c r="IV24" i="31"/>
  <c r="IZ24" i="31"/>
  <c r="IW24" i="31"/>
  <c r="JA24" i="31"/>
  <c r="IF33" i="31"/>
  <c r="IJ33" i="31"/>
  <c r="IH33" i="31"/>
  <c r="IL33" i="31"/>
  <c r="IG33" i="31"/>
  <c r="II33" i="31"/>
  <c r="IK33" i="31"/>
  <c r="IM33" i="31"/>
  <c r="IF30" i="31"/>
  <c r="IJ30" i="31"/>
  <c r="IG30" i="31"/>
  <c r="IK30" i="31"/>
  <c r="IH30" i="31"/>
  <c r="IL30" i="31"/>
  <c r="II30" i="31"/>
  <c r="IM30" i="31"/>
  <c r="HY53" i="31"/>
  <c r="IC53" i="31"/>
  <c r="HX53" i="31"/>
  <c r="IB53" i="31"/>
  <c r="HZ53" i="31"/>
  <c r="IA53" i="31"/>
  <c r="ID53" i="31"/>
  <c r="IE53" i="31"/>
  <c r="HH39" i="31"/>
  <c r="HL39" i="31"/>
  <c r="HI39" i="31"/>
  <c r="HM39" i="31"/>
  <c r="HJ39" i="31"/>
  <c r="HN39" i="31"/>
  <c r="HK39" i="31"/>
  <c r="HO39" i="31"/>
  <c r="HH31" i="31"/>
  <c r="HL31" i="31"/>
  <c r="HJ31" i="31"/>
  <c r="HN31" i="31"/>
  <c r="HI31" i="31"/>
  <c r="HK31" i="31"/>
  <c r="HM31" i="31"/>
  <c r="HO31" i="31"/>
  <c r="EP31" i="31"/>
  <c r="ET31" i="31"/>
  <c r="EQ31" i="31"/>
  <c r="EU31" i="31"/>
  <c r="ER31" i="31"/>
  <c r="EO31" i="31"/>
  <c r="ES31" i="31"/>
  <c r="W85" i="7"/>
  <c r="V85" i="7"/>
  <c r="JU17" i="31"/>
  <c r="JY17" i="31"/>
  <c r="JV17" i="31"/>
  <c r="JZ17" i="31"/>
  <c r="JW17" i="31"/>
  <c r="KA17" i="31"/>
  <c r="JT17" i="31"/>
  <c r="JX17" i="31"/>
  <c r="JV22" i="31"/>
  <c r="JZ22" i="31"/>
  <c r="JW22" i="31"/>
  <c r="KA22" i="31"/>
  <c r="JT22" i="31"/>
  <c r="JX22" i="31"/>
  <c r="JU22" i="31"/>
  <c r="JY22" i="31"/>
  <c r="JV14" i="31"/>
  <c r="JZ14" i="31"/>
  <c r="JW14" i="31"/>
  <c r="KA14" i="31"/>
  <c r="JT14" i="31"/>
  <c r="JX14" i="31"/>
  <c r="JU14" i="31"/>
  <c r="JY14" i="31"/>
  <c r="JE52" i="31"/>
  <c r="JI52" i="31"/>
  <c r="JD52" i="31"/>
  <c r="JH52" i="31"/>
  <c r="JF52" i="31"/>
  <c r="JG52" i="31"/>
  <c r="JJ52" i="31"/>
  <c r="JK52" i="31"/>
  <c r="JF13" i="31"/>
  <c r="JJ13" i="31"/>
  <c r="JG13" i="31"/>
  <c r="JK13" i="31"/>
  <c r="JD13" i="31"/>
  <c r="JH13" i="31"/>
  <c r="JE13" i="31"/>
  <c r="JI13" i="31"/>
  <c r="IP25" i="31"/>
  <c r="IT25" i="31"/>
  <c r="IQ25" i="31"/>
  <c r="IU25" i="31"/>
  <c r="IN25" i="31"/>
  <c r="IR25" i="31"/>
  <c r="IO25" i="31"/>
  <c r="IS25" i="31"/>
  <c r="IP21" i="31"/>
  <c r="IT21" i="31"/>
  <c r="IQ21" i="31"/>
  <c r="IU21" i="31"/>
  <c r="IN21" i="31"/>
  <c r="IR21" i="31"/>
  <c r="IS21" i="31"/>
  <c r="IO21" i="31"/>
  <c r="HJ25" i="31"/>
  <c r="HN25" i="31"/>
  <c r="HK25" i="31"/>
  <c r="HO25" i="31"/>
  <c r="HH25" i="31"/>
  <c r="HL25" i="31"/>
  <c r="HI25" i="31"/>
  <c r="HM25" i="31"/>
  <c r="HJ14" i="31"/>
  <c r="HN14" i="31"/>
  <c r="HK14" i="31"/>
  <c r="HO14" i="31"/>
  <c r="HH14" i="31"/>
  <c r="HL14" i="31"/>
  <c r="HM14" i="31"/>
  <c r="HI14" i="31"/>
  <c r="GD23" i="31"/>
  <c r="GH23" i="31"/>
  <c r="GE23" i="31"/>
  <c r="GI23" i="31"/>
  <c r="GB23" i="31"/>
  <c r="GF23" i="31"/>
  <c r="GC23" i="31"/>
  <c r="GG23" i="31"/>
  <c r="FT52" i="31"/>
  <c r="FX52" i="31"/>
  <c r="FU52" i="31"/>
  <c r="FY52" i="31"/>
  <c r="FV52" i="31"/>
  <c r="FZ52" i="31"/>
  <c r="FW52" i="31"/>
  <c r="GA52" i="31"/>
  <c r="EW13" i="31"/>
  <c r="FA13" i="31"/>
  <c r="EX13" i="31"/>
  <c r="FB13" i="31"/>
  <c r="EY13" i="31"/>
  <c r="FC13" i="31"/>
  <c r="EV13" i="31"/>
  <c r="EZ13" i="31"/>
  <c r="CW58" i="31"/>
  <c r="CU58" i="31"/>
  <c r="CY58" i="31"/>
  <c r="CT58" i="31"/>
  <c r="CV58" i="31"/>
  <c r="CX58" i="31"/>
  <c r="CZ58" i="31"/>
  <c r="CS58" i="31"/>
  <c r="V75" i="30"/>
  <c r="W75" i="30"/>
  <c r="CE30" i="31"/>
  <c r="CI30" i="31"/>
  <c r="CF30" i="31"/>
  <c r="CJ30" i="31"/>
  <c r="CG30" i="31"/>
  <c r="CH30" i="31"/>
  <c r="CC30" i="31"/>
  <c r="CD30" i="31"/>
  <c r="CG60" i="31"/>
  <c r="CD60" i="31"/>
  <c r="CH60" i="31"/>
  <c r="CE60" i="31"/>
  <c r="CI60" i="31"/>
  <c r="CF60" i="31"/>
  <c r="CJ60" i="31"/>
  <c r="CC60" i="31"/>
  <c r="DD58" i="31"/>
  <c r="DH58" i="31"/>
  <c r="DB58" i="31"/>
  <c r="DF58" i="31"/>
  <c r="DC58" i="31"/>
  <c r="DE58" i="31"/>
  <c r="DG58" i="31"/>
  <c r="DA58" i="31"/>
  <c r="DT55" i="31"/>
  <c r="DX55" i="31"/>
  <c r="DU55" i="31"/>
  <c r="DR55" i="31"/>
  <c r="DV55" i="31"/>
  <c r="DW55" i="31"/>
  <c r="DS55" i="31"/>
  <c r="DQ55" i="31"/>
  <c r="DS50" i="31"/>
  <c r="DW50" i="31"/>
  <c r="DT50" i="31"/>
  <c r="DX50" i="31"/>
  <c r="DU50" i="31"/>
  <c r="DR50" i="31"/>
  <c r="DV50" i="31"/>
  <c r="DQ50" i="31"/>
  <c r="EJ49" i="31"/>
  <c r="EN49" i="31"/>
  <c r="EK49" i="31"/>
  <c r="EH49" i="31"/>
  <c r="EL49" i="31"/>
  <c r="EI49" i="31"/>
  <c r="EM49" i="31"/>
  <c r="EG49" i="31"/>
  <c r="DB48" i="31"/>
  <c r="DF48" i="31"/>
  <c r="DD48" i="31"/>
  <c r="DH48" i="31"/>
  <c r="DG48" i="31"/>
  <c r="DC48" i="31"/>
  <c r="DE48" i="31"/>
  <c r="DA48" i="31"/>
  <c r="CE46" i="31"/>
  <c r="CI46" i="31"/>
  <c r="CF46" i="31"/>
  <c r="CJ46" i="31"/>
  <c r="CG46" i="31"/>
  <c r="CH46" i="31"/>
  <c r="CC46" i="31"/>
  <c r="CD46" i="31"/>
  <c r="U43" i="31"/>
  <c r="R43" i="31"/>
  <c r="V43" i="31"/>
  <c r="Q43" i="31"/>
  <c r="S43" i="31"/>
  <c r="W43" i="31"/>
  <c r="X43" i="31"/>
  <c r="T43" i="31"/>
  <c r="Z42" i="31"/>
  <c r="AD42" i="31"/>
  <c r="AA42" i="31"/>
  <c r="AE42" i="31"/>
  <c r="AB42" i="31"/>
  <c r="AF42" i="31"/>
  <c r="AC42" i="31"/>
  <c r="Y42" i="31"/>
  <c r="BQ40" i="31"/>
  <c r="BN40" i="31"/>
  <c r="BR40" i="31"/>
  <c r="BP40" i="31"/>
  <c r="BS40" i="31"/>
  <c r="BM40" i="31"/>
  <c r="BT40" i="31"/>
  <c r="BO40" i="31"/>
  <c r="DZ38" i="31"/>
  <c r="ED38" i="31"/>
  <c r="EA38" i="31"/>
  <c r="EE38" i="31"/>
  <c r="EB38" i="31"/>
  <c r="EF38" i="31"/>
  <c r="EC38" i="31"/>
  <c r="DY38" i="31"/>
  <c r="EC37" i="31"/>
  <c r="DZ37" i="31"/>
  <c r="ED37" i="31"/>
  <c r="EA37" i="31"/>
  <c r="EE37" i="31"/>
  <c r="EB37" i="31"/>
  <c r="EF37" i="31"/>
  <c r="DY37" i="31"/>
  <c r="EI36" i="31"/>
  <c r="EM36" i="31"/>
  <c r="EJ36" i="31"/>
  <c r="EN36" i="31"/>
  <c r="EK36" i="31"/>
  <c r="EH36" i="31"/>
  <c r="EL36" i="31"/>
  <c r="EG36" i="31"/>
  <c r="DT35" i="31"/>
  <c r="DX35" i="31"/>
  <c r="DU35" i="31"/>
  <c r="DR35" i="31"/>
  <c r="DV35" i="31"/>
  <c r="DS35" i="31"/>
  <c r="DW35" i="31"/>
  <c r="DQ35" i="31"/>
  <c r="AY33" i="31"/>
  <c r="BC33" i="31"/>
  <c r="AZ33" i="31"/>
  <c r="BD33" i="31"/>
  <c r="AX33" i="31"/>
  <c r="BA33" i="31"/>
  <c r="AW33" i="31"/>
  <c r="BB33" i="31"/>
  <c r="CT31" i="31"/>
  <c r="CX31" i="31"/>
  <c r="CV31" i="31"/>
  <c r="CZ31" i="31"/>
  <c r="CY31" i="31"/>
  <c r="CU31" i="31"/>
  <c r="CW31" i="31"/>
  <c r="CS31" i="31"/>
  <c r="DR29" i="31"/>
  <c r="DV29" i="31"/>
  <c r="DS29" i="31"/>
  <c r="DW29" i="31"/>
  <c r="DT29" i="31"/>
  <c r="DX29" i="31"/>
  <c r="DU29" i="31"/>
  <c r="DQ29" i="31"/>
  <c r="CF27" i="31"/>
  <c r="CJ27" i="31"/>
  <c r="CG27" i="31"/>
  <c r="CD27" i="31"/>
  <c r="CH27" i="31"/>
  <c r="CE27" i="31"/>
  <c r="CC27" i="31"/>
  <c r="CI27" i="31"/>
  <c r="CE26" i="31"/>
  <c r="CI26" i="31"/>
  <c r="CF26" i="31"/>
  <c r="CJ26" i="31"/>
  <c r="CG26" i="31"/>
  <c r="CD26" i="31"/>
  <c r="CH26" i="31"/>
  <c r="CC26" i="31"/>
  <c r="EI24" i="31"/>
  <c r="EM24" i="31"/>
  <c r="EJ24" i="31"/>
  <c r="EN24" i="31"/>
  <c r="EK24" i="31"/>
  <c r="EH24" i="31"/>
  <c r="EL24" i="31"/>
  <c r="EG24" i="31"/>
  <c r="DE23" i="31"/>
  <c r="DB23" i="31"/>
  <c r="DF23" i="31"/>
  <c r="DC23" i="31"/>
  <c r="DG23" i="31"/>
  <c r="DD23" i="31"/>
  <c r="DH23" i="31"/>
  <c r="DA23" i="31"/>
  <c r="DC21" i="31"/>
  <c r="DG21" i="31"/>
  <c r="DD21" i="31"/>
  <c r="DH21" i="31"/>
  <c r="DE21" i="31"/>
  <c r="DB21" i="31"/>
  <c r="DF21" i="31"/>
  <c r="DA21" i="31"/>
  <c r="DJ20" i="31"/>
  <c r="DN20" i="31"/>
  <c r="DK20" i="31"/>
  <c r="DO20" i="31"/>
  <c r="DL20" i="31"/>
  <c r="DP20" i="31"/>
  <c r="DM20" i="31"/>
  <c r="DI20" i="31"/>
  <c r="S18" i="31"/>
  <c r="W18" i="31"/>
  <c r="T18" i="31"/>
  <c r="X18" i="31"/>
  <c r="U18" i="31"/>
  <c r="R18" i="31"/>
  <c r="V18" i="31"/>
  <c r="Q18" i="31"/>
  <c r="DB16" i="31"/>
  <c r="DF16" i="31"/>
  <c r="DC16" i="31"/>
  <c r="DG16" i="31"/>
  <c r="DD16" i="31"/>
  <c r="DH16" i="31"/>
  <c r="DE16" i="31"/>
  <c r="DA16" i="31"/>
  <c r="AP15" i="31"/>
  <c r="AT15" i="31"/>
  <c r="AQ15" i="31"/>
  <c r="AU15" i="31"/>
  <c r="AR15" i="31"/>
  <c r="AO15" i="31"/>
  <c r="AS15" i="31"/>
  <c r="AV15" i="31"/>
  <c r="M13" i="31"/>
  <c r="J13" i="31"/>
  <c r="N13" i="31"/>
  <c r="I13" i="31"/>
  <c r="K13" i="31"/>
  <c r="O13" i="31"/>
  <c r="L13" i="31"/>
  <c r="P13" i="31"/>
  <c r="JM50" i="31"/>
  <c r="JQ50" i="31"/>
  <c r="JN50" i="31"/>
  <c r="JR50" i="31"/>
  <c r="JL50" i="31"/>
  <c r="JP50" i="31"/>
  <c r="JO50" i="31"/>
  <c r="JS50" i="31"/>
  <c r="IG50" i="31"/>
  <c r="IK50" i="31"/>
  <c r="IH50" i="31"/>
  <c r="IL50" i="31"/>
  <c r="IF50" i="31"/>
  <c r="IJ50" i="31"/>
  <c r="II50" i="31"/>
  <c r="IM50" i="31"/>
  <c r="HB50" i="31"/>
  <c r="HF50" i="31"/>
  <c r="HC50" i="31"/>
  <c r="HG50" i="31"/>
  <c r="GZ50" i="31"/>
  <c r="HD50" i="31"/>
  <c r="HA50" i="31"/>
  <c r="HE50" i="31"/>
  <c r="FV50" i="31"/>
  <c r="FZ50" i="31"/>
  <c r="FW50" i="31"/>
  <c r="GA50" i="31"/>
  <c r="FT50" i="31"/>
  <c r="FX50" i="31"/>
  <c r="FU50" i="31"/>
  <c r="FY50" i="31"/>
  <c r="EH59" i="31"/>
  <c r="EL59" i="31"/>
  <c r="EI59" i="31"/>
  <c r="EM59" i="31"/>
  <c r="EJ59" i="31"/>
  <c r="EN59" i="31"/>
  <c r="EK59" i="31"/>
  <c r="EG59" i="31"/>
  <c r="JT56" i="31"/>
  <c r="JX56" i="31"/>
  <c r="JU56" i="31"/>
  <c r="JY56" i="31"/>
  <c r="JV56" i="31"/>
  <c r="JZ56" i="31"/>
  <c r="JW56" i="31"/>
  <c r="KA56" i="31"/>
  <c r="JT60" i="31"/>
  <c r="JX60" i="31"/>
  <c r="JU60" i="31"/>
  <c r="JY60" i="31"/>
  <c r="JV60" i="31"/>
  <c r="JZ60" i="31"/>
  <c r="JW60" i="31"/>
  <c r="KA60" i="31"/>
  <c r="JL37" i="31"/>
  <c r="JP37" i="31"/>
  <c r="JM37" i="31"/>
  <c r="JQ37" i="31"/>
  <c r="JN37" i="31"/>
  <c r="JR37" i="31"/>
  <c r="JO37" i="31"/>
  <c r="JS37" i="31"/>
  <c r="IN42" i="31"/>
  <c r="IR42" i="31"/>
  <c r="IP42" i="31"/>
  <c r="IT42" i="31"/>
  <c r="IQ42" i="31"/>
  <c r="IS42" i="31"/>
  <c r="IU42" i="31"/>
  <c r="IO42" i="31"/>
  <c r="IN55" i="31"/>
  <c r="IR55" i="31"/>
  <c r="IO55" i="31"/>
  <c r="IS55" i="31"/>
  <c r="IP55" i="31"/>
  <c r="IT55" i="31"/>
  <c r="IQ55" i="31"/>
  <c r="IU55" i="31"/>
  <c r="IN59" i="31"/>
  <c r="IR59" i="31"/>
  <c r="IO59" i="31"/>
  <c r="IS59" i="31"/>
  <c r="IP59" i="31"/>
  <c r="IT59" i="31"/>
  <c r="IQ59" i="31"/>
  <c r="IU59" i="31"/>
  <c r="IF41" i="31"/>
  <c r="IJ41" i="31"/>
  <c r="IH41" i="31"/>
  <c r="IL41" i="31"/>
  <c r="II41" i="31"/>
  <c r="IK41" i="31"/>
  <c r="IM41" i="31"/>
  <c r="IG41" i="31"/>
  <c r="HX44" i="31"/>
  <c r="IB44" i="31"/>
  <c r="HZ44" i="31"/>
  <c r="ID44" i="31"/>
  <c r="IE44" i="31"/>
  <c r="IA44" i="31"/>
  <c r="IC44" i="31"/>
  <c r="HY44" i="31"/>
  <c r="HX40" i="31"/>
  <c r="IB40" i="31"/>
  <c r="HY40" i="31"/>
  <c r="IC40" i="31"/>
  <c r="HZ40" i="31"/>
  <c r="ID40" i="31"/>
  <c r="IA40" i="31"/>
  <c r="IE40" i="31"/>
  <c r="HH46" i="31"/>
  <c r="HL46" i="31"/>
  <c r="HJ46" i="31"/>
  <c r="HN46" i="31"/>
  <c r="HK46" i="31"/>
  <c r="HM46" i="31"/>
  <c r="HO46" i="31"/>
  <c r="HI46" i="31"/>
  <c r="HI49" i="31"/>
  <c r="HM49" i="31"/>
  <c r="HJ49" i="31"/>
  <c r="HN49" i="31"/>
  <c r="HH49" i="31"/>
  <c r="HL49" i="31"/>
  <c r="HK49" i="31"/>
  <c r="HO49" i="31"/>
  <c r="HI54" i="31"/>
  <c r="HM54" i="31"/>
  <c r="HH54" i="31"/>
  <c r="HL54" i="31"/>
  <c r="HJ54" i="31"/>
  <c r="HK54" i="31"/>
  <c r="HN54" i="31"/>
  <c r="HO54" i="31"/>
  <c r="HH58" i="31"/>
  <c r="HL58" i="31"/>
  <c r="HI58" i="31"/>
  <c r="HM58" i="31"/>
  <c r="HJ58" i="31"/>
  <c r="HN58" i="31"/>
  <c r="HK58" i="31"/>
  <c r="HO58" i="31"/>
  <c r="HH36" i="31"/>
  <c r="HL36" i="31"/>
  <c r="HI36" i="31"/>
  <c r="HM36" i="31"/>
  <c r="HJ36" i="31"/>
  <c r="HN36" i="31"/>
  <c r="HK36" i="31"/>
  <c r="HO36" i="31"/>
  <c r="GL46" i="31"/>
  <c r="GP46" i="31"/>
  <c r="GM46" i="31"/>
  <c r="GQ46" i="31"/>
  <c r="GJ46" i="31"/>
  <c r="GN46" i="31"/>
  <c r="GK46" i="31"/>
  <c r="GO46" i="31"/>
  <c r="GJ48" i="31"/>
  <c r="GN48" i="31"/>
  <c r="GK48" i="31"/>
  <c r="GO48" i="31"/>
  <c r="GL48" i="31"/>
  <c r="GP48" i="31"/>
  <c r="GM48" i="31"/>
  <c r="GQ48" i="31"/>
  <c r="GJ56" i="31"/>
  <c r="GN56" i="31"/>
  <c r="GK56" i="31"/>
  <c r="GO56" i="31"/>
  <c r="GL56" i="31"/>
  <c r="GP56" i="31"/>
  <c r="GM56" i="31"/>
  <c r="GQ56" i="31"/>
  <c r="GJ60" i="31"/>
  <c r="GN60" i="31"/>
  <c r="GK60" i="31"/>
  <c r="GO60" i="31"/>
  <c r="GL60" i="31"/>
  <c r="GP60" i="31"/>
  <c r="GM60" i="31"/>
  <c r="GQ60" i="31"/>
  <c r="FU42" i="31"/>
  <c r="FY42" i="31"/>
  <c r="FT42" i="31"/>
  <c r="FX42" i="31"/>
  <c r="GA42" i="31"/>
  <c r="FV42" i="31"/>
  <c r="FW42" i="31"/>
  <c r="FZ42" i="31"/>
  <c r="FV46" i="31"/>
  <c r="FZ46" i="31"/>
  <c r="FW46" i="31"/>
  <c r="GA46" i="31"/>
  <c r="FT46" i="31"/>
  <c r="FX46" i="31"/>
  <c r="FU46" i="31"/>
  <c r="FY46" i="31"/>
  <c r="AH57" i="31"/>
  <c r="AL57" i="31"/>
  <c r="AI57" i="31"/>
  <c r="AM57" i="31"/>
  <c r="AJ57" i="31"/>
  <c r="AN57" i="31"/>
  <c r="AK57" i="31"/>
  <c r="AG57" i="31"/>
  <c r="FW55" i="31"/>
  <c r="GA55" i="31"/>
  <c r="FT55" i="31"/>
  <c r="FX55" i="31"/>
  <c r="FU55" i="31"/>
  <c r="FY55" i="31"/>
  <c r="FV55" i="31"/>
  <c r="FZ55" i="31"/>
  <c r="FW59" i="31"/>
  <c r="GA59" i="31"/>
  <c r="FT59" i="31"/>
  <c r="FX59" i="31"/>
  <c r="FU59" i="31"/>
  <c r="FY59" i="31"/>
  <c r="FV59" i="31"/>
  <c r="FZ59" i="31"/>
  <c r="EY40" i="31"/>
  <c r="FC40" i="31"/>
  <c r="EV40" i="31"/>
  <c r="EZ40" i="31"/>
  <c r="EW40" i="31"/>
  <c r="FA40" i="31"/>
  <c r="EX40" i="31"/>
  <c r="FB40" i="31"/>
  <c r="EO42" i="31"/>
  <c r="ES42" i="31"/>
  <c r="EP42" i="31"/>
  <c r="ET42" i="31"/>
  <c r="EQ42" i="31"/>
  <c r="EU42" i="31"/>
  <c r="ER42" i="31"/>
  <c r="W96" i="7"/>
  <c r="V96" i="7"/>
  <c r="EP46" i="31"/>
  <c r="ET46" i="31"/>
  <c r="EQ46" i="31"/>
  <c r="EU46" i="31"/>
  <c r="ER46" i="31"/>
  <c r="EO46" i="31"/>
  <c r="ES46" i="31"/>
  <c r="W100" i="7"/>
  <c r="V100" i="7"/>
  <c r="EO49" i="31"/>
  <c r="ES49" i="31"/>
  <c r="EP49" i="31"/>
  <c r="ET49" i="31"/>
  <c r="EQ49" i="31"/>
  <c r="EU49" i="31"/>
  <c r="ER49" i="31"/>
  <c r="E55" i="31"/>
  <c r="D55" i="31"/>
  <c r="F55" i="31"/>
  <c r="B55" i="31"/>
  <c r="C55" i="31"/>
  <c r="G55" i="31"/>
  <c r="H55" i="31"/>
  <c r="EO57" i="31"/>
  <c r="ES57" i="31"/>
  <c r="EP57" i="31"/>
  <c r="ET57" i="31"/>
  <c r="EQ57" i="31"/>
  <c r="EU57" i="31"/>
  <c r="ER57" i="31"/>
  <c r="EQ36" i="31"/>
  <c r="EU36" i="31"/>
  <c r="ER36" i="31"/>
  <c r="EO36" i="31"/>
  <c r="ES36" i="31"/>
  <c r="EP36" i="31"/>
  <c r="ET36" i="31"/>
  <c r="JT34" i="31"/>
  <c r="JX34" i="31"/>
  <c r="JV34" i="31"/>
  <c r="JZ34" i="31"/>
  <c r="JY34" i="31"/>
  <c r="KA34" i="31"/>
  <c r="JU34" i="31"/>
  <c r="JW34" i="31"/>
  <c r="JF26" i="31"/>
  <c r="JJ26" i="31"/>
  <c r="JD26" i="31"/>
  <c r="JH26" i="31"/>
  <c r="JK26" i="31"/>
  <c r="JE26" i="31"/>
  <c r="JG26" i="31"/>
  <c r="JI26" i="31"/>
  <c r="JF24" i="31"/>
  <c r="JJ24" i="31"/>
  <c r="JG24" i="31"/>
  <c r="JK24" i="31"/>
  <c r="JD24" i="31"/>
  <c r="JH24" i="31"/>
  <c r="JI24" i="31"/>
  <c r="JE24" i="31"/>
  <c r="IN30" i="31"/>
  <c r="IR30" i="31"/>
  <c r="IO30" i="31"/>
  <c r="IS30" i="31"/>
  <c r="IP30" i="31"/>
  <c r="IT30" i="31"/>
  <c r="IQ30" i="31"/>
  <c r="IU30" i="31"/>
  <c r="HP39" i="31"/>
  <c r="HT39" i="31"/>
  <c r="HQ39" i="31"/>
  <c r="HU39" i="31"/>
  <c r="HR39" i="31"/>
  <c r="HV39" i="31"/>
  <c r="HS39" i="31"/>
  <c r="HW39" i="31"/>
  <c r="HI34" i="31"/>
  <c r="HH34" i="31"/>
  <c r="HL34" i="31"/>
  <c r="HJ34" i="31"/>
  <c r="HN34" i="31"/>
  <c r="HO34" i="31"/>
  <c r="HM34" i="31"/>
  <c r="HK34" i="31"/>
  <c r="HC32" i="31"/>
  <c r="HG32" i="31"/>
  <c r="GZ32" i="31"/>
  <c r="HD32" i="31"/>
  <c r="HA32" i="31"/>
  <c r="HE32" i="31"/>
  <c r="HB32" i="31"/>
  <c r="HF32" i="31"/>
  <c r="HA26" i="31"/>
  <c r="HE26" i="31"/>
  <c r="HB26" i="31"/>
  <c r="HF26" i="31"/>
  <c r="HC26" i="31"/>
  <c r="HG26" i="31"/>
  <c r="GZ26" i="31"/>
  <c r="HD26" i="31"/>
  <c r="HB27" i="31"/>
  <c r="HF27" i="31"/>
  <c r="HC27" i="31"/>
  <c r="HG27" i="31"/>
  <c r="GZ27" i="31"/>
  <c r="HD27" i="31"/>
  <c r="HA27" i="31"/>
  <c r="HE27" i="31"/>
  <c r="GR33" i="31"/>
  <c r="GV33" i="31"/>
  <c r="GS33" i="31"/>
  <c r="GW33" i="31"/>
  <c r="GT33" i="31"/>
  <c r="GX33" i="31"/>
  <c r="GU33" i="31"/>
  <c r="GY33" i="31"/>
  <c r="GS30" i="31"/>
  <c r="GW30" i="31"/>
  <c r="GT30" i="31"/>
  <c r="GX30" i="31"/>
  <c r="GU30" i="31"/>
  <c r="GY30" i="31"/>
  <c r="GR30" i="31"/>
  <c r="GV30" i="31"/>
  <c r="GC30" i="31"/>
  <c r="GG30" i="31"/>
  <c r="GD30" i="31"/>
  <c r="GH30" i="31"/>
  <c r="GE30" i="31"/>
  <c r="GI30" i="31"/>
  <c r="GB30" i="31"/>
  <c r="GF30" i="31"/>
  <c r="FL29" i="31"/>
  <c r="FP29" i="31"/>
  <c r="FM29" i="31"/>
  <c r="FQ29" i="31"/>
  <c r="FN29" i="31"/>
  <c r="FR29" i="31"/>
  <c r="FO29" i="31"/>
  <c r="FS29" i="31"/>
  <c r="EX39" i="31"/>
  <c r="FB39" i="31"/>
  <c r="EY39" i="31"/>
  <c r="FC39" i="31"/>
  <c r="EV39" i="31"/>
  <c r="EZ39" i="31"/>
  <c r="EW39" i="31"/>
  <c r="FA39" i="31"/>
  <c r="EX31" i="31"/>
  <c r="FB31" i="31"/>
  <c r="EY31" i="31"/>
  <c r="FC31" i="31"/>
  <c r="EV31" i="31"/>
  <c r="EZ31" i="31"/>
  <c r="EW31" i="31"/>
  <c r="FA31" i="31"/>
  <c r="ER29" i="31"/>
  <c r="EO29" i="31"/>
  <c r="ES29" i="31"/>
  <c r="EP29" i="31"/>
  <c r="ET29" i="31"/>
  <c r="EQ29" i="31"/>
  <c r="EU29" i="31"/>
  <c r="W83" i="7"/>
  <c r="V83" i="7"/>
  <c r="JV20" i="31"/>
  <c r="JZ20" i="31"/>
  <c r="JW20" i="31"/>
  <c r="KA20" i="31"/>
  <c r="JT20" i="31"/>
  <c r="JX20" i="31"/>
  <c r="JU20" i="31"/>
  <c r="JY20" i="31"/>
  <c r="JV19" i="31"/>
  <c r="JZ19" i="31"/>
  <c r="JW19" i="31"/>
  <c r="KA19" i="31"/>
  <c r="JT19" i="31"/>
  <c r="JU19" i="31"/>
  <c r="JX19" i="31"/>
  <c r="JY19" i="31"/>
  <c r="JN25" i="31"/>
  <c r="JR25" i="31"/>
  <c r="JO25" i="31"/>
  <c r="JS25" i="31"/>
  <c r="JL25" i="31"/>
  <c r="JP25" i="31"/>
  <c r="JQ25" i="31"/>
  <c r="JM25" i="31"/>
  <c r="JN21" i="31"/>
  <c r="JR21" i="31"/>
  <c r="JO21" i="31"/>
  <c r="JS21" i="31"/>
  <c r="JL21" i="31"/>
  <c r="JP21" i="31"/>
  <c r="JM21" i="31"/>
  <c r="JQ21" i="31"/>
  <c r="JN14" i="31"/>
  <c r="JR14" i="31"/>
  <c r="JO14" i="31"/>
  <c r="JS14" i="31"/>
  <c r="JL14" i="31"/>
  <c r="JP14" i="31"/>
  <c r="JQ14" i="31"/>
  <c r="JM14" i="31"/>
  <c r="HZ20" i="31"/>
  <c r="ID20" i="31"/>
  <c r="IA20" i="31"/>
  <c r="IE20" i="31"/>
  <c r="HX20" i="31"/>
  <c r="HY20" i="31"/>
  <c r="IB20" i="31"/>
  <c r="IC20" i="31"/>
  <c r="HJ15" i="31"/>
  <c r="HN15" i="31"/>
  <c r="HK15" i="31"/>
  <c r="HO15" i="31"/>
  <c r="HH15" i="31"/>
  <c r="HL15" i="31"/>
  <c r="HM15" i="31"/>
  <c r="HI15" i="31"/>
  <c r="GZ20" i="31"/>
  <c r="HD20" i="31"/>
  <c r="HA20" i="31"/>
  <c r="HE20" i="31"/>
  <c r="HB20" i="31"/>
  <c r="HF20" i="31"/>
  <c r="HC20" i="31"/>
  <c r="HG20" i="31"/>
  <c r="GQ12" i="31"/>
  <c r="GP12" i="31"/>
  <c r="GL12" i="31"/>
  <c r="GO12" i="31"/>
  <c r="GK12" i="31"/>
  <c r="GN12" i="31"/>
  <c r="GJ12" i="31"/>
  <c r="GM12" i="31"/>
  <c r="GC21" i="31"/>
  <c r="GG21" i="31"/>
  <c r="GB21" i="31"/>
  <c r="GF21" i="31"/>
  <c r="GE21" i="31"/>
  <c r="GH21" i="31"/>
  <c r="GI21" i="31"/>
  <c r="GD21" i="31"/>
  <c r="FV23" i="31"/>
  <c r="FZ23" i="31"/>
  <c r="FW23" i="31"/>
  <c r="GA23" i="31"/>
  <c r="FT23" i="31"/>
  <c r="FX23" i="31"/>
  <c r="FU23" i="31"/>
  <c r="FY23" i="31"/>
  <c r="FT16" i="31"/>
  <c r="FX16" i="31"/>
  <c r="FU16" i="31"/>
  <c r="FY16" i="31"/>
  <c r="FV16" i="31"/>
  <c r="FZ16" i="31"/>
  <c r="FW16" i="31"/>
  <c r="GA16" i="31"/>
  <c r="FN18" i="31"/>
  <c r="FR18" i="31"/>
  <c r="FO18" i="31"/>
  <c r="FS18" i="31"/>
  <c r="FL18" i="31"/>
  <c r="FP18" i="31"/>
  <c r="FM18" i="31"/>
  <c r="FQ18" i="31"/>
  <c r="EX23" i="31"/>
  <c r="FB23" i="31"/>
  <c r="EY23" i="31"/>
  <c r="FC23" i="31"/>
  <c r="EV23" i="31"/>
  <c r="EZ23" i="31"/>
  <c r="EW23" i="31"/>
  <c r="FA23" i="31"/>
  <c r="EP23" i="31"/>
  <c r="ET23" i="31"/>
  <c r="EQ23" i="31"/>
  <c r="EU23" i="31"/>
  <c r="ER23" i="31"/>
  <c r="EO23" i="31"/>
  <c r="ES23" i="31"/>
  <c r="ER16" i="31"/>
  <c r="EO16" i="31"/>
  <c r="ES16" i="31"/>
  <c r="EP16" i="31"/>
  <c r="ET16" i="31"/>
  <c r="EQ16" i="31"/>
  <c r="EU16" i="31"/>
  <c r="EJ45" i="31"/>
  <c r="EN45" i="31"/>
  <c r="EK45" i="31"/>
  <c r="EH45" i="31"/>
  <c r="EL45" i="31"/>
  <c r="EI45" i="31"/>
  <c r="EM45" i="31"/>
  <c r="EG45" i="31"/>
  <c r="BX45" i="31"/>
  <c r="CB45" i="31"/>
  <c r="BY45" i="31"/>
  <c r="BW45" i="31"/>
  <c r="BZ45" i="31"/>
  <c r="CA45" i="31"/>
  <c r="BU45" i="31"/>
  <c r="BV45" i="31"/>
  <c r="DD54" i="31"/>
  <c r="DH54" i="31"/>
  <c r="DB54" i="31"/>
  <c r="DF54" i="31"/>
  <c r="DE54" i="31"/>
  <c r="DG54" i="31"/>
  <c r="DC54" i="31"/>
  <c r="DA54" i="31"/>
  <c r="DS30" i="31"/>
  <c r="DW30" i="31"/>
  <c r="DT30" i="31"/>
  <c r="DX30" i="31"/>
  <c r="DU30" i="31"/>
  <c r="DV30" i="31"/>
  <c r="DR30" i="31"/>
  <c r="DQ30" i="31"/>
  <c r="CL30" i="31"/>
  <c r="CP30" i="31"/>
  <c r="CN30" i="31"/>
  <c r="CR30" i="31"/>
  <c r="CQ30" i="31"/>
  <c r="CM30" i="31"/>
  <c r="CO30" i="31"/>
  <c r="CK30" i="31"/>
  <c r="AQ30" i="31"/>
  <c r="AU30" i="31"/>
  <c r="AR30" i="31"/>
  <c r="AV30" i="31"/>
  <c r="AT30" i="31"/>
  <c r="AP30" i="31"/>
  <c r="AS30" i="31"/>
  <c r="AO30" i="31"/>
  <c r="AB34" i="31"/>
  <c r="AF34" i="31"/>
  <c r="AC34" i="31"/>
  <c r="Z34" i="31"/>
  <c r="AD34" i="31"/>
  <c r="AA34" i="31"/>
  <c r="Y34" i="31"/>
  <c r="AE34" i="31"/>
  <c r="J30" i="31"/>
  <c r="N30" i="31"/>
  <c r="K30" i="31"/>
  <c r="O30" i="31"/>
  <c r="L30" i="31"/>
  <c r="P30" i="31"/>
  <c r="I30" i="31"/>
  <c r="M30" i="31"/>
  <c r="CU52" i="31"/>
  <c r="CY52" i="31"/>
  <c r="CW52" i="31"/>
  <c r="CV52" i="31"/>
  <c r="CX52" i="31"/>
  <c r="CZ52" i="31"/>
  <c r="CT52" i="31"/>
  <c r="CS52" i="31"/>
  <c r="JV13" i="31"/>
  <c r="JZ13" i="31"/>
  <c r="JW13" i="31"/>
  <c r="KA13" i="31"/>
  <c r="JT13" i="31"/>
  <c r="JX13" i="31"/>
  <c r="JU13" i="31"/>
  <c r="JY13" i="31"/>
  <c r="EA59" i="31"/>
  <c r="EE59" i="31"/>
  <c r="EB59" i="31"/>
  <c r="EF59" i="31"/>
  <c r="EC59" i="31"/>
  <c r="DZ59" i="31"/>
  <c r="ED59" i="31"/>
  <c r="DY59" i="31"/>
  <c r="DB56" i="31"/>
  <c r="DF56" i="31"/>
  <c r="DD56" i="31"/>
  <c r="DH56" i="31"/>
  <c r="DG56" i="31"/>
  <c r="DC56" i="31"/>
  <c r="DE56" i="31"/>
  <c r="DA56" i="31"/>
  <c r="EC49" i="31"/>
  <c r="DZ49" i="31"/>
  <c r="ED49" i="31"/>
  <c r="EA49" i="31"/>
  <c r="EE49" i="31"/>
  <c r="EF49" i="31"/>
  <c r="EB49" i="31"/>
  <c r="DY49" i="31"/>
  <c r="BP48" i="31"/>
  <c r="BT48" i="31"/>
  <c r="BQ48" i="31"/>
  <c r="BO48" i="31"/>
  <c r="BR48" i="31"/>
  <c r="BS48" i="31"/>
  <c r="BN48" i="31"/>
  <c r="BM48" i="31"/>
  <c r="BO47" i="31"/>
  <c r="BS47" i="31"/>
  <c r="BP47" i="31"/>
  <c r="BT47" i="31"/>
  <c r="BN47" i="31"/>
  <c r="BQ47" i="31"/>
  <c r="BR47" i="31"/>
  <c r="BM47" i="31"/>
  <c r="BW44" i="31"/>
  <c r="CA44" i="31"/>
  <c r="BX44" i="31"/>
  <c r="CB44" i="31"/>
  <c r="BV44" i="31"/>
  <c r="BY44" i="31"/>
  <c r="BZ44" i="31"/>
  <c r="BU44" i="31"/>
  <c r="CE42" i="31"/>
  <c r="CI42" i="31"/>
  <c r="CF42" i="31"/>
  <c r="CJ42" i="31"/>
  <c r="CG42" i="31"/>
  <c r="CD42" i="31"/>
  <c r="CH42" i="31"/>
  <c r="CC42" i="31"/>
  <c r="CD41" i="31"/>
  <c r="CH41" i="31"/>
  <c r="CE41" i="31"/>
  <c r="CI41" i="31"/>
  <c r="CF41" i="31"/>
  <c r="CJ41" i="31"/>
  <c r="CC41" i="31"/>
  <c r="CG41" i="31"/>
  <c r="DS38" i="31"/>
  <c r="DW38" i="31"/>
  <c r="DT38" i="31"/>
  <c r="DX38" i="31"/>
  <c r="DU38" i="31"/>
  <c r="DR38" i="31"/>
  <c r="DV38" i="31"/>
  <c r="DQ38" i="31"/>
  <c r="S35" i="31"/>
  <c r="W35" i="31"/>
  <c r="T35" i="31"/>
  <c r="X35" i="31"/>
  <c r="U35" i="31"/>
  <c r="R35" i="31"/>
  <c r="V35" i="31"/>
  <c r="Q35" i="31"/>
  <c r="BH32" i="31"/>
  <c r="BL32" i="31"/>
  <c r="BI32" i="31"/>
  <c r="BG32" i="31"/>
  <c r="BJ32" i="31"/>
  <c r="BK32" i="31"/>
  <c r="BF32" i="31"/>
  <c r="BE32" i="31"/>
  <c r="CU28" i="31"/>
  <c r="CY28" i="31"/>
  <c r="CW28" i="31"/>
  <c r="CV28" i="31"/>
  <c r="CX28" i="31"/>
  <c r="CZ28" i="31"/>
  <c r="CT28" i="31"/>
  <c r="CS28" i="31"/>
  <c r="DE27" i="31"/>
  <c r="DB27" i="31"/>
  <c r="DF27" i="31"/>
  <c r="DC27" i="31"/>
  <c r="DG27" i="31"/>
  <c r="DH27" i="31"/>
  <c r="DD27" i="31"/>
  <c r="DA27" i="31"/>
  <c r="J26" i="31"/>
  <c r="N26" i="31"/>
  <c r="K26" i="31"/>
  <c r="O26" i="31"/>
  <c r="L26" i="31"/>
  <c r="P26" i="31"/>
  <c r="I26" i="31"/>
  <c r="M26" i="31"/>
  <c r="CV21" i="31"/>
  <c r="CZ21" i="31"/>
  <c r="CT21" i="31"/>
  <c r="CX21" i="31"/>
  <c r="CW21" i="31"/>
  <c r="CY21" i="31"/>
  <c r="CS21" i="31"/>
  <c r="CU21" i="31"/>
  <c r="AK19" i="31"/>
  <c r="AL19" i="31"/>
  <c r="AH19" i="31"/>
  <c r="AM19" i="31"/>
  <c r="AI19" i="31"/>
  <c r="AN19" i="31"/>
  <c r="AJ19" i="31"/>
  <c r="AG19" i="31"/>
  <c r="CU16" i="31"/>
  <c r="CY16" i="31"/>
  <c r="CW16" i="31"/>
  <c r="CZ16" i="31"/>
  <c r="CT16" i="31"/>
  <c r="CV16" i="31"/>
  <c r="CX16" i="31"/>
  <c r="CS16" i="31"/>
  <c r="CM15" i="31"/>
  <c r="CQ15" i="31"/>
  <c r="CO15" i="31"/>
  <c r="CR15" i="31"/>
  <c r="CL15" i="31"/>
  <c r="CN15" i="31"/>
  <c r="CP15" i="31"/>
  <c r="CK15" i="31"/>
  <c r="AQ12" i="31"/>
  <c r="AU12" i="31"/>
  <c r="AR12" i="31"/>
  <c r="AV12" i="31"/>
  <c r="AT12" i="31"/>
  <c r="AO12" i="31"/>
  <c r="AP12" i="31"/>
  <c r="AS12" i="31"/>
  <c r="JL40" i="31"/>
  <c r="JP40" i="31"/>
  <c r="JM40" i="31"/>
  <c r="JQ40" i="31"/>
  <c r="JN40" i="31"/>
  <c r="JR40" i="31"/>
  <c r="JO40" i="31"/>
  <c r="JS40" i="31"/>
  <c r="JD35" i="31"/>
  <c r="JH35" i="31"/>
  <c r="JE35" i="31"/>
  <c r="JI35" i="31"/>
  <c r="JF35" i="31"/>
  <c r="JJ35" i="31"/>
  <c r="JG35" i="31"/>
  <c r="JK35" i="31"/>
  <c r="DK57" i="31"/>
  <c r="DO57" i="31"/>
  <c r="DL57" i="31"/>
  <c r="DP57" i="31"/>
  <c r="DJ57" i="31"/>
  <c r="DM57" i="31"/>
  <c r="DN57" i="31"/>
  <c r="DI57" i="31"/>
  <c r="IV55" i="31"/>
  <c r="IZ55" i="31"/>
  <c r="IW55" i="31"/>
  <c r="JA55" i="31"/>
  <c r="IX55" i="31"/>
  <c r="JB55" i="31"/>
  <c r="IY55" i="31"/>
  <c r="JC55" i="31"/>
  <c r="IV59" i="31"/>
  <c r="IZ59" i="31"/>
  <c r="IW59" i="31"/>
  <c r="JA59" i="31"/>
  <c r="IX59" i="31"/>
  <c r="JB59" i="31"/>
  <c r="IY59" i="31"/>
  <c r="JC59" i="31"/>
  <c r="IF44" i="31"/>
  <c r="IJ44" i="31"/>
  <c r="IH44" i="31"/>
  <c r="IL44" i="31"/>
  <c r="IM44" i="31"/>
  <c r="IK44" i="31"/>
  <c r="IG44" i="31"/>
  <c r="II44" i="31"/>
  <c r="HP46" i="31"/>
  <c r="HT46" i="31"/>
  <c r="HR46" i="31"/>
  <c r="HV46" i="31"/>
  <c r="HS46" i="31"/>
  <c r="HU46" i="31"/>
  <c r="HW46" i="31"/>
  <c r="HQ46" i="31"/>
  <c r="HQ48" i="31"/>
  <c r="HU48" i="31"/>
  <c r="HR48" i="31"/>
  <c r="HV48" i="31"/>
  <c r="HS48" i="31"/>
  <c r="HW48" i="31"/>
  <c r="HP48" i="31"/>
  <c r="HT48" i="31"/>
  <c r="HP56" i="31"/>
  <c r="HT56" i="31"/>
  <c r="HQ56" i="31"/>
  <c r="HU56" i="31"/>
  <c r="HR56" i="31"/>
  <c r="HV56" i="31"/>
  <c r="HS56" i="31"/>
  <c r="HW56" i="31"/>
  <c r="HP60" i="31"/>
  <c r="HT60" i="31"/>
  <c r="HQ60" i="31"/>
  <c r="HU60" i="31"/>
  <c r="HR60" i="31"/>
  <c r="HV60" i="31"/>
  <c r="HS60" i="31"/>
  <c r="HW60" i="31"/>
  <c r="HP36" i="31"/>
  <c r="HT36" i="31"/>
  <c r="HQ36" i="31"/>
  <c r="HU36" i="31"/>
  <c r="HR36" i="31"/>
  <c r="HV36" i="31"/>
  <c r="HS36" i="31"/>
  <c r="HW36" i="31"/>
  <c r="HH37" i="31"/>
  <c r="HL37" i="31"/>
  <c r="HI37" i="31"/>
  <c r="HM37" i="31"/>
  <c r="HJ37" i="31"/>
  <c r="HN37" i="31"/>
  <c r="HK37" i="31"/>
  <c r="HO37" i="31"/>
  <c r="HH41" i="31"/>
  <c r="HL41" i="31"/>
  <c r="HI41" i="31"/>
  <c r="HM41" i="31"/>
  <c r="HJ41" i="31"/>
  <c r="HN41" i="31"/>
  <c r="HK41" i="31"/>
  <c r="HO41" i="31"/>
  <c r="GU28" i="31"/>
  <c r="GY28" i="31"/>
  <c r="GR28" i="31"/>
  <c r="GV28" i="31"/>
  <c r="GS28" i="31"/>
  <c r="GW28" i="31"/>
  <c r="GT28" i="31"/>
  <c r="GX28" i="31"/>
  <c r="GJ37" i="31"/>
  <c r="GN37" i="31"/>
  <c r="GK37" i="31"/>
  <c r="GO37" i="31"/>
  <c r="GL37" i="31"/>
  <c r="GP37" i="31"/>
  <c r="GM37" i="31"/>
  <c r="GQ37" i="31"/>
  <c r="FT37" i="31"/>
  <c r="FX37" i="31"/>
  <c r="FU37" i="31"/>
  <c r="FY37" i="31"/>
  <c r="FV37" i="31"/>
  <c r="FZ37" i="31"/>
  <c r="FW37" i="31"/>
  <c r="GA37" i="31"/>
  <c r="FD37" i="31"/>
  <c r="FH37" i="31"/>
  <c r="FE37" i="31"/>
  <c r="FI37" i="31"/>
  <c r="FF37" i="31"/>
  <c r="FJ37" i="31"/>
  <c r="FG37" i="31"/>
  <c r="FK37" i="31"/>
  <c r="EX35" i="31"/>
  <c r="FB35" i="31"/>
  <c r="EY35" i="31"/>
  <c r="FC35" i="31"/>
  <c r="EV35" i="31"/>
  <c r="EZ35" i="31"/>
  <c r="EW35" i="31"/>
  <c r="FA35" i="31"/>
  <c r="JN24" i="31"/>
  <c r="JR24" i="31"/>
  <c r="JO24" i="31"/>
  <c r="JS24" i="31"/>
  <c r="JL24" i="31"/>
  <c r="JP24" i="31"/>
  <c r="JM24" i="31"/>
  <c r="JQ24" i="31"/>
  <c r="IV30" i="31"/>
  <c r="IZ30" i="31"/>
  <c r="IW30" i="31"/>
  <c r="JA30" i="31"/>
  <c r="IX30" i="31"/>
  <c r="JB30" i="31"/>
  <c r="IY30" i="31"/>
  <c r="JC30" i="31"/>
  <c r="HX39" i="31"/>
  <c r="IB39" i="31"/>
  <c r="HY39" i="31"/>
  <c r="IC39" i="31"/>
  <c r="HZ39" i="31"/>
  <c r="ID39" i="31"/>
  <c r="IA39" i="31"/>
  <c r="IE39" i="31"/>
  <c r="HP34" i="31"/>
  <c r="HT34" i="31"/>
  <c r="HR34" i="31"/>
  <c r="HV34" i="31"/>
  <c r="HU34" i="31"/>
  <c r="HW34" i="31"/>
  <c r="HQ34" i="31"/>
  <c r="HS34" i="31"/>
  <c r="HB39" i="31"/>
  <c r="HF39" i="31"/>
  <c r="HC39" i="31"/>
  <c r="HG39" i="31"/>
  <c r="GZ39" i="31"/>
  <c r="HD39" i="31"/>
  <c r="HA39" i="31"/>
  <c r="HE39" i="31"/>
  <c r="FV31" i="31"/>
  <c r="FZ31" i="31"/>
  <c r="FW31" i="31"/>
  <c r="GA31" i="31"/>
  <c r="FT31" i="31"/>
  <c r="FX31" i="31"/>
  <c r="FU31" i="31"/>
  <c r="FY31" i="31"/>
  <c r="FF31" i="31"/>
  <c r="FJ31" i="31"/>
  <c r="FG31" i="31"/>
  <c r="FK31" i="31"/>
  <c r="FD31" i="31"/>
  <c r="FH31" i="31"/>
  <c r="FE31" i="31"/>
  <c r="FI31" i="31"/>
  <c r="EV29" i="31"/>
  <c r="EZ29" i="31"/>
  <c r="EW29" i="31"/>
  <c r="FA29" i="31"/>
  <c r="EX29" i="31"/>
  <c r="FB29" i="31"/>
  <c r="EY29" i="31"/>
  <c r="FC29" i="31"/>
  <c r="EO53" i="31"/>
  <c r="ES53" i="31"/>
  <c r="EP53" i="31"/>
  <c r="ET53" i="31"/>
  <c r="EQ53" i="31"/>
  <c r="EU53" i="31"/>
  <c r="ER53" i="31"/>
  <c r="JF21" i="31"/>
  <c r="JJ21" i="31"/>
  <c r="JG21" i="31"/>
  <c r="JK21" i="31"/>
  <c r="JD21" i="31"/>
  <c r="JH21" i="31"/>
  <c r="JI21" i="31"/>
  <c r="JE21" i="31"/>
  <c r="IW18" i="31"/>
  <c r="JA18" i="31"/>
  <c r="IX18" i="31"/>
  <c r="JB18" i="31"/>
  <c r="IY18" i="31"/>
  <c r="JC18" i="31"/>
  <c r="IV18" i="31"/>
  <c r="IZ18" i="31"/>
  <c r="HR13" i="31"/>
  <c r="HV13" i="31"/>
  <c r="HS13" i="31"/>
  <c r="HW13" i="31"/>
  <c r="HP13" i="31"/>
  <c r="HT13" i="31"/>
  <c r="HU13" i="31"/>
  <c r="HQ13" i="31"/>
  <c r="GJ52" i="31"/>
  <c r="GN52" i="31"/>
  <c r="GK52" i="31"/>
  <c r="GO52" i="31"/>
  <c r="GL52" i="31"/>
  <c r="GP52" i="31"/>
  <c r="GM52" i="31"/>
  <c r="GQ52" i="31"/>
  <c r="GB20" i="31"/>
  <c r="GF20" i="31"/>
  <c r="GC20" i="31"/>
  <c r="GG20" i="31"/>
  <c r="GD20" i="31"/>
  <c r="GH20" i="31"/>
  <c r="GE20" i="31"/>
  <c r="GI20" i="31"/>
  <c r="GE19" i="31"/>
  <c r="GI19" i="31"/>
  <c r="GB19" i="31"/>
  <c r="GF19" i="31"/>
  <c r="GC19" i="31"/>
  <c r="GG19" i="31"/>
  <c r="GD19" i="31"/>
  <c r="GH19" i="31"/>
  <c r="GE15" i="31"/>
  <c r="GI15" i="31"/>
  <c r="GB15" i="31"/>
  <c r="GF15" i="31"/>
  <c r="GC15" i="31"/>
  <c r="GG15" i="31"/>
  <c r="GD15" i="31"/>
  <c r="GH15" i="31"/>
  <c r="FU17" i="31"/>
  <c r="FY17" i="31"/>
  <c r="FV17" i="31"/>
  <c r="FZ17" i="31"/>
  <c r="FW17" i="31"/>
  <c r="GA17" i="31"/>
  <c r="FT17" i="31"/>
  <c r="FX17" i="31"/>
  <c r="FU22" i="31"/>
  <c r="FY22" i="31"/>
  <c r="FV22" i="31"/>
  <c r="FZ22" i="31"/>
  <c r="FW22" i="31"/>
  <c r="GA22" i="31"/>
  <c r="FT22" i="31"/>
  <c r="FX22" i="31"/>
  <c r="FE17" i="31"/>
  <c r="FI17" i="31"/>
  <c r="FF17" i="31"/>
  <c r="FJ17" i="31"/>
  <c r="FG17" i="31"/>
  <c r="FK17" i="31"/>
  <c r="FD17" i="31"/>
  <c r="FH17" i="31"/>
  <c r="FF22" i="31"/>
  <c r="FE22" i="31"/>
  <c r="FI22" i="31"/>
  <c r="FH22" i="31"/>
  <c r="FJ22" i="31"/>
  <c r="FD22" i="31"/>
  <c r="FK22" i="31"/>
  <c r="FG22" i="31"/>
  <c r="FF14" i="31"/>
  <c r="FJ14" i="31"/>
  <c r="FG14" i="31"/>
  <c r="FK14" i="31"/>
  <c r="FD14" i="31"/>
  <c r="FH14" i="31"/>
  <c r="FE14" i="31"/>
  <c r="FI14" i="31"/>
  <c r="EW21" i="31"/>
  <c r="FA21" i="31"/>
  <c r="EV21" i="31"/>
  <c r="EZ21" i="31"/>
  <c r="EY21" i="31"/>
  <c r="FB21" i="31"/>
  <c r="FC21" i="31"/>
  <c r="EX21" i="31"/>
  <c r="EO17" i="31"/>
  <c r="ES17" i="31"/>
  <c r="EP17" i="31"/>
  <c r="ET17" i="31"/>
  <c r="EQ17" i="31"/>
  <c r="EU17" i="31"/>
  <c r="ER17" i="31"/>
  <c r="EP22" i="31"/>
  <c r="ET22" i="31"/>
  <c r="EO22" i="31"/>
  <c r="ES22" i="31"/>
  <c r="ER22" i="31"/>
  <c r="EU22" i="31"/>
  <c r="EQ22" i="31"/>
  <c r="DM51" i="31"/>
  <c r="DJ51" i="31"/>
  <c r="DN51" i="31"/>
  <c r="DK51" i="31"/>
  <c r="DL51" i="31"/>
  <c r="DO51" i="31"/>
  <c r="DP51" i="31"/>
  <c r="DI51" i="31"/>
  <c r="DL58" i="31"/>
  <c r="DP58" i="31"/>
  <c r="DM58" i="31"/>
  <c r="DJ58" i="31"/>
  <c r="DK58" i="31"/>
  <c r="DN58" i="31"/>
  <c r="DO58" i="31"/>
  <c r="DI58" i="31"/>
  <c r="CW30" i="31"/>
  <c r="CU30" i="31"/>
  <c r="CY30" i="31"/>
  <c r="CX30" i="31"/>
  <c r="CZ30" i="31"/>
  <c r="CT30" i="31"/>
  <c r="CS30" i="31"/>
  <c r="CV30" i="31"/>
  <c r="BO34" i="31"/>
  <c r="BS34" i="31"/>
  <c r="BP34" i="31"/>
  <c r="BT34" i="31"/>
  <c r="BR34" i="31"/>
  <c r="BN34" i="31"/>
  <c r="BQ34" i="31"/>
  <c r="BM34" i="31"/>
  <c r="AC53" i="31"/>
  <c r="Z53" i="31"/>
  <c r="AD53" i="31"/>
  <c r="Y53" i="31"/>
  <c r="AA53" i="31"/>
  <c r="AE53" i="31"/>
  <c r="AB53" i="31"/>
  <c r="AF53" i="31"/>
  <c r="V35" i="30"/>
  <c r="W35" i="30"/>
  <c r="V50" i="7"/>
  <c r="W25" i="7"/>
  <c r="V46" i="7"/>
  <c r="W18" i="7"/>
  <c r="HR19" i="31"/>
  <c r="HV19" i="31"/>
  <c r="HS19" i="31"/>
  <c r="HW19" i="31"/>
  <c r="HP19" i="31"/>
  <c r="HQ19" i="31"/>
  <c r="HT19" i="31"/>
  <c r="HU19" i="31"/>
  <c r="J46" i="31"/>
  <c r="N46" i="31"/>
  <c r="K46" i="31"/>
  <c r="O46" i="31"/>
  <c r="L46" i="31"/>
  <c r="I46" i="31"/>
  <c r="M46" i="31"/>
  <c r="P46" i="31"/>
  <c r="FN39" i="31"/>
  <c r="FR39" i="31"/>
  <c r="FO39" i="31"/>
  <c r="FS39" i="31"/>
  <c r="FL39" i="31"/>
  <c r="FP39" i="31"/>
  <c r="FM39" i="31"/>
  <c r="FQ39" i="31"/>
  <c r="J35" i="31"/>
  <c r="N35" i="31"/>
  <c r="K35" i="31"/>
  <c r="O35" i="31"/>
  <c r="L35" i="31"/>
  <c r="P35" i="31"/>
  <c r="M35" i="31"/>
  <c r="I35" i="31"/>
  <c r="E46" i="31"/>
  <c r="B46" i="31"/>
  <c r="C46" i="31"/>
  <c r="H46" i="31"/>
  <c r="D46" i="31"/>
  <c r="F46" i="31"/>
  <c r="G46" i="31"/>
  <c r="FW36" i="31"/>
  <c r="GA36" i="31"/>
  <c r="FT36" i="31"/>
  <c r="FX36" i="31"/>
  <c r="FU36" i="31"/>
  <c r="FY36" i="31"/>
  <c r="FV36" i="31"/>
  <c r="FZ36" i="31"/>
  <c r="EW45" i="31"/>
  <c r="FA45" i="31"/>
  <c r="EX45" i="31"/>
  <c r="FB45" i="31"/>
  <c r="EY45" i="31"/>
  <c r="FC45" i="31"/>
  <c r="EV45" i="31"/>
  <c r="EZ45" i="31"/>
  <c r="GS17" i="31"/>
  <c r="GW17" i="31"/>
  <c r="GT17" i="31"/>
  <c r="GX17" i="31"/>
  <c r="GU17" i="31"/>
  <c r="GY17" i="31"/>
  <c r="GR17" i="31"/>
  <c r="GV17" i="31"/>
  <c r="HA17" i="31"/>
  <c r="HE17" i="31"/>
  <c r="HB17" i="31"/>
  <c r="HF17" i="31"/>
  <c r="HC17" i="31"/>
  <c r="HG17" i="31"/>
  <c r="GZ17" i="31"/>
  <c r="HD17" i="31"/>
  <c r="GU24" i="31"/>
  <c r="GY24" i="31"/>
  <c r="GR24" i="31"/>
  <c r="GV24" i="31"/>
  <c r="GS24" i="31"/>
  <c r="GW24" i="31"/>
  <c r="GT24" i="31"/>
  <c r="GX24" i="31"/>
  <c r="V89" i="30"/>
  <c r="W89" i="30"/>
  <c r="AA38" i="31"/>
  <c r="AE38" i="31"/>
  <c r="AB38" i="31"/>
  <c r="AF38" i="31"/>
  <c r="AC38" i="31"/>
  <c r="AD38" i="31"/>
  <c r="Y38" i="31"/>
  <c r="Z38" i="31"/>
  <c r="E35" i="31"/>
  <c r="B35" i="31"/>
  <c r="C35" i="31"/>
  <c r="H35" i="31"/>
  <c r="D35" i="31"/>
  <c r="F35" i="31"/>
  <c r="G35" i="31"/>
  <c r="HZ16" i="31"/>
  <c r="ID16" i="31"/>
  <c r="HX16" i="31"/>
  <c r="IB16" i="31"/>
  <c r="IA16" i="31"/>
  <c r="IC16" i="31"/>
  <c r="IE16" i="31"/>
  <c r="HY16" i="31"/>
  <c r="C36" i="31"/>
  <c r="G36" i="31"/>
  <c r="H36" i="31"/>
  <c r="D36" i="31"/>
  <c r="B36" i="31"/>
  <c r="E36" i="31"/>
  <c r="F36" i="31"/>
  <c r="V126" i="30"/>
  <c r="W126" i="30"/>
  <c r="AH24" i="31"/>
  <c r="AL24" i="31"/>
  <c r="AI24" i="31"/>
  <c r="AN24" i="31"/>
  <c r="AJ24" i="31"/>
  <c r="AG24" i="31"/>
  <c r="AK24" i="31"/>
  <c r="AM24" i="31"/>
  <c r="T32" i="31"/>
  <c r="X32" i="31"/>
  <c r="U32" i="31"/>
  <c r="R32" i="31"/>
  <c r="V32" i="31"/>
  <c r="W32" i="31"/>
  <c r="Q32" i="31"/>
  <c r="S32" i="31"/>
  <c r="HZ15" i="31"/>
  <c r="ID15" i="31"/>
  <c r="IA15" i="31"/>
  <c r="IE15" i="31"/>
  <c r="HX15" i="31"/>
  <c r="IB15" i="31"/>
  <c r="IC15" i="31"/>
  <c r="HY15" i="31"/>
  <c r="GK13" i="31"/>
  <c r="GO13" i="31"/>
  <c r="GL13" i="31"/>
  <c r="GP13" i="31"/>
  <c r="GM13" i="31"/>
  <c r="GQ13" i="31"/>
  <c r="GJ13" i="31"/>
  <c r="GN13" i="31"/>
  <c r="GZ25" i="31"/>
  <c r="HD25" i="31"/>
  <c r="HA25" i="31"/>
  <c r="HE25" i="31"/>
  <c r="HB25" i="31"/>
  <c r="HF25" i="31"/>
  <c r="HC25" i="31"/>
  <c r="HG25" i="31"/>
  <c r="K36" i="31"/>
  <c r="O36" i="31"/>
  <c r="L36" i="31"/>
  <c r="P36" i="31"/>
  <c r="M36" i="31"/>
  <c r="I36" i="31"/>
  <c r="N36" i="31"/>
  <c r="J36" i="31"/>
  <c r="GE32" i="31"/>
  <c r="GI32" i="31"/>
  <c r="GB32" i="31"/>
  <c r="GF32" i="31"/>
  <c r="GC32" i="31"/>
  <c r="GG32" i="31"/>
  <c r="GD32" i="31"/>
  <c r="GH32" i="31"/>
  <c r="V123" i="30"/>
  <c r="W123" i="30"/>
  <c r="V132" i="30"/>
  <c r="W132" i="30"/>
  <c r="V115" i="30"/>
  <c r="W115" i="30"/>
  <c r="IM12" i="31"/>
  <c r="II12" i="31"/>
  <c r="IL12" i="31"/>
  <c r="IH12" i="31"/>
  <c r="IK12" i="31"/>
  <c r="IG12" i="31"/>
  <c r="IJ12" i="31"/>
  <c r="IF12" i="31"/>
  <c r="DM59" i="31"/>
  <c r="DJ59" i="31"/>
  <c r="DK59" i="31"/>
  <c r="DP59" i="31"/>
  <c r="DL59" i="31"/>
  <c r="DN59" i="31"/>
  <c r="DO59" i="31"/>
  <c r="DI59" i="31"/>
  <c r="L58" i="31"/>
  <c r="P58" i="31"/>
  <c r="M58" i="31"/>
  <c r="O58" i="31"/>
  <c r="J58" i="31"/>
  <c r="K58" i="31"/>
  <c r="N58" i="31"/>
  <c r="I58" i="31"/>
  <c r="AB56" i="31"/>
  <c r="AF56" i="31"/>
  <c r="AC56" i="31"/>
  <c r="Z56" i="31"/>
  <c r="AD56" i="31"/>
  <c r="AA56" i="31"/>
  <c r="AE56" i="31"/>
  <c r="Y56" i="31"/>
  <c r="AZ54" i="31"/>
  <c r="BD54" i="31"/>
  <c r="BA54" i="31"/>
  <c r="BC54" i="31"/>
  <c r="AX54" i="31"/>
  <c r="AY54" i="31"/>
  <c r="BB54" i="31"/>
  <c r="AW54" i="31"/>
  <c r="AB52" i="31"/>
  <c r="AF52" i="31"/>
  <c r="AC52" i="31"/>
  <c r="Z52" i="31"/>
  <c r="AD52" i="31"/>
  <c r="AA52" i="31"/>
  <c r="AE52" i="31"/>
  <c r="Y52" i="31"/>
  <c r="DD50" i="31"/>
  <c r="DH50" i="31"/>
  <c r="DB50" i="31"/>
  <c r="DF50" i="31"/>
  <c r="DC50" i="31"/>
  <c r="DE50" i="31"/>
  <c r="DG50" i="31"/>
  <c r="DA50" i="31"/>
  <c r="DR49" i="31"/>
  <c r="DV49" i="31"/>
  <c r="DS49" i="31"/>
  <c r="DW49" i="31"/>
  <c r="DT49" i="31"/>
  <c r="DX49" i="31"/>
  <c r="DU49" i="31"/>
  <c r="DQ49" i="31"/>
  <c r="DU48" i="31"/>
  <c r="DR48" i="31"/>
  <c r="DV48" i="31"/>
  <c r="DS48" i="31"/>
  <c r="DW48" i="31"/>
  <c r="DX48" i="31"/>
  <c r="DT48" i="31"/>
  <c r="DQ48" i="31"/>
  <c r="DT47" i="31"/>
  <c r="DX47" i="31"/>
  <c r="DU47" i="31"/>
  <c r="DR47" i="31"/>
  <c r="DV47" i="31"/>
  <c r="DS47" i="31"/>
  <c r="DW47" i="31"/>
  <c r="DQ47" i="31"/>
  <c r="DZ46" i="31"/>
  <c r="ED46" i="31"/>
  <c r="EA46" i="31"/>
  <c r="EE46" i="31"/>
  <c r="EB46" i="31"/>
  <c r="EF46" i="31"/>
  <c r="EC46" i="31"/>
  <c r="DY46" i="31"/>
  <c r="AC45" i="31"/>
  <c r="Z45" i="31"/>
  <c r="AD45" i="31"/>
  <c r="Y45" i="31"/>
  <c r="AA45" i="31"/>
  <c r="AE45" i="31"/>
  <c r="AB45" i="31"/>
  <c r="AF45" i="31"/>
  <c r="AK44" i="31"/>
  <c r="AH44" i="31"/>
  <c r="AL44" i="31"/>
  <c r="AG44" i="31"/>
  <c r="AI44" i="31"/>
  <c r="AM44" i="31"/>
  <c r="AJ44" i="31"/>
  <c r="AN44" i="31"/>
  <c r="BY42" i="31"/>
  <c r="BV42" i="31"/>
  <c r="BZ42" i="31"/>
  <c r="CB42" i="31"/>
  <c r="BW42" i="31"/>
  <c r="BU42" i="31"/>
  <c r="BX42" i="31"/>
  <c r="CA42" i="31"/>
  <c r="BX41" i="31"/>
  <c r="CB41" i="31"/>
  <c r="BY41" i="31"/>
  <c r="CA41" i="31"/>
  <c r="BV41" i="31"/>
  <c r="BW41" i="31"/>
  <c r="BU41" i="31"/>
  <c r="BZ41" i="31"/>
  <c r="CG40" i="31"/>
  <c r="CD40" i="31"/>
  <c r="CH40" i="31"/>
  <c r="CE40" i="31"/>
  <c r="CI40" i="31"/>
  <c r="CF40" i="31"/>
  <c r="CJ40" i="31"/>
  <c r="CC40" i="31"/>
  <c r="BV39" i="31"/>
  <c r="BZ39" i="31"/>
  <c r="BW39" i="31"/>
  <c r="CA39" i="31"/>
  <c r="BY39" i="31"/>
  <c r="CB39" i="31"/>
  <c r="BX39" i="31"/>
  <c r="BU39" i="31"/>
  <c r="CE38" i="31"/>
  <c r="CI38" i="31"/>
  <c r="CF38" i="31"/>
  <c r="CJ38" i="31"/>
  <c r="CG38" i="31"/>
  <c r="CD38" i="31"/>
  <c r="CC38" i="31"/>
  <c r="CH38" i="31"/>
  <c r="CD37" i="31"/>
  <c r="CH37" i="31"/>
  <c r="CE37" i="31"/>
  <c r="CI37" i="31"/>
  <c r="CF37" i="31"/>
  <c r="CJ37" i="31"/>
  <c r="CG37" i="31"/>
  <c r="CC37" i="31"/>
  <c r="CN36" i="31"/>
  <c r="CR36" i="31"/>
  <c r="CL36" i="31"/>
  <c r="CP36" i="31"/>
  <c r="CO36" i="31"/>
  <c r="CQ36" i="31"/>
  <c r="CK36" i="31"/>
  <c r="CM36" i="31"/>
  <c r="BY35" i="31"/>
  <c r="BV35" i="31"/>
  <c r="BZ35" i="31"/>
  <c r="BW35" i="31"/>
  <c r="CA35" i="31"/>
  <c r="CB35" i="31"/>
  <c r="BU35" i="31"/>
  <c r="BX35" i="31"/>
  <c r="BN33" i="31"/>
  <c r="BR33" i="31"/>
  <c r="BO33" i="31"/>
  <c r="BS33" i="31"/>
  <c r="BQ33" i="31"/>
  <c r="BT33" i="31"/>
  <c r="BP33" i="31"/>
  <c r="BM33" i="31"/>
  <c r="CG32" i="31"/>
  <c r="CD32" i="31"/>
  <c r="CH32" i="31"/>
  <c r="CE32" i="31"/>
  <c r="CI32" i="31"/>
  <c r="CJ32" i="31"/>
  <c r="CC32" i="31"/>
  <c r="CF32" i="31"/>
  <c r="CF31" i="31"/>
  <c r="CJ31" i="31"/>
  <c r="CG31" i="31"/>
  <c r="CD31" i="31"/>
  <c r="CH31" i="31"/>
  <c r="CE31" i="31"/>
  <c r="CI31" i="31"/>
  <c r="CC31" i="31"/>
  <c r="DC29" i="31"/>
  <c r="DG29" i="31"/>
  <c r="DD29" i="31"/>
  <c r="DH29" i="31"/>
  <c r="DE29" i="31"/>
  <c r="DB29" i="31"/>
  <c r="DF29" i="31"/>
  <c r="DA29" i="31"/>
  <c r="DU28" i="31"/>
  <c r="DR28" i="31"/>
  <c r="DV28" i="31"/>
  <c r="DS28" i="31"/>
  <c r="DW28" i="31"/>
  <c r="DT28" i="31"/>
  <c r="DX28" i="31"/>
  <c r="DQ28" i="31"/>
  <c r="EA27" i="31"/>
  <c r="EE27" i="31"/>
  <c r="EB27" i="31"/>
  <c r="EF27" i="31"/>
  <c r="EC27" i="31"/>
  <c r="DZ27" i="31"/>
  <c r="ED27" i="31"/>
  <c r="DY27" i="31"/>
  <c r="DZ26" i="31"/>
  <c r="ED26" i="31"/>
  <c r="EA26" i="31"/>
  <c r="EE26" i="31"/>
  <c r="EB26" i="31"/>
  <c r="EF26" i="31"/>
  <c r="EC26" i="31"/>
  <c r="DY26" i="31"/>
  <c r="CN24" i="31"/>
  <c r="CR24" i="31"/>
  <c r="CL24" i="31"/>
  <c r="CP24" i="31"/>
  <c r="CM24" i="31"/>
  <c r="CO24" i="31"/>
  <c r="CQ24" i="31"/>
  <c r="CK24" i="31"/>
  <c r="BH23" i="31"/>
  <c r="BL23" i="31"/>
  <c r="BI23" i="31"/>
  <c r="BG23" i="31"/>
  <c r="BJ23" i="31"/>
  <c r="BK23" i="31"/>
  <c r="BE23" i="31"/>
  <c r="BF23" i="31"/>
  <c r="BA22" i="31"/>
  <c r="AX22" i="31"/>
  <c r="BB22" i="31"/>
  <c r="BD22" i="31"/>
  <c r="AY22" i="31"/>
  <c r="AZ22" i="31"/>
  <c r="BC22" i="31"/>
  <c r="AW22" i="31"/>
  <c r="BF21" i="31"/>
  <c r="BJ21" i="31"/>
  <c r="BG21" i="31"/>
  <c r="BK21" i="31"/>
  <c r="BH21" i="31"/>
  <c r="BE21" i="31"/>
  <c r="BI21" i="31"/>
  <c r="BL21" i="31"/>
  <c r="BQ20" i="31"/>
  <c r="BN20" i="31"/>
  <c r="BR20" i="31"/>
  <c r="BT20" i="31"/>
  <c r="BO20" i="31"/>
  <c r="BM20" i="31"/>
  <c r="BP20" i="31"/>
  <c r="BS20" i="31"/>
  <c r="CF19" i="31"/>
  <c r="CJ19" i="31"/>
  <c r="CG19" i="31"/>
  <c r="CD19" i="31"/>
  <c r="CH19" i="31"/>
  <c r="CE19" i="31"/>
  <c r="CI19" i="31"/>
  <c r="CC19" i="31"/>
  <c r="BO18" i="31"/>
  <c r="BS18" i="31"/>
  <c r="BP18" i="31"/>
  <c r="BT18" i="31"/>
  <c r="BR18" i="31"/>
  <c r="BN18" i="31"/>
  <c r="BM18" i="31"/>
  <c r="BQ18" i="31"/>
  <c r="CD17" i="31"/>
  <c r="CH17" i="31"/>
  <c r="CE17" i="31"/>
  <c r="CI17" i="31"/>
  <c r="CF17" i="31"/>
  <c r="CJ17" i="31"/>
  <c r="CG17" i="31"/>
  <c r="CC17" i="31"/>
  <c r="CN16" i="31"/>
  <c r="CR16" i="31"/>
  <c r="CL16" i="31"/>
  <c r="CP16" i="31"/>
  <c r="CM16" i="31"/>
  <c r="CO16" i="31"/>
  <c r="CQ16" i="31"/>
  <c r="CK16" i="31"/>
  <c r="BH15" i="31"/>
  <c r="BL15" i="31"/>
  <c r="BI15" i="31"/>
  <c r="BG15" i="31"/>
  <c r="BJ15" i="31"/>
  <c r="BK15" i="31"/>
  <c r="BF15" i="31"/>
  <c r="BE15" i="31"/>
  <c r="BG14" i="31"/>
  <c r="BK14" i="31"/>
  <c r="BH14" i="31"/>
  <c r="BL14" i="31"/>
  <c r="BF14" i="31"/>
  <c r="BI14" i="31"/>
  <c r="BJ14" i="31"/>
  <c r="BE14" i="31"/>
  <c r="BW13" i="31"/>
  <c r="CA13" i="31"/>
  <c r="BX13" i="31"/>
  <c r="CB13" i="31"/>
  <c r="BY13" i="31"/>
  <c r="BZ13" i="31"/>
  <c r="BV13" i="31"/>
  <c r="BU13" i="31"/>
  <c r="BV12" i="31"/>
  <c r="BZ12" i="31"/>
  <c r="BW12" i="31"/>
  <c r="CA12" i="31"/>
  <c r="BX12" i="31"/>
  <c r="CB12" i="31"/>
  <c r="BY12" i="31"/>
  <c r="BU12" i="31"/>
  <c r="JL45" i="31"/>
  <c r="JP45" i="31"/>
  <c r="JN45" i="31"/>
  <c r="JR45" i="31"/>
  <c r="JS45" i="31"/>
  <c r="JM45" i="31"/>
  <c r="JO45" i="31"/>
  <c r="JQ45" i="31"/>
  <c r="IF45" i="31"/>
  <c r="IJ45" i="31"/>
  <c r="IH45" i="31"/>
  <c r="IL45" i="31"/>
  <c r="IM45" i="31"/>
  <c r="IG45" i="31"/>
  <c r="II45" i="31"/>
  <c r="IK45" i="31"/>
  <c r="HA45" i="31"/>
  <c r="HE45" i="31"/>
  <c r="HB45" i="31"/>
  <c r="HF45" i="31"/>
  <c r="HC45" i="31"/>
  <c r="HG45" i="31"/>
  <c r="GZ45" i="31"/>
  <c r="HD45" i="31"/>
  <c r="FU45" i="31"/>
  <c r="FY45" i="31"/>
  <c r="FV45" i="31"/>
  <c r="FZ45" i="31"/>
  <c r="FW45" i="31"/>
  <c r="GA45" i="31"/>
  <c r="FT45" i="31"/>
  <c r="FX45" i="31"/>
  <c r="EQ51" i="31"/>
  <c r="EU51" i="31"/>
  <c r="ER51" i="31"/>
  <c r="EO51" i="31"/>
  <c r="ES51" i="31"/>
  <c r="EP51" i="31"/>
  <c r="ET51" i="31"/>
  <c r="JT40" i="31"/>
  <c r="JX40" i="31"/>
  <c r="JU40" i="31"/>
  <c r="JY40" i="31"/>
  <c r="JV40" i="31"/>
  <c r="JZ40" i="31"/>
  <c r="JW40" i="31"/>
  <c r="KA40" i="31"/>
  <c r="DT59" i="31"/>
  <c r="DX59" i="31"/>
  <c r="DU59" i="31"/>
  <c r="DR59" i="31"/>
  <c r="DV59" i="31"/>
  <c r="DS59" i="31"/>
  <c r="DW59" i="31"/>
  <c r="DQ59" i="31"/>
  <c r="JD56" i="31"/>
  <c r="JH56" i="31"/>
  <c r="JE56" i="31"/>
  <c r="JI56" i="31"/>
  <c r="JF56" i="31"/>
  <c r="JJ56" i="31"/>
  <c r="JG56" i="31"/>
  <c r="JK56" i="31"/>
  <c r="JD60" i="31"/>
  <c r="JH60" i="31"/>
  <c r="JE60" i="31"/>
  <c r="JI60" i="31"/>
  <c r="JF60" i="31"/>
  <c r="JJ60" i="31"/>
  <c r="JG60" i="31"/>
  <c r="JK60" i="31"/>
  <c r="JE48" i="31"/>
  <c r="JI48" i="31"/>
  <c r="JF48" i="31"/>
  <c r="JJ48" i="31"/>
  <c r="JD48" i="31"/>
  <c r="JH48" i="31"/>
  <c r="JG48" i="31"/>
  <c r="JK48" i="31"/>
  <c r="IV37" i="31"/>
  <c r="IZ37" i="31"/>
  <c r="IW37" i="31"/>
  <c r="JA37" i="31"/>
  <c r="IX37" i="31"/>
  <c r="JB37" i="31"/>
  <c r="IY37" i="31"/>
  <c r="JC37" i="31"/>
  <c r="IN44" i="31"/>
  <c r="IR44" i="31"/>
  <c r="IP44" i="31"/>
  <c r="IT44" i="31"/>
  <c r="IU44" i="31"/>
  <c r="IO44" i="31"/>
  <c r="IQ44" i="31"/>
  <c r="IS44" i="31"/>
  <c r="HX42" i="31"/>
  <c r="IB42" i="31"/>
  <c r="HZ42" i="31"/>
  <c r="ID42" i="31"/>
  <c r="IA42" i="31"/>
  <c r="IC42" i="31"/>
  <c r="IE42" i="31"/>
  <c r="HY42" i="31"/>
  <c r="HX46" i="31"/>
  <c r="IB46" i="31"/>
  <c r="HZ46" i="31"/>
  <c r="ID46" i="31"/>
  <c r="IA46" i="31"/>
  <c r="IC46" i="31"/>
  <c r="IE46" i="31"/>
  <c r="HY46" i="31"/>
  <c r="HX54" i="31"/>
  <c r="IB54" i="31"/>
  <c r="HY54" i="31"/>
  <c r="IC54" i="31"/>
  <c r="HZ54" i="31"/>
  <c r="ID54" i="31"/>
  <c r="IA54" i="31"/>
  <c r="IE54" i="31"/>
  <c r="HX58" i="31"/>
  <c r="IB58" i="31"/>
  <c r="HY58" i="31"/>
  <c r="IC58" i="31"/>
  <c r="HZ58" i="31"/>
  <c r="ID58" i="31"/>
  <c r="IA58" i="31"/>
  <c r="IE58" i="31"/>
  <c r="HH40" i="31"/>
  <c r="HL40" i="31"/>
  <c r="HI40" i="31"/>
  <c r="HM40" i="31"/>
  <c r="HJ40" i="31"/>
  <c r="HN40" i="31"/>
  <c r="HK40" i="31"/>
  <c r="HO40" i="31"/>
  <c r="BF59" i="31"/>
  <c r="BJ59" i="31"/>
  <c r="BG59" i="31"/>
  <c r="BK59" i="31"/>
  <c r="BI59" i="31"/>
  <c r="BL59" i="31"/>
  <c r="BE59" i="31"/>
  <c r="BH59" i="31"/>
  <c r="GR56" i="31"/>
  <c r="GV56" i="31"/>
  <c r="GS56" i="31"/>
  <c r="GW56" i="31"/>
  <c r="GT56" i="31"/>
  <c r="GX56" i="31"/>
  <c r="GU56" i="31"/>
  <c r="GY56" i="31"/>
  <c r="GR60" i="31"/>
  <c r="GV60" i="31"/>
  <c r="GS60" i="31"/>
  <c r="GW60" i="31"/>
  <c r="GT60" i="31"/>
  <c r="GX60" i="31"/>
  <c r="GU60" i="31"/>
  <c r="GY60" i="31"/>
  <c r="GR48" i="31"/>
  <c r="GV48" i="31"/>
  <c r="GS48" i="31"/>
  <c r="GW48" i="31"/>
  <c r="GT48" i="31"/>
  <c r="GX48" i="31"/>
  <c r="GU48" i="31"/>
  <c r="GY48" i="31"/>
  <c r="GJ44" i="31"/>
  <c r="GN44" i="31"/>
  <c r="GK44" i="31"/>
  <c r="GO44" i="31"/>
  <c r="GL44" i="31"/>
  <c r="GP44" i="31"/>
  <c r="GM44" i="31"/>
  <c r="GQ44" i="31"/>
  <c r="AR59" i="31"/>
  <c r="AV59" i="31"/>
  <c r="AS59" i="31"/>
  <c r="AT59" i="31"/>
  <c r="AP59" i="31"/>
  <c r="AU59" i="31"/>
  <c r="AO59" i="31"/>
  <c r="AQ59" i="31"/>
  <c r="GB56" i="31"/>
  <c r="GF56" i="31"/>
  <c r="GC56" i="31"/>
  <c r="GG56" i="31"/>
  <c r="GD56" i="31"/>
  <c r="GH56" i="31"/>
  <c r="GE56" i="31"/>
  <c r="GI56" i="31"/>
  <c r="GB60" i="31"/>
  <c r="GF60" i="31"/>
  <c r="GC60" i="31"/>
  <c r="GG60" i="31"/>
  <c r="GD60" i="31"/>
  <c r="GH60" i="31"/>
  <c r="GE60" i="31"/>
  <c r="GI60" i="31"/>
  <c r="FW40" i="31"/>
  <c r="GA40" i="31"/>
  <c r="FT40" i="31"/>
  <c r="FX40" i="31"/>
  <c r="FU40" i="31"/>
  <c r="FY40" i="31"/>
  <c r="FV40" i="31"/>
  <c r="FZ40" i="31"/>
  <c r="AB60" i="31"/>
  <c r="AF60" i="31"/>
  <c r="AC60" i="31"/>
  <c r="Z60" i="31"/>
  <c r="AD60" i="31"/>
  <c r="AA60" i="31"/>
  <c r="AE60" i="31"/>
  <c r="Y60" i="31"/>
  <c r="FM57" i="31"/>
  <c r="FQ57" i="31"/>
  <c r="FN57" i="31"/>
  <c r="FR57" i="31"/>
  <c r="FO57" i="31"/>
  <c r="FS57" i="31"/>
  <c r="FL57" i="31"/>
  <c r="FP57" i="31"/>
  <c r="FM49" i="31"/>
  <c r="FQ49" i="31"/>
  <c r="FN49" i="31"/>
  <c r="FR49" i="31"/>
  <c r="FO49" i="31"/>
  <c r="FS49" i="31"/>
  <c r="FL49" i="31"/>
  <c r="FP49" i="31"/>
  <c r="FE38" i="31"/>
  <c r="FI38" i="31"/>
  <c r="FF38" i="31"/>
  <c r="FJ38" i="31"/>
  <c r="FG38" i="31"/>
  <c r="FK38" i="31"/>
  <c r="FD38" i="31"/>
  <c r="FH38" i="31"/>
  <c r="ER44" i="31"/>
  <c r="EO44" i="31"/>
  <c r="ES44" i="31"/>
  <c r="EP44" i="31"/>
  <c r="ET44" i="31"/>
  <c r="EQ44" i="31"/>
  <c r="EU44" i="31"/>
  <c r="JT32" i="31"/>
  <c r="JX32" i="31"/>
  <c r="JV32" i="31"/>
  <c r="JZ32" i="31"/>
  <c r="JU32" i="31"/>
  <c r="JW32" i="31"/>
  <c r="JY32" i="31"/>
  <c r="KA32" i="31"/>
  <c r="JV24" i="31"/>
  <c r="JZ24" i="31"/>
  <c r="JW24" i="31"/>
  <c r="KA24" i="31"/>
  <c r="JT24" i="31"/>
  <c r="JX24" i="31"/>
  <c r="JY24" i="31"/>
  <c r="JU24" i="31"/>
  <c r="JD33" i="31"/>
  <c r="JH33" i="31"/>
  <c r="JF33" i="31"/>
  <c r="JJ33" i="31"/>
  <c r="JE33" i="31"/>
  <c r="JG33" i="31"/>
  <c r="JI33" i="31"/>
  <c r="JK33" i="31"/>
  <c r="JD30" i="31"/>
  <c r="JH30" i="31"/>
  <c r="JE30" i="31"/>
  <c r="JI30" i="31"/>
  <c r="JF30" i="31"/>
  <c r="JJ30" i="31"/>
  <c r="JG30" i="31"/>
  <c r="JK30" i="31"/>
  <c r="HX34" i="31"/>
  <c r="IB34" i="31"/>
  <c r="HZ34" i="31"/>
  <c r="ID34" i="31"/>
  <c r="IC34" i="31"/>
  <c r="IE34" i="31"/>
  <c r="HY34" i="31"/>
  <c r="IA34" i="31"/>
  <c r="HH32" i="31"/>
  <c r="HL32" i="31"/>
  <c r="HJ32" i="31"/>
  <c r="HN32" i="31"/>
  <c r="HI32" i="31"/>
  <c r="HK32" i="31"/>
  <c r="HM32" i="31"/>
  <c r="HO32" i="31"/>
  <c r="HJ24" i="31"/>
  <c r="HN24" i="31"/>
  <c r="HK24" i="31"/>
  <c r="HO24" i="31"/>
  <c r="HH24" i="31"/>
  <c r="HL24" i="31"/>
  <c r="HM24" i="31"/>
  <c r="HI24" i="31"/>
  <c r="GZ29" i="31"/>
  <c r="HD29" i="31"/>
  <c r="HA29" i="31"/>
  <c r="HE29" i="31"/>
  <c r="HB29" i="31"/>
  <c r="HF29" i="31"/>
  <c r="HC29" i="31"/>
  <c r="HG29" i="31"/>
  <c r="GJ33" i="31"/>
  <c r="GN33" i="31"/>
  <c r="GK33" i="31"/>
  <c r="GO33" i="31"/>
  <c r="GL33" i="31"/>
  <c r="GP33" i="31"/>
  <c r="GM33" i="31"/>
  <c r="GQ33" i="31"/>
  <c r="FT29" i="31"/>
  <c r="FX29" i="31"/>
  <c r="FU29" i="31"/>
  <c r="FY29" i="31"/>
  <c r="FV29" i="31"/>
  <c r="FZ29" i="31"/>
  <c r="FW29" i="31"/>
  <c r="GA29" i="31"/>
  <c r="FD33" i="31"/>
  <c r="FH33" i="31"/>
  <c r="FE33" i="31"/>
  <c r="FI33" i="31"/>
  <c r="FF33" i="31"/>
  <c r="FJ33" i="31"/>
  <c r="FG33" i="31"/>
  <c r="FK33" i="31"/>
  <c r="FE30" i="31"/>
  <c r="FI30" i="31"/>
  <c r="FF30" i="31"/>
  <c r="FJ30" i="31"/>
  <c r="FG30" i="31"/>
  <c r="FK30" i="31"/>
  <c r="FD30" i="31"/>
  <c r="FH30" i="31"/>
  <c r="EW53" i="31"/>
  <c r="FA53" i="31"/>
  <c r="EX53" i="31"/>
  <c r="FB53" i="31"/>
  <c r="EY53" i="31"/>
  <c r="FC53" i="31"/>
  <c r="EV53" i="31"/>
  <c r="EZ53" i="31"/>
  <c r="JV18" i="31"/>
  <c r="JZ18" i="31"/>
  <c r="JW18" i="31"/>
  <c r="KA18" i="31"/>
  <c r="JT18" i="31"/>
  <c r="JU18" i="31"/>
  <c r="JX18" i="31"/>
  <c r="JY18" i="31"/>
  <c r="IW17" i="31"/>
  <c r="JA17" i="31"/>
  <c r="IX17" i="31"/>
  <c r="JB17" i="31"/>
  <c r="IY17" i="31"/>
  <c r="JC17" i="31"/>
  <c r="IV17" i="31"/>
  <c r="IZ17" i="31"/>
  <c r="IP16" i="31"/>
  <c r="IT16" i="31"/>
  <c r="IN16" i="31"/>
  <c r="IR16" i="31"/>
  <c r="IQ16" i="31"/>
  <c r="IS16" i="31"/>
  <c r="IU16" i="31"/>
  <c r="IO16" i="31"/>
  <c r="IG18" i="31"/>
  <c r="IK18" i="31"/>
  <c r="IH18" i="31"/>
  <c r="IL18" i="31"/>
  <c r="II18" i="31"/>
  <c r="IM18" i="31"/>
  <c r="IF18" i="31"/>
  <c r="IJ18" i="31"/>
  <c r="HZ23" i="31"/>
  <c r="ID23" i="31"/>
  <c r="IA23" i="31"/>
  <c r="IE23" i="31"/>
  <c r="HX23" i="31"/>
  <c r="IB23" i="31"/>
  <c r="HY23" i="31"/>
  <c r="IC23" i="31"/>
  <c r="HQ18" i="31"/>
  <c r="HU18" i="31"/>
  <c r="HR18" i="31"/>
  <c r="HV18" i="31"/>
  <c r="HS18" i="31"/>
  <c r="HW18" i="31"/>
  <c r="HP18" i="31"/>
  <c r="HT18" i="31"/>
  <c r="FO15" i="31"/>
  <c r="FS15" i="31"/>
  <c r="FL15" i="31"/>
  <c r="FP15" i="31"/>
  <c r="FM15" i="31"/>
  <c r="FQ15" i="31"/>
  <c r="FN15" i="31"/>
  <c r="FR15" i="31"/>
  <c r="FG15" i="31"/>
  <c r="FK15" i="31"/>
  <c r="FD15" i="31"/>
  <c r="FH15" i="31"/>
  <c r="FE15" i="31"/>
  <c r="FI15" i="31"/>
  <c r="FF15" i="31"/>
  <c r="FJ15" i="31"/>
  <c r="EV20" i="31"/>
  <c r="EZ20" i="31"/>
  <c r="EW20" i="31"/>
  <c r="FA20" i="31"/>
  <c r="EX20" i="31"/>
  <c r="FB20" i="31"/>
  <c r="EY20" i="31"/>
  <c r="FC20" i="31"/>
  <c r="EY19" i="31"/>
  <c r="FC19" i="31"/>
  <c r="EV19" i="31"/>
  <c r="EZ19" i="31"/>
  <c r="EW19" i="31"/>
  <c r="FA19" i="31"/>
  <c r="EX19" i="31"/>
  <c r="FB19" i="31"/>
  <c r="EY15" i="31"/>
  <c r="FC15" i="31"/>
  <c r="EV15" i="31"/>
  <c r="EZ15" i="31"/>
  <c r="EW15" i="31"/>
  <c r="FA15" i="31"/>
  <c r="EX15" i="31"/>
  <c r="FB15" i="31"/>
  <c r="ER20" i="31"/>
  <c r="EO20" i="31"/>
  <c r="ES20" i="31"/>
  <c r="EP20" i="31"/>
  <c r="ET20" i="31"/>
  <c r="EQ20" i="31"/>
  <c r="EU20" i="31"/>
  <c r="W74" i="7"/>
  <c r="V74" i="7"/>
  <c r="DK45" i="31"/>
  <c r="DO45" i="31"/>
  <c r="DL45" i="31"/>
  <c r="DP45" i="31"/>
  <c r="DM45" i="31"/>
  <c r="DN45" i="31"/>
  <c r="DJ45" i="31"/>
  <c r="DI45" i="31"/>
  <c r="AY45" i="31"/>
  <c r="BC45" i="31"/>
  <c r="AZ45" i="31"/>
  <c r="BD45" i="31"/>
  <c r="BB45" i="31"/>
  <c r="AW45" i="31"/>
  <c r="AX45" i="31"/>
  <c r="BA45" i="31"/>
  <c r="DS54" i="31"/>
  <c r="DW54" i="31"/>
  <c r="DT54" i="31"/>
  <c r="DX54" i="31"/>
  <c r="DU54" i="31"/>
  <c r="DR54" i="31"/>
  <c r="DV54" i="31"/>
  <c r="DQ54" i="31"/>
  <c r="V50" i="30"/>
  <c r="W50" i="30"/>
  <c r="CG52" i="31"/>
  <c r="CD52" i="31"/>
  <c r="CH52" i="31"/>
  <c r="CE52" i="31"/>
  <c r="CI52" i="31"/>
  <c r="CF52" i="31"/>
  <c r="CC52" i="31"/>
  <c r="CJ52" i="31"/>
  <c r="BP52" i="31"/>
  <c r="BT52" i="31"/>
  <c r="BQ52" i="31"/>
  <c r="BS52" i="31"/>
  <c r="BN52" i="31"/>
  <c r="BO52" i="31"/>
  <c r="BR52" i="31"/>
  <c r="BM52" i="31"/>
  <c r="V38" i="30"/>
  <c r="W38" i="30"/>
  <c r="CU60" i="31"/>
  <c r="CY60" i="31"/>
  <c r="CW60" i="31"/>
  <c r="CV60" i="31"/>
  <c r="CX60" i="31"/>
  <c r="CZ60" i="31"/>
  <c r="CT60" i="31"/>
  <c r="CS60" i="31"/>
  <c r="EJ57" i="31"/>
  <c r="EN57" i="31"/>
  <c r="EK57" i="31"/>
  <c r="EH57" i="31"/>
  <c r="EL57" i="31"/>
  <c r="EM57" i="31"/>
  <c r="EI57" i="31"/>
  <c r="EG57" i="31"/>
  <c r="EH55" i="31"/>
  <c r="EL55" i="31"/>
  <c r="EI55" i="31"/>
  <c r="EM55" i="31"/>
  <c r="EJ55" i="31"/>
  <c r="EN55" i="31"/>
  <c r="EK55" i="31"/>
  <c r="EG55" i="31"/>
  <c r="DK53" i="31"/>
  <c r="DO53" i="31"/>
  <c r="DL53" i="31"/>
  <c r="DP53" i="31"/>
  <c r="DM53" i="31"/>
  <c r="DN53" i="31"/>
  <c r="DJ53" i="31"/>
  <c r="DI53" i="31"/>
  <c r="CM51" i="31"/>
  <c r="CN51" i="31"/>
  <c r="CR51" i="31"/>
  <c r="CO51" i="31"/>
  <c r="CP51" i="31"/>
  <c r="CL51" i="31"/>
  <c r="CQ51" i="31"/>
  <c r="CK51" i="31"/>
  <c r="BN50" i="31"/>
  <c r="BR50" i="31"/>
  <c r="BO50" i="31"/>
  <c r="BS50" i="31"/>
  <c r="BQ50" i="31"/>
  <c r="BT50" i="31"/>
  <c r="BM50" i="31"/>
  <c r="BP50" i="31"/>
  <c r="AY49" i="31"/>
  <c r="BC49" i="31"/>
  <c r="AZ49" i="31"/>
  <c r="BD49" i="31"/>
  <c r="AX49" i="31"/>
  <c r="BA49" i="31"/>
  <c r="AW49" i="31"/>
  <c r="BB49" i="31"/>
  <c r="AX48" i="31"/>
  <c r="BB48" i="31"/>
  <c r="AY48" i="31"/>
  <c r="BC48" i="31"/>
  <c r="AZ48" i="31"/>
  <c r="BA48" i="31"/>
  <c r="AW48" i="31"/>
  <c r="BD48" i="31"/>
  <c r="BA47" i="31"/>
  <c r="AX47" i="31"/>
  <c r="BB47" i="31"/>
  <c r="BD47" i="31"/>
  <c r="AY47" i="31"/>
  <c r="AZ47" i="31"/>
  <c r="BC47" i="31"/>
  <c r="AW47" i="31"/>
  <c r="CN44" i="31"/>
  <c r="CR44" i="31"/>
  <c r="CL44" i="31"/>
  <c r="CP44" i="31"/>
  <c r="CO44" i="31"/>
  <c r="CQ44" i="31"/>
  <c r="CM44" i="31"/>
  <c r="CK44" i="31"/>
  <c r="AA43" i="31"/>
  <c r="AE43" i="31"/>
  <c r="AB43" i="31"/>
  <c r="AF43" i="31"/>
  <c r="AC43" i="31"/>
  <c r="Y43" i="31"/>
  <c r="Z43" i="31"/>
  <c r="AD43" i="31"/>
  <c r="AI42" i="31"/>
  <c r="AM42" i="31"/>
  <c r="AJ42" i="31"/>
  <c r="AN42" i="31"/>
  <c r="AK42" i="31"/>
  <c r="AG42" i="31"/>
  <c r="AH42" i="31"/>
  <c r="AL42" i="31"/>
  <c r="AH41" i="31"/>
  <c r="AL41" i="31"/>
  <c r="AI41" i="31"/>
  <c r="AM41" i="31"/>
  <c r="AJ41" i="31"/>
  <c r="AN41" i="31"/>
  <c r="AK41" i="31"/>
  <c r="AG41" i="31"/>
  <c r="AB39" i="31"/>
  <c r="AF39" i="31"/>
  <c r="AC39" i="31"/>
  <c r="Z39" i="31"/>
  <c r="AD39" i="31"/>
  <c r="AA39" i="31"/>
  <c r="AE39" i="31"/>
  <c r="Y39" i="31"/>
  <c r="AQ38" i="31"/>
  <c r="AU38" i="31"/>
  <c r="AR38" i="31"/>
  <c r="AV38" i="31"/>
  <c r="AT38" i="31"/>
  <c r="AP38" i="31"/>
  <c r="AO38" i="31"/>
  <c r="AS38" i="31"/>
  <c r="AP37" i="31"/>
  <c r="AT37" i="31"/>
  <c r="AQ37" i="31"/>
  <c r="AU37" i="31"/>
  <c r="AS37" i="31"/>
  <c r="AV37" i="31"/>
  <c r="AO37" i="31"/>
  <c r="AR37" i="31"/>
  <c r="AX36" i="31"/>
  <c r="BB36" i="31"/>
  <c r="AY36" i="31"/>
  <c r="BC36" i="31"/>
  <c r="BA36" i="31"/>
  <c r="BD36" i="31"/>
  <c r="AZ36" i="31"/>
  <c r="AW36" i="31"/>
  <c r="AA33" i="31"/>
  <c r="AE33" i="31"/>
  <c r="AB33" i="31"/>
  <c r="AF33" i="31"/>
  <c r="AC33" i="31"/>
  <c r="Z33" i="31"/>
  <c r="AD33" i="31"/>
  <c r="Y33" i="31"/>
  <c r="C32" i="31"/>
  <c r="G32" i="31"/>
  <c r="E32" i="31"/>
  <c r="B32" i="31"/>
  <c r="F32" i="31"/>
  <c r="H32" i="31"/>
  <c r="D32" i="31"/>
  <c r="AR31" i="31"/>
  <c r="AV31" i="31"/>
  <c r="AS31" i="31"/>
  <c r="AU31" i="31"/>
  <c r="AP31" i="31"/>
  <c r="AQ31" i="31"/>
  <c r="AT31" i="31"/>
  <c r="AO31" i="31"/>
  <c r="BN29" i="31"/>
  <c r="BR29" i="31"/>
  <c r="BO29" i="31"/>
  <c r="BS29" i="31"/>
  <c r="BP29" i="31"/>
  <c r="BQ29" i="31"/>
  <c r="BT29" i="31"/>
  <c r="BM29" i="31"/>
  <c r="L28" i="31"/>
  <c r="P28" i="31"/>
  <c r="M28" i="31"/>
  <c r="J28" i="31"/>
  <c r="N28" i="31"/>
  <c r="K28" i="31"/>
  <c r="O28" i="31"/>
  <c r="I28" i="31"/>
  <c r="BF26" i="31"/>
  <c r="BJ26" i="31"/>
  <c r="BG26" i="31"/>
  <c r="BK26" i="31"/>
  <c r="BI26" i="31"/>
  <c r="BL26" i="31"/>
  <c r="BE26" i="31"/>
  <c r="BH26" i="31"/>
  <c r="AX24" i="31"/>
  <c r="BB24" i="31"/>
  <c r="AY24" i="31"/>
  <c r="BC24" i="31"/>
  <c r="AZ24" i="31"/>
  <c r="BA24" i="31"/>
  <c r="BD24" i="31"/>
  <c r="AW24" i="31"/>
  <c r="AK23" i="31"/>
  <c r="AJ23" i="31"/>
  <c r="AL23" i="31"/>
  <c r="AH23" i="31"/>
  <c r="AM23" i="31"/>
  <c r="AN23" i="31"/>
  <c r="AI23" i="31"/>
  <c r="AG23" i="31"/>
  <c r="BX22" i="31"/>
  <c r="CB22" i="31"/>
  <c r="BY22" i="31"/>
  <c r="BV22" i="31"/>
  <c r="BZ22" i="31"/>
  <c r="BW22" i="31"/>
  <c r="CA22" i="31"/>
  <c r="BU22" i="31"/>
  <c r="AZ21" i="31"/>
  <c r="BD21" i="31"/>
  <c r="BA21" i="31"/>
  <c r="BC21" i="31"/>
  <c r="AX21" i="31"/>
  <c r="AY21" i="31"/>
  <c r="BB21" i="31"/>
  <c r="AW21" i="31"/>
  <c r="BI20" i="31"/>
  <c r="BF20" i="31"/>
  <c r="BJ20" i="31"/>
  <c r="BL20" i="31"/>
  <c r="BG20" i="31"/>
  <c r="BH20" i="31"/>
  <c r="BK20" i="31"/>
  <c r="BE20" i="31"/>
  <c r="AB18" i="31"/>
  <c r="AF18" i="31"/>
  <c r="AC18" i="31"/>
  <c r="Z18" i="31"/>
  <c r="AD18" i="31"/>
  <c r="AA18" i="31"/>
  <c r="AE18" i="31"/>
  <c r="Y18" i="31"/>
  <c r="AI17" i="31"/>
  <c r="AM17" i="31"/>
  <c r="AJ17" i="31"/>
  <c r="AK17" i="31"/>
  <c r="AL17" i="31"/>
  <c r="AN17" i="31"/>
  <c r="AG17" i="31"/>
  <c r="AH17" i="31"/>
  <c r="EH15" i="31"/>
  <c r="EL15" i="31"/>
  <c r="EI15" i="31"/>
  <c r="EM15" i="31"/>
  <c r="EJ15" i="31"/>
  <c r="EN15" i="31"/>
  <c r="EK15" i="31"/>
  <c r="EG15" i="31"/>
  <c r="S14" i="31"/>
  <c r="W14" i="31"/>
  <c r="T14" i="31"/>
  <c r="X14" i="31"/>
  <c r="U14" i="31"/>
  <c r="R14" i="31"/>
  <c r="V14" i="31"/>
  <c r="Q14" i="31"/>
  <c r="EB12" i="31"/>
  <c r="EF12" i="31"/>
  <c r="EC12" i="31"/>
  <c r="DZ12" i="31"/>
  <c r="ED12" i="31"/>
  <c r="EA12" i="31"/>
  <c r="EE12" i="31"/>
  <c r="DY12" i="31"/>
  <c r="JE47" i="31"/>
  <c r="JI47" i="31"/>
  <c r="JF47" i="31"/>
  <c r="JJ47" i="31"/>
  <c r="JG47" i="31"/>
  <c r="JK47" i="31"/>
  <c r="JD47" i="31"/>
  <c r="JH47" i="31"/>
  <c r="HY47" i="31"/>
  <c r="IC47" i="31"/>
  <c r="HZ47" i="31"/>
  <c r="ID47" i="31"/>
  <c r="IA47" i="31"/>
  <c r="IE47" i="31"/>
  <c r="HX47" i="31"/>
  <c r="IB47" i="31"/>
  <c r="GU47" i="31"/>
  <c r="GY47" i="31"/>
  <c r="GR47" i="31"/>
  <c r="GV47" i="31"/>
  <c r="GS47" i="31"/>
  <c r="GW47" i="31"/>
  <c r="GT47" i="31"/>
  <c r="GX47" i="31"/>
  <c r="JL42" i="31"/>
  <c r="JP42" i="31"/>
  <c r="JN42" i="31"/>
  <c r="JR42" i="31"/>
  <c r="JO42" i="31"/>
  <c r="JQ42" i="31"/>
  <c r="JS42" i="31"/>
  <c r="JM42" i="31"/>
  <c r="JL46" i="31"/>
  <c r="JP46" i="31"/>
  <c r="JN46" i="31"/>
  <c r="JR46" i="31"/>
  <c r="JO46" i="31"/>
  <c r="JQ46" i="31"/>
  <c r="JS46" i="31"/>
  <c r="JM46" i="31"/>
  <c r="EC57" i="31"/>
  <c r="DZ57" i="31"/>
  <c r="ED57" i="31"/>
  <c r="EA57" i="31"/>
  <c r="EE57" i="31"/>
  <c r="EB57" i="31"/>
  <c r="EF57" i="31"/>
  <c r="DY57" i="31"/>
  <c r="JL55" i="31"/>
  <c r="JP55" i="31"/>
  <c r="JM55" i="31"/>
  <c r="JQ55" i="31"/>
  <c r="JN55" i="31"/>
  <c r="JR55" i="31"/>
  <c r="JO55" i="31"/>
  <c r="JS55" i="31"/>
  <c r="JL59" i="31"/>
  <c r="JP59" i="31"/>
  <c r="JM59" i="31"/>
  <c r="JQ59" i="31"/>
  <c r="JN59" i="31"/>
  <c r="JR59" i="31"/>
  <c r="JO59" i="31"/>
  <c r="JS59" i="31"/>
  <c r="JL36" i="31"/>
  <c r="JP36" i="31"/>
  <c r="JM36" i="31"/>
  <c r="JQ36" i="31"/>
  <c r="JN36" i="31"/>
  <c r="JR36" i="31"/>
  <c r="JO36" i="31"/>
  <c r="JS36" i="31"/>
  <c r="JD41" i="31"/>
  <c r="JH41" i="31"/>
  <c r="JF41" i="31"/>
  <c r="JJ41" i="31"/>
  <c r="JG41" i="31"/>
  <c r="JI41" i="31"/>
  <c r="JK41" i="31"/>
  <c r="JE41" i="31"/>
  <c r="IV38" i="31"/>
  <c r="IZ38" i="31"/>
  <c r="IW38" i="31"/>
  <c r="JA38" i="31"/>
  <c r="IX38" i="31"/>
  <c r="JB38" i="31"/>
  <c r="IY38" i="31"/>
  <c r="JC38" i="31"/>
  <c r="IN35" i="31"/>
  <c r="IR35" i="31"/>
  <c r="IO35" i="31"/>
  <c r="IS35" i="31"/>
  <c r="IP35" i="31"/>
  <c r="IT35" i="31"/>
  <c r="IQ35" i="31"/>
  <c r="IU35" i="31"/>
  <c r="IP28" i="31"/>
  <c r="IT28" i="31"/>
  <c r="IN28" i="31"/>
  <c r="IR28" i="31"/>
  <c r="IU28" i="31"/>
  <c r="IO28" i="31"/>
  <c r="IQ28" i="31"/>
  <c r="IS28" i="31"/>
  <c r="IF56" i="31"/>
  <c r="IJ56" i="31"/>
  <c r="IG56" i="31"/>
  <c r="IK56" i="31"/>
  <c r="IH56" i="31"/>
  <c r="IL56" i="31"/>
  <c r="II56" i="31"/>
  <c r="IM56" i="31"/>
  <c r="IF60" i="31"/>
  <c r="IJ60" i="31"/>
  <c r="IG60" i="31"/>
  <c r="IK60" i="31"/>
  <c r="IH60" i="31"/>
  <c r="IL60" i="31"/>
  <c r="II60" i="31"/>
  <c r="IM60" i="31"/>
  <c r="IG48" i="31"/>
  <c r="IK48" i="31"/>
  <c r="IH48" i="31"/>
  <c r="IL48" i="31"/>
  <c r="II48" i="31"/>
  <c r="IM48" i="31"/>
  <c r="IF48" i="31"/>
  <c r="IJ48" i="31"/>
  <c r="BO55" i="31"/>
  <c r="BS55" i="31"/>
  <c r="BP55" i="31"/>
  <c r="BT55" i="31"/>
  <c r="BN55" i="31"/>
  <c r="BQ55" i="31"/>
  <c r="BR55" i="31"/>
  <c r="BM55" i="31"/>
  <c r="HA57" i="31"/>
  <c r="HE57" i="31"/>
  <c r="HB57" i="31"/>
  <c r="HF57" i="31"/>
  <c r="HC57" i="31"/>
  <c r="HG57" i="31"/>
  <c r="GZ57" i="31"/>
  <c r="HD57" i="31"/>
  <c r="HA49" i="31"/>
  <c r="HE49" i="31"/>
  <c r="HB49" i="31"/>
  <c r="HF49" i="31"/>
  <c r="HC49" i="31"/>
  <c r="HG49" i="31"/>
  <c r="GZ49" i="31"/>
  <c r="HD49" i="31"/>
  <c r="EP35" i="31"/>
  <c r="ET35" i="31"/>
  <c r="EQ35" i="31"/>
  <c r="EU35" i="31"/>
  <c r="ER35" i="31"/>
  <c r="EO35" i="31"/>
  <c r="ES35" i="31"/>
  <c r="EQ28" i="31"/>
  <c r="EU28" i="31"/>
  <c r="ER28" i="31"/>
  <c r="EO28" i="31"/>
  <c r="ES28" i="31"/>
  <c r="EP28" i="31"/>
  <c r="ET28" i="31"/>
  <c r="IF29" i="31"/>
  <c r="IJ29" i="31"/>
  <c r="IG29" i="31"/>
  <c r="IK29" i="31"/>
  <c r="IH29" i="31"/>
  <c r="IL29" i="31"/>
  <c r="II29" i="31"/>
  <c r="IM29" i="31"/>
  <c r="HP32" i="31"/>
  <c r="HT32" i="31"/>
  <c r="HR32" i="31"/>
  <c r="HV32" i="31"/>
  <c r="HQ32" i="31"/>
  <c r="HS32" i="31"/>
  <c r="HU32" i="31"/>
  <c r="HW32" i="31"/>
  <c r="HR26" i="31"/>
  <c r="HV26" i="31"/>
  <c r="HP26" i="31"/>
  <c r="HT26" i="31"/>
  <c r="HW26" i="31"/>
  <c r="HQ26" i="31"/>
  <c r="HS26" i="31"/>
  <c r="HU26" i="31"/>
  <c r="HR27" i="31"/>
  <c r="HV27" i="31"/>
  <c r="HP27" i="31"/>
  <c r="HT27" i="31"/>
  <c r="HW27" i="31"/>
  <c r="HQ27" i="31"/>
  <c r="HS27" i="31"/>
  <c r="HU27" i="31"/>
  <c r="FU53" i="31"/>
  <c r="FY53" i="31"/>
  <c r="FV53" i="31"/>
  <c r="FZ53" i="31"/>
  <c r="FW53" i="31"/>
  <c r="GA53" i="31"/>
  <c r="FT53" i="31"/>
  <c r="FX53" i="31"/>
  <c r="FN31" i="31"/>
  <c r="FR31" i="31"/>
  <c r="FO31" i="31"/>
  <c r="FS31" i="31"/>
  <c r="FL31" i="31"/>
  <c r="FP31" i="31"/>
  <c r="FM31" i="31"/>
  <c r="FQ31" i="31"/>
  <c r="EP39" i="31"/>
  <c r="ET39" i="31"/>
  <c r="EQ39" i="31"/>
  <c r="EU39" i="31"/>
  <c r="ER39" i="31"/>
  <c r="EO39" i="31"/>
  <c r="ES39" i="31"/>
  <c r="JN23" i="31"/>
  <c r="JR23" i="31"/>
  <c r="JO23" i="31"/>
  <c r="JS23" i="31"/>
  <c r="JL23" i="31"/>
  <c r="JP23" i="31"/>
  <c r="JQ23" i="31"/>
  <c r="JM23" i="31"/>
  <c r="JN16" i="31"/>
  <c r="JR16" i="31"/>
  <c r="JL16" i="31"/>
  <c r="JP16" i="31"/>
  <c r="JO16" i="31"/>
  <c r="JQ16" i="31"/>
  <c r="JS16" i="31"/>
  <c r="JM16" i="31"/>
  <c r="IX20" i="31"/>
  <c r="JB20" i="31"/>
  <c r="IY20" i="31"/>
  <c r="JC20" i="31"/>
  <c r="IV20" i="31"/>
  <c r="IZ20" i="31"/>
  <c r="JA20" i="31"/>
  <c r="IW20" i="31"/>
  <c r="IX19" i="31"/>
  <c r="JB19" i="31"/>
  <c r="IY19" i="31"/>
  <c r="JC19" i="31"/>
  <c r="IV19" i="31"/>
  <c r="IW19" i="31"/>
  <c r="IZ19" i="31"/>
  <c r="JA19" i="31"/>
  <c r="IO17" i="31"/>
  <c r="IS17" i="31"/>
  <c r="IP17" i="31"/>
  <c r="IT17" i="31"/>
  <c r="IQ17" i="31"/>
  <c r="IU17" i="31"/>
  <c r="IN17" i="31"/>
  <c r="IR17" i="31"/>
  <c r="IP22" i="31"/>
  <c r="IT22" i="31"/>
  <c r="IQ22" i="31"/>
  <c r="IU22" i="31"/>
  <c r="IN22" i="31"/>
  <c r="IR22" i="31"/>
  <c r="IO22" i="31"/>
  <c r="IS22" i="31"/>
  <c r="IP14" i="31"/>
  <c r="IT14" i="31"/>
  <c r="IQ14" i="31"/>
  <c r="IU14" i="31"/>
  <c r="IN14" i="31"/>
  <c r="IR14" i="31"/>
  <c r="IO14" i="31"/>
  <c r="IS14" i="31"/>
  <c r="HZ21" i="31"/>
  <c r="ID21" i="31"/>
  <c r="IA21" i="31"/>
  <c r="IE21" i="31"/>
  <c r="HX21" i="31"/>
  <c r="IB21" i="31"/>
  <c r="IC21" i="31"/>
  <c r="HY21" i="31"/>
  <c r="HR25" i="31"/>
  <c r="HV25" i="31"/>
  <c r="HS25" i="31"/>
  <c r="HW25" i="31"/>
  <c r="HP25" i="31"/>
  <c r="HT25" i="31"/>
  <c r="HU25" i="31"/>
  <c r="HQ25" i="31"/>
  <c r="HI17" i="31"/>
  <c r="HM17" i="31"/>
  <c r="HJ17" i="31"/>
  <c r="HN17" i="31"/>
  <c r="HK17" i="31"/>
  <c r="HO17" i="31"/>
  <c r="HH17" i="31"/>
  <c r="HL17" i="31"/>
  <c r="HA21" i="31"/>
  <c r="HE21" i="31"/>
  <c r="GZ21" i="31"/>
  <c r="HD21" i="31"/>
  <c r="HC21" i="31"/>
  <c r="HF21" i="31"/>
  <c r="HG21" i="31"/>
  <c r="HB21" i="31"/>
  <c r="HB14" i="31"/>
  <c r="HF14" i="31"/>
  <c r="HC14" i="31"/>
  <c r="HG14" i="31"/>
  <c r="GZ14" i="31"/>
  <c r="HD14" i="31"/>
  <c r="HA14" i="31"/>
  <c r="HE14" i="31"/>
  <c r="GS21" i="31"/>
  <c r="GW21" i="31"/>
  <c r="GR21" i="31"/>
  <c r="GV21" i="31"/>
  <c r="GU21" i="31"/>
  <c r="GX21" i="31"/>
  <c r="GY21" i="31"/>
  <c r="GT21" i="31"/>
  <c r="GD18" i="31"/>
  <c r="GH18" i="31"/>
  <c r="GE18" i="31"/>
  <c r="GI18" i="31"/>
  <c r="GB18" i="31"/>
  <c r="GF18" i="31"/>
  <c r="GC18" i="31"/>
  <c r="GG18" i="31"/>
  <c r="GB16" i="31"/>
  <c r="GF16" i="31"/>
  <c r="GC16" i="31"/>
  <c r="GG16" i="31"/>
  <c r="GD16" i="31"/>
  <c r="GH16" i="31"/>
  <c r="GE16" i="31"/>
  <c r="GI16" i="31"/>
  <c r="BN58" i="31"/>
  <c r="BR58" i="31"/>
  <c r="BO58" i="31"/>
  <c r="BS58" i="31"/>
  <c r="BQ58" i="31"/>
  <c r="BT58" i="31"/>
  <c r="BP58" i="31"/>
  <c r="BM58" i="31"/>
  <c r="C58" i="31"/>
  <c r="G58" i="31"/>
  <c r="H58" i="31"/>
  <c r="D58" i="31"/>
  <c r="B58" i="31"/>
  <c r="E58" i="31"/>
  <c r="F58" i="31"/>
  <c r="W54" i="7"/>
  <c r="V54" i="7"/>
  <c r="EJ53" i="31"/>
  <c r="EN53" i="31"/>
  <c r="EK53" i="31"/>
  <c r="EH53" i="31"/>
  <c r="EL53" i="31"/>
  <c r="EI53" i="31"/>
  <c r="EM53" i="31"/>
  <c r="EG53" i="31"/>
  <c r="BF34" i="31"/>
  <c r="BJ34" i="31"/>
  <c r="BG34" i="31"/>
  <c r="BK34" i="31"/>
  <c r="BI34" i="31"/>
  <c r="BL34" i="31"/>
  <c r="BE34" i="31"/>
  <c r="BH34" i="31"/>
  <c r="HJ13" i="31"/>
  <c r="HN13" i="31"/>
  <c r="HK13" i="31"/>
  <c r="HO13" i="31"/>
  <c r="HH13" i="31"/>
  <c r="HL13" i="31"/>
  <c r="HI13" i="31"/>
  <c r="HM13" i="31"/>
  <c r="C60" i="31"/>
  <c r="G60" i="31"/>
  <c r="F60" i="31"/>
  <c r="H60" i="31"/>
  <c r="D60" i="31"/>
  <c r="E60" i="31"/>
  <c r="B60" i="31"/>
  <c r="AQ58" i="31"/>
  <c r="AU58" i="31"/>
  <c r="AT58" i="31"/>
  <c r="AP58" i="31"/>
  <c r="AV58" i="31"/>
  <c r="AR58" i="31"/>
  <c r="AS58" i="31"/>
  <c r="AO58" i="31"/>
  <c r="BF55" i="31"/>
  <c r="BJ55" i="31"/>
  <c r="BG55" i="31"/>
  <c r="BK55" i="31"/>
  <c r="BH55" i="31"/>
  <c r="BE55" i="31"/>
  <c r="BI55" i="31"/>
  <c r="BL55" i="31"/>
  <c r="CL50" i="31"/>
  <c r="CP50" i="31"/>
  <c r="CN50" i="31"/>
  <c r="CR50" i="31"/>
  <c r="CM50" i="31"/>
  <c r="CO50" i="31"/>
  <c r="CQ50" i="31"/>
  <c r="CK50" i="31"/>
  <c r="DC49" i="31"/>
  <c r="DG49" i="31"/>
  <c r="DE49" i="31"/>
  <c r="DH49" i="31"/>
  <c r="DB49" i="31"/>
  <c r="DD49" i="31"/>
  <c r="DF49" i="31"/>
  <c r="DA49" i="31"/>
  <c r="BW48" i="31"/>
  <c r="CA48" i="31"/>
  <c r="BX48" i="31"/>
  <c r="CB48" i="31"/>
  <c r="BZ48" i="31"/>
  <c r="BV48" i="31"/>
  <c r="BY48" i="31"/>
  <c r="BU48" i="31"/>
  <c r="AZ46" i="31"/>
  <c r="BD46" i="31"/>
  <c r="BA46" i="31"/>
  <c r="BC46" i="31"/>
  <c r="AX46" i="31"/>
  <c r="AY46" i="31"/>
  <c r="BB46" i="31"/>
  <c r="AW46" i="31"/>
  <c r="DS42" i="31"/>
  <c r="DW42" i="31"/>
  <c r="DT42" i="31"/>
  <c r="DX42" i="31"/>
  <c r="DU42" i="31"/>
  <c r="DR42" i="31"/>
  <c r="DV42" i="31"/>
  <c r="DQ42" i="31"/>
  <c r="AC41" i="31"/>
  <c r="Z41" i="31"/>
  <c r="AD41" i="31"/>
  <c r="Y41" i="31"/>
  <c r="AA41" i="31"/>
  <c r="AE41" i="31"/>
  <c r="AF41" i="31"/>
  <c r="AB41" i="31"/>
  <c r="AK40" i="31"/>
  <c r="AH40" i="31"/>
  <c r="AL40" i="31"/>
  <c r="AG40" i="31"/>
  <c r="AI40" i="31"/>
  <c r="AM40" i="31"/>
  <c r="AN40" i="31"/>
  <c r="AJ40" i="31"/>
  <c r="CW38" i="31"/>
  <c r="CU38" i="31"/>
  <c r="CY38" i="31"/>
  <c r="CX38" i="31"/>
  <c r="CZ38" i="31"/>
  <c r="CT38" i="31"/>
  <c r="CV38" i="31"/>
  <c r="CS38" i="31"/>
  <c r="CV37" i="31"/>
  <c r="CZ37" i="31"/>
  <c r="CT37" i="31"/>
  <c r="CX37" i="31"/>
  <c r="CW37" i="31"/>
  <c r="CY37" i="31"/>
  <c r="CU37" i="31"/>
  <c r="CS37" i="31"/>
  <c r="DB36" i="31"/>
  <c r="DF36" i="31"/>
  <c r="DC36" i="31"/>
  <c r="DG36" i="31"/>
  <c r="DD36" i="31"/>
  <c r="DH36" i="31"/>
  <c r="DE36" i="31"/>
  <c r="DA36" i="31"/>
  <c r="CM35" i="31"/>
  <c r="CQ35" i="31"/>
  <c r="CO35" i="31"/>
  <c r="CN35" i="31"/>
  <c r="CP35" i="31"/>
  <c r="CR35" i="31"/>
  <c r="CL35" i="31"/>
  <c r="CK35" i="31"/>
  <c r="U33" i="31"/>
  <c r="R33" i="31"/>
  <c r="V33" i="31"/>
  <c r="Q33" i="31"/>
  <c r="S33" i="31"/>
  <c r="W33" i="31"/>
  <c r="T33" i="31"/>
  <c r="X33" i="31"/>
  <c r="BP31" i="31"/>
  <c r="BT31" i="31"/>
  <c r="BQ31" i="31"/>
  <c r="BO31" i="31"/>
  <c r="BR31" i="31"/>
  <c r="BS31" i="31"/>
  <c r="BN31" i="31"/>
  <c r="BM31" i="31"/>
  <c r="CO29" i="31"/>
  <c r="CM29" i="31"/>
  <c r="CQ29" i="31"/>
  <c r="CP29" i="31"/>
  <c r="CR29" i="31"/>
  <c r="CL29" i="31"/>
  <c r="CN29" i="31"/>
  <c r="CK29" i="31"/>
  <c r="BA27" i="31"/>
  <c r="AX27" i="31"/>
  <c r="BB27" i="31"/>
  <c r="AZ27" i="31"/>
  <c r="BC27" i="31"/>
  <c r="BD27" i="31"/>
  <c r="AY27" i="31"/>
  <c r="AW27" i="31"/>
  <c r="AZ26" i="31"/>
  <c r="BD26" i="31"/>
  <c r="BA26" i="31"/>
  <c r="AY26" i="31"/>
  <c r="BB26" i="31"/>
  <c r="BC26" i="31"/>
  <c r="AX26" i="31"/>
  <c r="AW26" i="31"/>
  <c r="DB24" i="31"/>
  <c r="DF24" i="31"/>
  <c r="DC24" i="31"/>
  <c r="DG24" i="31"/>
  <c r="DD24" i="31"/>
  <c r="DH24" i="31"/>
  <c r="DE24" i="31"/>
  <c r="DA24" i="31"/>
  <c r="BO22" i="31"/>
  <c r="BS22" i="31"/>
  <c r="BP22" i="31"/>
  <c r="BT22" i="31"/>
  <c r="BN22" i="31"/>
  <c r="BQ22" i="31"/>
  <c r="BR22" i="31"/>
  <c r="BM22" i="31"/>
  <c r="BW21" i="31"/>
  <c r="CA21" i="31"/>
  <c r="BX21" i="31"/>
  <c r="CB21" i="31"/>
  <c r="BY21" i="31"/>
  <c r="BV21" i="31"/>
  <c r="BZ21" i="31"/>
  <c r="BU21" i="31"/>
  <c r="CG20" i="31"/>
  <c r="CD20" i="31"/>
  <c r="CH20" i="31"/>
  <c r="CE20" i="31"/>
  <c r="CI20" i="31"/>
  <c r="CF20" i="31"/>
  <c r="CJ20" i="31"/>
  <c r="CC20" i="31"/>
  <c r="BN17" i="31"/>
  <c r="BR17" i="31"/>
  <c r="BO17" i="31"/>
  <c r="BS17" i="31"/>
  <c r="BQ17" i="31"/>
  <c r="BT17" i="31"/>
  <c r="BM17" i="31"/>
  <c r="BP17" i="31"/>
  <c r="U16" i="31"/>
  <c r="R16" i="31"/>
  <c r="V16" i="31"/>
  <c r="Q16" i="31"/>
  <c r="S16" i="31"/>
  <c r="W16" i="31"/>
  <c r="T16" i="31"/>
  <c r="X16" i="31"/>
  <c r="AS14" i="31"/>
  <c r="AP14" i="31"/>
  <c r="AT14" i="31"/>
  <c r="AV14" i="31"/>
  <c r="AQ14" i="31"/>
  <c r="AR14" i="31"/>
  <c r="AU14" i="31"/>
  <c r="AO14" i="31"/>
  <c r="DU12" i="31"/>
  <c r="DR12" i="31"/>
  <c r="DV12" i="31"/>
  <c r="DS12" i="31"/>
  <c r="DW12" i="31"/>
  <c r="DT12" i="31"/>
  <c r="DX12" i="31"/>
  <c r="DQ12" i="31"/>
  <c r="JT45" i="31"/>
  <c r="JX45" i="31"/>
  <c r="JV45" i="31"/>
  <c r="JZ45" i="31"/>
  <c r="KA45" i="31"/>
  <c r="JU45" i="31"/>
  <c r="JW45" i="31"/>
  <c r="JY45" i="31"/>
  <c r="IN45" i="31"/>
  <c r="IR45" i="31"/>
  <c r="IP45" i="31"/>
  <c r="IT45" i="31"/>
  <c r="IU45" i="31"/>
  <c r="IO45" i="31"/>
  <c r="IQ45" i="31"/>
  <c r="IS45" i="31"/>
  <c r="HH45" i="31"/>
  <c r="HL45" i="31"/>
  <c r="HJ45" i="31"/>
  <c r="HN45" i="31"/>
  <c r="HO45" i="31"/>
  <c r="HI45" i="31"/>
  <c r="HK45" i="31"/>
  <c r="HM45" i="31"/>
  <c r="GC45" i="31"/>
  <c r="GG45" i="31"/>
  <c r="GD45" i="31"/>
  <c r="GH45" i="31"/>
  <c r="GE45" i="31"/>
  <c r="GI45" i="31"/>
  <c r="GB45" i="31"/>
  <c r="GF45" i="31"/>
  <c r="EY43" i="31"/>
  <c r="FC43" i="31"/>
  <c r="EV43" i="31"/>
  <c r="EZ43" i="31"/>
  <c r="EW43" i="31"/>
  <c r="FA43" i="31"/>
  <c r="EX43" i="31"/>
  <c r="FB43" i="31"/>
  <c r="JU48" i="31"/>
  <c r="JY48" i="31"/>
  <c r="JV48" i="31"/>
  <c r="JZ48" i="31"/>
  <c r="JT48" i="31"/>
  <c r="JX48" i="31"/>
  <c r="JW48" i="31"/>
  <c r="KA48" i="31"/>
  <c r="EI60" i="31"/>
  <c r="EM60" i="31"/>
  <c r="EJ60" i="31"/>
  <c r="EN60" i="31"/>
  <c r="EK60" i="31"/>
  <c r="EH60" i="31"/>
  <c r="EL60" i="31"/>
  <c r="EG60" i="31"/>
  <c r="JT57" i="31"/>
  <c r="JX57" i="31"/>
  <c r="JU57" i="31"/>
  <c r="JY57" i="31"/>
  <c r="JV57" i="31"/>
  <c r="JZ57" i="31"/>
  <c r="JW57" i="31"/>
  <c r="KA57" i="31"/>
  <c r="JD38" i="31"/>
  <c r="JH38" i="31"/>
  <c r="JE38" i="31"/>
  <c r="JI38" i="31"/>
  <c r="JF38" i="31"/>
  <c r="JJ38" i="31"/>
  <c r="JG38" i="31"/>
  <c r="JK38" i="31"/>
  <c r="IX28" i="31"/>
  <c r="JB28" i="31"/>
  <c r="IV28" i="31"/>
  <c r="IZ28" i="31"/>
  <c r="JC28" i="31"/>
  <c r="IW28" i="31"/>
  <c r="IY28" i="31"/>
  <c r="JA28" i="31"/>
  <c r="DE59" i="31"/>
  <c r="DC59" i="31"/>
  <c r="DG59" i="31"/>
  <c r="DB59" i="31"/>
  <c r="DD59" i="31"/>
  <c r="DF59" i="31"/>
  <c r="DH59" i="31"/>
  <c r="DA59" i="31"/>
  <c r="IN56" i="31"/>
  <c r="IR56" i="31"/>
  <c r="IO56" i="31"/>
  <c r="IS56" i="31"/>
  <c r="IP56" i="31"/>
  <c r="IT56" i="31"/>
  <c r="IQ56" i="31"/>
  <c r="IU56" i="31"/>
  <c r="IN60" i="31"/>
  <c r="IR60" i="31"/>
  <c r="IO60" i="31"/>
  <c r="IS60" i="31"/>
  <c r="IP60" i="31"/>
  <c r="IT60" i="31"/>
  <c r="IQ60" i="31"/>
  <c r="IU60" i="31"/>
  <c r="IF37" i="31"/>
  <c r="IJ37" i="31"/>
  <c r="IG37" i="31"/>
  <c r="IK37" i="31"/>
  <c r="IH37" i="31"/>
  <c r="IL37" i="31"/>
  <c r="II37" i="31"/>
  <c r="IM37" i="31"/>
  <c r="HH42" i="31"/>
  <c r="HL42" i="31"/>
  <c r="HJ42" i="31"/>
  <c r="HN42" i="31"/>
  <c r="HK42" i="31"/>
  <c r="HM42" i="31"/>
  <c r="HO42" i="31"/>
  <c r="HI42" i="31"/>
  <c r="HH55" i="31"/>
  <c r="HL55" i="31"/>
  <c r="HI55" i="31"/>
  <c r="HM55" i="31"/>
  <c r="HJ55" i="31"/>
  <c r="HN55" i="31"/>
  <c r="HK55" i="31"/>
  <c r="HO55" i="31"/>
  <c r="HH59" i="31"/>
  <c r="HL59" i="31"/>
  <c r="HI59" i="31"/>
  <c r="HM59" i="31"/>
  <c r="HJ59" i="31"/>
  <c r="HN59" i="31"/>
  <c r="HK59" i="31"/>
  <c r="HO59" i="31"/>
  <c r="GZ41" i="31"/>
  <c r="HD41" i="31"/>
  <c r="HA41" i="31"/>
  <c r="HE41" i="31"/>
  <c r="HB41" i="31"/>
  <c r="HF41" i="31"/>
  <c r="HC41" i="31"/>
  <c r="HG41" i="31"/>
  <c r="GR44" i="31"/>
  <c r="GV44" i="31"/>
  <c r="GS44" i="31"/>
  <c r="GW44" i="31"/>
  <c r="GT44" i="31"/>
  <c r="GX44" i="31"/>
  <c r="GU44" i="31"/>
  <c r="GY44" i="31"/>
  <c r="GU40" i="31"/>
  <c r="GY40" i="31"/>
  <c r="GR40" i="31"/>
  <c r="GV40" i="31"/>
  <c r="GS40" i="31"/>
  <c r="GW40" i="31"/>
  <c r="GT40" i="31"/>
  <c r="GX40" i="31"/>
  <c r="GK42" i="31"/>
  <c r="GO42" i="31"/>
  <c r="GJ42" i="31"/>
  <c r="GN42" i="31"/>
  <c r="GQ42" i="31"/>
  <c r="GL42" i="31"/>
  <c r="GM42" i="31"/>
  <c r="GP42" i="31"/>
  <c r="GK49" i="31"/>
  <c r="GO49" i="31"/>
  <c r="GL49" i="31"/>
  <c r="GP49" i="31"/>
  <c r="GM49" i="31"/>
  <c r="GQ49" i="31"/>
  <c r="GJ49" i="31"/>
  <c r="GN49" i="31"/>
  <c r="BA55" i="31"/>
  <c r="AX55" i="31"/>
  <c r="BB55" i="31"/>
  <c r="BD55" i="31"/>
  <c r="AY55" i="31"/>
  <c r="AZ55" i="31"/>
  <c r="BC55" i="31"/>
  <c r="AW55" i="31"/>
  <c r="GK57" i="31"/>
  <c r="GO57" i="31"/>
  <c r="GL57" i="31"/>
  <c r="GP57" i="31"/>
  <c r="GM57" i="31"/>
  <c r="GQ57" i="31"/>
  <c r="GJ57" i="31"/>
  <c r="GN57" i="31"/>
  <c r="GB44" i="31"/>
  <c r="GF44" i="31"/>
  <c r="GC44" i="31"/>
  <c r="GG44" i="31"/>
  <c r="GD44" i="31"/>
  <c r="GH44" i="31"/>
  <c r="GE44" i="31"/>
  <c r="GI44" i="31"/>
  <c r="FT56" i="31"/>
  <c r="FX56" i="31"/>
  <c r="FU56" i="31"/>
  <c r="FY56" i="31"/>
  <c r="FV56" i="31"/>
  <c r="FZ56" i="31"/>
  <c r="FW56" i="31"/>
  <c r="GA56" i="31"/>
  <c r="FT60" i="31"/>
  <c r="FX60" i="31"/>
  <c r="FU60" i="31"/>
  <c r="FY60" i="31"/>
  <c r="FV60" i="31"/>
  <c r="FZ60" i="31"/>
  <c r="FW60" i="31"/>
  <c r="GA60" i="31"/>
  <c r="FT48" i="31"/>
  <c r="FX48" i="31"/>
  <c r="FU48" i="31"/>
  <c r="FY48" i="31"/>
  <c r="FV48" i="31"/>
  <c r="FZ48" i="31"/>
  <c r="FW48" i="31"/>
  <c r="GA48" i="31"/>
  <c r="FM38" i="31"/>
  <c r="FQ38" i="31"/>
  <c r="FN38" i="31"/>
  <c r="FR38" i="31"/>
  <c r="FO38" i="31"/>
  <c r="FS38" i="31"/>
  <c r="FL38" i="31"/>
  <c r="FP38" i="31"/>
  <c r="FG36" i="31"/>
  <c r="FK36" i="31"/>
  <c r="FD36" i="31"/>
  <c r="FH36" i="31"/>
  <c r="FE36" i="31"/>
  <c r="FI36" i="31"/>
  <c r="FF36" i="31"/>
  <c r="FJ36" i="31"/>
  <c r="EV44" i="31"/>
  <c r="EZ44" i="31"/>
  <c r="EW44" i="31"/>
  <c r="FA44" i="31"/>
  <c r="EX44" i="31"/>
  <c r="FB44" i="31"/>
  <c r="EY44" i="31"/>
  <c r="FC44" i="31"/>
  <c r="V117" i="30"/>
  <c r="W117" i="30"/>
  <c r="C56" i="31"/>
  <c r="G56" i="31"/>
  <c r="D56" i="31"/>
  <c r="E56" i="31"/>
  <c r="F56" i="31"/>
  <c r="B56" i="31"/>
  <c r="H56" i="31"/>
  <c r="EP54" i="31"/>
  <c r="ET54" i="31"/>
  <c r="EQ54" i="31"/>
  <c r="EU54" i="31"/>
  <c r="ER54" i="31"/>
  <c r="EO54" i="31"/>
  <c r="ES54" i="31"/>
  <c r="EP58" i="31"/>
  <c r="ET58" i="31"/>
  <c r="EQ58" i="31"/>
  <c r="EU58" i="31"/>
  <c r="ER58" i="31"/>
  <c r="EO58" i="31"/>
  <c r="ES58" i="31"/>
  <c r="JT33" i="31"/>
  <c r="JX33" i="31"/>
  <c r="JV33" i="31"/>
  <c r="JZ33" i="31"/>
  <c r="JU33" i="31"/>
  <c r="JW33" i="31"/>
  <c r="JY33" i="31"/>
  <c r="KA33" i="31"/>
  <c r="IV31" i="31"/>
  <c r="IZ31" i="31"/>
  <c r="IX31" i="31"/>
  <c r="JB31" i="31"/>
  <c r="IW31" i="31"/>
  <c r="IY31" i="31"/>
  <c r="JA31" i="31"/>
  <c r="JC31" i="31"/>
  <c r="IN29" i="31"/>
  <c r="IR29" i="31"/>
  <c r="IO29" i="31"/>
  <c r="IS29" i="31"/>
  <c r="IP29" i="31"/>
  <c r="IT29" i="31"/>
  <c r="IQ29" i="31"/>
  <c r="IU29" i="31"/>
  <c r="IG53" i="31"/>
  <c r="IK53" i="31"/>
  <c r="IF53" i="31"/>
  <c r="IJ53" i="31"/>
  <c r="IH53" i="31"/>
  <c r="II53" i="31"/>
  <c r="IL53" i="31"/>
  <c r="IM53" i="31"/>
  <c r="HX32" i="31"/>
  <c r="IB32" i="31"/>
  <c r="HZ32" i="31"/>
  <c r="ID32" i="31"/>
  <c r="HY32" i="31"/>
  <c r="IA32" i="31"/>
  <c r="IC32" i="31"/>
  <c r="IE32" i="31"/>
  <c r="HZ27" i="31"/>
  <c r="ID27" i="31"/>
  <c r="HX27" i="31"/>
  <c r="IB27" i="31"/>
  <c r="IE27" i="31"/>
  <c r="HY27" i="31"/>
  <c r="IA27" i="31"/>
  <c r="IC27" i="31"/>
  <c r="HH33" i="31"/>
  <c r="HL33" i="31"/>
  <c r="HJ33" i="31"/>
  <c r="HN33" i="31"/>
  <c r="HI33" i="31"/>
  <c r="HK33" i="31"/>
  <c r="HM33" i="31"/>
  <c r="HO33" i="31"/>
  <c r="HC24" i="31"/>
  <c r="HG24" i="31"/>
  <c r="GZ24" i="31"/>
  <c r="HD24" i="31"/>
  <c r="HA24" i="31"/>
  <c r="HE24" i="31"/>
  <c r="HB24" i="31"/>
  <c r="HF24" i="31"/>
  <c r="GR29" i="31"/>
  <c r="GV29" i="31"/>
  <c r="GS29" i="31"/>
  <c r="GW29" i="31"/>
  <c r="GT29" i="31"/>
  <c r="GX29" i="31"/>
  <c r="GU29" i="31"/>
  <c r="GY29" i="31"/>
  <c r="GB29" i="31"/>
  <c r="GF29" i="31"/>
  <c r="GC29" i="31"/>
  <c r="GG29" i="31"/>
  <c r="GD29" i="31"/>
  <c r="GH29" i="31"/>
  <c r="GE29" i="31"/>
  <c r="GI29" i="31"/>
  <c r="FE26" i="31"/>
  <c r="FI26" i="31"/>
  <c r="FF26" i="31"/>
  <c r="FJ26" i="31"/>
  <c r="FG26" i="31"/>
  <c r="FK26" i="31"/>
  <c r="FD26" i="31"/>
  <c r="FH26" i="31"/>
  <c r="FF27" i="31"/>
  <c r="FJ27" i="31"/>
  <c r="FG27" i="31"/>
  <c r="FK27" i="31"/>
  <c r="FD27" i="31"/>
  <c r="FH27" i="31"/>
  <c r="FE27" i="31"/>
  <c r="FI27" i="31"/>
  <c r="EO34" i="31"/>
  <c r="ES34" i="31"/>
  <c r="EP34" i="31"/>
  <c r="ET34" i="31"/>
  <c r="EQ34" i="31"/>
  <c r="EU34" i="31"/>
  <c r="ER34" i="31"/>
  <c r="JV15" i="31"/>
  <c r="JZ15" i="31"/>
  <c r="JT15" i="31"/>
  <c r="JX15" i="31"/>
  <c r="JW15" i="31"/>
  <c r="JY15" i="31"/>
  <c r="KA15" i="31"/>
  <c r="JU15" i="31"/>
  <c r="JM17" i="31"/>
  <c r="JQ17" i="31"/>
  <c r="JN17" i="31"/>
  <c r="JR17" i="31"/>
  <c r="JO17" i="31"/>
  <c r="JS17" i="31"/>
  <c r="JL17" i="31"/>
  <c r="JP17" i="31"/>
  <c r="JN22" i="31"/>
  <c r="JR22" i="31"/>
  <c r="JO22" i="31"/>
  <c r="JS22" i="31"/>
  <c r="JL22" i="31"/>
  <c r="JP22" i="31"/>
  <c r="JQ22" i="31"/>
  <c r="JM22" i="31"/>
  <c r="IX13" i="31"/>
  <c r="JB13" i="31"/>
  <c r="IY13" i="31"/>
  <c r="JC13" i="31"/>
  <c r="IV13" i="31"/>
  <c r="IZ13" i="31"/>
  <c r="JA13" i="31"/>
  <c r="IW13" i="31"/>
  <c r="IU12" i="31"/>
  <c r="IQ12" i="31"/>
  <c r="IT12" i="31"/>
  <c r="IP12" i="31"/>
  <c r="IS12" i="31"/>
  <c r="IO12" i="31"/>
  <c r="IR12" i="31"/>
  <c r="IN12" i="31"/>
  <c r="HR20" i="31"/>
  <c r="HV20" i="31"/>
  <c r="HS20" i="31"/>
  <c r="HW20" i="31"/>
  <c r="HP20" i="31"/>
  <c r="HQ20" i="31"/>
  <c r="HT20" i="31"/>
  <c r="HU20" i="31"/>
  <c r="HR15" i="31"/>
  <c r="HV15" i="31"/>
  <c r="HS15" i="31"/>
  <c r="HW15" i="31"/>
  <c r="HP15" i="31"/>
  <c r="HT15" i="31"/>
  <c r="HQ15" i="31"/>
  <c r="HU15" i="31"/>
  <c r="HJ20" i="31"/>
  <c r="HN20" i="31"/>
  <c r="HK20" i="31"/>
  <c r="HO20" i="31"/>
  <c r="HH20" i="31"/>
  <c r="HI20" i="31"/>
  <c r="HL20" i="31"/>
  <c r="HM20" i="31"/>
  <c r="HC15" i="31"/>
  <c r="HG15" i="31"/>
  <c r="GZ15" i="31"/>
  <c r="HD15" i="31"/>
  <c r="HA15" i="31"/>
  <c r="HE15" i="31"/>
  <c r="HB15" i="31"/>
  <c r="HF15" i="31"/>
  <c r="GR20" i="31"/>
  <c r="GV20" i="31"/>
  <c r="GS20" i="31"/>
  <c r="GW20" i="31"/>
  <c r="GT20" i="31"/>
  <c r="GX20" i="31"/>
  <c r="GU20" i="31"/>
  <c r="GY20" i="31"/>
  <c r="GU19" i="31"/>
  <c r="GY19" i="31"/>
  <c r="GR19" i="31"/>
  <c r="GV19" i="31"/>
  <c r="GS19" i="31"/>
  <c r="GW19" i="31"/>
  <c r="GT19" i="31"/>
  <c r="GX19" i="31"/>
  <c r="GJ20" i="31"/>
  <c r="GN20" i="31"/>
  <c r="GK20" i="31"/>
  <c r="GO20" i="31"/>
  <c r="GL20" i="31"/>
  <c r="GP20" i="31"/>
  <c r="GM20" i="31"/>
  <c r="GQ20" i="31"/>
  <c r="GM19" i="31"/>
  <c r="GQ19" i="31"/>
  <c r="GJ19" i="31"/>
  <c r="GN19" i="31"/>
  <c r="GK19" i="31"/>
  <c r="GO19" i="31"/>
  <c r="GL19" i="31"/>
  <c r="GP19" i="31"/>
  <c r="GB25" i="31"/>
  <c r="GF25" i="31"/>
  <c r="GC25" i="31"/>
  <c r="GG25" i="31"/>
  <c r="GD25" i="31"/>
  <c r="GH25" i="31"/>
  <c r="GE25" i="31"/>
  <c r="GI25" i="31"/>
  <c r="GC22" i="31"/>
  <c r="GG22" i="31"/>
  <c r="GD22" i="31"/>
  <c r="GH22" i="31"/>
  <c r="GE22" i="31"/>
  <c r="GI22" i="31"/>
  <c r="GB22" i="31"/>
  <c r="GF22" i="31"/>
  <c r="GD14" i="31"/>
  <c r="GH14" i="31"/>
  <c r="GE14" i="31"/>
  <c r="GI14" i="31"/>
  <c r="GB14" i="31"/>
  <c r="GF14" i="31"/>
  <c r="GC14" i="31"/>
  <c r="GG14" i="31"/>
  <c r="FV18" i="31"/>
  <c r="FZ18" i="31"/>
  <c r="FW18" i="31"/>
  <c r="GA18" i="31"/>
  <c r="FT18" i="31"/>
  <c r="FX18" i="31"/>
  <c r="FU18" i="31"/>
  <c r="FY18" i="31"/>
  <c r="FF23" i="31"/>
  <c r="FJ23" i="31"/>
  <c r="FG23" i="31"/>
  <c r="FK23" i="31"/>
  <c r="FD23" i="31"/>
  <c r="FH23" i="31"/>
  <c r="FE23" i="31"/>
  <c r="FI23" i="31"/>
  <c r="EX18" i="31"/>
  <c r="FB18" i="31"/>
  <c r="EY18" i="31"/>
  <c r="FC18" i="31"/>
  <c r="EV18" i="31"/>
  <c r="EZ18" i="31"/>
  <c r="EW18" i="31"/>
  <c r="FA18" i="31"/>
  <c r="EV16" i="31"/>
  <c r="EZ16" i="31"/>
  <c r="EW16" i="31"/>
  <c r="FA16" i="31"/>
  <c r="EX16" i="31"/>
  <c r="FB16" i="31"/>
  <c r="EY16" i="31"/>
  <c r="FC16" i="31"/>
  <c r="EP18" i="31"/>
  <c r="ET18" i="31"/>
  <c r="EQ18" i="31"/>
  <c r="EU18" i="31"/>
  <c r="ER18" i="31"/>
  <c r="EO18" i="31"/>
  <c r="ES18" i="31"/>
  <c r="DR45" i="31"/>
  <c r="DV45" i="31"/>
  <c r="DS45" i="31"/>
  <c r="DW45" i="31"/>
  <c r="DT45" i="31"/>
  <c r="DX45" i="31"/>
  <c r="DU45" i="31"/>
  <c r="DQ45" i="31"/>
  <c r="BH45" i="31"/>
  <c r="BL45" i="31"/>
  <c r="BI45" i="31"/>
  <c r="BK45" i="31"/>
  <c r="BF45" i="31"/>
  <c r="BG45" i="31"/>
  <c r="BE45" i="31"/>
  <c r="BJ45" i="31"/>
  <c r="BY54" i="31"/>
  <c r="BV54" i="31"/>
  <c r="BZ54" i="31"/>
  <c r="BX54" i="31"/>
  <c r="CA54" i="31"/>
  <c r="BU54" i="31"/>
  <c r="CB54" i="31"/>
  <c r="BW54" i="31"/>
  <c r="BH53" i="31"/>
  <c r="BL53" i="31"/>
  <c r="BI53" i="31"/>
  <c r="BK53" i="31"/>
  <c r="BF53" i="31"/>
  <c r="BG53" i="31"/>
  <c r="BE53" i="31"/>
  <c r="BJ53" i="31"/>
  <c r="EB52" i="31"/>
  <c r="EF52" i="31"/>
  <c r="EC52" i="31"/>
  <c r="DZ52" i="31"/>
  <c r="ED52" i="31"/>
  <c r="EA52" i="31"/>
  <c r="EE52" i="31"/>
  <c r="DY52" i="31"/>
  <c r="E52" i="31"/>
  <c r="B52" i="31"/>
  <c r="F52" i="31"/>
  <c r="G52" i="31"/>
  <c r="C52" i="31"/>
  <c r="D52" i="31"/>
  <c r="H52" i="31"/>
  <c r="W48" i="7"/>
  <c r="FU13" i="31"/>
  <c r="FY13" i="31"/>
  <c r="FV13" i="31"/>
  <c r="FZ13" i="31"/>
  <c r="FW13" i="31"/>
  <c r="GA13" i="31"/>
  <c r="FT13" i="31"/>
  <c r="FX13" i="31"/>
  <c r="BO59" i="31"/>
  <c r="BS59" i="31"/>
  <c r="BP59" i="31"/>
  <c r="BT59" i="31"/>
  <c r="BR59" i="31"/>
  <c r="BN59" i="31"/>
  <c r="BQ59" i="31"/>
  <c r="BM59" i="31"/>
  <c r="AS56" i="31"/>
  <c r="AR56" i="31"/>
  <c r="AT56" i="31"/>
  <c r="AP56" i="31"/>
  <c r="AU56" i="31"/>
  <c r="AQ56" i="31"/>
  <c r="AV56" i="31"/>
  <c r="AO56" i="31"/>
  <c r="BQ49" i="31"/>
  <c r="BN49" i="31"/>
  <c r="BR49" i="31"/>
  <c r="BP49" i="31"/>
  <c r="BS49" i="31"/>
  <c r="BM49" i="31"/>
  <c r="BT49" i="31"/>
  <c r="BO49" i="31"/>
  <c r="AK48" i="31"/>
  <c r="AH48" i="31"/>
  <c r="AL48" i="31"/>
  <c r="AG48" i="31"/>
  <c r="AI48" i="31"/>
  <c r="AM48" i="31"/>
  <c r="AJ48" i="31"/>
  <c r="AN48" i="31"/>
  <c r="AJ47" i="31"/>
  <c r="AN47" i="31"/>
  <c r="AK47" i="31"/>
  <c r="AH47" i="31"/>
  <c r="AL47" i="31"/>
  <c r="AM47" i="31"/>
  <c r="AG47" i="31"/>
  <c r="AI47" i="31"/>
  <c r="AS44" i="31"/>
  <c r="AQ44" i="31"/>
  <c r="AV44" i="31"/>
  <c r="AR44" i="31"/>
  <c r="AT44" i="31"/>
  <c r="AO44" i="31"/>
  <c r="AP44" i="31"/>
  <c r="AU44" i="31"/>
  <c r="AZ42" i="31"/>
  <c r="BD42" i="31"/>
  <c r="BA42" i="31"/>
  <c r="AY42" i="31"/>
  <c r="BB42" i="31"/>
  <c r="BC42" i="31"/>
  <c r="AX42" i="31"/>
  <c r="AW42" i="31"/>
  <c r="AY41" i="31"/>
  <c r="BC41" i="31"/>
  <c r="AZ41" i="31"/>
  <c r="BD41" i="31"/>
  <c r="AX41" i="31"/>
  <c r="BA41" i="31"/>
  <c r="AW41" i="31"/>
  <c r="BB41" i="31"/>
  <c r="CL38" i="31"/>
  <c r="CP38" i="31"/>
  <c r="CN38" i="31"/>
  <c r="CR38" i="31"/>
  <c r="CQ38" i="31"/>
  <c r="CM38" i="31"/>
  <c r="CO38" i="31"/>
  <c r="CK38" i="31"/>
  <c r="EJ33" i="31"/>
  <c r="EN33" i="31"/>
  <c r="EK33" i="31"/>
  <c r="EH33" i="31"/>
  <c r="EL33" i="31"/>
  <c r="EI33" i="31"/>
  <c r="EM33" i="31"/>
  <c r="EG33" i="31"/>
  <c r="AY29" i="31"/>
  <c r="BC29" i="31"/>
  <c r="AZ29" i="31"/>
  <c r="BD29" i="31"/>
  <c r="BB29" i="31"/>
  <c r="AW29" i="31"/>
  <c r="AX29" i="31"/>
  <c r="BA29" i="31"/>
  <c r="BQ28" i="31"/>
  <c r="BN28" i="31"/>
  <c r="BR28" i="31"/>
  <c r="BT28" i="31"/>
  <c r="BO28" i="31"/>
  <c r="BM28" i="31"/>
  <c r="BP28" i="31"/>
  <c r="BS28" i="31"/>
  <c r="BY27" i="31"/>
  <c r="BV27" i="31"/>
  <c r="BZ27" i="31"/>
  <c r="BW27" i="31"/>
  <c r="CA27" i="31"/>
  <c r="BX27" i="31"/>
  <c r="CB27" i="31"/>
  <c r="BU27" i="31"/>
  <c r="EA23" i="31"/>
  <c r="EE23" i="31"/>
  <c r="EB23" i="31"/>
  <c r="EF23" i="31"/>
  <c r="EC23" i="31"/>
  <c r="DZ23" i="31"/>
  <c r="ED23" i="31"/>
  <c r="DY23" i="31"/>
  <c r="D21" i="31"/>
  <c r="H21" i="31"/>
  <c r="E21" i="31"/>
  <c r="C21" i="31"/>
  <c r="B21" i="31"/>
  <c r="F21" i="31"/>
  <c r="G21" i="31"/>
  <c r="W17" i="7"/>
  <c r="J18" i="31"/>
  <c r="N18" i="31"/>
  <c r="K18" i="31"/>
  <c r="O18" i="31"/>
  <c r="L18" i="31"/>
  <c r="P18" i="31"/>
  <c r="M18" i="31"/>
  <c r="I18" i="31"/>
  <c r="AQ16" i="31"/>
  <c r="AU16" i="31"/>
  <c r="AR16" i="31"/>
  <c r="AV16" i="31"/>
  <c r="AP16" i="31"/>
  <c r="AS16" i="31"/>
  <c r="AT16" i="31"/>
  <c r="AO16" i="31"/>
  <c r="AK15" i="31"/>
  <c r="AH15" i="31"/>
  <c r="AM15" i="31"/>
  <c r="AI15" i="31"/>
  <c r="AN15" i="31"/>
  <c r="AJ15" i="31"/>
  <c r="AG15" i="31"/>
  <c r="AL15" i="31"/>
  <c r="FN50" i="31"/>
  <c r="FR50" i="31"/>
  <c r="FO50" i="31"/>
  <c r="FS50" i="31"/>
  <c r="FL50" i="31"/>
  <c r="FP50" i="31"/>
  <c r="FM50" i="31"/>
  <c r="FQ50" i="31"/>
  <c r="EP50" i="31"/>
  <c r="ET50" i="31"/>
  <c r="EQ50" i="31"/>
  <c r="EU50" i="31"/>
  <c r="ER50" i="31"/>
  <c r="EO50" i="31"/>
  <c r="ES50" i="31"/>
  <c r="JL44" i="31"/>
  <c r="JP44" i="31"/>
  <c r="JN44" i="31"/>
  <c r="JR44" i="31"/>
  <c r="JS44" i="31"/>
  <c r="JQ44" i="31"/>
  <c r="JM44" i="31"/>
  <c r="JO44" i="31"/>
  <c r="IV46" i="31"/>
  <c r="IZ46" i="31"/>
  <c r="IX46" i="31"/>
  <c r="JB46" i="31"/>
  <c r="IY46" i="31"/>
  <c r="JA46" i="31"/>
  <c r="JC46" i="31"/>
  <c r="IW46" i="31"/>
  <c r="IW48" i="31"/>
  <c r="JA48" i="31"/>
  <c r="IX48" i="31"/>
  <c r="JB48" i="31"/>
  <c r="IV48" i="31"/>
  <c r="IZ48" i="31"/>
  <c r="IY48" i="31"/>
  <c r="JC48" i="31"/>
  <c r="IV56" i="31"/>
  <c r="IZ56" i="31"/>
  <c r="IW56" i="31"/>
  <c r="JA56" i="31"/>
  <c r="IX56" i="31"/>
  <c r="JB56" i="31"/>
  <c r="IY56" i="31"/>
  <c r="JC56" i="31"/>
  <c r="IV60" i="31"/>
  <c r="IZ60" i="31"/>
  <c r="IW60" i="31"/>
  <c r="JA60" i="31"/>
  <c r="IX60" i="31"/>
  <c r="JB60" i="31"/>
  <c r="IY60" i="31"/>
  <c r="JC60" i="31"/>
  <c r="IV36" i="31"/>
  <c r="IZ36" i="31"/>
  <c r="IW36" i="31"/>
  <c r="JA36" i="31"/>
  <c r="IX36" i="31"/>
  <c r="JB36" i="31"/>
  <c r="IY36" i="31"/>
  <c r="JC36" i="31"/>
  <c r="IN37" i="31"/>
  <c r="IR37" i="31"/>
  <c r="IO37" i="31"/>
  <c r="IS37" i="31"/>
  <c r="IP37" i="31"/>
  <c r="IT37" i="31"/>
  <c r="IQ37" i="31"/>
  <c r="IU37" i="31"/>
  <c r="IN41" i="31"/>
  <c r="IR41" i="31"/>
  <c r="IP41" i="31"/>
  <c r="IT41" i="31"/>
  <c r="IQ41" i="31"/>
  <c r="IS41" i="31"/>
  <c r="IU41" i="31"/>
  <c r="IO41" i="31"/>
  <c r="HZ28" i="31"/>
  <c r="ID28" i="31"/>
  <c r="HX28" i="31"/>
  <c r="IB28" i="31"/>
  <c r="IE28" i="31"/>
  <c r="HY28" i="31"/>
  <c r="IA28" i="31"/>
  <c r="IC28" i="31"/>
  <c r="HP42" i="31"/>
  <c r="HT42" i="31"/>
  <c r="HR42" i="31"/>
  <c r="HV42" i="31"/>
  <c r="HS42" i="31"/>
  <c r="HU42" i="31"/>
  <c r="HW42" i="31"/>
  <c r="HQ42" i="31"/>
  <c r="HQ49" i="31"/>
  <c r="HU49" i="31"/>
  <c r="HR49" i="31"/>
  <c r="HV49" i="31"/>
  <c r="HP49" i="31"/>
  <c r="HT49" i="31"/>
  <c r="HS49" i="31"/>
  <c r="HW49" i="31"/>
  <c r="CF55" i="31"/>
  <c r="CJ55" i="31"/>
  <c r="CG55" i="31"/>
  <c r="CD55" i="31"/>
  <c r="CH55" i="31"/>
  <c r="CI55" i="31"/>
  <c r="CE55" i="31"/>
  <c r="CC55" i="31"/>
  <c r="HP57" i="31"/>
  <c r="HT57" i="31"/>
  <c r="HQ57" i="31"/>
  <c r="HU57" i="31"/>
  <c r="HR57" i="31"/>
  <c r="HV57" i="31"/>
  <c r="HS57" i="31"/>
  <c r="HW57" i="31"/>
  <c r="HA38" i="31"/>
  <c r="HE38" i="31"/>
  <c r="HB38" i="31"/>
  <c r="HF38" i="31"/>
  <c r="HC38" i="31"/>
  <c r="HG38" i="31"/>
  <c r="GZ38" i="31"/>
  <c r="HD38" i="31"/>
  <c r="GJ41" i="31"/>
  <c r="GN41" i="31"/>
  <c r="GK41" i="31"/>
  <c r="GO41" i="31"/>
  <c r="GL41" i="31"/>
  <c r="GP41" i="31"/>
  <c r="GM41" i="31"/>
  <c r="GQ41" i="31"/>
  <c r="GD35" i="31"/>
  <c r="GH35" i="31"/>
  <c r="GE35" i="31"/>
  <c r="GI35" i="31"/>
  <c r="GB35" i="31"/>
  <c r="GF35" i="31"/>
  <c r="GC35" i="31"/>
  <c r="GG35" i="31"/>
  <c r="JD31" i="31"/>
  <c r="JH31" i="31"/>
  <c r="JF31" i="31"/>
  <c r="JJ31" i="31"/>
  <c r="JE31" i="31"/>
  <c r="JG31" i="31"/>
  <c r="JI31" i="31"/>
  <c r="JK31" i="31"/>
  <c r="IV29" i="31"/>
  <c r="IZ29" i="31"/>
  <c r="IW29" i="31"/>
  <c r="JA29" i="31"/>
  <c r="IX29" i="31"/>
  <c r="JB29" i="31"/>
  <c r="IY29" i="31"/>
  <c r="JC29" i="31"/>
  <c r="IO53" i="31"/>
  <c r="IS53" i="31"/>
  <c r="IN53" i="31"/>
  <c r="IR53" i="31"/>
  <c r="IP53" i="31"/>
  <c r="IQ53" i="31"/>
  <c r="IT53" i="31"/>
  <c r="IU53" i="31"/>
  <c r="IF32" i="31"/>
  <c r="IJ32" i="31"/>
  <c r="IH32" i="31"/>
  <c r="IL32" i="31"/>
  <c r="IG32" i="31"/>
  <c r="II32" i="31"/>
  <c r="IK32" i="31"/>
  <c r="IM32" i="31"/>
  <c r="IH26" i="31"/>
  <c r="IL26" i="31"/>
  <c r="IF26" i="31"/>
  <c r="IJ26" i="31"/>
  <c r="IM26" i="31"/>
  <c r="IG26" i="31"/>
  <c r="II26" i="31"/>
  <c r="IK26" i="31"/>
  <c r="IH27" i="31"/>
  <c r="IL27" i="31"/>
  <c r="IF27" i="31"/>
  <c r="IJ27" i="31"/>
  <c r="IM27" i="31"/>
  <c r="IG27" i="31"/>
  <c r="II27" i="31"/>
  <c r="IK27" i="31"/>
  <c r="HP33" i="31"/>
  <c r="HT33" i="31"/>
  <c r="HR33" i="31"/>
  <c r="HV33" i="31"/>
  <c r="HQ33" i="31"/>
  <c r="HS33" i="31"/>
  <c r="HU33" i="31"/>
  <c r="HW33" i="31"/>
  <c r="GS53" i="31"/>
  <c r="GW53" i="31"/>
  <c r="GT53" i="31"/>
  <c r="GX53" i="31"/>
  <c r="GU53" i="31"/>
  <c r="GY53" i="31"/>
  <c r="GR53" i="31"/>
  <c r="GV53" i="31"/>
  <c r="GL31" i="31"/>
  <c r="GP31" i="31"/>
  <c r="GM31" i="31"/>
  <c r="GQ31" i="31"/>
  <c r="GJ31" i="31"/>
  <c r="GN31" i="31"/>
  <c r="GK31" i="31"/>
  <c r="GO31" i="31"/>
  <c r="GC53" i="31"/>
  <c r="GG53" i="31"/>
  <c r="GD53" i="31"/>
  <c r="GH53" i="31"/>
  <c r="GE53" i="31"/>
  <c r="GI53" i="31"/>
  <c r="GB53" i="31"/>
  <c r="GF53" i="31"/>
  <c r="FF39" i="31"/>
  <c r="FJ39" i="31"/>
  <c r="FG39" i="31"/>
  <c r="FK39" i="31"/>
  <c r="FD39" i="31"/>
  <c r="FH39" i="31"/>
  <c r="FE39" i="31"/>
  <c r="FI39" i="31"/>
  <c r="EW34" i="31"/>
  <c r="FA34" i="31"/>
  <c r="EX34" i="31"/>
  <c r="FB34" i="31"/>
  <c r="EY34" i="31"/>
  <c r="FC34" i="31"/>
  <c r="EV34" i="31"/>
  <c r="EZ34" i="31"/>
  <c r="JF25" i="31"/>
  <c r="JJ25" i="31"/>
  <c r="JG25" i="31"/>
  <c r="JK25" i="31"/>
  <c r="JD25" i="31"/>
  <c r="JH25" i="31"/>
  <c r="JE25" i="31"/>
  <c r="JI25" i="31"/>
  <c r="JF22" i="31"/>
  <c r="JJ22" i="31"/>
  <c r="JG22" i="31"/>
  <c r="JK22" i="31"/>
  <c r="JD22" i="31"/>
  <c r="JH22" i="31"/>
  <c r="JE22" i="31"/>
  <c r="JI22" i="31"/>
  <c r="JF14" i="31"/>
  <c r="JJ14" i="31"/>
  <c r="JG14" i="31"/>
  <c r="JK14" i="31"/>
  <c r="JD14" i="31"/>
  <c r="JH14" i="31"/>
  <c r="JE14" i="31"/>
  <c r="JI14" i="31"/>
  <c r="IG52" i="31"/>
  <c r="IK52" i="31"/>
  <c r="IF52" i="31"/>
  <c r="IJ52" i="31"/>
  <c r="IH52" i="31"/>
  <c r="II52" i="31"/>
  <c r="IL52" i="31"/>
  <c r="IM52" i="31"/>
  <c r="IH13" i="31"/>
  <c r="IL13" i="31"/>
  <c r="II13" i="31"/>
  <c r="IM13" i="31"/>
  <c r="IF13" i="31"/>
  <c r="IJ13" i="31"/>
  <c r="IK13" i="31"/>
  <c r="IG13" i="31"/>
  <c r="HY52" i="31"/>
  <c r="IC52" i="31"/>
  <c r="HX52" i="31"/>
  <c r="IB52" i="31"/>
  <c r="HZ52" i="31"/>
  <c r="IA52" i="31"/>
  <c r="ID52" i="31"/>
  <c r="IE52" i="31"/>
  <c r="HQ52" i="31"/>
  <c r="HU52" i="31"/>
  <c r="HP52" i="31"/>
  <c r="HT52" i="31"/>
  <c r="HR52" i="31"/>
  <c r="HS52" i="31"/>
  <c r="HV52" i="31"/>
  <c r="HW52" i="31"/>
  <c r="HI52" i="31"/>
  <c r="HM52" i="31"/>
  <c r="HH52" i="31"/>
  <c r="HL52" i="31"/>
  <c r="HJ52" i="31"/>
  <c r="HK52" i="31"/>
  <c r="HN52" i="31"/>
  <c r="HO52" i="31"/>
  <c r="FL25" i="31"/>
  <c r="FP25" i="31"/>
  <c r="FM25" i="31"/>
  <c r="FQ25" i="31"/>
  <c r="FN25" i="31"/>
  <c r="FR25" i="31"/>
  <c r="FO25" i="31"/>
  <c r="FS25" i="31"/>
  <c r="FM21" i="31"/>
  <c r="FQ21" i="31"/>
  <c r="FL21" i="31"/>
  <c r="FP21" i="31"/>
  <c r="FO21" i="31"/>
  <c r="FR21" i="31"/>
  <c r="FS21" i="31"/>
  <c r="FN21" i="31"/>
  <c r="EV25" i="31"/>
  <c r="EZ25" i="31"/>
  <c r="EW25" i="31"/>
  <c r="FA25" i="31"/>
  <c r="EX25" i="31"/>
  <c r="FB25" i="31"/>
  <c r="EY25" i="31"/>
  <c r="FC25" i="31"/>
  <c r="EX22" i="31"/>
  <c r="FB22" i="31"/>
  <c r="EW22" i="31"/>
  <c r="FA22" i="31"/>
  <c r="EZ22" i="31"/>
  <c r="FC22" i="31"/>
  <c r="EV22" i="31"/>
  <c r="EY22" i="31"/>
  <c r="EX14" i="31"/>
  <c r="FB14" i="31"/>
  <c r="EY14" i="31"/>
  <c r="FC14" i="31"/>
  <c r="EV14" i="31"/>
  <c r="EZ14" i="31"/>
  <c r="EW14" i="31"/>
  <c r="FA14" i="31"/>
  <c r="EA51" i="31"/>
  <c r="EE51" i="31"/>
  <c r="EB51" i="31"/>
  <c r="EF51" i="31"/>
  <c r="EC51" i="31"/>
  <c r="DZ51" i="31"/>
  <c r="ED51" i="31"/>
  <c r="DY51" i="31"/>
  <c r="CF51" i="31"/>
  <c r="CJ51" i="31"/>
  <c r="CG51" i="31"/>
  <c r="CD51" i="31"/>
  <c r="CH51" i="31"/>
  <c r="CE51" i="31"/>
  <c r="CI51" i="31"/>
  <c r="CC51" i="31"/>
  <c r="BA51" i="31"/>
  <c r="AX51" i="31"/>
  <c r="BB51" i="31"/>
  <c r="AZ51" i="31"/>
  <c r="BC51" i="31"/>
  <c r="BD51" i="31"/>
  <c r="AY51" i="31"/>
  <c r="AW51" i="31"/>
  <c r="S51" i="31"/>
  <c r="W51" i="31"/>
  <c r="T51" i="31"/>
  <c r="X51" i="31"/>
  <c r="U51" i="31"/>
  <c r="R51" i="31"/>
  <c r="V51" i="31"/>
  <c r="Q51" i="31"/>
  <c r="CE58" i="31"/>
  <c r="CI58" i="31"/>
  <c r="CF58" i="31"/>
  <c r="CJ58" i="31"/>
  <c r="CG58" i="31"/>
  <c r="CD58" i="31"/>
  <c r="CH58" i="31"/>
  <c r="CC58" i="31"/>
  <c r="Z54" i="31"/>
  <c r="AD54" i="31"/>
  <c r="AA54" i="31"/>
  <c r="AE54" i="31"/>
  <c r="AB54" i="31"/>
  <c r="AF54" i="31"/>
  <c r="Y54" i="31"/>
  <c r="AC54" i="31"/>
  <c r="BO30" i="31"/>
  <c r="BS30" i="31"/>
  <c r="BP30" i="31"/>
  <c r="BT30" i="31"/>
  <c r="BN30" i="31"/>
  <c r="BQ30" i="31"/>
  <c r="BR30" i="31"/>
  <c r="BM30" i="31"/>
  <c r="W46" i="7"/>
  <c r="HZ14" i="31"/>
  <c r="ID14" i="31"/>
  <c r="IA14" i="31"/>
  <c r="IE14" i="31"/>
  <c r="HX14" i="31"/>
  <c r="IB14" i="31"/>
  <c r="IC14" i="31"/>
  <c r="HY14" i="31"/>
  <c r="Z28" i="31"/>
  <c r="AD28" i="31"/>
  <c r="AA28" i="31"/>
  <c r="AE28" i="31"/>
  <c r="AB28" i="31"/>
  <c r="AF28" i="31"/>
  <c r="AC28" i="31"/>
  <c r="Y28" i="31"/>
  <c r="FL37" i="31"/>
  <c r="FP37" i="31"/>
  <c r="FM37" i="31"/>
  <c r="FQ37" i="31"/>
  <c r="FN37" i="31"/>
  <c r="FR37" i="31"/>
  <c r="FO37" i="31"/>
  <c r="FS37" i="31"/>
  <c r="EY51" i="31"/>
  <c r="FC51" i="31"/>
  <c r="EV51" i="31"/>
  <c r="EZ51" i="31"/>
  <c r="EW51" i="31"/>
  <c r="FA51" i="31"/>
  <c r="EX51" i="31"/>
  <c r="FB51" i="31"/>
  <c r="BQ14" i="31"/>
  <c r="BN14" i="31"/>
  <c r="BR14" i="31"/>
  <c r="BP14" i="31"/>
  <c r="BS14" i="31"/>
  <c r="BM14" i="31"/>
  <c r="BT14" i="31"/>
  <c r="BO14" i="31"/>
  <c r="AS23" i="31"/>
  <c r="AP23" i="31"/>
  <c r="AT23" i="31"/>
  <c r="AV23" i="31"/>
  <c r="AQ23" i="31"/>
  <c r="AR23" i="31"/>
  <c r="AU23" i="31"/>
  <c r="AO23" i="31"/>
  <c r="IE12" i="31"/>
  <c r="IA12" i="31"/>
  <c r="ID12" i="31"/>
  <c r="HZ12" i="31"/>
  <c r="IC12" i="31"/>
  <c r="HY12" i="31"/>
  <c r="IB12" i="31"/>
  <c r="HX12" i="31"/>
  <c r="FO32" i="31"/>
  <c r="FS32" i="31"/>
  <c r="FL32" i="31"/>
  <c r="FP32" i="31"/>
  <c r="FM32" i="31"/>
  <c r="FQ32" i="31"/>
  <c r="FN32" i="31"/>
  <c r="FR32" i="31"/>
  <c r="FO12" i="31"/>
  <c r="FR12" i="31"/>
  <c r="FQ12" i="31"/>
  <c r="FM12" i="31"/>
  <c r="FS12" i="31"/>
  <c r="FN12" i="31"/>
  <c r="FP12" i="31"/>
  <c r="FL12" i="31"/>
  <c r="BA59" i="31"/>
  <c r="AX59" i="31"/>
  <c r="BB59" i="31"/>
  <c r="AZ59" i="31"/>
  <c r="BC59" i="31"/>
  <c r="BD59" i="31"/>
  <c r="AY59" i="31"/>
  <c r="AW59" i="31"/>
  <c r="CL57" i="31"/>
  <c r="CP57" i="31"/>
  <c r="CM57" i="31"/>
  <c r="CQ57" i="31"/>
  <c r="CN57" i="31"/>
  <c r="CR57" i="31"/>
  <c r="CK57" i="31"/>
  <c r="CO57" i="31"/>
  <c r="CN55" i="31"/>
  <c r="CR55" i="31"/>
  <c r="CO55" i="31"/>
  <c r="CL55" i="31"/>
  <c r="CP55" i="31"/>
  <c r="CQ55" i="31"/>
  <c r="CM55" i="31"/>
  <c r="CK55" i="31"/>
  <c r="EC53" i="31"/>
  <c r="DZ53" i="31"/>
  <c r="ED53" i="31"/>
  <c r="EA53" i="31"/>
  <c r="EE53" i="31"/>
  <c r="EB53" i="31"/>
  <c r="EF53" i="31"/>
  <c r="DY53" i="31"/>
  <c r="DE51" i="31"/>
  <c r="DC51" i="31"/>
  <c r="DG51" i="31"/>
  <c r="DB51" i="31"/>
  <c r="DD51" i="31"/>
  <c r="DF51" i="31"/>
  <c r="DA51" i="31"/>
  <c r="DH51" i="31"/>
  <c r="BY50" i="31"/>
  <c r="BV50" i="31"/>
  <c r="BZ50" i="31"/>
  <c r="CB50" i="31"/>
  <c r="BW50" i="31"/>
  <c r="BU50" i="31"/>
  <c r="BX50" i="31"/>
  <c r="CA50" i="31"/>
  <c r="CO49" i="31"/>
  <c r="CM49" i="31"/>
  <c r="CQ49" i="31"/>
  <c r="CL49" i="31"/>
  <c r="CN49" i="31"/>
  <c r="CP49" i="31"/>
  <c r="CK49" i="31"/>
  <c r="CR49" i="31"/>
  <c r="CN48" i="31"/>
  <c r="CR48" i="31"/>
  <c r="CL48" i="31"/>
  <c r="CP48" i="31"/>
  <c r="CM48" i="31"/>
  <c r="CO48" i="31"/>
  <c r="CQ48" i="31"/>
  <c r="CK48" i="31"/>
  <c r="CM47" i="31"/>
  <c r="CQ47" i="31"/>
  <c r="CO47" i="31"/>
  <c r="CR47" i="31"/>
  <c r="CL47" i="31"/>
  <c r="CN47" i="31"/>
  <c r="CP47" i="31"/>
  <c r="CK47" i="31"/>
  <c r="CW46" i="31"/>
  <c r="CU46" i="31"/>
  <c r="CY46" i="31"/>
  <c r="CX46" i="31"/>
  <c r="CZ46" i="31"/>
  <c r="CT46" i="31"/>
  <c r="CV46" i="31"/>
  <c r="CS46" i="31"/>
  <c r="EB44" i="31"/>
  <c r="EF44" i="31"/>
  <c r="EC44" i="31"/>
  <c r="DZ44" i="31"/>
  <c r="ED44" i="31"/>
  <c r="EA44" i="31"/>
  <c r="EE44" i="31"/>
  <c r="DY44" i="31"/>
  <c r="AJ43" i="31"/>
  <c r="AN43" i="31"/>
  <c r="AK43" i="31"/>
  <c r="AH43" i="31"/>
  <c r="AL43" i="31"/>
  <c r="AI43" i="31"/>
  <c r="AM43" i="31"/>
  <c r="AG43" i="31"/>
  <c r="AQ42" i="31"/>
  <c r="AU42" i="31"/>
  <c r="AT42" i="31"/>
  <c r="AP42" i="31"/>
  <c r="AV42" i="31"/>
  <c r="AR42" i="31"/>
  <c r="AS42" i="31"/>
  <c r="AO42" i="31"/>
  <c r="AP41" i="31"/>
  <c r="AT41" i="31"/>
  <c r="AQ41" i="31"/>
  <c r="AV41" i="31"/>
  <c r="AR41" i="31"/>
  <c r="AO41" i="31"/>
  <c r="AS41" i="31"/>
  <c r="AU41" i="31"/>
  <c r="AX40" i="31"/>
  <c r="BB40" i="31"/>
  <c r="AY40" i="31"/>
  <c r="BC40" i="31"/>
  <c r="AZ40" i="31"/>
  <c r="BA40" i="31"/>
  <c r="BD40" i="31"/>
  <c r="AW40" i="31"/>
  <c r="AJ39" i="31"/>
  <c r="AN39" i="31"/>
  <c r="AK39" i="31"/>
  <c r="AH39" i="31"/>
  <c r="AL39" i="31"/>
  <c r="AI39" i="31"/>
  <c r="AM39" i="31"/>
  <c r="AG39" i="31"/>
  <c r="AZ38" i="31"/>
  <c r="BD38" i="31"/>
  <c r="BA38" i="31"/>
  <c r="BC38" i="31"/>
  <c r="AX38" i="31"/>
  <c r="AY38" i="31"/>
  <c r="AW38" i="31"/>
  <c r="BB38" i="31"/>
  <c r="AY37" i="31"/>
  <c r="BC37" i="31"/>
  <c r="AZ37" i="31"/>
  <c r="BD37" i="31"/>
  <c r="BB37" i="31"/>
  <c r="AW37" i="31"/>
  <c r="AX37" i="31"/>
  <c r="BA37" i="31"/>
  <c r="BH36" i="31"/>
  <c r="BL36" i="31"/>
  <c r="BI36" i="31"/>
  <c r="BK36" i="31"/>
  <c r="BF36" i="31"/>
  <c r="BG36" i="31"/>
  <c r="BJ36" i="31"/>
  <c r="BE36" i="31"/>
  <c r="AR35" i="31"/>
  <c r="AV35" i="31"/>
  <c r="AS35" i="31"/>
  <c r="AQ35" i="31"/>
  <c r="AT35" i="31"/>
  <c r="AU35" i="31"/>
  <c r="AP35" i="31"/>
  <c r="AO35" i="31"/>
  <c r="AI33" i="31"/>
  <c r="AM33" i="31"/>
  <c r="AJ33" i="31"/>
  <c r="AK33" i="31"/>
  <c r="AL33" i="31"/>
  <c r="AH33" i="31"/>
  <c r="AN33" i="31"/>
  <c r="AG33" i="31"/>
  <c r="AX32" i="31"/>
  <c r="BB32" i="31"/>
  <c r="AY32" i="31"/>
  <c r="BC32" i="31"/>
  <c r="AZ32" i="31"/>
  <c r="BA32" i="31"/>
  <c r="AW32" i="31"/>
  <c r="BD32" i="31"/>
  <c r="BA31" i="31"/>
  <c r="AX31" i="31"/>
  <c r="BB31" i="31"/>
  <c r="BD31" i="31"/>
  <c r="AY31" i="31"/>
  <c r="AZ31" i="31"/>
  <c r="BC31" i="31"/>
  <c r="AW31" i="31"/>
  <c r="BW29" i="31"/>
  <c r="CA29" i="31"/>
  <c r="BX29" i="31"/>
  <c r="CB29" i="31"/>
  <c r="BY29" i="31"/>
  <c r="BV29" i="31"/>
  <c r="BZ29" i="31"/>
  <c r="BU29" i="31"/>
  <c r="CN28" i="31"/>
  <c r="CR28" i="31"/>
  <c r="CL28" i="31"/>
  <c r="CP28" i="31"/>
  <c r="CO28" i="31"/>
  <c r="CQ28" i="31"/>
  <c r="CM28" i="31"/>
  <c r="CK28" i="31"/>
  <c r="CT27" i="31"/>
  <c r="CX27" i="31"/>
  <c r="CV27" i="31"/>
  <c r="CZ27" i="31"/>
  <c r="CU27" i="31"/>
  <c r="CW27" i="31"/>
  <c r="CY27" i="31"/>
  <c r="CS27" i="31"/>
  <c r="CW26" i="31"/>
  <c r="CU26" i="31"/>
  <c r="CY26" i="31"/>
  <c r="CT26" i="31"/>
  <c r="CV26" i="31"/>
  <c r="CX26" i="31"/>
  <c r="CZ26" i="31"/>
  <c r="CS26" i="31"/>
  <c r="AP25" i="31"/>
  <c r="AT25" i="31"/>
  <c r="AQ25" i="31"/>
  <c r="AU25" i="31"/>
  <c r="AR25" i="31"/>
  <c r="AO25" i="31"/>
  <c r="AS25" i="31"/>
  <c r="AV25" i="31"/>
  <c r="L24" i="31"/>
  <c r="P24" i="31"/>
  <c r="M24" i="31"/>
  <c r="J24" i="31"/>
  <c r="N24" i="31"/>
  <c r="O24" i="31"/>
  <c r="I24" i="31"/>
  <c r="K24" i="31"/>
  <c r="K23" i="31"/>
  <c r="O23" i="31"/>
  <c r="L23" i="31"/>
  <c r="P23" i="31"/>
  <c r="M23" i="31"/>
  <c r="J23" i="31"/>
  <c r="N23" i="31"/>
  <c r="I23" i="31"/>
  <c r="S22" i="31"/>
  <c r="W22" i="31"/>
  <c r="T22" i="31"/>
  <c r="X22" i="31"/>
  <c r="U22" i="31"/>
  <c r="V22" i="31"/>
  <c r="Q22" i="31"/>
  <c r="R22" i="31"/>
  <c r="AA21" i="31"/>
  <c r="AE21" i="31"/>
  <c r="AB21" i="31"/>
  <c r="AF21" i="31"/>
  <c r="AC21" i="31"/>
  <c r="AD21" i="31"/>
  <c r="Y21" i="31"/>
  <c r="Z21" i="31"/>
  <c r="AH20" i="31"/>
  <c r="AL20" i="31"/>
  <c r="AJ20" i="31"/>
  <c r="AK20" i="31"/>
  <c r="AG20" i="31"/>
  <c r="AM20" i="31"/>
  <c r="AN20" i="31"/>
  <c r="AI20" i="31"/>
  <c r="AC19" i="31"/>
  <c r="Z19" i="31"/>
  <c r="AD19" i="31"/>
  <c r="Y19" i="31"/>
  <c r="AA19" i="31"/>
  <c r="AE19" i="31"/>
  <c r="AB19" i="31"/>
  <c r="AF19" i="31"/>
  <c r="AJ18" i="31"/>
  <c r="AN18" i="31"/>
  <c r="AH18" i="31"/>
  <c r="AM18" i="31"/>
  <c r="AI18" i="31"/>
  <c r="AK18" i="31"/>
  <c r="AL18" i="31"/>
  <c r="AG18" i="31"/>
  <c r="AZ17" i="31"/>
  <c r="BD17" i="31"/>
  <c r="BA17" i="31"/>
  <c r="AY17" i="31"/>
  <c r="BB17" i="31"/>
  <c r="BC17" i="31"/>
  <c r="AX17" i="31"/>
  <c r="AW17" i="31"/>
  <c r="AH16" i="31"/>
  <c r="AL16" i="31"/>
  <c r="AK16" i="31"/>
  <c r="AM16" i="31"/>
  <c r="AG16" i="31"/>
  <c r="AI16" i="31"/>
  <c r="AN16" i="31"/>
  <c r="AJ16" i="31"/>
  <c r="AC15" i="31"/>
  <c r="Z15" i="31"/>
  <c r="AD15" i="31"/>
  <c r="Y15" i="31"/>
  <c r="AA15" i="31"/>
  <c r="AE15" i="31"/>
  <c r="AB15" i="31"/>
  <c r="AF15" i="31"/>
  <c r="AB14" i="31"/>
  <c r="AF14" i="31"/>
  <c r="AC14" i="31"/>
  <c r="Z14" i="31"/>
  <c r="AD14" i="31"/>
  <c r="AE14" i="31"/>
  <c r="Y14" i="31"/>
  <c r="AA14" i="31"/>
  <c r="AA13" i="31"/>
  <c r="AE13" i="31"/>
  <c r="AB13" i="31"/>
  <c r="AF13" i="31"/>
  <c r="AC13" i="31"/>
  <c r="Z13" i="31"/>
  <c r="AD13" i="31"/>
  <c r="Y13" i="31"/>
  <c r="AH12" i="31"/>
  <c r="AL12" i="31"/>
  <c r="AM12" i="31"/>
  <c r="AI12" i="31"/>
  <c r="AN12" i="31"/>
  <c r="AJ12" i="31"/>
  <c r="AK12" i="31"/>
  <c r="AG12" i="31"/>
  <c r="JU50" i="31"/>
  <c r="JY50" i="31"/>
  <c r="JV50" i="31"/>
  <c r="JZ50" i="31"/>
  <c r="JT50" i="31"/>
  <c r="JX50" i="31"/>
  <c r="JW50" i="31"/>
  <c r="KA50" i="31"/>
  <c r="IO50" i="31"/>
  <c r="IS50" i="31"/>
  <c r="IP50" i="31"/>
  <c r="IT50" i="31"/>
  <c r="IN50" i="31"/>
  <c r="IR50" i="31"/>
  <c r="IQ50" i="31"/>
  <c r="IU50" i="31"/>
  <c r="HI50" i="31"/>
  <c r="HM50" i="31"/>
  <c r="HJ50" i="31"/>
  <c r="HN50" i="31"/>
  <c r="HH50" i="31"/>
  <c r="HL50" i="31"/>
  <c r="HK50" i="31"/>
  <c r="HO50" i="31"/>
  <c r="GD50" i="31"/>
  <c r="GH50" i="31"/>
  <c r="GE50" i="31"/>
  <c r="GI50" i="31"/>
  <c r="GB50" i="31"/>
  <c r="GF50" i="31"/>
  <c r="GC50" i="31"/>
  <c r="GG50" i="31"/>
  <c r="EP43" i="31"/>
  <c r="ET43" i="31"/>
  <c r="EO43" i="31"/>
  <c r="EU43" i="31"/>
  <c r="EQ43" i="31"/>
  <c r="ER43" i="31"/>
  <c r="ES43" i="31"/>
  <c r="W97" i="7"/>
  <c r="V97" i="7"/>
  <c r="DU60" i="31"/>
  <c r="DR60" i="31"/>
  <c r="DV60" i="31"/>
  <c r="DS60" i="31"/>
  <c r="DW60" i="31"/>
  <c r="DT60" i="31"/>
  <c r="DX60" i="31"/>
  <c r="DQ60" i="31"/>
  <c r="JD57" i="31"/>
  <c r="JH57" i="31"/>
  <c r="JE57" i="31"/>
  <c r="JI57" i="31"/>
  <c r="JF57" i="31"/>
  <c r="JJ57" i="31"/>
  <c r="JG57" i="31"/>
  <c r="JK57" i="31"/>
  <c r="JE49" i="31"/>
  <c r="JI49" i="31"/>
  <c r="JF49" i="31"/>
  <c r="JJ49" i="31"/>
  <c r="JD49" i="31"/>
  <c r="JH49" i="31"/>
  <c r="JG49" i="31"/>
  <c r="JK49" i="31"/>
  <c r="JD36" i="31"/>
  <c r="JH36" i="31"/>
  <c r="JE36" i="31"/>
  <c r="JI36" i="31"/>
  <c r="JF36" i="31"/>
  <c r="JJ36" i="31"/>
  <c r="JG36" i="31"/>
  <c r="JK36" i="31"/>
  <c r="IV41" i="31"/>
  <c r="IZ41" i="31"/>
  <c r="IX41" i="31"/>
  <c r="JB41" i="31"/>
  <c r="IY41" i="31"/>
  <c r="JA41" i="31"/>
  <c r="JC41" i="31"/>
  <c r="IW41" i="31"/>
  <c r="IN38" i="31"/>
  <c r="IR38" i="31"/>
  <c r="IO38" i="31"/>
  <c r="IS38" i="31"/>
  <c r="IP38" i="31"/>
  <c r="IT38" i="31"/>
  <c r="IQ38" i="31"/>
  <c r="IU38" i="31"/>
  <c r="IF35" i="31"/>
  <c r="IJ35" i="31"/>
  <c r="IG35" i="31"/>
  <c r="IK35" i="31"/>
  <c r="IH35" i="31"/>
  <c r="IL35" i="31"/>
  <c r="II35" i="31"/>
  <c r="IM35" i="31"/>
  <c r="IH28" i="31"/>
  <c r="IL28" i="31"/>
  <c r="IF28" i="31"/>
  <c r="IJ28" i="31"/>
  <c r="IM28" i="31"/>
  <c r="IG28" i="31"/>
  <c r="II28" i="31"/>
  <c r="IK28" i="31"/>
  <c r="HX55" i="31"/>
  <c r="IB55" i="31"/>
  <c r="HY55" i="31"/>
  <c r="IC55" i="31"/>
  <c r="HZ55" i="31"/>
  <c r="ID55" i="31"/>
  <c r="IA55" i="31"/>
  <c r="IE55" i="31"/>
  <c r="HX59" i="31"/>
  <c r="IB59" i="31"/>
  <c r="HY59" i="31"/>
  <c r="IC59" i="31"/>
  <c r="HZ59" i="31"/>
  <c r="ID59" i="31"/>
  <c r="IA59" i="31"/>
  <c r="IE59" i="31"/>
  <c r="BG60" i="31"/>
  <c r="BK60" i="31"/>
  <c r="BH60" i="31"/>
  <c r="BL60" i="31"/>
  <c r="BJ60" i="31"/>
  <c r="BF60" i="31"/>
  <c r="BI60" i="31"/>
  <c r="BE60" i="31"/>
  <c r="GS57" i="31"/>
  <c r="GW57" i="31"/>
  <c r="GT57" i="31"/>
  <c r="GX57" i="31"/>
  <c r="GU57" i="31"/>
  <c r="GY57" i="31"/>
  <c r="GR57" i="31"/>
  <c r="GV57" i="31"/>
  <c r="GS49" i="31"/>
  <c r="GW49" i="31"/>
  <c r="GT49" i="31"/>
  <c r="GX49" i="31"/>
  <c r="GU49" i="31"/>
  <c r="GY49" i="31"/>
  <c r="GR49" i="31"/>
  <c r="GV49" i="31"/>
  <c r="GU36" i="31"/>
  <c r="GY36" i="31"/>
  <c r="GR36" i="31"/>
  <c r="GV36" i="31"/>
  <c r="GS36" i="31"/>
  <c r="GW36" i="31"/>
  <c r="GT36" i="31"/>
  <c r="GX36" i="31"/>
  <c r="GK38" i="31"/>
  <c r="GO38" i="31"/>
  <c r="GL38" i="31"/>
  <c r="GP38" i="31"/>
  <c r="GM38" i="31"/>
  <c r="GQ38" i="31"/>
  <c r="GJ38" i="31"/>
  <c r="GN38" i="31"/>
  <c r="GB48" i="31"/>
  <c r="GF48" i="31"/>
  <c r="GC48" i="31"/>
  <c r="GG48" i="31"/>
  <c r="GD48" i="31"/>
  <c r="GH48" i="31"/>
  <c r="GE48" i="31"/>
  <c r="GI48" i="31"/>
  <c r="AS60" i="31"/>
  <c r="AQ60" i="31"/>
  <c r="AV60" i="31"/>
  <c r="AR60" i="31"/>
  <c r="AT60" i="31"/>
  <c r="AU60" i="31"/>
  <c r="AO60" i="31"/>
  <c r="AP60" i="31"/>
  <c r="GC57" i="31"/>
  <c r="GG57" i="31"/>
  <c r="GD57" i="31"/>
  <c r="GH57" i="31"/>
  <c r="GE57" i="31"/>
  <c r="GI57" i="31"/>
  <c r="GB57" i="31"/>
  <c r="GF57" i="31"/>
  <c r="FT44" i="31"/>
  <c r="FX44" i="31"/>
  <c r="FU44" i="31"/>
  <c r="FY44" i="31"/>
  <c r="FV44" i="31"/>
  <c r="FZ44" i="31"/>
  <c r="FW44" i="31"/>
  <c r="GA44" i="31"/>
  <c r="FM42" i="31"/>
  <c r="FQ42" i="31"/>
  <c r="FL42" i="31"/>
  <c r="FP42" i="31"/>
  <c r="FS42" i="31"/>
  <c r="FN42" i="31"/>
  <c r="FO42" i="31"/>
  <c r="FR42" i="31"/>
  <c r="FN46" i="31"/>
  <c r="FR46" i="31"/>
  <c r="FO46" i="31"/>
  <c r="FS46" i="31"/>
  <c r="FL46" i="31"/>
  <c r="FP46" i="31"/>
  <c r="FM46" i="31"/>
  <c r="FQ46" i="31"/>
  <c r="FN54" i="31"/>
  <c r="FR54" i="31"/>
  <c r="FO54" i="31"/>
  <c r="FS54" i="31"/>
  <c r="FL54" i="31"/>
  <c r="FP54" i="31"/>
  <c r="FM54" i="31"/>
  <c r="FQ54" i="31"/>
  <c r="FN58" i="31"/>
  <c r="FR58" i="31"/>
  <c r="FO58" i="31"/>
  <c r="FS58" i="31"/>
  <c r="FL58" i="31"/>
  <c r="FP58" i="31"/>
  <c r="FM58" i="31"/>
  <c r="FQ58" i="31"/>
  <c r="EX46" i="31"/>
  <c r="FB46" i="31"/>
  <c r="EY46" i="31"/>
  <c r="FC46" i="31"/>
  <c r="EV46" i="31"/>
  <c r="EZ46" i="31"/>
  <c r="EW46" i="31"/>
  <c r="FA46" i="31"/>
  <c r="EY36" i="31"/>
  <c r="FC36" i="31"/>
  <c r="EV36" i="31"/>
  <c r="EZ36" i="31"/>
  <c r="EW36" i="31"/>
  <c r="FA36" i="31"/>
  <c r="EX36" i="31"/>
  <c r="FB36" i="31"/>
  <c r="EO38" i="31"/>
  <c r="ES38" i="31"/>
  <c r="EP38" i="31"/>
  <c r="ET38" i="31"/>
  <c r="EQ38" i="31"/>
  <c r="EU38" i="31"/>
  <c r="ER38" i="31"/>
  <c r="W92" i="7"/>
  <c r="V92" i="7"/>
  <c r="JL31" i="31"/>
  <c r="JP31" i="31"/>
  <c r="JN31" i="31"/>
  <c r="JR31" i="31"/>
  <c r="JM31" i="31"/>
  <c r="JO31" i="31"/>
  <c r="JQ31" i="31"/>
  <c r="JS31" i="31"/>
  <c r="JD29" i="31"/>
  <c r="JH29" i="31"/>
  <c r="JE29" i="31"/>
  <c r="JI29" i="31"/>
  <c r="JF29" i="31"/>
  <c r="JJ29" i="31"/>
  <c r="JG29" i="31"/>
  <c r="JK29" i="31"/>
  <c r="IW53" i="31"/>
  <c r="JA53" i="31"/>
  <c r="IV53" i="31"/>
  <c r="IZ53" i="31"/>
  <c r="IX53" i="31"/>
  <c r="IY53" i="31"/>
  <c r="JB53" i="31"/>
  <c r="JC53" i="31"/>
  <c r="IP26" i="31"/>
  <c r="IT26" i="31"/>
  <c r="IN26" i="31"/>
  <c r="IR26" i="31"/>
  <c r="IU26" i="31"/>
  <c r="IO26" i="31"/>
  <c r="IQ26" i="31"/>
  <c r="IS26" i="31"/>
  <c r="IP27" i="31"/>
  <c r="IT27" i="31"/>
  <c r="IN27" i="31"/>
  <c r="IR27" i="31"/>
  <c r="IU27" i="31"/>
  <c r="IO27" i="31"/>
  <c r="IQ27" i="31"/>
  <c r="IS27" i="31"/>
  <c r="IF39" i="31"/>
  <c r="IJ39" i="31"/>
  <c r="IG39" i="31"/>
  <c r="IK39" i="31"/>
  <c r="IH39" i="31"/>
  <c r="IL39" i="31"/>
  <c r="II39" i="31"/>
  <c r="IM39" i="31"/>
  <c r="HA34" i="31"/>
  <c r="HE34" i="31"/>
  <c r="HB34" i="31"/>
  <c r="HF34" i="31"/>
  <c r="HC34" i="31"/>
  <c r="HG34" i="31"/>
  <c r="GZ34" i="31"/>
  <c r="HD34" i="31"/>
  <c r="GU32" i="31"/>
  <c r="GY32" i="31"/>
  <c r="GR32" i="31"/>
  <c r="GV32" i="31"/>
  <c r="GS32" i="31"/>
  <c r="GW32" i="31"/>
  <c r="GT32" i="31"/>
  <c r="GX32" i="31"/>
  <c r="GT27" i="31"/>
  <c r="GX27" i="31"/>
  <c r="GU27" i="31"/>
  <c r="GY27" i="31"/>
  <c r="GR27" i="31"/>
  <c r="GV27" i="31"/>
  <c r="GS27" i="31"/>
  <c r="GW27" i="31"/>
  <c r="GJ29" i="31"/>
  <c r="GN29" i="31"/>
  <c r="GK29" i="31"/>
  <c r="GO29" i="31"/>
  <c r="GL29" i="31"/>
  <c r="GP29" i="31"/>
  <c r="GM29" i="31"/>
  <c r="GQ29" i="31"/>
  <c r="FU34" i="31"/>
  <c r="FY34" i="31"/>
  <c r="FV34" i="31"/>
  <c r="FZ34" i="31"/>
  <c r="FW34" i="31"/>
  <c r="GA34" i="31"/>
  <c r="FT34" i="31"/>
  <c r="FX34" i="31"/>
  <c r="FO24" i="31"/>
  <c r="FS24" i="31"/>
  <c r="FL24" i="31"/>
  <c r="FP24" i="31"/>
  <c r="FM24" i="31"/>
  <c r="FQ24" i="31"/>
  <c r="FN24" i="31"/>
  <c r="FR24" i="31"/>
  <c r="FD29" i="31"/>
  <c r="FH29" i="31"/>
  <c r="FE29" i="31"/>
  <c r="FI29" i="31"/>
  <c r="FF29" i="31"/>
  <c r="FJ29" i="31"/>
  <c r="FG29" i="31"/>
  <c r="FK29" i="31"/>
  <c r="EQ32" i="31"/>
  <c r="EU32" i="31"/>
  <c r="ER32" i="31"/>
  <c r="EO32" i="31"/>
  <c r="ES32" i="31"/>
  <c r="EP32" i="31"/>
  <c r="ET32" i="31"/>
  <c r="EO26" i="31"/>
  <c r="ES26" i="31"/>
  <c r="EP26" i="31"/>
  <c r="ET26" i="31"/>
  <c r="EQ26" i="31"/>
  <c r="EU26" i="31"/>
  <c r="ER26" i="31"/>
  <c r="EP27" i="31"/>
  <c r="ET27" i="31"/>
  <c r="EQ27" i="31"/>
  <c r="EU27" i="31"/>
  <c r="ER27" i="31"/>
  <c r="EO27" i="31"/>
  <c r="ES27" i="31"/>
  <c r="JM52" i="31"/>
  <c r="JQ52" i="31"/>
  <c r="JL52" i="31"/>
  <c r="JP52" i="31"/>
  <c r="JN52" i="31"/>
  <c r="JO52" i="31"/>
  <c r="JR52" i="31"/>
  <c r="JS52" i="31"/>
  <c r="JN13" i="31"/>
  <c r="JR13" i="31"/>
  <c r="JO13" i="31"/>
  <c r="JS13" i="31"/>
  <c r="JL13" i="31"/>
  <c r="JP13" i="31"/>
  <c r="JQ13" i="31"/>
  <c r="JM13" i="31"/>
  <c r="JF19" i="31"/>
  <c r="JJ19" i="31"/>
  <c r="JG19" i="31"/>
  <c r="JK19" i="31"/>
  <c r="JD19" i="31"/>
  <c r="JE19" i="31"/>
  <c r="JH19" i="31"/>
  <c r="JI19" i="31"/>
  <c r="JK12" i="31"/>
  <c r="JG12" i="31"/>
  <c r="JJ12" i="31"/>
  <c r="JF12" i="31"/>
  <c r="JI12" i="31"/>
  <c r="JE12" i="31"/>
  <c r="JH12" i="31"/>
  <c r="JD12" i="31"/>
  <c r="IP23" i="31"/>
  <c r="IT23" i="31"/>
  <c r="IQ23" i="31"/>
  <c r="IU23" i="31"/>
  <c r="IN23" i="31"/>
  <c r="IR23" i="31"/>
  <c r="IO23" i="31"/>
  <c r="IS23" i="31"/>
  <c r="HY18" i="31"/>
  <c r="IC18" i="31"/>
  <c r="HZ18" i="31"/>
  <c r="ID18" i="31"/>
  <c r="IA18" i="31"/>
  <c r="IE18" i="31"/>
  <c r="HX18" i="31"/>
  <c r="IB18" i="31"/>
  <c r="HJ16" i="31"/>
  <c r="HN16" i="31"/>
  <c r="HH16" i="31"/>
  <c r="HL16" i="31"/>
  <c r="HK16" i="31"/>
  <c r="HM16" i="31"/>
  <c r="HO16" i="31"/>
  <c r="HI16" i="31"/>
  <c r="GZ16" i="31"/>
  <c r="HD16" i="31"/>
  <c r="HA16" i="31"/>
  <c r="HE16" i="31"/>
  <c r="HB16" i="31"/>
  <c r="HF16" i="31"/>
  <c r="HC16" i="31"/>
  <c r="HG16" i="31"/>
  <c r="GT18" i="31"/>
  <c r="GX18" i="31"/>
  <c r="GU18" i="31"/>
  <c r="GY18" i="31"/>
  <c r="GR18" i="31"/>
  <c r="GV18" i="31"/>
  <c r="GS18" i="31"/>
  <c r="GW18" i="31"/>
  <c r="GL23" i="31"/>
  <c r="GP23" i="31"/>
  <c r="GM23" i="31"/>
  <c r="GQ23" i="31"/>
  <c r="GJ23" i="31"/>
  <c r="GN23" i="31"/>
  <c r="GK23" i="31"/>
  <c r="GO23" i="31"/>
  <c r="GC13" i="31"/>
  <c r="GG13" i="31"/>
  <c r="GD13" i="31"/>
  <c r="GH13" i="31"/>
  <c r="GE13" i="31"/>
  <c r="GI13" i="31"/>
  <c r="GB13" i="31"/>
  <c r="GF13" i="31"/>
  <c r="FW19" i="31"/>
  <c r="GA19" i="31"/>
  <c r="FT19" i="31"/>
  <c r="FX19" i="31"/>
  <c r="FU19" i="31"/>
  <c r="FY19" i="31"/>
  <c r="FV19" i="31"/>
  <c r="FZ19" i="31"/>
  <c r="FZ12" i="31"/>
  <c r="FV12" i="31"/>
  <c r="FY12" i="31"/>
  <c r="FU12" i="31"/>
  <c r="FX12" i="31"/>
  <c r="FT12" i="31"/>
  <c r="GA12" i="31"/>
  <c r="FW12" i="31"/>
  <c r="EQ15" i="31"/>
  <c r="EU15" i="31"/>
  <c r="ER15" i="31"/>
  <c r="EO15" i="31"/>
  <c r="ES15" i="31"/>
  <c r="EP15" i="31"/>
  <c r="ET15" i="31"/>
  <c r="CV45" i="31"/>
  <c r="CZ45" i="31"/>
  <c r="CT45" i="31"/>
  <c r="CX45" i="31"/>
  <c r="CW45" i="31"/>
  <c r="CY45" i="31"/>
  <c r="CU45" i="31"/>
  <c r="CS45" i="31"/>
  <c r="CM54" i="31"/>
  <c r="CQ54" i="31"/>
  <c r="CN54" i="31"/>
  <c r="CR54" i="31"/>
  <c r="CO54" i="31"/>
  <c r="CL54" i="31"/>
  <c r="CP54" i="31"/>
  <c r="CK54" i="31"/>
  <c r="EK34" i="31"/>
  <c r="EH34" i="31"/>
  <c r="EL34" i="31"/>
  <c r="EI34" i="31"/>
  <c r="EM34" i="31"/>
  <c r="EN34" i="31"/>
  <c r="EJ34" i="31"/>
  <c r="EG34" i="31"/>
  <c r="DD34" i="31"/>
  <c r="DH34" i="31"/>
  <c r="DE34" i="31"/>
  <c r="DB34" i="31"/>
  <c r="DF34" i="31"/>
  <c r="DG34" i="31"/>
  <c r="DC34" i="31"/>
  <c r="DA34" i="31"/>
  <c r="BX34" i="31"/>
  <c r="CB34" i="31"/>
  <c r="BY34" i="31"/>
  <c r="BV34" i="31"/>
  <c r="BZ34" i="31"/>
  <c r="BW34" i="31"/>
  <c r="BU34" i="31"/>
  <c r="CA34" i="31"/>
  <c r="AZ34" i="31"/>
  <c r="BD34" i="31"/>
  <c r="BA34" i="31"/>
  <c r="AY34" i="31"/>
  <c r="BB34" i="31"/>
  <c r="BC34" i="31"/>
  <c r="AW34" i="31"/>
  <c r="AX34" i="31"/>
  <c r="AJ34" i="31"/>
  <c r="AN34" i="31"/>
  <c r="AH34" i="31"/>
  <c r="AM34" i="31"/>
  <c r="AI34" i="31"/>
  <c r="AK34" i="31"/>
  <c r="AL34" i="31"/>
  <c r="AG34" i="31"/>
  <c r="DJ52" i="31"/>
  <c r="DN52" i="31"/>
  <c r="DK52" i="31"/>
  <c r="DO52" i="31"/>
  <c r="DL52" i="31"/>
  <c r="DM52" i="31"/>
  <c r="DP52" i="31"/>
  <c r="DI52" i="31"/>
  <c r="AX52" i="31"/>
  <c r="BB52" i="31"/>
  <c r="AY52" i="31"/>
  <c r="BC52" i="31"/>
  <c r="BA52" i="31"/>
  <c r="BD52" i="31"/>
  <c r="AZ52" i="31"/>
  <c r="AW52" i="31"/>
  <c r="D24" i="8"/>
  <c r="AR13" i="31"/>
  <c r="AV13" i="31"/>
  <c r="AS13" i="31"/>
  <c r="AU13" i="31"/>
  <c r="AP13" i="31"/>
  <c r="AQ13" i="31"/>
  <c r="AT13" i="31"/>
  <c r="AO13" i="31"/>
  <c r="HZ13" i="31"/>
  <c r="ID13" i="31"/>
  <c r="IA13" i="31"/>
  <c r="IE13" i="31"/>
  <c r="HX13" i="31"/>
  <c r="IB13" i="31"/>
  <c r="HY13" i="31"/>
  <c r="IC13" i="31"/>
  <c r="AK60" i="31"/>
  <c r="AH60" i="31"/>
  <c r="AL60" i="31"/>
  <c r="AG60" i="31"/>
  <c r="AI60" i="31"/>
  <c r="AM60" i="31"/>
  <c r="AJ60" i="31"/>
  <c r="AN60" i="31"/>
  <c r="BX57" i="31"/>
  <c r="CB57" i="31"/>
  <c r="BY57" i="31"/>
  <c r="CA57" i="31"/>
  <c r="BV57" i="31"/>
  <c r="BW57" i="31"/>
  <c r="BZ57" i="31"/>
  <c r="BU57" i="31"/>
  <c r="BV55" i="31"/>
  <c r="BZ55" i="31"/>
  <c r="BW55" i="31"/>
  <c r="CA55" i="31"/>
  <c r="BY55" i="31"/>
  <c r="CB55" i="31"/>
  <c r="BX55" i="31"/>
  <c r="BU55" i="31"/>
  <c r="AY53" i="31"/>
  <c r="BC53" i="31"/>
  <c r="AZ53" i="31"/>
  <c r="BD53" i="31"/>
  <c r="BB53" i="31"/>
  <c r="AW53" i="31"/>
  <c r="AX53" i="31"/>
  <c r="BA53" i="31"/>
  <c r="AA51" i="31"/>
  <c r="AE51" i="31"/>
  <c r="AB51" i="31"/>
  <c r="AF51" i="31"/>
  <c r="AC51" i="31"/>
  <c r="Z51" i="31"/>
  <c r="AD51" i="31"/>
  <c r="Y51" i="31"/>
  <c r="AI50" i="31"/>
  <c r="AM50" i="31"/>
  <c r="AJ50" i="31"/>
  <c r="AN50" i="31"/>
  <c r="AK50" i="31"/>
  <c r="AH50" i="31"/>
  <c r="AL50" i="31"/>
  <c r="AG50" i="31"/>
  <c r="E49" i="31"/>
  <c r="G49" i="31"/>
  <c r="C49" i="31"/>
  <c r="H49" i="31"/>
  <c r="D49" i="31"/>
  <c r="F49" i="31"/>
  <c r="B49" i="31"/>
  <c r="C48" i="31"/>
  <c r="G48" i="31"/>
  <c r="H48" i="31"/>
  <c r="D48" i="31"/>
  <c r="E48" i="31"/>
  <c r="B48" i="31"/>
  <c r="F48" i="31"/>
  <c r="U47" i="31"/>
  <c r="R47" i="31"/>
  <c r="V47" i="31"/>
  <c r="Q47" i="31"/>
  <c r="S47" i="31"/>
  <c r="W47" i="31"/>
  <c r="T47" i="31"/>
  <c r="X47" i="31"/>
  <c r="BG44" i="31"/>
  <c r="BK44" i="31"/>
  <c r="BH44" i="31"/>
  <c r="BL44" i="31"/>
  <c r="BJ44" i="31"/>
  <c r="BF44" i="31"/>
  <c r="BI44" i="31"/>
  <c r="BE44" i="31"/>
  <c r="DZ42" i="31"/>
  <c r="ED42" i="31"/>
  <c r="EA42" i="31"/>
  <c r="EE42" i="31"/>
  <c r="EB42" i="31"/>
  <c r="EF42" i="31"/>
  <c r="EC42" i="31"/>
  <c r="DY42" i="31"/>
  <c r="EC41" i="31"/>
  <c r="DZ41" i="31"/>
  <c r="ED41" i="31"/>
  <c r="EA41" i="31"/>
  <c r="EE41" i="31"/>
  <c r="EB41" i="31"/>
  <c r="EF41" i="31"/>
  <c r="DY41" i="31"/>
  <c r="EA39" i="31"/>
  <c r="EE39" i="31"/>
  <c r="EB39" i="31"/>
  <c r="EF39" i="31"/>
  <c r="EC39" i="31"/>
  <c r="DZ39" i="31"/>
  <c r="ED39" i="31"/>
  <c r="DY39" i="31"/>
  <c r="EK38" i="31"/>
  <c r="EH38" i="31"/>
  <c r="EL38" i="31"/>
  <c r="EI38" i="31"/>
  <c r="EM38" i="31"/>
  <c r="EJ38" i="31"/>
  <c r="EG38" i="31"/>
  <c r="EN38" i="31"/>
  <c r="EJ37" i="31"/>
  <c r="EN37" i="31"/>
  <c r="EK37" i="31"/>
  <c r="EH37" i="31"/>
  <c r="EL37" i="31"/>
  <c r="EI37" i="31"/>
  <c r="EM37" i="31"/>
  <c r="EG37" i="31"/>
  <c r="E37" i="31"/>
  <c r="G37" i="31"/>
  <c r="B37" i="31"/>
  <c r="C37" i="31"/>
  <c r="H37" i="31"/>
  <c r="D37" i="31"/>
  <c r="F37" i="31"/>
  <c r="DR33" i="31"/>
  <c r="DV33" i="31"/>
  <c r="DS33" i="31"/>
  <c r="DW33" i="31"/>
  <c r="DT33" i="31"/>
  <c r="DX33" i="31"/>
  <c r="DU33" i="31"/>
  <c r="DQ33" i="31"/>
  <c r="EI32" i="31"/>
  <c r="EM32" i="31"/>
  <c r="EJ32" i="31"/>
  <c r="EN32" i="31"/>
  <c r="EK32" i="31"/>
  <c r="EL32" i="31"/>
  <c r="EH32" i="31"/>
  <c r="EG32" i="31"/>
  <c r="EH31" i="31"/>
  <c r="EL31" i="31"/>
  <c r="EI31" i="31"/>
  <c r="EM31" i="31"/>
  <c r="EJ31" i="31"/>
  <c r="EN31" i="31"/>
  <c r="EK31" i="31"/>
  <c r="EG31" i="31"/>
  <c r="K31" i="31"/>
  <c r="O31" i="31"/>
  <c r="L31" i="31"/>
  <c r="P31" i="31"/>
  <c r="M31" i="31"/>
  <c r="N31" i="31"/>
  <c r="I31" i="31"/>
  <c r="J31" i="31"/>
  <c r="DJ28" i="31"/>
  <c r="DN28" i="31"/>
  <c r="DK28" i="31"/>
  <c r="DO28" i="31"/>
  <c r="DL28" i="31"/>
  <c r="DP28" i="31"/>
  <c r="DM28" i="31"/>
  <c r="DI28" i="31"/>
  <c r="DT27" i="31"/>
  <c r="DX27" i="31"/>
  <c r="DU27" i="31"/>
  <c r="DR27" i="31"/>
  <c r="DV27" i="31"/>
  <c r="DS27" i="31"/>
  <c r="DW27" i="31"/>
  <c r="DQ27" i="31"/>
  <c r="AI25" i="31"/>
  <c r="AM25" i="31"/>
  <c r="AL25" i="31"/>
  <c r="AH25" i="31"/>
  <c r="AN25" i="31"/>
  <c r="AJ25" i="31"/>
  <c r="AK25" i="31"/>
  <c r="AG25" i="31"/>
  <c r="C24" i="31"/>
  <c r="G24" i="31"/>
  <c r="E24" i="31"/>
  <c r="F24" i="31"/>
  <c r="D24" i="31"/>
  <c r="B24" i="31"/>
  <c r="H24" i="31"/>
  <c r="E23" i="31"/>
  <c r="B23" i="31"/>
  <c r="F23" i="31"/>
  <c r="G23" i="31"/>
  <c r="H23" i="31"/>
  <c r="C23" i="31"/>
  <c r="D23" i="31"/>
  <c r="AR22" i="31"/>
  <c r="AV22" i="31"/>
  <c r="AS22" i="31"/>
  <c r="AU22" i="31"/>
  <c r="AP22" i="31"/>
  <c r="AQ22" i="31"/>
  <c r="AO22" i="31"/>
  <c r="AT22" i="31"/>
  <c r="R21" i="31"/>
  <c r="V21" i="31"/>
  <c r="S21" i="31"/>
  <c r="W21" i="31"/>
  <c r="T21" i="31"/>
  <c r="X21" i="31"/>
  <c r="Q21" i="31"/>
  <c r="U21" i="31"/>
  <c r="Z20" i="31"/>
  <c r="AD20" i="31"/>
  <c r="AA20" i="31"/>
  <c r="AE20" i="31"/>
  <c r="AB20" i="31"/>
  <c r="AF20" i="31"/>
  <c r="Y20" i="31"/>
  <c r="AC20" i="31"/>
  <c r="EJ17" i="31"/>
  <c r="EN17" i="31"/>
  <c r="EK17" i="31"/>
  <c r="EH17" i="31"/>
  <c r="EL17" i="31"/>
  <c r="EI17" i="31"/>
  <c r="EM17" i="31"/>
  <c r="EG17" i="31"/>
  <c r="DJ16" i="31"/>
  <c r="DN16" i="31"/>
  <c r="DK16" i="31"/>
  <c r="DO16" i="31"/>
  <c r="DL16" i="31"/>
  <c r="DP16" i="31"/>
  <c r="DM16" i="31"/>
  <c r="DI16" i="31"/>
  <c r="DE15" i="31"/>
  <c r="DB15" i="31"/>
  <c r="DF15" i="31"/>
  <c r="DC15" i="31"/>
  <c r="DG15" i="31"/>
  <c r="DD15" i="31"/>
  <c r="DH15" i="31"/>
  <c r="DA15" i="31"/>
  <c r="EC13" i="31"/>
  <c r="DZ13" i="31"/>
  <c r="ED13" i="31"/>
  <c r="EA13" i="31"/>
  <c r="EE13" i="31"/>
  <c r="EB13" i="31"/>
  <c r="EF13" i="31"/>
  <c r="DY13" i="31"/>
  <c r="CU12" i="31"/>
  <c r="CY12" i="31"/>
  <c r="CW12" i="31"/>
  <c r="CV12" i="31"/>
  <c r="CX12" i="31"/>
  <c r="CZ12" i="31"/>
  <c r="CS12" i="31"/>
  <c r="CT12" i="31"/>
  <c r="JU51" i="31"/>
  <c r="JY51" i="31"/>
  <c r="JT51" i="31"/>
  <c r="JX51" i="31"/>
  <c r="JV51" i="31"/>
  <c r="JW51" i="31"/>
  <c r="JZ51" i="31"/>
  <c r="KA51" i="31"/>
  <c r="IO51" i="31"/>
  <c r="IS51" i="31"/>
  <c r="IN51" i="31"/>
  <c r="IR51" i="31"/>
  <c r="IP51" i="31"/>
  <c r="IQ51" i="31"/>
  <c r="IT51" i="31"/>
  <c r="IU51" i="31"/>
  <c r="HI51" i="31"/>
  <c r="HM51" i="31"/>
  <c r="HH51" i="31"/>
  <c r="HL51" i="31"/>
  <c r="HJ51" i="31"/>
  <c r="HK51" i="31"/>
  <c r="HN51" i="31"/>
  <c r="HO51" i="31"/>
  <c r="GE51" i="31"/>
  <c r="GI51" i="31"/>
  <c r="GB51" i="31"/>
  <c r="GF51" i="31"/>
  <c r="GC51" i="31"/>
  <c r="GG51" i="31"/>
  <c r="GD51" i="31"/>
  <c r="GH51" i="31"/>
  <c r="FG43" i="31"/>
  <c r="FK43" i="31"/>
  <c r="FD43" i="31"/>
  <c r="FH43" i="31"/>
  <c r="FE43" i="31"/>
  <c r="FI43" i="31"/>
  <c r="FF43" i="31"/>
  <c r="FJ43" i="31"/>
  <c r="JT35" i="31"/>
  <c r="JX35" i="31"/>
  <c r="JU35" i="31"/>
  <c r="JY35" i="31"/>
  <c r="JV35" i="31"/>
  <c r="JZ35" i="31"/>
  <c r="JW35" i="31"/>
  <c r="KA35" i="31"/>
  <c r="JT28" i="31"/>
  <c r="JX28" i="31"/>
  <c r="JU28" i="31"/>
  <c r="JY28" i="31"/>
  <c r="JV28" i="31"/>
  <c r="JZ28" i="31"/>
  <c r="JW28" i="31"/>
  <c r="KA28" i="31"/>
  <c r="JL56" i="31"/>
  <c r="JP56" i="31"/>
  <c r="JM56" i="31"/>
  <c r="JQ56" i="31"/>
  <c r="JN56" i="31"/>
  <c r="JR56" i="31"/>
  <c r="JO56" i="31"/>
  <c r="JS56" i="31"/>
  <c r="JL60" i="31"/>
  <c r="JP60" i="31"/>
  <c r="JM60" i="31"/>
  <c r="JQ60" i="31"/>
  <c r="JN60" i="31"/>
  <c r="JR60" i="31"/>
  <c r="JO60" i="31"/>
  <c r="JS60" i="31"/>
  <c r="JM48" i="31"/>
  <c r="JQ48" i="31"/>
  <c r="JN48" i="31"/>
  <c r="JR48" i="31"/>
  <c r="JL48" i="31"/>
  <c r="JP48" i="31"/>
  <c r="JO48" i="31"/>
  <c r="JS48" i="31"/>
  <c r="CT55" i="31"/>
  <c r="CX55" i="31"/>
  <c r="CV55" i="31"/>
  <c r="CZ55" i="31"/>
  <c r="CY55" i="31"/>
  <c r="CU55" i="31"/>
  <c r="CW55" i="31"/>
  <c r="CS55" i="31"/>
  <c r="IF57" i="31"/>
  <c r="IJ57" i="31"/>
  <c r="IG57" i="31"/>
  <c r="IK57" i="31"/>
  <c r="IH57" i="31"/>
  <c r="IL57" i="31"/>
  <c r="II57" i="31"/>
  <c r="IM57" i="31"/>
  <c r="IG49" i="31"/>
  <c r="IK49" i="31"/>
  <c r="IH49" i="31"/>
  <c r="IL49" i="31"/>
  <c r="IF49" i="31"/>
  <c r="IJ49" i="31"/>
  <c r="II49" i="31"/>
  <c r="IM49" i="31"/>
  <c r="HP40" i="31"/>
  <c r="HT40" i="31"/>
  <c r="HQ40" i="31"/>
  <c r="HU40" i="31"/>
  <c r="HR40" i="31"/>
  <c r="HV40" i="31"/>
  <c r="HS40" i="31"/>
  <c r="HW40" i="31"/>
  <c r="BP56" i="31"/>
  <c r="BT56" i="31"/>
  <c r="BQ56" i="31"/>
  <c r="BO56" i="31"/>
  <c r="BR56" i="31"/>
  <c r="BS56" i="31"/>
  <c r="BM56" i="31"/>
  <c r="BN56" i="31"/>
  <c r="HB54" i="31"/>
  <c r="HF54" i="31"/>
  <c r="HC54" i="31"/>
  <c r="HG54" i="31"/>
  <c r="GZ54" i="31"/>
  <c r="HD54" i="31"/>
  <c r="HA54" i="31"/>
  <c r="HE54" i="31"/>
  <c r="HB58" i="31"/>
  <c r="HF58" i="31"/>
  <c r="HC58" i="31"/>
  <c r="HG58" i="31"/>
  <c r="GZ58" i="31"/>
  <c r="HD58" i="31"/>
  <c r="HA58" i="31"/>
  <c r="HE58" i="31"/>
  <c r="GR37" i="31"/>
  <c r="GV37" i="31"/>
  <c r="GS37" i="31"/>
  <c r="GW37" i="31"/>
  <c r="GT37" i="31"/>
  <c r="GX37" i="31"/>
  <c r="GU37" i="31"/>
  <c r="GY37" i="31"/>
  <c r="GB37" i="31"/>
  <c r="GF37" i="31"/>
  <c r="GC37" i="31"/>
  <c r="GG37" i="31"/>
  <c r="GD37" i="31"/>
  <c r="GH37" i="31"/>
  <c r="GE37" i="31"/>
  <c r="GI37" i="31"/>
  <c r="GB41" i="31"/>
  <c r="GF41" i="31"/>
  <c r="GC41" i="31"/>
  <c r="GG41" i="31"/>
  <c r="GD41" i="31"/>
  <c r="GH41" i="31"/>
  <c r="GE41" i="31"/>
  <c r="GI41" i="31"/>
  <c r="JL33" i="31"/>
  <c r="JP33" i="31"/>
  <c r="JN33" i="31"/>
  <c r="JR33" i="31"/>
  <c r="JM33" i="31"/>
  <c r="JO33" i="31"/>
  <c r="JQ33" i="31"/>
  <c r="JS33" i="31"/>
  <c r="JL30" i="31"/>
  <c r="JP30" i="31"/>
  <c r="JM30" i="31"/>
  <c r="JQ30" i="31"/>
  <c r="JN30" i="31"/>
  <c r="JR30" i="31"/>
  <c r="JO30" i="31"/>
  <c r="JS30" i="31"/>
  <c r="JE53" i="31"/>
  <c r="JI53" i="31"/>
  <c r="JD53" i="31"/>
  <c r="JH53" i="31"/>
  <c r="JF53" i="31"/>
  <c r="JG53" i="31"/>
  <c r="JJ53" i="31"/>
  <c r="JK53" i="31"/>
  <c r="IN39" i="31"/>
  <c r="IR39" i="31"/>
  <c r="IO39" i="31"/>
  <c r="IS39" i="31"/>
  <c r="IP39" i="31"/>
  <c r="IT39" i="31"/>
  <c r="IQ39" i="31"/>
  <c r="IU39" i="31"/>
  <c r="IN31" i="31"/>
  <c r="IR31" i="31"/>
  <c r="IP31" i="31"/>
  <c r="IT31" i="31"/>
  <c r="IO31" i="31"/>
  <c r="IQ31" i="31"/>
  <c r="IS31" i="31"/>
  <c r="IU31" i="31"/>
  <c r="IF34" i="31"/>
  <c r="IJ34" i="31"/>
  <c r="IH34" i="31"/>
  <c r="IL34" i="31"/>
  <c r="IK34" i="31"/>
  <c r="IM34" i="31"/>
  <c r="IG34" i="31"/>
  <c r="II34" i="31"/>
  <c r="HR24" i="31"/>
  <c r="HV24" i="31"/>
  <c r="HS24" i="31"/>
  <c r="HW24" i="31"/>
  <c r="HP24" i="31"/>
  <c r="HT24" i="31"/>
  <c r="HQ24" i="31"/>
  <c r="HU24" i="31"/>
  <c r="GT31" i="31"/>
  <c r="GX31" i="31"/>
  <c r="GU31" i="31"/>
  <c r="GY31" i="31"/>
  <c r="GR31" i="31"/>
  <c r="GV31" i="31"/>
  <c r="GS31" i="31"/>
  <c r="GW31" i="31"/>
  <c r="GD39" i="31"/>
  <c r="GH39" i="31"/>
  <c r="GE39" i="31"/>
  <c r="GI39" i="31"/>
  <c r="GB39" i="31"/>
  <c r="GF39" i="31"/>
  <c r="GC39" i="31"/>
  <c r="GG39" i="31"/>
  <c r="GD31" i="31"/>
  <c r="GH31" i="31"/>
  <c r="GE31" i="31"/>
  <c r="GI31" i="31"/>
  <c r="GB31" i="31"/>
  <c r="GF31" i="31"/>
  <c r="GC31" i="31"/>
  <c r="GG31" i="31"/>
  <c r="EY32" i="31"/>
  <c r="FC32" i="31"/>
  <c r="EV32" i="31"/>
  <c r="EZ32" i="31"/>
  <c r="EW32" i="31"/>
  <c r="FA32" i="31"/>
  <c r="EX32" i="31"/>
  <c r="FB32" i="31"/>
  <c r="EX27" i="31"/>
  <c r="FB27" i="31"/>
  <c r="EY27" i="31"/>
  <c r="FC27" i="31"/>
  <c r="EV27" i="31"/>
  <c r="EZ27" i="31"/>
  <c r="EW27" i="31"/>
  <c r="FA27" i="31"/>
  <c r="IX15" i="31"/>
  <c r="JB15" i="31"/>
  <c r="IY15" i="31"/>
  <c r="JC15" i="31"/>
  <c r="IV15" i="31"/>
  <c r="IZ15" i="31"/>
  <c r="JA15" i="31"/>
  <c r="IW15" i="31"/>
  <c r="IH25" i="31"/>
  <c r="IL25" i="31"/>
  <c r="II25" i="31"/>
  <c r="IM25" i="31"/>
  <c r="IF25" i="31"/>
  <c r="IJ25" i="31"/>
  <c r="IK25" i="31"/>
  <c r="IG25" i="31"/>
  <c r="IH21" i="31"/>
  <c r="IL21" i="31"/>
  <c r="II21" i="31"/>
  <c r="IM21" i="31"/>
  <c r="IF21" i="31"/>
  <c r="IJ21" i="31"/>
  <c r="IG21" i="31"/>
  <c r="IK21" i="31"/>
  <c r="HZ25" i="31"/>
  <c r="ID25" i="31"/>
  <c r="IA25" i="31"/>
  <c r="IE25" i="31"/>
  <c r="HX25" i="31"/>
  <c r="IB25" i="31"/>
  <c r="HY25" i="31"/>
  <c r="IC25" i="31"/>
  <c r="HZ22" i="31"/>
  <c r="ID22" i="31"/>
  <c r="IA22" i="31"/>
  <c r="IE22" i="31"/>
  <c r="HX22" i="31"/>
  <c r="IB22" i="31"/>
  <c r="HY22" i="31"/>
  <c r="IC22" i="31"/>
  <c r="HA22" i="31"/>
  <c r="HE22" i="31"/>
  <c r="HB22" i="31"/>
  <c r="HF22" i="31"/>
  <c r="HC22" i="31"/>
  <c r="HG22" i="31"/>
  <c r="GZ22" i="31"/>
  <c r="HD22" i="31"/>
  <c r="GS22" i="31"/>
  <c r="GW22" i="31"/>
  <c r="GT22" i="31"/>
  <c r="GX22" i="31"/>
  <c r="GU22" i="31"/>
  <c r="GY22" i="31"/>
  <c r="GR22" i="31"/>
  <c r="GV22" i="31"/>
  <c r="GT14" i="31"/>
  <c r="GX14" i="31"/>
  <c r="GU14" i="31"/>
  <c r="GY14" i="31"/>
  <c r="GR14" i="31"/>
  <c r="GV14" i="31"/>
  <c r="GS14" i="31"/>
  <c r="GW14" i="31"/>
  <c r="GK21" i="31"/>
  <c r="GO21" i="31"/>
  <c r="GJ21" i="31"/>
  <c r="GN21" i="31"/>
  <c r="GM21" i="31"/>
  <c r="GP21" i="31"/>
  <c r="GQ21" i="31"/>
  <c r="GL21" i="31"/>
  <c r="AI58" i="31"/>
  <c r="AM58" i="31"/>
  <c r="AJ58" i="31"/>
  <c r="AN58" i="31"/>
  <c r="AK58" i="31"/>
  <c r="AG58" i="31"/>
  <c r="AH58" i="31"/>
  <c r="AL58" i="31"/>
  <c r="S58" i="31"/>
  <c r="W58" i="31"/>
  <c r="T58" i="31"/>
  <c r="X58" i="31"/>
  <c r="U58" i="31"/>
  <c r="R58" i="31"/>
  <c r="V58" i="31"/>
  <c r="Q58" i="31"/>
  <c r="V71" i="30"/>
  <c r="W71" i="30"/>
  <c r="DL34" i="31"/>
  <c r="DP34" i="31"/>
  <c r="DM34" i="31"/>
  <c r="DJ34" i="31"/>
  <c r="DK34" i="31"/>
  <c r="DN34" i="31"/>
  <c r="DO34" i="31"/>
  <c r="DI34" i="31"/>
  <c r="DC53" i="31"/>
  <c r="DG53" i="31"/>
  <c r="DE53" i="31"/>
  <c r="DD53" i="31"/>
  <c r="DF53" i="31"/>
  <c r="DH53" i="31"/>
  <c r="DB53" i="31"/>
  <c r="DA53" i="31"/>
  <c r="BF30" i="31"/>
  <c r="BJ30" i="31"/>
  <c r="BG30" i="31"/>
  <c r="BK30" i="31"/>
  <c r="BH30" i="31"/>
  <c r="BE30" i="31"/>
  <c r="BI30" i="31"/>
  <c r="BL30" i="31"/>
  <c r="T52" i="31"/>
  <c r="X52" i="31"/>
  <c r="U52" i="31"/>
  <c r="R52" i="31"/>
  <c r="V52" i="31"/>
  <c r="W52" i="31"/>
  <c r="Q52" i="31"/>
  <c r="S52" i="31"/>
  <c r="JS12" i="31"/>
  <c r="JO12" i="31"/>
  <c r="JR12" i="31"/>
  <c r="JN12" i="31"/>
  <c r="JQ12" i="31"/>
  <c r="JM12" i="31"/>
  <c r="JP12" i="31"/>
  <c r="JL12" i="31"/>
  <c r="CF59" i="31"/>
  <c r="CJ59" i="31"/>
  <c r="CG59" i="31"/>
  <c r="CD59" i="31"/>
  <c r="CH59" i="31"/>
  <c r="CE59" i="31"/>
  <c r="CC59" i="31"/>
  <c r="CI59" i="31"/>
  <c r="DU56" i="31"/>
  <c r="DR56" i="31"/>
  <c r="DV56" i="31"/>
  <c r="DS56" i="31"/>
  <c r="DW56" i="31"/>
  <c r="DT56" i="31"/>
  <c r="DX56" i="31"/>
  <c r="DQ56" i="31"/>
  <c r="CE54" i="31"/>
  <c r="CI54" i="31"/>
  <c r="CF54" i="31"/>
  <c r="CJ54" i="31"/>
  <c r="CG54" i="31"/>
  <c r="CD54" i="31"/>
  <c r="CC54" i="31"/>
  <c r="CH54" i="31"/>
  <c r="BI50" i="31"/>
  <c r="BF50" i="31"/>
  <c r="BJ50" i="31"/>
  <c r="BH50" i="31"/>
  <c r="BK50" i="31"/>
  <c r="BL50" i="31"/>
  <c r="BE50" i="31"/>
  <c r="BG50" i="31"/>
  <c r="BX49" i="31"/>
  <c r="CB49" i="31"/>
  <c r="BY49" i="31"/>
  <c r="CA49" i="31"/>
  <c r="BV49" i="31"/>
  <c r="BW49" i="31"/>
  <c r="BZ49" i="31"/>
  <c r="BU49" i="31"/>
  <c r="AS48" i="31"/>
  <c r="AP48" i="31"/>
  <c r="AU48" i="31"/>
  <c r="AQ48" i="31"/>
  <c r="AV48" i="31"/>
  <c r="AR48" i="31"/>
  <c r="AT48" i="31"/>
  <c r="AO48" i="31"/>
  <c r="R44" i="31"/>
  <c r="V44" i="31"/>
  <c r="S44" i="31"/>
  <c r="W44" i="31"/>
  <c r="T44" i="31"/>
  <c r="X44" i="31"/>
  <c r="U44" i="31"/>
  <c r="Q44" i="31"/>
  <c r="CL42" i="31"/>
  <c r="CP42" i="31"/>
  <c r="CN42" i="31"/>
  <c r="CR42" i="31"/>
  <c r="CM42" i="31"/>
  <c r="CO42" i="31"/>
  <c r="CQ42" i="31"/>
  <c r="CK42" i="31"/>
  <c r="EB40" i="31"/>
  <c r="EF40" i="31"/>
  <c r="EC40" i="31"/>
  <c r="DZ40" i="31"/>
  <c r="ED40" i="31"/>
  <c r="EE40" i="31"/>
  <c r="EA40" i="31"/>
  <c r="DY40" i="31"/>
  <c r="BA39" i="31"/>
  <c r="AX39" i="31"/>
  <c r="BB39" i="31"/>
  <c r="BD39" i="31"/>
  <c r="AY39" i="31"/>
  <c r="AZ39" i="31"/>
  <c r="AW39" i="31"/>
  <c r="BC39" i="31"/>
  <c r="BO38" i="31"/>
  <c r="BS38" i="31"/>
  <c r="BP38" i="31"/>
  <c r="BT38" i="31"/>
  <c r="BN38" i="31"/>
  <c r="BQ38" i="31"/>
  <c r="BR38" i="31"/>
  <c r="BM38" i="31"/>
  <c r="BN37" i="31"/>
  <c r="BR37" i="31"/>
  <c r="BO37" i="31"/>
  <c r="BS37" i="31"/>
  <c r="BP37" i="31"/>
  <c r="BQ37" i="31"/>
  <c r="BT37" i="31"/>
  <c r="BM37" i="31"/>
  <c r="BV36" i="31"/>
  <c r="BW36" i="31"/>
  <c r="CA36" i="31"/>
  <c r="BX36" i="31"/>
  <c r="CB36" i="31"/>
  <c r="BY36" i="31"/>
  <c r="BZ36" i="31"/>
  <c r="BU36" i="31"/>
  <c r="BG35" i="31"/>
  <c r="BK35" i="31"/>
  <c r="BH35" i="31"/>
  <c r="BL35" i="31"/>
  <c r="BJ35" i="31"/>
  <c r="BF35" i="31"/>
  <c r="BE35" i="31"/>
  <c r="BI35" i="31"/>
  <c r="AH32" i="31"/>
  <c r="AL32" i="31"/>
  <c r="AK32" i="31"/>
  <c r="AM32" i="31"/>
  <c r="AG32" i="31"/>
  <c r="AI32" i="31"/>
  <c r="AN32" i="31"/>
  <c r="AJ32" i="31"/>
  <c r="AK31" i="31"/>
  <c r="AH31" i="31"/>
  <c r="AM31" i="31"/>
  <c r="AI31" i="31"/>
  <c r="AN31" i="31"/>
  <c r="AJ31" i="31"/>
  <c r="AG31" i="31"/>
  <c r="AL31" i="31"/>
  <c r="AA29" i="31"/>
  <c r="AE29" i="31"/>
  <c r="AB29" i="31"/>
  <c r="AF29" i="31"/>
  <c r="AC29" i="31"/>
  <c r="Z29" i="31"/>
  <c r="AD29" i="31"/>
  <c r="Y29" i="31"/>
  <c r="K27" i="31"/>
  <c r="O27" i="31"/>
  <c r="L27" i="31"/>
  <c r="P27" i="31"/>
  <c r="M27" i="31"/>
  <c r="J27" i="31"/>
  <c r="N27" i="31"/>
  <c r="I27" i="31"/>
  <c r="S26" i="31"/>
  <c r="W26" i="31"/>
  <c r="T26" i="31"/>
  <c r="X26" i="31"/>
  <c r="U26" i="31"/>
  <c r="Q26" i="31"/>
  <c r="R26" i="31"/>
  <c r="V26" i="31"/>
  <c r="BV24" i="31"/>
  <c r="BZ24" i="31"/>
  <c r="BW24" i="31"/>
  <c r="CA24" i="31"/>
  <c r="BX24" i="31"/>
  <c r="CB24" i="31"/>
  <c r="BY24" i="31"/>
  <c r="BU24" i="31"/>
  <c r="AJ22" i="31"/>
  <c r="AN22" i="31"/>
  <c r="AL22" i="31"/>
  <c r="AH22" i="31"/>
  <c r="AM22" i="31"/>
  <c r="AI22" i="31"/>
  <c r="AG22" i="31"/>
  <c r="AK22" i="31"/>
  <c r="AQ21" i="31"/>
  <c r="AU21" i="31"/>
  <c r="AR21" i="31"/>
  <c r="AV21" i="31"/>
  <c r="AT21" i="31"/>
  <c r="AP21" i="31"/>
  <c r="AO21" i="31"/>
  <c r="AS21" i="31"/>
  <c r="AY20" i="31"/>
  <c r="BC20" i="31"/>
  <c r="AZ20" i="31"/>
  <c r="BD20" i="31"/>
  <c r="BB20" i="31"/>
  <c r="AW20" i="31"/>
  <c r="AX20" i="31"/>
  <c r="BA20" i="31"/>
  <c r="AA17" i="31"/>
  <c r="AE17" i="31"/>
  <c r="AB17" i="31"/>
  <c r="AF17" i="31"/>
  <c r="AC17" i="31"/>
  <c r="Z17" i="31"/>
  <c r="AD17" i="31"/>
  <c r="Y17" i="31"/>
  <c r="EA15" i="31"/>
  <c r="EE15" i="31"/>
  <c r="EB15" i="31"/>
  <c r="EF15" i="31"/>
  <c r="EC15" i="31"/>
  <c r="ED15" i="31"/>
  <c r="DZ15" i="31"/>
  <c r="DY15" i="31"/>
  <c r="DR13" i="31"/>
  <c r="DV13" i="31"/>
  <c r="DS13" i="31"/>
  <c r="DW13" i="31"/>
  <c r="DT13" i="31"/>
  <c r="DX13" i="31"/>
  <c r="DU13" i="31"/>
  <c r="DQ13" i="31"/>
  <c r="CN12" i="31"/>
  <c r="CR12" i="31"/>
  <c r="CL12" i="31"/>
  <c r="CP12" i="31"/>
  <c r="CO12" i="31"/>
  <c r="CQ12" i="31"/>
  <c r="CK12" i="31"/>
  <c r="CM12" i="31"/>
  <c r="IW50" i="31"/>
  <c r="JA50" i="31"/>
  <c r="IX50" i="31"/>
  <c r="JB50" i="31"/>
  <c r="IV50" i="31"/>
  <c r="IZ50" i="31"/>
  <c r="IY50" i="31"/>
  <c r="JC50" i="31"/>
  <c r="HQ50" i="31"/>
  <c r="HU50" i="31"/>
  <c r="HR50" i="31"/>
  <c r="HV50" i="31"/>
  <c r="HP50" i="31"/>
  <c r="HT50" i="31"/>
  <c r="HS50" i="31"/>
  <c r="HW50" i="31"/>
  <c r="GL50" i="31"/>
  <c r="GP50" i="31"/>
  <c r="GM50" i="31"/>
  <c r="GQ50" i="31"/>
  <c r="GJ50" i="31"/>
  <c r="GN50" i="31"/>
  <c r="GK50" i="31"/>
  <c r="GO50" i="31"/>
  <c r="EY47" i="31"/>
  <c r="FC47" i="31"/>
  <c r="EV47" i="31"/>
  <c r="EZ47" i="31"/>
  <c r="EW47" i="31"/>
  <c r="FA47" i="31"/>
  <c r="EX47" i="31"/>
  <c r="FB47" i="31"/>
  <c r="JT46" i="31"/>
  <c r="JX46" i="31"/>
  <c r="JV46" i="31"/>
  <c r="JZ46" i="31"/>
  <c r="JW46" i="31"/>
  <c r="JY46" i="31"/>
  <c r="KA46" i="31"/>
  <c r="JU46" i="31"/>
  <c r="JU49" i="31"/>
  <c r="JY49" i="31"/>
  <c r="JV49" i="31"/>
  <c r="JZ49" i="31"/>
  <c r="JT49" i="31"/>
  <c r="JX49" i="31"/>
  <c r="JW49" i="31"/>
  <c r="KA49" i="31"/>
  <c r="JT54" i="31"/>
  <c r="JX54" i="31"/>
  <c r="JU54" i="31"/>
  <c r="JY54" i="31"/>
  <c r="JV54" i="31"/>
  <c r="JZ54" i="31"/>
  <c r="JW54" i="31"/>
  <c r="KA54" i="31"/>
  <c r="JT58" i="31"/>
  <c r="JX58" i="31"/>
  <c r="JU58" i="31"/>
  <c r="JY58" i="31"/>
  <c r="JV58" i="31"/>
  <c r="JZ58" i="31"/>
  <c r="JW58" i="31"/>
  <c r="KA58" i="31"/>
  <c r="JT36" i="31"/>
  <c r="JX36" i="31"/>
  <c r="JU36" i="31"/>
  <c r="JY36" i="31"/>
  <c r="JV36" i="31"/>
  <c r="JZ36" i="31"/>
  <c r="JW36" i="31"/>
  <c r="KA36" i="31"/>
  <c r="IV35" i="31"/>
  <c r="IZ35" i="31"/>
  <c r="IW35" i="31"/>
  <c r="JA35" i="31"/>
  <c r="IX35" i="31"/>
  <c r="JB35" i="31"/>
  <c r="IY35" i="31"/>
  <c r="JC35" i="31"/>
  <c r="IO48" i="31"/>
  <c r="IS48" i="31"/>
  <c r="IP48" i="31"/>
  <c r="IT48" i="31"/>
  <c r="IQ48" i="31"/>
  <c r="IU48" i="31"/>
  <c r="IN48" i="31"/>
  <c r="IR48" i="31"/>
  <c r="DB60" i="31"/>
  <c r="DF60" i="31"/>
  <c r="DD60" i="31"/>
  <c r="DH60" i="31"/>
  <c r="DC60" i="31"/>
  <c r="DE60" i="31"/>
  <c r="DG60" i="31"/>
  <c r="DA60" i="31"/>
  <c r="IN57" i="31"/>
  <c r="IR57" i="31"/>
  <c r="IO57" i="31"/>
  <c r="IS57" i="31"/>
  <c r="IP57" i="31"/>
  <c r="IT57" i="31"/>
  <c r="IQ57" i="31"/>
  <c r="IU57" i="31"/>
  <c r="HX38" i="31"/>
  <c r="IB38" i="31"/>
  <c r="HY38" i="31"/>
  <c r="IC38" i="31"/>
  <c r="HZ38" i="31"/>
  <c r="ID38" i="31"/>
  <c r="IA38" i="31"/>
  <c r="IE38" i="31"/>
  <c r="HR28" i="31"/>
  <c r="HV28" i="31"/>
  <c r="HP28" i="31"/>
  <c r="HT28" i="31"/>
  <c r="HW28" i="31"/>
  <c r="HQ28" i="31"/>
  <c r="HS28" i="31"/>
  <c r="HU28" i="31"/>
  <c r="BV59" i="31"/>
  <c r="BZ59" i="31"/>
  <c r="BW59" i="31"/>
  <c r="CA59" i="31"/>
  <c r="BX59" i="31"/>
  <c r="BY59" i="31"/>
  <c r="CB59" i="31"/>
  <c r="BU59" i="31"/>
  <c r="HH56" i="31"/>
  <c r="HL56" i="31"/>
  <c r="HI56" i="31"/>
  <c r="HM56" i="31"/>
  <c r="HJ56" i="31"/>
  <c r="HN56" i="31"/>
  <c r="HK56" i="31"/>
  <c r="HO56" i="31"/>
  <c r="HH60" i="31"/>
  <c r="HL60" i="31"/>
  <c r="HI60" i="31"/>
  <c r="HM60" i="31"/>
  <c r="HJ60" i="31"/>
  <c r="HN60" i="31"/>
  <c r="HK60" i="31"/>
  <c r="HO60" i="31"/>
  <c r="GZ37" i="31"/>
  <c r="HD37" i="31"/>
  <c r="HA37" i="31"/>
  <c r="HE37" i="31"/>
  <c r="HB37" i="31"/>
  <c r="HF37" i="31"/>
  <c r="HC37" i="31"/>
  <c r="HG37" i="31"/>
  <c r="AX56" i="31"/>
  <c r="BB56" i="31"/>
  <c r="AY56" i="31"/>
  <c r="BC56" i="31"/>
  <c r="AZ56" i="31"/>
  <c r="BA56" i="31"/>
  <c r="BD56" i="31"/>
  <c r="AW56" i="31"/>
  <c r="GL54" i="31"/>
  <c r="GP54" i="31"/>
  <c r="GM54" i="31"/>
  <c r="GQ54" i="31"/>
  <c r="GJ54" i="31"/>
  <c r="GN54" i="31"/>
  <c r="GK54" i="31"/>
  <c r="GO54" i="31"/>
  <c r="GL58" i="31"/>
  <c r="GP58" i="31"/>
  <c r="GM58" i="31"/>
  <c r="GQ58" i="31"/>
  <c r="GJ58" i="31"/>
  <c r="GN58" i="31"/>
  <c r="GK58" i="31"/>
  <c r="GO58" i="31"/>
  <c r="GC38" i="31"/>
  <c r="GG38" i="31"/>
  <c r="GD38" i="31"/>
  <c r="GH38" i="31"/>
  <c r="GE38" i="31"/>
  <c r="GI38" i="31"/>
  <c r="GB38" i="31"/>
  <c r="GF38" i="31"/>
  <c r="AJ55" i="31"/>
  <c r="AN55" i="31"/>
  <c r="AK55" i="31"/>
  <c r="AH55" i="31"/>
  <c r="AL55" i="31"/>
  <c r="AI55" i="31"/>
  <c r="AM55" i="31"/>
  <c r="AG55" i="31"/>
  <c r="FU57" i="31"/>
  <c r="FY57" i="31"/>
  <c r="FV57" i="31"/>
  <c r="FZ57" i="31"/>
  <c r="FW57" i="31"/>
  <c r="GA57" i="31"/>
  <c r="FT57" i="31"/>
  <c r="FX57" i="31"/>
  <c r="FU49" i="31"/>
  <c r="FY49" i="31"/>
  <c r="FV49" i="31"/>
  <c r="FZ49" i="31"/>
  <c r="FW49" i="31"/>
  <c r="GA49" i="31"/>
  <c r="FT49" i="31"/>
  <c r="FX49" i="31"/>
  <c r="FF46" i="31"/>
  <c r="FJ46" i="31"/>
  <c r="FG46" i="31"/>
  <c r="FK46" i="31"/>
  <c r="FD46" i="31"/>
  <c r="FH46" i="31"/>
  <c r="FE46" i="31"/>
  <c r="FI46" i="31"/>
  <c r="EW38" i="31"/>
  <c r="FA38" i="31"/>
  <c r="EX38" i="31"/>
  <c r="FB38" i="31"/>
  <c r="EY38" i="31"/>
  <c r="FC38" i="31"/>
  <c r="EV38" i="31"/>
  <c r="EZ38" i="31"/>
  <c r="E57" i="31"/>
  <c r="B57" i="31"/>
  <c r="C57" i="31"/>
  <c r="H57" i="31"/>
  <c r="D57" i="31"/>
  <c r="G57" i="31"/>
  <c r="F57" i="31"/>
  <c r="EQ55" i="31"/>
  <c r="EU55" i="31"/>
  <c r="ER55" i="31"/>
  <c r="EO55" i="31"/>
  <c r="ES55" i="31"/>
  <c r="EP55" i="31"/>
  <c r="ET55" i="31"/>
  <c r="EQ59" i="31"/>
  <c r="EU59" i="31"/>
  <c r="ER59" i="31"/>
  <c r="EO59" i="31"/>
  <c r="ES59" i="31"/>
  <c r="EP59" i="31"/>
  <c r="ET59" i="31"/>
  <c r="JT30" i="31"/>
  <c r="JX30" i="31"/>
  <c r="JV30" i="31"/>
  <c r="JZ30" i="31"/>
  <c r="JU30" i="31"/>
  <c r="JW30" i="31"/>
  <c r="JY30" i="31"/>
  <c r="KA30" i="31"/>
  <c r="IV39" i="31"/>
  <c r="IZ39" i="31"/>
  <c r="IW39" i="31"/>
  <c r="JA39" i="31"/>
  <c r="IX39" i="31"/>
  <c r="JB39" i="31"/>
  <c r="IY39" i="31"/>
  <c r="JC39" i="31"/>
  <c r="IN34" i="31"/>
  <c r="IR34" i="31"/>
  <c r="IP34" i="31"/>
  <c r="IT34" i="31"/>
  <c r="IS34" i="31"/>
  <c r="IU34" i="31"/>
  <c r="IO34" i="31"/>
  <c r="IQ34" i="31"/>
  <c r="HZ26" i="31"/>
  <c r="ID26" i="31"/>
  <c r="HX26" i="31"/>
  <c r="IB26" i="31"/>
  <c r="IE26" i="31"/>
  <c r="HY26" i="31"/>
  <c r="IA26" i="31"/>
  <c r="IC26" i="31"/>
  <c r="HZ24" i="31"/>
  <c r="ID24" i="31"/>
  <c r="IA24" i="31"/>
  <c r="IE24" i="31"/>
  <c r="HX24" i="31"/>
  <c r="IB24" i="31"/>
  <c r="IC24" i="31"/>
  <c r="HY24" i="31"/>
  <c r="HH30" i="31"/>
  <c r="HL30" i="31"/>
  <c r="HI30" i="31"/>
  <c r="HM30" i="31"/>
  <c r="HJ30" i="31"/>
  <c r="HN30" i="31"/>
  <c r="HK30" i="31"/>
  <c r="HO30" i="31"/>
  <c r="GS34" i="31"/>
  <c r="GW34" i="31"/>
  <c r="GT34" i="31"/>
  <c r="GX34" i="31"/>
  <c r="GU34" i="31"/>
  <c r="GY34" i="31"/>
  <c r="GR34" i="31"/>
  <c r="GV34" i="31"/>
  <c r="GM32" i="31"/>
  <c r="GQ32" i="31"/>
  <c r="GJ32" i="31"/>
  <c r="GN32" i="31"/>
  <c r="GK32" i="31"/>
  <c r="GO32" i="31"/>
  <c r="GL32" i="31"/>
  <c r="GP32" i="31"/>
  <c r="GK26" i="31"/>
  <c r="GO26" i="31"/>
  <c r="GL26" i="31"/>
  <c r="GP26" i="31"/>
  <c r="GM26" i="31"/>
  <c r="GQ26" i="31"/>
  <c r="GJ26" i="31"/>
  <c r="GN26" i="31"/>
  <c r="GL27" i="31"/>
  <c r="GP27" i="31"/>
  <c r="GM27" i="31"/>
  <c r="GQ27" i="31"/>
  <c r="GJ27" i="31"/>
  <c r="GN27" i="31"/>
  <c r="GK27" i="31"/>
  <c r="GO27" i="31"/>
  <c r="FW24" i="31"/>
  <c r="GA24" i="31"/>
  <c r="FT24" i="31"/>
  <c r="FX24" i="31"/>
  <c r="FU24" i="31"/>
  <c r="FY24" i="31"/>
  <c r="FV24" i="31"/>
  <c r="FZ24" i="31"/>
  <c r="FG32" i="31"/>
  <c r="FK32" i="31"/>
  <c r="FD32" i="31"/>
  <c r="FH32" i="31"/>
  <c r="FE32" i="31"/>
  <c r="FI32" i="31"/>
  <c r="FF32" i="31"/>
  <c r="FJ32" i="31"/>
  <c r="FG24" i="31"/>
  <c r="FK24" i="31"/>
  <c r="FD24" i="31"/>
  <c r="FH24" i="31"/>
  <c r="FE24" i="31"/>
  <c r="FI24" i="31"/>
  <c r="FF24" i="31"/>
  <c r="FJ24" i="31"/>
  <c r="ER33" i="31"/>
  <c r="EO33" i="31"/>
  <c r="ES33" i="31"/>
  <c r="EP33" i="31"/>
  <c r="ET33" i="31"/>
  <c r="EQ33" i="31"/>
  <c r="EU33" i="31"/>
  <c r="JF23" i="31"/>
  <c r="JJ23" i="31"/>
  <c r="JG23" i="31"/>
  <c r="JK23" i="31"/>
  <c r="JD23" i="31"/>
  <c r="JH23" i="31"/>
  <c r="JE23" i="31"/>
  <c r="JI23" i="31"/>
  <c r="JF16" i="31"/>
  <c r="JJ16" i="31"/>
  <c r="JD16" i="31"/>
  <c r="JH16" i="31"/>
  <c r="JG16" i="31"/>
  <c r="JI16" i="31"/>
  <c r="JK16" i="31"/>
  <c r="JE16" i="31"/>
  <c r="IW52" i="31"/>
  <c r="JA52" i="31"/>
  <c r="IV52" i="31"/>
  <c r="IZ52" i="31"/>
  <c r="IX52" i="31"/>
  <c r="IY52" i="31"/>
  <c r="JB52" i="31"/>
  <c r="JC52" i="31"/>
  <c r="IP20" i="31"/>
  <c r="IT20" i="31"/>
  <c r="IQ20" i="31"/>
  <c r="IU20" i="31"/>
  <c r="IN20" i="31"/>
  <c r="IR20" i="31"/>
  <c r="IO20" i="31"/>
  <c r="IS20" i="31"/>
  <c r="IP19" i="31"/>
  <c r="IT19" i="31"/>
  <c r="IQ19" i="31"/>
  <c r="IU19" i="31"/>
  <c r="IN19" i="31"/>
  <c r="IO19" i="31"/>
  <c r="IR19" i="31"/>
  <c r="IS19" i="31"/>
  <c r="GU15" i="31"/>
  <c r="GY15" i="31"/>
  <c r="GR15" i="31"/>
  <c r="GV15" i="31"/>
  <c r="GS15" i="31"/>
  <c r="GW15" i="31"/>
  <c r="GT15" i="31"/>
  <c r="GX15" i="31"/>
  <c r="GM15" i="31"/>
  <c r="GQ15" i="31"/>
  <c r="GJ15" i="31"/>
  <c r="GN15" i="31"/>
  <c r="GK15" i="31"/>
  <c r="GO15" i="31"/>
  <c r="GL15" i="31"/>
  <c r="GP15" i="31"/>
  <c r="GC17" i="31"/>
  <c r="GG17" i="31"/>
  <c r="GD17" i="31"/>
  <c r="GH17" i="31"/>
  <c r="GE17" i="31"/>
  <c r="GI17" i="31"/>
  <c r="GB17" i="31"/>
  <c r="GF17" i="31"/>
  <c r="FN23" i="31"/>
  <c r="FR23" i="31"/>
  <c r="FO23" i="31"/>
  <c r="FS23" i="31"/>
  <c r="FL23" i="31"/>
  <c r="FP23" i="31"/>
  <c r="FM23" i="31"/>
  <c r="FQ23" i="31"/>
  <c r="FF18" i="31"/>
  <c r="FJ18" i="31"/>
  <c r="FG18" i="31"/>
  <c r="FK18" i="31"/>
  <c r="FD18" i="31"/>
  <c r="FH18" i="31"/>
  <c r="FE18" i="31"/>
  <c r="FI18" i="31"/>
  <c r="FD16" i="31"/>
  <c r="FH16" i="31"/>
  <c r="FE16" i="31"/>
  <c r="FI16" i="31"/>
  <c r="FF16" i="31"/>
  <c r="FJ16" i="31"/>
  <c r="FG16" i="31"/>
  <c r="FK16" i="31"/>
  <c r="DC45" i="31"/>
  <c r="DG45" i="31"/>
  <c r="DE45" i="31"/>
  <c r="DD45" i="31"/>
  <c r="DF45" i="31"/>
  <c r="DH45" i="31"/>
  <c r="DB45" i="31"/>
  <c r="DA45" i="31"/>
  <c r="AP45" i="31"/>
  <c r="AT45" i="31"/>
  <c r="AU45" i="31"/>
  <c r="AQ45" i="31"/>
  <c r="AV45" i="31"/>
  <c r="AO45" i="31"/>
  <c r="AR45" i="31"/>
  <c r="AS45" i="31"/>
  <c r="AQ54" i="31"/>
  <c r="AU54" i="31"/>
  <c r="AP54" i="31"/>
  <c r="AV54" i="31"/>
  <c r="AR54" i="31"/>
  <c r="AS54" i="31"/>
  <c r="AT54" i="31"/>
  <c r="AO54" i="31"/>
  <c r="V69" i="30"/>
  <c r="W69" i="30"/>
  <c r="JC12" i="31"/>
  <c r="IY12" i="31"/>
  <c r="JB12" i="31"/>
  <c r="IX12" i="31"/>
  <c r="JA12" i="31"/>
  <c r="IW12" i="31"/>
  <c r="IZ12" i="31"/>
  <c r="IV12" i="31"/>
  <c r="Z58" i="31"/>
  <c r="AD58" i="31"/>
  <c r="AA58" i="31"/>
  <c r="AE58" i="31"/>
  <c r="AB58" i="31"/>
  <c r="AF58" i="31"/>
  <c r="AC58" i="31"/>
  <c r="Y58" i="31"/>
  <c r="DE55" i="31"/>
  <c r="DC55" i="31"/>
  <c r="DG55" i="31"/>
  <c r="DF55" i="31"/>
  <c r="DH55" i="31"/>
  <c r="DB55" i="31"/>
  <c r="DD55" i="31"/>
  <c r="DA55" i="31"/>
  <c r="EB48" i="31"/>
  <c r="EF48" i="31"/>
  <c r="EC48" i="31"/>
  <c r="DZ48" i="31"/>
  <c r="ED48" i="31"/>
  <c r="EA48" i="31"/>
  <c r="EE48" i="31"/>
  <c r="DY48" i="31"/>
  <c r="EA47" i="31"/>
  <c r="EE47" i="31"/>
  <c r="EB47" i="31"/>
  <c r="EF47" i="31"/>
  <c r="EC47" i="31"/>
  <c r="ED47" i="31"/>
  <c r="DZ47" i="31"/>
  <c r="DY47" i="31"/>
  <c r="EI44" i="31"/>
  <c r="EM44" i="31"/>
  <c r="EJ44" i="31"/>
  <c r="EN44" i="31"/>
  <c r="EK44" i="31"/>
  <c r="EH44" i="31"/>
  <c r="EL44" i="31"/>
  <c r="EG44" i="31"/>
  <c r="K43" i="31"/>
  <c r="O43" i="31"/>
  <c r="L43" i="31"/>
  <c r="P43" i="31"/>
  <c r="M43" i="31"/>
  <c r="J43" i="31"/>
  <c r="N43" i="31"/>
  <c r="I43" i="31"/>
  <c r="T42" i="31"/>
  <c r="X42" i="31"/>
  <c r="U42" i="31"/>
  <c r="R42" i="31"/>
  <c r="V42" i="31"/>
  <c r="S42" i="31"/>
  <c r="W42" i="31"/>
  <c r="Q42" i="31"/>
  <c r="J41" i="31"/>
  <c r="N41" i="31"/>
  <c r="K41" i="31"/>
  <c r="O41" i="31"/>
  <c r="L41" i="31"/>
  <c r="P41" i="31"/>
  <c r="M41" i="31"/>
  <c r="I41" i="31"/>
  <c r="BF38" i="31"/>
  <c r="BJ38" i="31"/>
  <c r="BG38" i="31"/>
  <c r="BK38" i="31"/>
  <c r="BH38" i="31"/>
  <c r="BE38" i="31"/>
  <c r="BI38" i="31"/>
  <c r="BL38" i="31"/>
  <c r="DC33" i="31"/>
  <c r="DG33" i="31"/>
  <c r="DD33" i="31"/>
  <c r="DH33" i="31"/>
  <c r="DE33" i="31"/>
  <c r="DB33" i="31"/>
  <c r="DF33" i="31"/>
  <c r="DA33" i="31"/>
  <c r="U29" i="31"/>
  <c r="R29" i="31"/>
  <c r="V29" i="31"/>
  <c r="Q29" i="31"/>
  <c r="S29" i="31"/>
  <c r="W29" i="31"/>
  <c r="T29" i="31"/>
  <c r="X29" i="31"/>
  <c r="AH28" i="31"/>
  <c r="AL28" i="31"/>
  <c r="AM28" i="31"/>
  <c r="AI28" i="31"/>
  <c r="AN28" i="31"/>
  <c r="AG28" i="31"/>
  <c r="AJ28" i="31"/>
  <c r="AK28" i="31"/>
  <c r="AR27" i="31"/>
  <c r="AV27" i="31"/>
  <c r="AS27" i="31"/>
  <c r="AQ27" i="31"/>
  <c r="AT27" i="31"/>
  <c r="AU27" i="31"/>
  <c r="AO27" i="31"/>
  <c r="AP27" i="31"/>
  <c r="CT23" i="31"/>
  <c r="CX23" i="31"/>
  <c r="CV23" i="31"/>
  <c r="CZ23" i="31"/>
  <c r="CY23" i="31"/>
  <c r="CU23" i="31"/>
  <c r="CW23" i="31"/>
  <c r="CS23" i="31"/>
  <c r="BV20" i="31"/>
  <c r="BZ20" i="31"/>
  <c r="BW20" i="31"/>
  <c r="CA20" i="31"/>
  <c r="BX20" i="31"/>
  <c r="CB20" i="31"/>
  <c r="BY20" i="31"/>
  <c r="BU20" i="31"/>
  <c r="R17" i="31"/>
  <c r="V17" i="31"/>
  <c r="S17" i="31"/>
  <c r="W17" i="31"/>
  <c r="T17" i="31"/>
  <c r="X17" i="31"/>
  <c r="Q17" i="31"/>
  <c r="U17" i="31"/>
  <c r="L16" i="31"/>
  <c r="P16" i="31"/>
  <c r="M16" i="31"/>
  <c r="J16" i="31"/>
  <c r="N16" i="31"/>
  <c r="K16" i="31"/>
  <c r="O16" i="31"/>
  <c r="I16" i="31"/>
  <c r="DJ12" i="31"/>
  <c r="DN12" i="31"/>
  <c r="DK12" i="31"/>
  <c r="DO12" i="31"/>
  <c r="DL12" i="31"/>
  <c r="DP12" i="31"/>
  <c r="DM12" i="31"/>
  <c r="DI12" i="31"/>
  <c r="JM51" i="31"/>
  <c r="JQ51" i="31"/>
  <c r="JL51" i="31"/>
  <c r="JP51" i="31"/>
  <c r="JN51" i="31"/>
  <c r="JO51" i="31"/>
  <c r="JR51" i="31"/>
  <c r="JS51" i="31"/>
  <c r="JL43" i="31"/>
  <c r="JP43" i="31"/>
  <c r="JN43" i="31"/>
  <c r="JR43" i="31"/>
  <c r="JS43" i="31"/>
  <c r="JO43" i="31"/>
  <c r="JQ43" i="31"/>
  <c r="JM43" i="31"/>
  <c r="IV43" i="31"/>
  <c r="IZ43" i="31"/>
  <c r="IX43" i="31"/>
  <c r="JB43" i="31"/>
  <c r="IY43" i="31"/>
  <c r="JA43" i="31"/>
  <c r="JC43" i="31"/>
  <c r="IW43" i="31"/>
  <c r="IG51" i="31"/>
  <c r="IK51" i="31"/>
  <c r="IF51" i="31"/>
  <c r="IJ51" i="31"/>
  <c r="IH51" i="31"/>
  <c r="II51" i="31"/>
  <c r="IL51" i="31"/>
  <c r="IM51" i="31"/>
  <c r="IF43" i="31"/>
  <c r="IJ43" i="31"/>
  <c r="IH43" i="31"/>
  <c r="IL43" i="31"/>
  <c r="II43" i="31"/>
  <c r="IK43" i="31"/>
  <c r="IM43" i="31"/>
  <c r="IG43" i="31"/>
  <c r="HP43" i="31"/>
  <c r="HT43" i="31"/>
  <c r="HR43" i="31"/>
  <c r="HV43" i="31"/>
  <c r="HS43" i="31"/>
  <c r="HU43" i="31"/>
  <c r="HW43" i="31"/>
  <c r="HQ43" i="31"/>
  <c r="HC51" i="31"/>
  <c r="HG51" i="31"/>
  <c r="GZ51" i="31"/>
  <c r="HD51" i="31"/>
  <c r="HA51" i="31"/>
  <c r="HE51" i="31"/>
  <c r="HB51" i="31"/>
  <c r="HF51" i="31"/>
  <c r="HC43" i="31"/>
  <c r="HG43" i="31"/>
  <c r="GZ43" i="31"/>
  <c r="HD43" i="31"/>
  <c r="HA43" i="31"/>
  <c r="HE43" i="31"/>
  <c r="HB43" i="31"/>
  <c r="HF43" i="31"/>
  <c r="GM43" i="31"/>
  <c r="GQ43" i="31"/>
  <c r="GJ43" i="31"/>
  <c r="GN43" i="31"/>
  <c r="GK43" i="31"/>
  <c r="GO43" i="31"/>
  <c r="GL43" i="31"/>
  <c r="GP43" i="31"/>
  <c r="FW51" i="31"/>
  <c r="GA51" i="31"/>
  <c r="FT51" i="31"/>
  <c r="FX51" i="31"/>
  <c r="FU51" i="31"/>
  <c r="FY51" i="31"/>
  <c r="FV51" i="31"/>
  <c r="FZ51" i="31"/>
  <c r="FW43" i="31"/>
  <c r="GA43" i="31"/>
  <c r="FT43" i="31"/>
  <c r="FX43" i="31"/>
  <c r="FU43" i="31"/>
  <c r="FY43" i="31"/>
  <c r="FV43" i="31"/>
  <c r="FZ43" i="31"/>
  <c r="JT37" i="31"/>
  <c r="JX37" i="31"/>
  <c r="JU37" i="31"/>
  <c r="JY37" i="31"/>
  <c r="JV37" i="31"/>
  <c r="JZ37" i="31"/>
  <c r="JW37" i="31"/>
  <c r="KA37" i="31"/>
  <c r="JT41" i="31"/>
  <c r="JX41" i="31"/>
  <c r="JV41" i="31"/>
  <c r="JZ41" i="31"/>
  <c r="JW41" i="31"/>
  <c r="JY41" i="31"/>
  <c r="KA41" i="31"/>
  <c r="JU41" i="31"/>
  <c r="JF28" i="31"/>
  <c r="JJ28" i="31"/>
  <c r="JD28" i="31"/>
  <c r="JH28" i="31"/>
  <c r="JK28" i="31"/>
  <c r="JE28" i="31"/>
  <c r="JG28" i="31"/>
  <c r="JI28" i="31"/>
  <c r="IV42" i="31"/>
  <c r="IZ42" i="31"/>
  <c r="IX42" i="31"/>
  <c r="JB42" i="31"/>
  <c r="IY42" i="31"/>
  <c r="JA42" i="31"/>
  <c r="JC42" i="31"/>
  <c r="IW42" i="31"/>
  <c r="IW49" i="31"/>
  <c r="JA49" i="31"/>
  <c r="IX49" i="31"/>
  <c r="JB49" i="31"/>
  <c r="IV49" i="31"/>
  <c r="IZ49" i="31"/>
  <c r="IY49" i="31"/>
  <c r="JC49" i="31"/>
  <c r="DM55" i="31"/>
  <c r="DJ55" i="31"/>
  <c r="DN55" i="31"/>
  <c r="DO55" i="31"/>
  <c r="DP55" i="31"/>
  <c r="DK55" i="31"/>
  <c r="DL55" i="31"/>
  <c r="DI55" i="31"/>
  <c r="IV57" i="31"/>
  <c r="IZ57" i="31"/>
  <c r="IW57" i="31"/>
  <c r="JA57" i="31"/>
  <c r="IX57" i="31"/>
  <c r="JB57" i="31"/>
  <c r="IY57" i="31"/>
  <c r="JC57" i="31"/>
  <c r="IF38" i="31"/>
  <c r="IJ38" i="31"/>
  <c r="IG38" i="31"/>
  <c r="IK38" i="31"/>
  <c r="IH38" i="31"/>
  <c r="IL38" i="31"/>
  <c r="II38" i="31"/>
  <c r="IM38" i="31"/>
  <c r="CG56" i="31"/>
  <c r="CD56" i="31"/>
  <c r="CH56" i="31"/>
  <c r="CE56" i="31"/>
  <c r="CI56" i="31"/>
  <c r="CF56" i="31"/>
  <c r="CJ56" i="31"/>
  <c r="CC56" i="31"/>
  <c r="HQ54" i="31"/>
  <c r="HU54" i="31"/>
  <c r="HP54" i="31"/>
  <c r="HT54" i="31"/>
  <c r="HR54" i="31"/>
  <c r="HS54" i="31"/>
  <c r="HV54" i="31"/>
  <c r="HW54" i="31"/>
  <c r="HP58" i="31"/>
  <c r="HT58" i="31"/>
  <c r="HQ58" i="31"/>
  <c r="HU58" i="31"/>
  <c r="HR58" i="31"/>
  <c r="HV58" i="31"/>
  <c r="HS58" i="31"/>
  <c r="HW58" i="31"/>
  <c r="HC40" i="31"/>
  <c r="HG40" i="31"/>
  <c r="GZ40" i="31"/>
  <c r="HD40" i="31"/>
  <c r="HA40" i="31"/>
  <c r="HE40" i="31"/>
  <c r="HB40" i="31"/>
  <c r="HF40" i="31"/>
  <c r="GT35" i="31"/>
  <c r="GX35" i="31"/>
  <c r="GU35" i="31"/>
  <c r="GY35" i="31"/>
  <c r="GR35" i="31"/>
  <c r="GV35" i="31"/>
  <c r="GS35" i="31"/>
  <c r="GW35" i="31"/>
  <c r="FN35" i="31"/>
  <c r="FR35" i="31"/>
  <c r="FO35" i="31"/>
  <c r="FS35" i="31"/>
  <c r="FL35" i="31"/>
  <c r="FP35" i="31"/>
  <c r="FM35" i="31"/>
  <c r="FQ35" i="31"/>
  <c r="ER37" i="31"/>
  <c r="EO37" i="31"/>
  <c r="ES37" i="31"/>
  <c r="EP37" i="31"/>
  <c r="ET37" i="31"/>
  <c r="EQ37" i="31"/>
  <c r="EU37" i="31"/>
  <c r="JD39" i="31"/>
  <c r="JH39" i="31"/>
  <c r="JE39" i="31"/>
  <c r="JI39" i="31"/>
  <c r="JF39" i="31"/>
  <c r="JJ39" i="31"/>
  <c r="JG39" i="31"/>
  <c r="JK39" i="31"/>
  <c r="IV34" i="31"/>
  <c r="IZ34" i="31"/>
  <c r="IX34" i="31"/>
  <c r="JB34" i="31"/>
  <c r="JA34" i="31"/>
  <c r="JC34" i="31"/>
  <c r="IW34" i="31"/>
  <c r="IY34" i="31"/>
  <c r="IH24" i="31"/>
  <c r="IL24" i="31"/>
  <c r="II24" i="31"/>
  <c r="IM24" i="31"/>
  <c r="IF24" i="31"/>
  <c r="IJ24" i="31"/>
  <c r="IG24" i="31"/>
  <c r="IK24" i="31"/>
  <c r="HP30" i="31"/>
  <c r="HT30" i="31"/>
  <c r="HQ30" i="31"/>
  <c r="HU30" i="31"/>
  <c r="HR30" i="31"/>
  <c r="HV30" i="31"/>
  <c r="HS30" i="31"/>
  <c r="HW30" i="31"/>
  <c r="HB31" i="31"/>
  <c r="HF31" i="31"/>
  <c r="HC31" i="31"/>
  <c r="HG31" i="31"/>
  <c r="GZ31" i="31"/>
  <c r="HD31" i="31"/>
  <c r="HA31" i="31"/>
  <c r="HE31" i="31"/>
  <c r="GL39" i="31"/>
  <c r="GP39" i="31"/>
  <c r="GM39" i="31"/>
  <c r="GQ39" i="31"/>
  <c r="GJ39" i="31"/>
  <c r="GN39" i="31"/>
  <c r="GK39" i="31"/>
  <c r="GO39" i="31"/>
  <c r="FV39" i="31"/>
  <c r="FZ39" i="31"/>
  <c r="FW39" i="31"/>
  <c r="GA39" i="31"/>
  <c r="FT39" i="31"/>
  <c r="FX39" i="31"/>
  <c r="FU39" i="31"/>
  <c r="FY39" i="31"/>
  <c r="EV33" i="31"/>
  <c r="EZ33" i="31"/>
  <c r="EW33" i="31"/>
  <c r="FA33" i="31"/>
  <c r="EX33" i="31"/>
  <c r="FB33" i="31"/>
  <c r="EY33" i="31"/>
  <c r="FC33" i="31"/>
  <c r="JN20" i="31"/>
  <c r="JR20" i="31"/>
  <c r="JO20" i="31"/>
  <c r="JS20" i="31"/>
  <c r="JL20" i="31"/>
  <c r="JP20" i="31"/>
  <c r="JQ20" i="31"/>
  <c r="JM20" i="31"/>
  <c r="JN19" i="31"/>
  <c r="JR19" i="31"/>
  <c r="JO19" i="31"/>
  <c r="JS19" i="31"/>
  <c r="JL19" i="31"/>
  <c r="JM19" i="31"/>
  <c r="JP19" i="31"/>
  <c r="JQ19" i="31"/>
  <c r="JE17" i="31"/>
  <c r="JI17" i="31"/>
  <c r="JF17" i="31"/>
  <c r="JJ17" i="31"/>
  <c r="JG17" i="31"/>
  <c r="JK17" i="31"/>
  <c r="JD17" i="31"/>
  <c r="JH17" i="31"/>
  <c r="FM22" i="31"/>
  <c r="FQ22" i="31"/>
  <c r="FN22" i="31"/>
  <c r="FR22" i="31"/>
  <c r="FO22" i="31"/>
  <c r="FS22" i="31"/>
  <c r="FL22" i="31"/>
  <c r="FP22" i="31"/>
  <c r="FN14" i="31"/>
  <c r="FR14" i="31"/>
  <c r="FO14" i="31"/>
  <c r="FS14" i="31"/>
  <c r="FL14" i="31"/>
  <c r="FP14" i="31"/>
  <c r="FM14" i="31"/>
  <c r="FQ14" i="31"/>
  <c r="EW17" i="31"/>
  <c r="FA17" i="31"/>
  <c r="EX17" i="31"/>
  <c r="FB17" i="31"/>
  <c r="EY17" i="31"/>
  <c r="FC17" i="31"/>
  <c r="EV17" i="31"/>
  <c r="EZ17" i="31"/>
  <c r="AZ58" i="31"/>
  <c r="BD58" i="31"/>
  <c r="BA58" i="31"/>
  <c r="AY58" i="31"/>
  <c r="BB58" i="31"/>
  <c r="BC58" i="31"/>
  <c r="AW58" i="31"/>
  <c r="AX58" i="31"/>
  <c r="K54" i="31"/>
  <c r="O54" i="31"/>
  <c r="L54" i="31"/>
  <c r="P54" i="31"/>
  <c r="N54" i="31"/>
  <c r="I54" i="31"/>
  <c r="J54" i="31"/>
  <c r="M54" i="31"/>
  <c r="DZ34" i="31"/>
  <c r="ED34" i="31"/>
  <c r="EA34" i="31"/>
  <c r="EE34" i="31"/>
  <c r="EB34" i="31"/>
  <c r="EF34" i="31"/>
  <c r="EC34" i="31"/>
  <c r="DY34" i="31"/>
  <c r="DR53" i="31"/>
  <c r="DV53" i="31"/>
  <c r="DS53" i="31"/>
  <c r="DW53" i="31"/>
  <c r="DT53" i="31"/>
  <c r="DX53" i="31"/>
  <c r="DU53" i="31"/>
  <c r="DQ53" i="31"/>
  <c r="V52" i="30"/>
  <c r="W52" i="30"/>
  <c r="AX13" i="31"/>
  <c r="AZ13" i="31"/>
  <c r="BB13" i="31"/>
  <c r="BD13" i="31"/>
  <c r="AW13" i="31"/>
  <c r="AY13" i="31"/>
  <c r="BA13" i="31"/>
  <c r="BC13" i="31"/>
  <c r="BV19" i="31"/>
  <c r="BX19" i="31"/>
  <c r="BZ19" i="31"/>
  <c r="CB19" i="31"/>
  <c r="BW19" i="31"/>
  <c r="BY19" i="31"/>
  <c r="CA19" i="31"/>
  <c r="BU19" i="31"/>
  <c r="BV16" i="31"/>
  <c r="BX16" i="31"/>
  <c r="BZ16" i="31"/>
  <c r="CB16" i="31"/>
  <c r="BU16" i="31"/>
  <c r="BW16" i="31"/>
  <c r="BY16" i="31"/>
  <c r="CA16" i="31"/>
  <c r="BO16" i="31"/>
  <c r="BQ16" i="31"/>
  <c r="BS16" i="31"/>
  <c r="BM16" i="31"/>
  <c r="BN16" i="31"/>
  <c r="BP16" i="31"/>
  <c r="BR16" i="31"/>
  <c r="BT16" i="31"/>
  <c r="CE15" i="31"/>
  <c r="CG15" i="31"/>
  <c r="CI15" i="31"/>
  <c r="CC15" i="31"/>
  <c r="CD15" i="31"/>
  <c r="CF15" i="31"/>
  <c r="CH15" i="31"/>
  <c r="CJ15" i="31"/>
  <c r="BW15" i="31"/>
  <c r="BY15" i="31"/>
  <c r="CA15" i="31"/>
  <c r="BU15" i="31"/>
  <c r="BV15" i="31"/>
  <c r="BX15" i="31"/>
  <c r="BZ15" i="31"/>
  <c r="CB15" i="31"/>
  <c r="V29" i="30"/>
  <c r="W29" i="30"/>
  <c r="V7" i="30"/>
  <c r="W7" i="30"/>
  <c r="BO12" i="31"/>
  <c r="BQ12" i="31"/>
  <c r="BS12" i="31"/>
  <c r="BM12" i="31"/>
  <c r="BN12" i="31"/>
  <c r="BP12" i="31"/>
  <c r="BR12" i="31"/>
  <c r="BT12" i="31"/>
  <c r="W8" i="7"/>
  <c r="V119" i="30"/>
  <c r="W119" i="30"/>
  <c r="FD44" i="31"/>
  <c r="FF44" i="31"/>
  <c r="FH44" i="31"/>
  <c r="FJ44" i="31"/>
  <c r="FE44" i="31"/>
  <c r="FG44" i="31"/>
  <c r="FI44" i="31"/>
  <c r="FK44" i="31"/>
  <c r="W98" i="7"/>
  <c r="V98" i="7"/>
  <c r="FD40" i="31"/>
  <c r="FF40" i="31"/>
  <c r="FH40" i="31"/>
  <c r="FJ40" i="31"/>
  <c r="FE40" i="31"/>
  <c r="FG40" i="31"/>
  <c r="FI40" i="31"/>
  <c r="FK40" i="31"/>
  <c r="W94" i="7"/>
  <c r="V94" i="7"/>
  <c r="FE57" i="31"/>
  <c r="FG57" i="31"/>
  <c r="FI57" i="31"/>
  <c r="FK57" i="31"/>
  <c r="FD57" i="31"/>
  <c r="FF57" i="31"/>
  <c r="FH57" i="31"/>
  <c r="FJ57" i="31"/>
  <c r="FE49" i="31"/>
  <c r="FG49" i="31"/>
  <c r="FI49" i="31"/>
  <c r="FK49" i="31"/>
  <c r="FD49" i="31"/>
  <c r="FF49" i="31"/>
  <c r="FH49" i="31"/>
  <c r="FJ49" i="31"/>
  <c r="S56" i="31"/>
  <c r="U56" i="31"/>
  <c r="W56" i="31"/>
  <c r="R56" i="31"/>
  <c r="T56" i="31"/>
  <c r="V56" i="31"/>
  <c r="X56" i="31"/>
  <c r="Q56" i="31"/>
  <c r="FD60" i="31"/>
  <c r="FF60" i="31"/>
  <c r="FH60" i="31"/>
  <c r="FJ60" i="31"/>
  <c r="FE60" i="31"/>
  <c r="FG60" i="31"/>
  <c r="FI60" i="31"/>
  <c r="FK60" i="31"/>
  <c r="FD56" i="31"/>
  <c r="FF56" i="31"/>
  <c r="FH56" i="31"/>
  <c r="FJ56" i="31"/>
  <c r="FE56" i="31"/>
  <c r="FG56" i="31"/>
  <c r="FI56" i="31"/>
  <c r="FK56" i="31"/>
  <c r="FD48" i="31"/>
  <c r="FF48" i="31"/>
  <c r="FH48" i="31"/>
  <c r="FJ48" i="31"/>
  <c r="FE48" i="31"/>
  <c r="FG48" i="31"/>
  <c r="FI48" i="31"/>
  <c r="FK48" i="31"/>
  <c r="R57" i="31"/>
  <c r="T57" i="31"/>
  <c r="V57" i="31"/>
  <c r="X57" i="31"/>
  <c r="Q57" i="31"/>
  <c r="S57" i="31"/>
  <c r="U57" i="31"/>
  <c r="W57" i="31"/>
  <c r="S48" i="31"/>
  <c r="U48" i="31"/>
  <c r="W48" i="31"/>
  <c r="R48" i="31"/>
  <c r="T48" i="31"/>
  <c r="V48" i="31"/>
  <c r="X48" i="31"/>
  <c r="Q48" i="31"/>
  <c r="FE59" i="31"/>
  <c r="FG59" i="31"/>
  <c r="FI59" i="31"/>
  <c r="FK59" i="31"/>
  <c r="FD59" i="31"/>
  <c r="FF59" i="31"/>
  <c r="FH59" i="31"/>
  <c r="FJ59" i="31"/>
  <c r="FE55" i="31"/>
  <c r="FG55" i="31"/>
  <c r="FI55" i="31"/>
  <c r="FK55" i="31"/>
  <c r="FD55" i="31"/>
  <c r="FF55" i="31"/>
  <c r="FH55" i="31"/>
  <c r="FJ55" i="31"/>
  <c r="S60" i="31"/>
  <c r="U60" i="31"/>
  <c r="W60" i="31"/>
  <c r="R60" i="31"/>
  <c r="T60" i="31"/>
  <c r="V60" i="31"/>
  <c r="X60" i="31"/>
  <c r="Q60" i="31"/>
  <c r="R49" i="31"/>
  <c r="T49" i="31"/>
  <c r="V49" i="31"/>
  <c r="X49" i="31"/>
  <c r="Q49" i="31"/>
  <c r="S49" i="31"/>
  <c r="U49" i="31"/>
  <c r="W49" i="31"/>
  <c r="FD58" i="31"/>
  <c r="FF58" i="31"/>
  <c r="FH58" i="31"/>
  <c r="FJ58" i="31"/>
  <c r="FE58" i="31"/>
  <c r="FG58" i="31"/>
  <c r="FI58" i="31"/>
  <c r="FK58" i="31"/>
  <c r="FD54" i="31"/>
  <c r="FF54" i="31"/>
  <c r="FH54" i="31"/>
  <c r="FJ54" i="31"/>
  <c r="FE54" i="31"/>
  <c r="FG54" i="31"/>
  <c r="FI54" i="31"/>
  <c r="FK54" i="31"/>
  <c r="R59" i="31"/>
  <c r="T59" i="31"/>
  <c r="V59" i="31"/>
  <c r="X59" i="31"/>
  <c r="Q59" i="31"/>
  <c r="S59" i="31"/>
  <c r="U59" i="31"/>
  <c r="W59" i="31"/>
  <c r="R55" i="31"/>
  <c r="T55" i="31"/>
  <c r="V55" i="31"/>
  <c r="X55" i="31"/>
  <c r="Q55" i="31"/>
  <c r="S55" i="31"/>
  <c r="U55" i="31"/>
  <c r="W55" i="31"/>
  <c r="FE41" i="31"/>
  <c r="FG41" i="31"/>
  <c r="FI41" i="31"/>
  <c r="FK41" i="31"/>
  <c r="FD41" i="31"/>
  <c r="FF41" i="31"/>
  <c r="FH41" i="31"/>
  <c r="FJ41" i="31"/>
  <c r="GB28" i="31"/>
  <c r="GD28" i="31"/>
  <c r="GF28" i="31"/>
  <c r="GH28" i="31"/>
  <c r="GC28" i="31"/>
  <c r="GE28" i="31"/>
  <c r="GG28" i="31"/>
  <c r="GI28" i="31"/>
  <c r="FT28" i="31"/>
  <c r="FV28" i="31"/>
  <c r="FX28" i="31"/>
  <c r="FZ28" i="31"/>
  <c r="FU28" i="31"/>
  <c r="FW28" i="31"/>
  <c r="FY28" i="31"/>
  <c r="GA28" i="31"/>
  <c r="FL28" i="31"/>
  <c r="FN28" i="31"/>
  <c r="FP28" i="31"/>
  <c r="FR28" i="31"/>
  <c r="FM28" i="31"/>
  <c r="FO28" i="31"/>
  <c r="FQ28" i="31"/>
  <c r="FS28" i="31"/>
  <c r="FD28" i="31"/>
  <c r="FF28" i="31"/>
  <c r="FH28" i="31"/>
  <c r="FJ28" i="31"/>
  <c r="FE28" i="31"/>
  <c r="FG28" i="31"/>
  <c r="FI28" i="31"/>
  <c r="FK28" i="31"/>
  <c r="V103" i="30"/>
  <c r="W103" i="30"/>
  <c r="GK36" i="31"/>
  <c r="GM36" i="31"/>
  <c r="GO36" i="31"/>
  <c r="GQ36" i="31"/>
  <c r="GJ36" i="31"/>
  <c r="GL36" i="31"/>
  <c r="GN36" i="31"/>
  <c r="GP36" i="31"/>
  <c r="FM36" i="31"/>
  <c r="FO36" i="31"/>
  <c r="FQ36" i="31"/>
  <c r="FS36" i="31"/>
  <c r="FL36" i="31"/>
  <c r="FN36" i="31"/>
  <c r="FP36" i="31"/>
  <c r="FR36" i="31"/>
  <c r="FM53" i="31"/>
  <c r="FO53" i="31"/>
  <c r="FQ53" i="31"/>
  <c r="FS53" i="31"/>
  <c r="FL53" i="31"/>
  <c r="FN53" i="31"/>
  <c r="FP53" i="31"/>
  <c r="FR53" i="31"/>
  <c r="FL26" i="31"/>
  <c r="FN26" i="31"/>
  <c r="FP26" i="31"/>
  <c r="FR26" i="31"/>
  <c r="FM26" i="31"/>
  <c r="FO26" i="31"/>
  <c r="FQ26" i="31"/>
  <c r="FS26" i="31"/>
  <c r="HA13" i="31"/>
  <c r="HC13" i="31"/>
  <c r="HE13" i="31"/>
  <c r="HG13" i="31"/>
  <c r="GZ13" i="31"/>
  <c r="HB13" i="31"/>
  <c r="HD13" i="31"/>
  <c r="HF13" i="31"/>
  <c r="HH23" i="31"/>
  <c r="HJ23" i="31"/>
  <c r="HL23" i="31"/>
  <c r="HN23" i="31"/>
  <c r="HI23" i="31"/>
  <c r="HK23" i="31"/>
  <c r="HM23" i="31"/>
  <c r="HO23" i="31"/>
  <c r="W77" i="7"/>
  <c r="V77" i="7"/>
  <c r="V98" i="30"/>
  <c r="W98" i="30"/>
  <c r="HH21" i="31"/>
  <c r="HJ21" i="31"/>
  <c r="HL21" i="31"/>
  <c r="HN21" i="31"/>
  <c r="HI21" i="31"/>
  <c r="HK21" i="31"/>
  <c r="HM21" i="31"/>
  <c r="HO21" i="31"/>
  <c r="HH22" i="31"/>
  <c r="HJ22" i="31"/>
  <c r="HL22" i="31"/>
  <c r="HN22" i="31"/>
  <c r="HI22" i="31"/>
  <c r="HK22" i="31"/>
  <c r="HM22" i="31"/>
  <c r="HO22" i="31"/>
  <c r="GS13" i="31"/>
  <c r="GU13" i="31"/>
  <c r="GW13" i="31"/>
  <c r="GY13" i="31"/>
  <c r="GR13" i="31"/>
  <c r="GT13" i="31"/>
  <c r="GV13" i="31"/>
  <c r="GX13" i="31"/>
  <c r="FE45" i="31"/>
  <c r="FG45" i="31"/>
  <c r="FI45" i="31"/>
  <c r="FK45" i="31"/>
  <c r="FD45" i="31"/>
  <c r="FF45" i="31"/>
  <c r="FH45" i="31"/>
  <c r="FJ45" i="31"/>
  <c r="FD50" i="31"/>
  <c r="FF50" i="31"/>
  <c r="FH50" i="31"/>
  <c r="FJ50" i="31"/>
  <c r="FE50" i="31"/>
  <c r="FG50" i="31"/>
  <c r="FI50" i="31"/>
  <c r="FK50" i="31"/>
  <c r="FE51" i="31"/>
  <c r="FG51" i="31"/>
  <c r="FI51" i="31"/>
  <c r="FK51" i="31"/>
  <c r="FD51" i="31"/>
  <c r="FF51" i="31"/>
  <c r="FH51" i="31"/>
  <c r="FJ51" i="31"/>
  <c r="FE35" i="31"/>
  <c r="FG35" i="31"/>
  <c r="FI35" i="31"/>
  <c r="FK35" i="31"/>
  <c r="FD35" i="31"/>
  <c r="FF35" i="31"/>
  <c r="FH35" i="31"/>
  <c r="FJ35" i="31"/>
  <c r="W89" i="7"/>
  <c r="V89" i="7"/>
  <c r="EV58" i="31"/>
  <c r="EX58" i="31"/>
  <c r="EZ58" i="31"/>
  <c r="FB58" i="31"/>
  <c r="EW58" i="31"/>
  <c r="EY58" i="31"/>
  <c r="FA58" i="31"/>
  <c r="FC58" i="31"/>
  <c r="W112" i="7"/>
  <c r="V112" i="7"/>
  <c r="EV54" i="31"/>
  <c r="EX54" i="31"/>
  <c r="EZ54" i="31"/>
  <c r="FB54" i="31"/>
  <c r="EW54" i="31"/>
  <c r="EY54" i="31"/>
  <c r="FA54" i="31"/>
  <c r="FC54" i="31"/>
  <c r="W108" i="7"/>
  <c r="V108" i="7"/>
  <c r="J59" i="31"/>
  <c r="L59" i="31"/>
  <c r="N59" i="31"/>
  <c r="P59" i="31"/>
  <c r="K59" i="31"/>
  <c r="M59" i="31"/>
  <c r="O59" i="31"/>
  <c r="I59" i="31"/>
  <c r="W55" i="7"/>
  <c r="V55" i="7"/>
  <c r="J55" i="31"/>
  <c r="L55" i="31"/>
  <c r="N55" i="31"/>
  <c r="P55" i="31"/>
  <c r="K55" i="31"/>
  <c r="M55" i="31"/>
  <c r="O55" i="31"/>
  <c r="I55" i="31"/>
  <c r="W51" i="7"/>
  <c r="V51" i="7"/>
  <c r="EW59" i="31"/>
  <c r="EY59" i="31"/>
  <c r="FA59" i="31"/>
  <c r="FC59" i="31"/>
  <c r="EV59" i="31"/>
  <c r="EX59" i="31"/>
  <c r="EZ59" i="31"/>
  <c r="FB59" i="31"/>
  <c r="W113" i="7"/>
  <c r="V113" i="7"/>
  <c r="EW55" i="31"/>
  <c r="EY55" i="31"/>
  <c r="FA55" i="31"/>
  <c r="FC55" i="31"/>
  <c r="EV55" i="31"/>
  <c r="EX55" i="31"/>
  <c r="EZ55" i="31"/>
  <c r="FB55" i="31"/>
  <c r="W109" i="7"/>
  <c r="V109" i="7"/>
  <c r="K60" i="31"/>
  <c r="M60" i="31"/>
  <c r="O60" i="31"/>
  <c r="I60" i="31"/>
  <c r="J60" i="31"/>
  <c r="L60" i="31"/>
  <c r="N60" i="31"/>
  <c r="P60" i="31"/>
  <c r="W56" i="7"/>
  <c r="V56" i="7"/>
  <c r="K49" i="31"/>
  <c r="M49" i="31"/>
  <c r="O49" i="31"/>
  <c r="I49" i="31"/>
  <c r="J49" i="31"/>
  <c r="L49" i="31"/>
  <c r="N49" i="31"/>
  <c r="P49" i="31"/>
  <c r="W45" i="7"/>
  <c r="V45" i="7"/>
  <c r="EV60" i="31"/>
  <c r="EX60" i="31"/>
  <c r="EZ60" i="31"/>
  <c r="FB60" i="31"/>
  <c r="EW60" i="31"/>
  <c r="EY60" i="31"/>
  <c r="FA60" i="31"/>
  <c r="FC60" i="31"/>
  <c r="W114" i="7"/>
  <c r="V114" i="7"/>
  <c r="EV56" i="31"/>
  <c r="EX56" i="31"/>
  <c r="EZ56" i="31"/>
  <c r="FB56" i="31"/>
  <c r="EW56" i="31"/>
  <c r="EY56" i="31"/>
  <c r="FA56" i="31"/>
  <c r="FC56" i="31"/>
  <c r="W110" i="7"/>
  <c r="V110" i="7"/>
  <c r="EV48" i="31"/>
  <c r="EX48" i="31"/>
  <c r="EZ48" i="31"/>
  <c r="FB48" i="31"/>
  <c r="EW48" i="31"/>
  <c r="EY48" i="31"/>
  <c r="FA48" i="31"/>
  <c r="FC48" i="31"/>
  <c r="W102" i="7"/>
  <c r="V102" i="7"/>
  <c r="J57" i="31"/>
  <c r="L57" i="31"/>
  <c r="N57" i="31"/>
  <c r="P57" i="31"/>
  <c r="K57" i="31"/>
  <c r="M57" i="31"/>
  <c r="O57" i="31"/>
  <c r="I57" i="31"/>
  <c r="W53" i="7"/>
  <c r="V53" i="7"/>
  <c r="J48" i="31"/>
  <c r="L48" i="31"/>
  <c r="N48" i="31"/>
  <c r="P48" i="31"/>
  <c r="K48" i="31"/>
  <c r="M48" i="31"/>
  <c r="O48" i="31"/>
  <c r="I48" i="31"/>
  <c r="W44" i="7"/>
  <c r="V44" i="7"/>
  <c r="V74" i="30"/>
  <c r="W74" i="30"/>
  <c r="V65" i="30"/>
  <c r="W65" i="30"/>
  <c r="V17" i="30"/>
  <c r="W17" i="30"/>
  <c r="EW57" i="31"/>
  <c r="EY57" i="31"/>
  <c r="FA57" i="31"/>
  <c r="FC57" i="31"/>
  <c r="EV57" i="31"/>
  <c r="EX57" i="31"/>
  <c r="EZ57" i="31"/>
  <c r="FB57" i="31"/>
  <c r="W111" i="7"/>
  <c r="V111" i="7"/>
  <c r="EW49" i="31"/>
  <c r="EY49" i="31"/>
  <c r="FA49" i="31"/>
  <c r="FC49" i="31"/>
  <c r="EV49" i="31"/>
  <c r="EX49" i="31"/>
  <c r="EZ49" i="31"/>
  <c r="FB49" i="31"/>
  <c r="W103" i="7"/>
  <c r="V103" i="7"/>
  <c r="K56" i="31"/>
  <c r="M56" i="31"/>
  <c r="O56" i="31"/>
  <c r="I56" i="31"/>
  <c r="J56" i="31"/>
  <c r="L56" i="31"/>
  <c r="N56" i="31"/>
  <c r="P56" i="31"/>
  <c r="W52" i="7"/>
  <c r="V52" i="7"/>
  <c r="EW41" i="31"/>
  <c r="EY41" i="31"/>
  <c r="FA41" i="31"/>
  <c r="FC41" i="31"/>
  <c r="EV41" i="31"/>
  <c r="EX41" i="31"/>
  <c r="EZ41" i="31"/>
  <c r="FB41" i="31"/>
  <c r="W95" i="7"/>
  <c r="V95" i="7"/>
  <c r="V102" i="30"/>
  <c r="W102" i="30"/>
  <c r="IF15" i="31"/>
  <c r="IH15" i="31"/>
  <c r="IJ15" i="31"/>
  <c r="IL15" i="31"/>
  <c r="IG15" i="31"/>
  <c r="II15" i="31"/>
  <c r="IK15" i="31"/>
  <c r="IM15" i="31"/>
  <c r="IF14" i="31"/>
  <c r="IH14" i="31"/>
  <c r="IJ14" i="31"/>
  <c r="IL14" i="31"/>
  <c r="IG14" i="31"/>
  <c r="II14" i="31"/>
  <c r="IK14" i="31"/>
  <c r="IM14" i="31"/>
  <c r="HX19" i="31"/>
  <c r="HZ19" i="31"/>
  <c r="IB19" i="31"/>
  <c r="ID19" i="31"/>
  <c r="HY19" i="31"/>
  <c r="IA19" i="31"/>
  <c r="IC19" i="31"/>
  <c r="IE19" i="31"/>
  <c r="HP22" i="31"/>
  <c r="HR22" i="31"/>
  <c r="HT22" i="31"/>
  <c r="HV22" i="31"/>
  <c r="HQ22" i="31"/>
  <c r="HS22" i="31"/>
  <c r="HU22" i="31"/>
  <c r="HW22" i="31"/>
  <c r="HP21" i="31"/>
  <c r="HR21" i="31"/>
  <c r="HT21" i="31"/>
  <c r="HV21" i="31"/>
  <c r="HQ21" i="31"/>
  <c r="HS21" i="31"/>
  <c r="HU21" i="31"/>
  <c r="HW21" i="31"/>
  <c r="GC34" i="31"/>
  <c r="GE34" i="31"/>
  <c r="GG34" i="31"/>
  <c r="GI34" i="31"/>
  <c r="GB34" i="31"/>
  <c r="GD34" i="31"/>
  <c r="GF34" i="31"/>
  <c r="GH34" i="31"/>
  <c r="FT27" i="31"/>
  <c r="FV27" i="31"/>
  <c r="FX27" i="31"/>
  <c r="FZ27" i="31"/>
  <c r="FU27" i="31"/>
  <c r="FW27" i="31"/>
  <c r="FY27" i="31"/>
  <c r="GA27" i="31"/>
  <c r="W81" i="7"/>
  <c r="V81" i="7"/>
  <c r="FU26" i="31"/>
  <c r="FW26" i="31"/>
  <c r="FY26" i="31"/>
  <c r="GA26" i="31"/>
  <c r="FT26" i="31"/>
  <c r="FV26" i="31"/>
  <c r="FX26" i="31"/>
  <c r="FZ26" i="31"/>
  <c r="FE52" i="31"/>
  <c r="FG52" i="31"/>
  <c r="FI52" i="31"/>
  <c r="FK52" i="31"/>
  <c r="FD52" i="31"/>
  <c r="FF52" i="31"/>
  <c r="FH52" i="31"/>
  <c r="FJ52" i="31"/>
  <c r="C45" i="31"/>
  <c r="E45" i="31"/>
  <c r="G45" i="31"/>
  <c r="B45" i="31"/>
  <c r="D45" i="31"/>
  <c r="F45" i="31"/>
  <c r="H45" i="31"/>
  <c r="C51" i="31"/>
  <c r="E51" i="31"/>
  <c r="G51" i="31"/>
  <c r="B51" i="31"/>
  <c r="D51" i="31"/>
  <c r="F51" i="31"/>
  <c r="H51" i="31"/>
  <c r="W47" i="7"/>
  <c r="V47" i="7"/>
  <c r="D47" i="31"/>
  <c r="F47" i="31"/>
  <c r="H47" i="31"/>
  <c r="B47" i="31"/>
  <c r="C47" i="31"/>
  <c r="E47" i="31"/>
  <c r="G47" i="31"/>
  <c r="W43" i="7"/>
  <c r="V43" i="7"/>
  <c r="D43" i="31"/>
  <c r="F43" i="31"/>
  <c r="H43" i="31"/>
  <c r="C43" i="31"/>
  <c r="E43" i="31"/>
  <c r="G43" i="31"/>
  <c r="B43" i="31"/>
  <c r="L60" i="30"/>
  <c r="W39" i="7"/>
  <c r="V19" i="30"/>
  <c r="W19" i="30"/>
  <c r="V61" i="30"/>
  <c r="W61" i="30"/>
  <c r="J42" i="31"/>
  <c r="L42" i="31"/>
  <c r="N42" i="31"/>
  <c r="P42" i="31"/>
  <c r="K42" i="31"/>
  <c r="M42" i="31"/>
  <c r="O42" i="31"/>
  <c r="I42" i="31"/>
  <c r="J40" i="31"/>
  <c r="L40" i="31"/>
  <c r="N40" i="31"/>
  <c r="P40" i="31"/>
  <c r="K40" i="31"/>
  <c r="M40" i="31"/>
  <c r="O40" i="31"/>
  <c r="I40" i="31"/>
  <c r="Z36" i="31"/>
  <c r="AB36" i="31"/>
  <c r="AD36" i="31"/>
  <c r="AF36" i="31"/>
  <c r="Y36" i="31"/>
  <c r="AA36" i="31"/>
  <c r="AC36" i="31"/>
  <c r="AE36" i="31"/>
  <c r="R36" i="31"/>
  <c r="T36" i="31"/>
  <c r="V36" i="31"/>
  <c r="X36" i="31"/>
  <c r="S36" i="31"/>
  <c r="U36" i="31"/>
  <c r="W36" i="31"/>
  <c r="Q36" i="31"/>
  <c r="V44" i="30"/>
  <c r="W44" i="30"/>
  <c r="R27" i="31"/>
  <c r="T27" i="31"/>
  <c r="V27" i="31"/>
  <c r="X27" i="31"/>
  <c r="S27" i="31"/>
  <c r="U27" i="31"/>
  <c r="W27" i="31"/>
  <c r="Q27" i="31"/>
  <c r="W23" i="7"/>
  <c r="R41" i="31"/>
  <c r="T41" i="31"/>
  <c r="V41" i="31"/>
  <c r="X41" i="31"/>
  <c r="S41" i="31"/>
  <c r="U41" i="31"/>
  <c r="W41" i="31"/>
  <c r="Q41" i="31"/>
  <c r="W37" i="7"/>
  <c r="V58" i="30"/>
  <c r="W58" i="30"/>
  <c r="AQ24" i="31"/>
  <c r="AS24" i="31"/>
  <c r="AU24" i="31"/>
  <c r="AP24" i="31"/>
  <c r="AR24" i="31"/>
  <c r="AT24" i="31"/>
  <c r="AV24" i="31"/>
  <c r="AO24" i="31"/>
  <c r="K34" i="31"/>
  <c r="M34" i="31"/>
  <c r="O34" i="31"/>
  <c r="I34" i="31"/>
  <c r="J34" i="31"/>
  <c r="L34" i="31"/>
  <c r="N34" i="31"/>
  <c r="P34" i="31"/>
  <c r="K53" i="31"/>
  <c r="M53" i="31"/>
  <c r="O53" i="31"/>
  <c r="J53" i="31"/>
  <c r="L53" i="31"/>
  <c r="N53" i="31"/>
  <c r="P53" i="31"/>
  <c r="I53" i="31"/>
  <c r="D53" i="31"/>
  <c r="F53" i="31"/>
  <c r="H53" i="31"/>
  <c r="C53" i="31"/>
  <c r="E53" i="31"/>
  <c r="G53" i="31"/>
  <c r="B53" i="31"/>
  <c r="W49" i="7"/>
  <c r="BW14" i="31"/>
  <c r="BY14" i="31"/>
  <c r="CA14" i="31"/>
  <c r="BV14" i="31"/>
  <c r="BX14" i="31"/>
  <c r="BZ14" i="31"/>
  <c r="CB14" i="31"/>
  <c r="BU14" i="31"/>
  <c r="BO15" i="31"/>
  <c r="BQ15" i="31"/>
  <c r="BS15" i="31"/>
  <c r="BM15" i="31"/>
  <c r="BN15" i="31"/>
  <c r="BP15" i="31"/>
  <c r="BR15" i="31"/>
  <c r="BT15" i="31"/>
  <c r="W11" i="7"/>
  <c r="AX23" i="31"/>
  <c r="AZ23" i="31"/>
  <c r="BB23" i="31"/>
  <c r="BD23" i="31"/>
  <c r="AW23" i="31"/>
  <c r="AY23" i="31"/>
  <c r="BA23" i="31"/>
  <c r="BC23" i="31"/>
  <c r="AQ17" i="31"/>
  <c r="AS17" i="31"/>
  <c r="AU17" i="31"/>
  <c r="AO17" i="31"/>
  <c r="AP17" i="31"/>
  <c r="AR17" i="31"/>
  <c r="AT17" i="31"/>
  <c r="AV17" i="31"/>
  <c r="W13" i="7"/>
  <c r="V13" i="7"/>
  <c r="J37" i="31"/>
  <c r="L37" i="31"/>
  <c r="N37" i="31"/>
  <c r="P37" i="31"/>
  <c r="I37" i="31"/>
  <c r="K37" i="31"/>
  <c r="M37" i="31"/>
  <c r="O37" i="31"/>
  <c r="V107" i="30"/>
  <c r="W107" i="30"/>
  <c r="W86" i="7"/>
  <c r="V86" i="7"/>
  <c r="W80" i="7"/>
  <c r="V80" i="7"/>
  <c r="V101" i="30"/>
  <c r="W101" i="30"/>
  <c r="W84" i="7"/>
  <c r="V84" i="7"/>
  <c r="W78" i="7"/>
  <c r="V78" i="7"/>
  <c r="W72" i="7"/>
  <c r="V72" i="7"/>
  <c r="V127" i="30"/>
  <c r="W127" i="30"/>
  <c r="V9" i="30"/>
  <c r="W9" i="30"/>
  <c r="W106" i="7"/>
  <c r="V106" i="7"/>
  <c r="W79" i="7"/>
  <c r="V79" i="7"/>
  <c r="V97" i="30"/>
  <c r="W97" i="30"/>
  <c r="W69" i="7"/>
  <c r="V69" i="7"/>
  <c r="W66" i="7"/>
  <c r="V66" i="7"/>
  <c r="W28" i="7"/>
  <c r="W20" i="7"/>
  <c r="V40" i="30"/>
  <c r="W40" i="30"/>
  <c r="W19" i="7"/>
  <c r="W12" i="7"/>
  <c r="W10" i="7"/>
  <c r="W105" i="7"/>
  <c r="V105" i="7"/>
  <c r="W99" i="7"/>
  <c r="V99" i="7"/>
  <c r="W104" i="7"/>
  <c r="V104" i="7"/>
  <c r="W91" i="7"/>
  <c r="V91" i="7"/>
  <c r="W90" i="7"/>
  <c r="V90" i="7"/>
  <c r="W87" i="7"/>
  <c r="V87" i="7"/>
  <c r="W75" i="7"/>
  <c r="V75" i="7"/>
  <c r="W67" i="7"/>
  <c r="V67" i="7"/>
  <c r="V88" i="30"/>
  <c r="W88" i="30"/>
  <c r="Q55" i="30"/>
  <c r="P55" i="30"/>
  <c r="W31" i="7"/>
  <c r="W93" i="7"/>
  <c r="V93" i="7"/>
  <c r="W73" i="7"/>
  <c r="V73" i="7"/>
  <c r="V94" i="30"/>
  <c r="W94" i="30"/>
  <c r="W71" i="7"/>
  <c r="V71" i="7"/>
  <c r="W41" i="7"/>
  <c r="V41" i="7"/>
  <c r="V62" i="30"/>
  <c r="W62" i="30"/>
  <c r="W24" i="7"/>
  <c r="V54" i="30"/>
  <c r="W54" i="30"/>
  <c r="V14" i="30"/>
  <c r="W14" i="30"/>
  <c r="W38" i="7"/>
  <c r="V59" i="30"/>
  <c r="W59" i="30"/>
  <c r="W42" i="7"/>
  <c r="V42" i="7"/>
  <c r="V63" i="30"/>
  <c r="W63" i="30"/>
  <c r="V53" i="30"/>
  <c r="W53" i="30"/>
  <c r="W9" i="7"/>
  <c r="L24" i="8"/>
  <c r="K21" i="7"/>
  <c r="U21" i="7"/>
  <c r="K42" i="30"/>
  <c r="V42" i="30"/>
  <c r="W42" i="30"/>
  <c r="W15" i="7"/>
  <c r="V108" i="30"/>
  <c r="W108" i="30"/>
  <c r="W107" i="7"/>
  <c r="V107" i="7"/>
  <c r="W68" i="7"/>
  <c r="V68" i="7"/>
  <c r="W76" i="7"/>
  <c r="V76" i="7"/>
  <c r="W34" i="7"/>
  <c r="W88" i="7"/>
  <c r="V88" i="7"/>
  <c r="W70" i="7"/>
  <c r="V70" i="7"/>
  <c r="V45" i="30"/>
  <c r="W45" i="30"/>
  <c r="W33" i="7"/>
  <c r="W36" i="7"/>
  <c r="V57" i="30"/>
  <c r="W57" i="30"/>
  <c r="W32" i="7"/>
  <c r="V30" i="30"/>
  <c r="W30" i="30"/>
  <c r="V10" i="30"/>
  <c r="W10" i="30"/>
  <c r="V36" i="30"/>
  <c r="W36" i="30"/>
  <c r="J24" i="8"/>
  <c r="C24" i="8"/>
  <c r="I24" i="8"/>
  <c r="E24" i="8"/>
  <c r="Q24" i="8"/>
  <c r="F24" i="8"/>
  <c r="R24" i="8"/>
  <c r="N24" i="8"/>
  <c r="H24" i="8"/>
  <c r="P24" i="8"/>
  <c r="O24" i="8"/>
  <c r="G24" i="8"/>
  <c r="B24" i="8"/>
  <c r="M24" i="8"/>
  <c r="K24" i="8"/>
  <c r="V55" i="30"/>
  <c r="W55" i="30"/>
  <c r="V20" i="30"/>
  <c r="W20" i="30"/>
  <c r="V60" i="30"/>
  <c r="W60" i="30"/>
  <c r="BO43" i="31"/>
  <c r="BQ43" i="31"/>
  <c r="BS43" i="31"/>
  <c r="BN43" i="31"/>
  <c r="BP43" i="31"/>
  <c r="BR43" i="31"/>
  <c r="BT43" i="31"/>
  <c r="BM43" i="31"/>
  <c r="V39" i="7"/>
  <c r="BF25" i="31"/>
  <c r="BH25" i="31"/>
  <c r="BJ25" i="31"/>
  <c r="BL25" i="31"/>
  <c r="BE25" i="31"/>
  <c r="BG25" i="31"/>
  <c r="BI25" i="31"/>
  <c r="BK25" i="31"/>
  <c r="W21" i="7"/>
  <c r="V21" i="7"/>
  <c r="C30" i="7"/>
  <c r="C34" i="31"/>
  <c r="D51" i="30"/>
  <c r="D12" i="30"/>
  <c r="V12" i="30"/>
  <c r="W12" i="30"/>
  <c r="P31" i="29"/>
  <c r="F34" i="31"/>
  <c r="U30" i="7"/>
  <c r="V30" i="7"/>
  <c r="B34" i="31"/>
  <c r="G34" i="31"/>
  <c r="H34" i="31"/>
  <c r="E34" i="31"/>
  <c r="W30" i="7"/>
  <c r="D30" i="7"/>
  <c r="D34" i="31"/>
  <c r="I31" i="29"/>
  <c r="D22" i="7"/>
  <c r="D43" i="30"/>
  <c r="V43" i="30"/>
  <c r="W43" i="30"/>
  <c r="D47" i="30"/>
  <c r="V47" i="30"/>
  <c r="W47" i="30"/>
  <c r="C22" i="7"/>
  <c r="D26" i="31"/>
  <c r="D13" i="30"/>
  <c r="V13" i="30"/>
  <c r="W13" i="30"/>
  <c r="W22" i="7"/>
  <c r="C26" i="31"/>
  <c r="G26" i="31"/>
  <c r="B26" i="31"/>
  <c r="U22" i="7"/>
  <c r="V22" i="7"/>
  <c r="E26" i="31"/>
  <c r="H26" i="31"/>
  <c r="F26" i="31"/>
  <c r="G51" i="30"/>
  <c r="I51" i="30"/>
  <c r="F51" i="30"/>
  <c r="E51" i="30"/>
  <c r="H51" i="30"/>
  <c r="V51" i="30"/>
  <c r="W51" i="30"/>
  <c r="K432" i="41" l="1"/>
  <c r="T432" i="41"/>
  <c r="L419" i="43"/>
  <c r="T419" i="43"/>
  <c r="F419" i="42"/>
  <c r="N419" i="42"/>
  <c r="F432" i="41"/>
  <c r="N432" i="41"/>
  <c r="L74" i="5"/>
  <c r="C405" i="44"/>
  <c r="C417" i="44"/>
  <c r="C418" i="44" s="1"/>
  <c r="E419" i="43"/>
  <c r="M419" i="43"/>
  <c r="U419" i="43"/>
  <c r="C126" i="43"/>
  <c r="C412" i="43"/>
  <c r="C267" i="43"/>
  <c r="C415" i="43"/>
  <c r="I51" i="5" s="1"/>
  <c r="G419" i="43"/>
  <c r="O419" i="43"/>
  <c r="W419" i="43"/>
  <c r="F419" i="43"/>
  <c r="N419" i="43"/>
  <c r="V419" i="43"/>
  <c r="H419" i="43"/>
  <c r="P419" i="43"/>
  <c r="C414" i="43"/>
  <c r="C220" i="43"/>
  <c r="I419" i="43"/>
  <c r="C173" i="43"/>
  <c r="C413" i="43"/>
  <c r="C314" i="43"/>
  <c r="C416" i="43"/>
  <c r="D410" i="43"/>
  <c r="D419" i="43" s="1"/>
  <c r="C33" i="43"/>
  <c r="X3" i="43" s="1"/>
  <c r="J419" i="43"/>
  <c r="R419" i="43"/>
  <c r="K419" i="43"/>
  <c r="S419" i="43"/>
  <c r="C361" i="43"/>
  <c r="C417" i="43"/>
  <c r="C410" i="42"/>
  <c r="D34" i="5" s="1"/>
  <c r="C33" i="42"/>
  <c r="R3" i="42" s="1"/>
  <c r="C413" i="42"/>
  <c r="R413" i="42" s="1"/>
  <c r="C173" i="42"/>
  <c r="K419" i="42"/>
  <c r="C415" i="42"/>
  <c r="R415" i="42" s="1"/>
  <c r="C267" i="42"/>
  <c r="C417" i="42"/>
  <c r="R417" i="42" s="1"/>
  <c r="C361" i="42"/>
  <c r="E419" i="42"/>
  <c r="M419" i="42"/>
  <c r="O419" i="42"/>
  <c r="C414" i="42"/>
  <c r="R414" i="42" s="1"/>
  <c r="C220" i="42"/>
  <c r="C416" i="42"/>
  <c r="R416" i="42" s="1"/>
  <c r="C314" i="42"/>
  <c r="H419" i="42"/>
  <c r="Q419" i="42"/>
  <c r="C429" i="41"/>
  <c r="W429" i="41" s="1"/>
  <c r="C314" i="41"/>
  <c r="L432" i="41"/>
  <c r="U432" i="41"/>
  <c r="M432" i="41"/>
  <c r="G432" i="41"/>
  <c r="O432" i="41"/>
  <c r="D432" i="41"/>
  <c r="H432" i="41"/>
  <c r="C220" i="41"/>
  <c r="C427" i="41"/>
  <c r="W427" i="41" s="1"/>
  <c r="C267" i="41"/>
  <c r="C428" i="41"/>
  <c r="C430" i="41"/>
  <c r="W430" i="41" s="1"/>
  <c r="C361" i="41"/>
  <c r="P432" i="41"/>
  <c r="I432" i="41"/>
  <c r="Q432" i="41"/>
  <c r="C173" i="41"/>
  <c r="C426" i="41"/>
  <c r="W426" i="41" s="1"/>
  <c r="W428" i="41"/>
  <c r="J432" i="41"/>
  <c r="S432" i="41"/>
  <c r="C79" i="43"/>
  <c r="Q411" i="43"/>
  <c r="Q419" i="43" s="1"/>
  <c r="C405" i="42"/>
  <c r="J418" i="42"/>
  <c r="K37" i="46" s="1"/>
  <c r="V37" i="46" s="1"/>
  <c r="C33" i="41"/>
  <c r="C425" i="41"/>
  <c r="W425" i="41" s="1"/>
  <c r="E14" i="56" s="1"/>
  <c r="C126" i="41"/>
  <c r="V432" i="41"/>
  <c r="E432" i="41"/>
  <c r="R432" i="41"/>
  <c r="C424" i="41"/>
  <c r="W424" i="41" s="1"/>
  <c r="E13" i="56" s="1"/>
  <c r="C79" i="41"/>
  <c r="C405" i="41"/>
  <c r="C431" i="41"/>
  <c r="C74" i="46"/>
  <c r="P74" i="46" s="1"/>
  <c r="C7" i="46"/>
  <c r="F74" i="5"/>
  <c r="G74" i="5"/>
  <c r="H74" i="5"/>
  <c r="U215" i="50"/>
  <c r="U232" i="50" s="1"/>
  <c r="M84" i="5"/>
  <c r="L79" i="5"/>
  <c r="M79" i="5"/>
  <c r="K81" i="5"/>
  <c r="I74" i="5"/>
  <c r="J80" i="5"/>
  <c r="H84" i="5"/>
  <c r="M78" i="5"/>
  <c r="I72" i="46"/>
  <c r="V72" i="46" s="1"/>
  <c r="E83" i="5"/>
  <c r="N85" i="5"/>
  <c r="O83" i="5"/>
  <c r="E78" i="5"/>
  <c r="H82" i="46"/>
  <c r="U82" i="46" s="1"/>
  <c r="G81" i="46"/>
  <c r="T81" i="46" s="1"/>
  <c r="E80" i="46"/>
  <c r="R80" i="46" s="1"/>
  <c r="J83" i="46"/>
  <c r="W83" i="46" s="1"/>
  <c r="O84" i="5"/>
  <c r="D80" i="46"/>
  <c r="Q80" i="46" s="1"/>
  <c r="D79" i="46"/>
  <c r="Q79" i="46" s="1"/>
  <c r="G79" i="5"/>
  <c r="D82" i="5"/>
  <c r="N82" i="5"/>
  <c r="E76" i="46"/>
  <c r="R76" i="46" s="1"/>
  <c r="H78" i="46"/>
  <c r="U78" i="46" s="1"/>
  <c r="J76" i="46"/>
  <c r="W76" i="46" s="1"/>
  <c r="M80" i="5"/>
  <c r="G78" i="5"/>
  <c r="E74" i="5"/>
  <c r="U23" i="50"/>
  <c r="U197" i="50"/>
  <c r="D77" i="5"/>
  <c r="P77" i="5" s="1"/>
  <c r="Q77" i="5" s="1"/>
  <c r="N86" i="5"/>
  <c r="F77" i="5"/>
  <c r="L78" i="5"/>
  <c r="F76" i="46"/>
  <c r="S76" i="46" s="1"/>
  <c r="G76" i="46"/>
  <c r="T76" i="46" s="1"/>
  <c r="F83" i="46"/>
  <c r="S83" i="46" s="1"/>
  <c r="G79" i="46"/>
  <c r="T79" i="46" s="1"/>
  <c r="N78" i="5"/>
  <c r="O80" i="5"/>
  <c r="O412" i="44"/>
  <c r="D84" i="5"/>
  <c r="E73" i="46"/>
  <c r="R73" i="46" s="1"/>
  <c r="I75" i="5"/>
  <c r="L77" i="5"/>
  <c r="H80" i="5"/>
  <c r="M83" i="5"/>
  <c r="H81" i="5"/>
  <c r="E77" i="5"/>
  <c r="I80" i="5"/>
  <c r="J86" i="5"/>
  <c r="K80" i="5"/>
  <c r="N77" i="5"/>
  <c r="G81" i="5"/>
  <c r="G85" i="5"/>
  <c r="L84" i="5"/>
  <c r="L80" i="5"/>
  <c r="E86" i="5"/>
  <c r="I79" i="5"/>
  <c r="G80" i="46"/>
  <c r="T80" i="46" s="1"/>
  <c r="H80" i="46"/>
  <c r="U80" i="46" s="1"/>
  <c r="D83" i="46"/>
  <c r="Q83" i="46" s="1"/>
  <c r="E78" i="46"/>
  <c r="R78" i="46" s="1"/>
  <c r="C77" i="46"/>
  <c r="P77" i="46" s="1"/>
  <c r="E79" i="46"/>
  <c r="R79" i="46" s="1"/>
  <c r="I78" i="46"/>
  <c r="V78" i="46" s="1"/>
  <c r="K82" i="46"/>
  <c r="X82" i="46" s="1"/>
  <c r="F77" i="46"/>
  <c r="S77" i="46" s="1"/>
  <c r="C80" i="46"/>
  <c r="P80" i="46" s="1"/>
  <c r="C76" i="46"/>
  <c r="P76" i="46" s="1"/>
  <c r="E82" i="46"/>
  <c r="R82" i="46" s="1"/>
  <c r="D78" i="46"/>
  <c r="Q78" i="46" s="1"/>
  <c r="J81" i="46"/>
  <c r="W81" i="46" s="1"/>
  <c r="N84" i="5"/>
  <c r="J79" i="5"/>
  <c r="G82" i="5"/>
  <c r="K85" i="5"/>
  <c r="O78" i="5"/>
  <c r="H82" i="5"/>
  <c r="D85" i="5"/>
  <c r="D75" i="5"/>
  <c r="G76" i="5"/>
  <c r="C75" i="46"/>
  <c r="P75" i="46" s="1"/>
  <c r="C79" i="46"/>
  <c r="P79" i="46" s="1"/>
  <c r="D73" i="46"/>
  <c r="Q73" i="46" s="1"/>
  <c r="E74" i="46"/>
  <c r="R74" i="46" s="1"/>
  <c r="E83" i="46"/>
  <c r="R83" i="46" s="1"/>
  <c r="F73" i="46"/>
  <c r="S73" i="46" s="1"/>
  <c r="G72" i="46"/>
  <c r="T72" i="46" s="1"/>
  <c r="I84" i="5"/>
  <c r="I73" i="46"/>
  <c r="V73" i="46" s="1"/>
  <c r="I77" i="46"/>
  <c r="V77" i="46" s="1"/>
  <c r="I81" i="46"/>
  <c r="V81" i="46" s="1"/>
  <c r="J72" i="46"/>
  <c r="W72" i="46" s="1"/>
  <c r="K78" i="5"/>
  <c r="K82" i="5"/>
  <c r="K75" i="46"/>
  <c r="X75" i="46" s="1"/>
  <c r="L81" i="5"/>
  <c r="M76" i="5"/>
  <c r="O82" i="5"/>
  <c r="N74" i="5"/>
  <c r="M75" i="5"/>
  <c r="U179" i="50"/>
  <c r="G75" i="46"/>
  <c r="T75" i="46" s="1"/>
  <c r="U107" i="50"/>
  <c r="C78" i="46"/>
  <c r="P78" i="46" s="1"/>
  <c r="F84" i="5"/>
  <c r="N75" i="5"/>
  <c r="U41" i="50"/>
  <c r="E81" i="5"/>
  <c r="H78" i="5"/>
  <c r="M81" i="5"/>
  <c r="E85" i="5"/>
  <c r="H83" i="5"/>
  <c r="M77" i="5"/>
  <c r="F81" i="5"/>
  <c r="G77" i="5"/>
  <c r="L86" i="5"/>
  <c r="F79" i="5"/>
  <c r="O81" i="5"/>
  <c r="O85" i="5"/>
  <c r="H77" i="5"/>
  <c r="I81" i="5"/>
  <c r="M86" i="5"/>
  <c r="E80" i="5"/>
  <c r="K81" i="46"/>
  <c r="X81" i="46" s="1"/>
  <c r="J77" i="46"/>
  <c r="W77" i="46" s="1"/>
  <c r="D81" i="46"/>
  <c r="Q81" i="46" s="1"/>
  <c r="C81" i="46"/>
  <c r="P81" i="46" s="1"/>
  <c r="K77" i="46"/>
  <c r="X77" i="46" s="1"/>
  <c r="D77" i="46"/>
  <c r="Q77" i="46" s="1"/>
  <c r="F81" i="46"/>
  <c r="S81" i="46" s="1"/>
  <c r="I76" i="46"/>
  <c r="V76" i="46" s="1"/>
  <c r="F79" i="46"/>
  <c r="S79" i="46" s="1"/>
  <c r="K78" i="46"/>
  <c r="X78" i="46" s="1"/>
  <c r="K76" i="46"/>
  <c r="X76" i="46" s="1"/>
  <c r="F82" i="46"/>
  <c r="S82" i="46" s="1"/>
  <c r="J77" i="5"/>
  <c r="F80" i="5"/>
  <c r="K83" i="5"/>
  <c r="G86" i="5"/>
  <c r="K79" i="5"/>
  <c r="D83" i="5"/>
  <c r="L85" i="5"/>
  <c r="E75" i="5"/>
  <c r="C73" i="46"/>
  <c r="P73" i="46" s="1"/>
  <c r="E72" i="46"/>
  <c r="R72" i="46" s="1"/>
  <c r="G77" i="46"/>
  <c r="T77" i="46" s="1"/>
  <c r="H72" i="46"/>
  <c r="U72" i="46" s="1"/>
  <c r="H75" i="46"/>
  <c r="U75" i="46" s="1"/>
  <c r="H83" i="46"/>
  <c r="U83" i="46" s="1"/>
  <c r="I74" i="46"/>
  <c r="V74" i="46" s="1"/>
  <c r="J84" i="5"/>
  <c r="J73" i="46"/>
  <c r="W73" i="46" s="1"/>
  <c r="K80" i="46"/>
  <c r="X80" i="46" s="1"/>
  <c r="O74" i="5"/>
  <c r="L75" i="5"/>
  <c r="E75" i="46"/>
  <c r="R75" i="46" s="1"/>
  <c r="D75" i="46"/>
  <c r="Q75" i="46" s="1"/>
  <c r="G74" i="46"/>
  <c r="T74" i="46" s="1"/>
  <c r="D79" i="5"/>
  <c r="I82" i="5"/>
  <c r="M85" i="5"/>
  <c r="D86" i="5"/>
  <c r="E79" i="5"/>
  <c r="N83" i="5"/>
  <c r="O77" i="5"/>
  <c r="F86" i="5"/>
  <c r="N79" i="5"/>
  <c r="G83" i="5"/>
  <c r="O79" i="5"/>
  <c r="D78" i="5"/>
  <c r="E82" i="5"/>
  <c r="I77" i="5"/>
  <c r="F82" i="5"/>
  <c r="K83" i="46"/>
  <c r="X83" i="46" s="1"/>
  <c r="F78" i="46"/>
  <c r="S78" i="46" s="1"/>
  <c r="C83" i="46"/>
  <c r="P83" i="46" s="1"/>
  <c r="G78" i="46"/>
  <c r="T78" i="46" s="1"/>
  <c r="E77" i="46"/>
  <c r="R77" i="46" s="1"/>
  <c r="J78" i="46"/>
  <c r="W78" i="46" s="1"/>
  <c r="H79" i="46"/>
  <c r="U79" i="46" s="1"/>
  <c r="I83" i="46"/>
  <c r="V83" i="46" s="1"/>
  <c r="D76" i="46"/>
  <c r="Q76" i="46" s="1"/>
  <c r="F80" i="46"/>
  <c r="S80" i="46" s="1"/>
  <c r="F78" i="5"/>
  <c r="N80" i="5"/>
  <c r="G84" i="5"/>
  <c r="K77" i="5"/>
  <c r="G80" i="5"/>
  <c r="L83" i="5"/>
  <c r="H86" i="5"/>
  <c r="I76" i="5"/>
  <c r="D72" i="46"/>
  <c r="Q72" i="46" s="1"/>
  <c r="D74" i="46"/>
  <c r="Q74" i="46" s="1"/>
  <c r="D82" i="46"/>
  <c r="Q82" i="46" s="1"/>
  <c r="F83" i="5"/>
  <c r="F72" i="46"/>
  <c r="S72" i="46" s="1"/>
  <c r="F75" i="46"/>
  <c r="S75" i="46" s="1"/>
  <c r="G73" i="46"/>
  <c r="T73" i="46" s="1"/>
  <c r="G82" i="46"/>
  <c r="T82" i="46" s="1"/>
  <c r="H76" i="46"/>
  <c r="U76" i="46" s="1"/>
  <c r="I86" i="5"/>
  <c r="M74" i="5"/>
  <c r="O75" i="5"/>
  <c r="K75" i="5"/>
  <c r="K72" i="46"/>
  <c r="X72" i="46" s="1"/>
  <c r="K73" i="46"/>
  <c r="X73" i="46" s="1"/>
  <c r="I75" i="46"/>
  <c r="V75" i="46" s="1"/>
  <c r="I79" i="46"/>
  <c r="V79" i="46" s="1"/>
  <c r="J85" i="5"/>
  <c r="K76" i="5"/>
  <c r="J82" i="46"/>
  <c r="W82" i="46" s="1"/>
  <c r="M82" i="5"/>
  <c r="O76" i="5"/>
  <c r="F74" i="46"/>
  <c r="S74" i="46" s="1"/>
  <c r="H74" i="46"/>
  <c r="U74" i="46" s="1"/>
  <c r="H77" i="46"/>
  <c r="U77" i="46" s="1"/>
  <c r="H81" i="46"/>
  <c r="U81" i="46" s="1"/>
  <c r="J78" i="5"/>
  <c r="J82" i="5"/>
  <c r="J75" i="46"/>
  <c r="W75" i="46" s="1"/>
  <c r="J79" i="46"/>
  <c r="W79" i="46" s="1"/>
  <c r="K74" i="46"/>
  <c r="X74" i="46" s="1"/>
  <c r="N76" i="5"/>
  <c r="T41" i="50"/>
  <c r="R89" i="50"/>
  <c r="P125" i="50"/>
  <c r="R23" i="50"/>
  <c r="S23" i="50"/>
  <c r="F53" i="5"/>
  <c r="H59" i="5"/>
  <c r="T23" i="50"/>
  <c r="S215" i="50"/>
  <c r="S232" i="50" s="1"/>
  <c r="E68" i="5"/>
  <c r="H60" i="5"/>
  <c r="K56" i="5"/>
  <c r="H61" i="5"/>
  <c r="G53" i="5"/>
  <c r="G70" i="5"/>
  <c r="F67" i="5"/>
  <c r="K40" i="50"/>
  <c r="V40" i="50" s="1"/>
  <c r="M125" i="50"/>
  <c r="I43" i="5"/>
  <c r="D42" i="5"/>
  <c r="H40" i="5"/>
  <c r="I39" i="5"/>
  <c r="D47" i="5"/>
  <c r="N41" i="50"/>
  <c r="F35" i="5"/>
  <c r="L41" i="5"/>
  <c r="L46" i="5"/>
  <c r="K36" i="5"/>
  <c r="O44" i="5"/>
  <c r="G41" i="5"/>
  <c r="G36" i="5"/>
  <c r="D38" i="5"/>
  <c r="L89" i="50"/>
  <c r="K143" i="50"/>
  <c r="I42" i="5"/>
  <c r="G44" i="5"/>
  <c r="H36" i="5"/>
  <c r="I45" i="5"/>
  <c r="L40" i="5"/>
  <c r="E48" i="5"/>
  <c r="N89" i="50"/>
  <c r="I35" i="5"/>
  <c r="F46" i="5"/>
  <c r="F38" i="5"/>
  <c r="F47" i="5"/>
  <c r="N37" i="5"/>
  <c r="C31" i="46"/>
  <c r="N31" i="46" s="1"/>
  <c r="N46" i="5"/>
  <c r="L44" i="5"/>
  <c r="I36" i="5"/>
  <c r="M42" i="5"/>
  <c r="F41" i="5"/>
  <c r="L45" i="5"/>
  <c r="M46" i="5"/>
  <c r="D46" i="5"/>
  <c r="D41" i="5"/>
  <c r="H47" i="5"/>
  <c r="H42" i="5"/>
  <c r="E47" i="5"/>
  <c r="L47" i="5"/>
  <c r="D40" i="5"/>
  <c r="K48" i="5"/>
  <c r="K44" i="46"/>
  <c r="V44" i="46" s="1"/>
  <c r="J40" i="46"/>
  <c r="U40" i="46" s="1"/>
  <c r="K33" i="46"/>
  <c r="V33" i="46" s="1"/>
  <c r="C42" i="46"/>
  <c r="N42" i="46" s="1"/>
  <c r="K23" i="50"/>
  <c r="E38" i="5"/>
  <c r="D37" i="5"/>
  <c r="I46" i="5"/>
  <c r="O46" i="5"/>
  <c r="K46" i="5"/>
  <c r="F40" i="5"/>
  <c r="D48" i="5"/>
  <c r="K40" i="5"/>
  <c r="G39" i="5"/>
  <c r="F45" i="5"/>
  <c r="G45" i="5"/>
  <c r="E41" i="5"/>
  <c r="I34" i="5"/>
  <c r="L38" i="5"/>
  <c r="I37" i="5"/>
  <c r="H35" i="5"/>
  <c r="E44" i="5"/>
  <c r="H38" i="5"/>
  <c r="F44" i="5"/>
  <c r="G40" i="5"/>
  <c r="L48" i="5"/>
  <c r="D36" i="5"/>
  <c r="H48" i="5"/>
  <c r="N34" i="5"/>
  <c r="C36" i="46"/>
  <c r="N36" i="46" s="1"/>
  <c r="J32" i="46"/>
  <c r="U32" i="46" s="1"/>
  <c r="J38" i="46"/>
  <c r="U38" i="46" s="1"/>
  <c r="V42" i="46"/>
  <c r="L23" i="50"/>
  <c r="N23" i="50"/>
  <c r="N107" i="50"/>
  <c r="M41" i="50"/>
  <c r="J43" i="46"/>
  <c r="U43" i="46" s="1"/>
  <c r="H45" i="5"/>
  <c r="G46" i="5"/>
  <c r="I40" i="5"/>
  <c r="G42" i="5"/>
  <c r="K39" i="5"/>
  <c r="F48" i="5"/>
  <c r="J40" i="5"/>
  <c r="K42" i="5"/>
  <c r="L42" i="5"/>
  <c r="E43" i="5"/>
  <c r="E40" i="5"/>
  <c r="D39" i="5"/>
  <c r="J34" i="46"/>
  <c r="U34" i="46" s="1"/>
  <c r="K41" i="46"/>
  <c r="V41" i="46" s="1"/>
  <c r="J39" i="5"/>
  <c r="J34" i="5"/>
  <c r="H46" i="5"/>
  <c r="J46" i="5"/>
  <c r="E46" i="5"/>
  <c r="K44" i="5"/>
  <c r="K37" i="5"/>
  <c r="E42" i="5"/>
  <c r="K43" i="5"/>
  <c r="E35" i="5"/>
  <c r="L36" i="5"/>
  <c r="J42" i="5"/>
  <c r="H41" i="5"/>
  <c r="I48" i="5"/>
  <c r="M41" i="5"/>
  <c r="L37" i="5"/>
  <c r="G38" i="5"/>
  <c r="J45" i="5"/>
  <c r="M39" i="5"/>
  <c r="K45" i="5"/>
  <c r="I38" i="5"/>
  <c r="J48" i="5"/>
  <c r="J43" i="5"/>
  <c r="I41" i="5"/>
  <c r="H37" i="5"/>
  <c r="K39" i="50"/>
  <c r="K41" i="50" s="1"/>
  <c r="C40" i="46"/>
  <c r="N40" i="46" s="1"/>
  <c r="J30" i="46"/>
  <c r="U30" i="46" s="1"/>
  <c r="K89" i="50"/>
  <c r="K107" i="50"/>
  <c r="K125" i="50"/>
  <c r="L143" i="50"/>
  <c r="N125" i="50"/>
  <c r="L125" i="50"/>
  <c r="L107" i="50"/>
  <c r="L41" i="50"/>
  <c r="M23" i="50"/>
  <c r="M89" i="50"/>
  <c r="M107" i="50"/>
  <c r="K161" i="50"/>
  <c r="U42" i="46"/>
  <c r="Q42" i="46"/>
  <c r="K38" i="46"/>
  <c r="V38" i="46" s="1"/>
  <c r="I41" i="46"/>
  <c r="T41" i="46" s="1"/>
  <c r="I39" i="46"/>
  <c r="T39" i="46" s="1"/>
  <c r="I37" i="46"/>
  <c r="T37" i="46" s="1"/>
  <c r="I35" i="46"/>
  <c r="T35" i="46" s="1"/>
  <c r="I33" i="46"/>
  <c r="T33" i="46" s="1"/>
  <c r="I31" i="46"/>
  <c r="T31" i="46" s="1"/>
  <c r="H44" i="46"/>
  <c r="S44" i="46" s="1"/>
  <c r="H41" i="46"/>
  <c r="S41" i="46" s="1"/>
  <c r="H39" i="46"/>
  <c r="S39" i="46" s="1"/>
  <c r="H37" i="46"/>
  <c r="S37" i="46" s="1"/>
  <c r="H35" i="46"/>
  <c r="S35" i="46" s="1"/>
  <c r="H33" i="46"/>
  <c r="S33" i="46" s="1"/>
  <c r="H31" i="46"/>
  <c r="S31" i="46" s="1"/>
  <c r="G44" i="46"/>
  <c r="R44" i="46" s="1"/>
  <c r="G41" i="46"/>
  <c r="R41" i="46" s="1"/>
  <c r="G39" i="46"/>
  <c r="R39" i="46" s="1"/>
  <c r="G37" i="46"/>
  <c r="R37" i="46" s="1"/>
  <c r="G35" i="46"/>
  <c r="R35" i="46" s="1"/>
  <c r="G33" i="46"/>
  <c r="R33" i="46" s="1"/>
  <c r="G31" i="46"/>
  <c r="R31" i="46" s="1"/>
  <c r="F44" i="46"/>
  <c r="Q44" i="46" s="1"/>
  <c r="F41" i="46"/>
  <c r="Q41" i="46" s="1"/>
  <c r="F39" i="46"/>
  <c r="Q39" i="46" s="1"/>
  <c r="F37" i="46"/>
  <c r="Q37" i="46" s="1"/>
  <c r="F35" i="46"/>
  <c r="Q35" i="46" s="1"/>
  <c r="F33" i="46"/>
  <c r="Q33" i="46" s="1"/>
  <c r="F31" i="46"/>
  <c r="Q31" i="46" s="1"/>
  <c r="E44" i="46"/>
  <c r="P44" i="46" s="1"/>
  <c r="E41" i="46"/>
  <c r="P41" i="46" s="1"/>
  <c r="E39" i="46"/>
  <c r="P39" i="46" s="1"/>
  <c r="E37" i="46"/>
  <c r="P37" i="46" s="1"/>
  <c r="E35" i="46"/>
  <c r="P35" i="46" s="1"/>
  <c r="E33" i="46"/>
  <c r="P33" i="46" s="1"/>
  <c r="E31" i="46"/>
  <c r="P31" i="46" s="1"/>
  <c r="D44" i="46"/>
  <c r="O44" i="46" s="1"/>
  <c r="D41" i="46"/>
  <c r="O41" i="46" s="1"/>
  <c r="D39" i="46"/>
  <c r="O39" i="46" s="1"/>
  <c r="D37" i="46"/>
  <c r="O37" i="46" s="1"/>
  <c r="D35" i="46"/>
  <c r="O35" i="46" s="1"/>
  <c r="D33" i="46"/>
  <c r="O33" i="46" s="1"/>
  <c r="D31" i="46"/>
  <c r="O31" i="46" s="1"/>
  <c r="C44" i="46"/>
  <c r="N44" i="46" s="1"/>
  <c r="C33" i="46"/>
  <c r="N33" i="46" s="1"/>
  <c r="G35" i="5"/>
  <c r="K34" i="5"/>
  <c r="F34" i="5"/>
  <c r="F36" i="5"/>
  <c r="G43" i="5"/>
  <c r="K41" i="5"/>
  <c r="I44" i="5"/>
  <c r="K38" i="5"/>
  <c r="G48" i="5"/>
  <c r="J38" i="5"/>
  <c r="M43" i="5"/>
  <c r="D35" i="5"/>
  <c r="E45" i="5"/>
  <c r="F39" i="5"/>
  <c r="H43" i="5"/>
  <c r="T42" i="46"/>
  <c r="P42" i="46"/>
  <c r="K34" i="46"/>
  <c r="V34" i="46" s="1"/>
  <c r="K32" i="46"/>
  <c r="V32" i="46" s="1"/>
  <c r="J44" i="46"/>
  <c r="U44" i="46" s="1"/>
  <c r="J41" i="46"/>
  <c r="U41" i="46" s="1"/>
  <c r="J39" i="46"/>
  <c r="U39" i="46" s="1"/>
  <c r="J37" i="46"/>
  <c r="U37" i="46" s="1"/>
  <c r="J35" i="46"/>
  <c r="U35" i="46" s="1"/>
  <c r="J33" i="46"/>
  <c r="U33" i="46" s="1"/>
  <c r="J31" i="46"/>
  <c r="U31" i="46" s="1"/>
  <c r="I44" i="46"/>
  <c r="T44" i="46" s="1"/>
  <c r="C39" i="46"/>
  <c r="N39" i="46" s="1"/>
  <c r="C37" i="46"/>
  <c r="N37" i="46" s="1"/>
  <c r="L34" i="5"/>
  <c r="J35" i="5"/>
  <c r="G47" i="5"/>
  <c r="D45" i="5"/>
  <c r="G37" i="5"/>
  <c r="O42" i="5"/>
  <c r="F37" i="5"/>
  <c r="H44" i="5"/>
  <c r="E37" i="5"/>
  <c r="N40" i="5"/>
  <c r="L43" i="5"/>
  <c r="F42" i="5"/>
  <c r="N44" i="5"/>
  <c r="J37" i="5"/>
  <c r="S42" i="46"/>
  <c r="O42" i="46"/>
  <c r="K30" i="46"/>
  <c r="V30" i="46" s="1"/>
  <c r="K39" i="46"/>
  <c r="V39" i="46" s="1"/>
  <c r="K36" i="46"/>
  <c r="V36" i="46" s="1"/>
  <c r="I40" i="46"/>
  <c r="T40" i="46" s="1"/>
  <c r="I38" i="46"/>
  <c r="T38" i="46" s="1"/>
  <c r="I36" i="46"/>
  <c r="T36" i="46" s="1"/>
  <c r="I34" i="46"/>
  <c r="T34" i="46" s="1"/>
  <c r="I32" i="46"/>
  <c r="T32" i="46" s="1"/>
  <c r="I30" i="46"/>
  <c r="T30" i="46" s="1"/>
  <c r="H43" i="46"/>
  <c r="S43" i="46" s="1"/>
  <c r="H40" i="46"/>
  <c r="S40" i="46" s="1"/>
  <c r="H38" i="46"/>
  <c r="S38" i="46" s="1"/>
  <c r="H36" i="46"/>
  <c r="S36" i="46" s="1"/>
  <c r="H34" i="46"/>
  <c r="S34" i="46" s="1"/>
  <c r="H32" i="46"/>
  <c r="S32" i="46" s="1"/>
  <c r="H30" i="46"/>
  <c r="S30" i="46" s="1"/>
  <c r="G43" i="46"/>
  <c r="R43" i="46" s="1"/>
  <c r="G40" i="46"/>
  <c r="R40" i="46" s="1"/>
  <c r="G38" i="46"/>
  <c r="R38" i="46" s="1"/>
  <c r="G36" i="46"/>
  <c r="R36" i="46" s="1"/>
  <c r="G34" i="46"/>
  <c r="R34" i="46" s="1"/>
  <c r="G32" i="46"/>
  <c r="R32" i="46" s="1"/>
  <c r="F43" i="46"/>
  <c r="Q43" i="46" s="1"/>
  <c r="F40" i="46"/>
  <c r="Q40" i="46" s="1"/>
  <c r="F38" i="46"/>
  <c r="Q38" i="46" s="1"/>
  <c r="F36" i="46"/>
  <c r="Q36" i="46" s="1"/>
  <c r="F34" i="46"/>
  <c r="Q34" i="46" s="1"/>
  <c r="F32" i="46"/>
  <c r="Q32" i="46" s="1"/>
  <c r="E43" i="46"/>
  <c r="P43" i="46" s="1"/>
  <c r="E40" i="46"/>
  <c r="P40" i="46" s="1"/>
  <c r="E38" i="46"/>
  <c r="P38" i="46" s="1"/>
  <c r="E36" i="46"/>
  <c r="P36" i="46" s="1"/>
  <c r="E34" i="46"/>
  <c r="P34" i="46" s="1"/>
  <c r="E32" i="46"/>
  <c r="P32" i="46" s="1"/>
  <c r="E30" i="46"/>
  <c r="P30" i="46" s="1"/>
  <c r="D43" i="46"/>
  <c r="O43" i="46" s="1"/>
  <c r="D40" i="46"/>
  <c r="O40" i="46" s="1"/>
  <c r="D38" i="46"/>
  <c r="O38" i="46" s="1"/>
  <c r="D36" i="46"/>
  <c r="O36" i="46" s="1"/>
  <c r="D34" i="46"/>
  <c r="O34" i="46" s="1"/>
  <c r="D32" i="46"/>
  <c r="O32" i="46" s="1"/>
  <c r="D30" i="46"/>
  <c r="O30" i="46" s="1"/>
  <c r="C34" i="46"/>
  <c r="N34" i="46" s="1"/>
  <c r="M34" i="5"/>
  <c r="E36" i="5"/>
  <c r="F43" i="5"/>
  <c r="D43" i="5"/>
  <c r="J41" i="5"/>
  <c r="E34" i="5"/>
  <c r="N42" i="5"/>
  <c r="K35" i="5"/>
  <c r="J36" i="5"/>
  <c r="H39" i="5"/>
  <c r="I47" i="5"/>
  <c r="E39" i="5"/>
  <c r="C38" i="46"/>
  <c r="N38" i="46" s="1"/>
  <c r="J36" i="46"/>
  <c r="U36" i="46" s="1"/>
  <c r="K31" i="46"/>
  <c r="V31" i="46" s="1"/>
  <c r="R42" i="46"/>
  <c r="C41" i="46"/>
  <c r="N41" i="46" s="1"/>
  <c r="I43" i="46"/>
  <c r="T43" i="46" s="1"/>
  <c r="K47" i="5"/>
  <c r="L35" i="5"/>
  <c r="N48" i="5"/>
  <c r="C43" i="46"/>
  <c r="N43" i="46" s="1"/>
  <c r="J44" i="5"/>
  <c r="K43" i="46"/>
  <c r="V43" i="46" s="1"/>
  <c r="M38" i="5"/>
  <c r="O34" i="5"/>
  <c r="L161" i="50"/>
  <c r="M143" i="50"/>
  <c r="C35" i="46"/>
  <c r="N35" i="46" s="1"/>
  <c r="K40" i="46"/>
  <c r="V40" i="46" s="1"/>
  <c r="N45" i="5"/>
  <c r="O35" i="5"/>
  <c r="M197" i="50"/>
  <c r="D41" i="50"/>
  <c r="K408" i="41"/>
  <c r="K410" i="41"/>
  <c r="G419" i="41"/>
  <c r="G409" i="41"/>
  <c r="H10" i="5"/>
  <c r="J419" i="41"/>
  <c r="J23" i="50"/>
  <c r="J41" i="50"/>
  <c r="L10" i="5"/>
  <c r="G22" i="5"/>
  <c r="K10" i="5"/>
  <c r="E409" i="41"/>
  <c r="G410" i="41"/>
  <c r="K23" i="5"/>
  <c r="I408" i="41"/>
  <c r="I161" i="50"/>
  <c r="G41" i="50"/>
  <c r="H41" i="50"/>
  <c r="K409" i="41"/>
  <c r="D10" i="5"/>
  <c r="O15" i="5"/>
  <c r="D161" i="50"/>
  <c r="N15" i="5"/>
  <c r="I10" i="5"/>
  <c r="M10" i="5"/>
  <c r="I419" i="41"/>
  <c r="I409" i="41"/>
  <c r="C409" i="41"/>
  <c r="H409" i="41"/>
  <c r="I143" i="50"/>
  <c r="O27" i="5"/>
  <c r="F10" i="5"/>
  <c r="E419" i="41"/>
  <c r="J409" i="41"/>
  <c r="J179" i="50"/>
  <c r="J161" i="50"/>
  <c r="J143" i="50"/>
  <c r="J89" i="50"/>
  <c r="I41" i="50"/>
  <c r="C107" i="50"/>
  <c r="C89" i="50"/>
  <c r="C41" i="50"/>
  <c r="H89" i="50"/>
  <c r="H125" i="50"/>
  <c r="I23" i="5"/>
  <c r="G26" i="5"/>
  <c r="H11" i="5"/>
  <c r="L16" i="5"/>
  <c r="E8" i="46"/>
  <c r="O8" i="46" s="1"/>
  <c r="O10" i="5"/>
  <c r="F19" i="5"/>
  <c r="J11" i="5"/>
  <c r="G25" i="5"/>
  <c r="L31" i="5"/>
  <c r="M12" i="5"/>
  <c r="L24" i="5"/>
  <c r="I24" i="5"/>
  <c r="I13" i="5"/>
  <c r="O14" i="5"/>
  <c r="L13" i="5"/>
  <c r="J19" i="5"/>
  <c r="F13" i="5"/>
  <c r="L23" i="5"/>
  <c r="L22" i="5"/>
  <c r="K21" i="5"/>
  <c r="H23" i="5"/>
  <c r="J25" i="5"/>
  <c r="J24" i="5"/>
  <c r="G23" i="5"/>
  <c r="K26" i="5"/>
  <c r="D17" i="5"/>
  <c r="M14" i="5"/>
  <c r="N17" i="5"/>
  <c r="D28" i="5"/>
  <c r="N27" i="5"/>
  <c r="D18" i="46"/>
  <c r="N18" i="46" s="1"/>
  <c r="G10" i="5"/>
  <c r="C419" i="41"/>
  <c r="J197" i="50"/>
  <c r="H179" i="50"/>
  <c r="J10" i="5"/>
  <c r="D25" i="5"/>
  <c r="G13" i="5"/>
  <c r="G28" i="5"/>
  <c r="I28" i="5"/>
  <c r="O13" i="5"/>
  <c r="O12" i="5"/>
  <c r="J22" i="5"/>
  <c r="D29" i="5"/>
  <c r="O26" i="5"/>
  <c r="E25" i="5"/>
  <c r="H30" i="5"/>
  <c r="H21" i="5"/>
  <c r="F26" i="5"/>
  <c r="L20" i="5"/>
  <c r="M27" i="5"/>
  <c r="K26" i="46"/>
  <c r="U26" i="46" s="1"/>
  <c r="H410" i="41"/>
  <c r="D419" i="41"/>
  <c r="F25" i="5"/>
  <c r="F24" i="5"/>
  <c r="J12" i="5"/>
  <c r="D19" i="5"/>
  <c r="O25" i="5"/>
  <c r="G20" i="5"/>
  <c r="H24" i="5"/>
  <c r="K20" i="5"/>
  <c r="I25" i="5"/>
  <c r="L14" i="5"/>
  <c r="C410" i="41"/>
  <c r="D409" i="41"/>
  <c r="F23" i="50"/>
  <c r="E23" i="50"/>
  <c r="F215" i="50"/>
  <c r="F232" i="50" s="1"/>
  <c r="E215" i="50"/>
  <c r="E232" i="50" s="1"/>
  <c r="D215" i="50"/>
  <c r="D232" i="50" s="1"/>
  <c r="G197" i="50"/>
  <c r="D197" i="50"/>
  <c r="E197" i="50"/>
  <c r="F197" i="50"/>
  <c r="D179" i="50"/>
  <c r="E179" i="50"/>
  <c r="F179" i="50"/>
  <c r="G179" i="50"/>
  <c r="E161" i="50"/>
  <c r="F161" i="50"/>
  <c r="G161" i="50"/>
  <c r="D143" i="50"/>
  <c r="G143" i="50"/>
  <c r="E143" i="50"/>
  <c r="F143" i="50"/>
  <c r="F125" i="50"/>
  <c r="G125" i="50"/>
  <c r="I125" i="50"/>
  <c r="D125" i="50"/>
  <c r="J125" i="50"/>
  <c r="E125" i="50"/>
  <c r="G107" i="50"/>
  <c r="I107" i="50"/>
  <c r="D107" i="50"/>
  <c r="J107" i="50"/>
  <c r="E107" i="50"/>
  <c r="F107" i="50"/>
  <c r="V85" i="50"/>
  <c r="V81" i="50"/>
  <c r="V77" i="50"/>
  <c r="I89" i="50"/>
  <c r="D89" i="50"/>
  <c r="E89" i="50"/>
  <c r="V43" i="50"/>
  <c r="F89" i="50"/>
  <c r="G89" i="50"/>
  <c r="V34" i="50"/>
  <c r="V32" i="50"/>
  <c r="E41" i="50"/>
  <c r="F41" i="50"/>
  <c r="C215" i="50"/>
  <c r="C232" i="50" s="1"/>
  <c r="C197" i="50"/>
  <c r="C179" i="50"/>
  <c r="C161" i="50"/>
  <c r="C143" i="50"/>
  <c r="C125" i="50"/>
  <c r="H107" i="50"/>
  <c r="H143" i="50"/>
  <c r="H161" i="50"/>
  <c r="F30" i="5"/>
  <c r="N16" i="5"/>
  <c r="G31" i="5"/>
  <c r="J30" i="5"/>
  <c r="N29" i="5"/>
  <c r="G30" i="5"/>
  <c r="J29" i="5"/>
  <c r="N28" i="5"/>
  <c r="M28" i="5"/>
  <c r="O19" i="5"/>
  <c r="H17" i="5"/>
  <c r="L21" i="5"/>
  <c r="G12" i="5"/>
  <c r="K16" i="5"/>
  <c r="D23" i="5"/>
  <c r="K22" i="5"/>
  <c r="M26" i="5"/>
  <c r="G11" i="5"/>
  <c r="K15" i="5"/>
  <c r="H31" i="5"/>
  <c r="K30" i="5"/>
  <c r="D21" i="5"/>
  <c r="K11" i="5"/>
  <c r="O11" i="5"/>
  <c r="H29" i="5"/>
  <c r="K28" i="5"/>
  <c r="D30" i="5"/>
  <c r="H28" i="5"/>
  <c r="L11" i="5"/>
  <c r="E28" i="5"/>
  <c r="I16" i="5"/>
  <c r="M31" i="5"/>
  <c r="J23" i="5"/>
  <c r="L12" i="5"/>
  <c r="H25" i="5"/>
  <c r="K24" i="5"/>
  <c r="N18" i="5"/>
  <c r="F31" i="5"/>
  <c r="I30" i="5"/>
  <c r="L29" i="5"/>
  <c r="D16" i="5"/>
  <c r="H22" i="5"/>
  <c r="E22" i="5"/>
  <c r="I26" i="5"/>
  <c r="L25" i="5"/>
  <c r="O18" i="5"/>
  <c r="F11" i="5"/>
  <c r="J31" i="5"/>
  <c r="M24" i="5"/>
  <c r="D12" i="5"/>
  <c r="L19" i="5"/>
  <c r="L27" i="5"/>
  <c r="K27" i="5"/>
  <c r="F27" i="5"/>
  <c r="D27" i="5"/>
  <c r="D15" i="46"/>
  <c r="N15" i="46" s="1"/>
  <c r="D19" i="46"/>
  <c r="N19" i="46" s="1"/>
  <c r="D23" i="46"/>
  <c r="N23" i="46" s="1"/>
  <c r="E16" i="46"/>
  <c r="O16" i="46" s="1"/>
  <c r="E18" i="46"/>
  <c r="O18" i="46" s="1"/>
  <c r="E20" i="46"/>
  <c r="O20" i="46" s="1"/>
  <c r="E22" i="46"/>
  <c r="O22" i="46" s="1"/>
  <c r="E25" i="46"/>
  <c r="O25" i="46" s="1"/>
  <c r="F23" i="46"/>
  <c r="P23" i="46" s="1"/>
  <c r="G10" i="46"/>
  <c r="Q10" i="46" s="1"/>
  <c r="G18" i="46"/>
  <c r="Q18" i="46" s="1"/>
  <c r="H13" i="46"/>
  <c r="R13" i="46" s="1"/>
  <c r="K11" i="46"/>
  <c r="U11" i="46" s="1"/>
  <c r="K19" i="46"/>
  <c r="U19" i="46" s="1"/>
  <c r="D14" i="46"/>
  <c r="N14" i="46" s="1"/>
  <c r="D22" i="46"/>
  <c r="N22" i="46" s="1"/>
  <c r="I29" i="5"/>
  <c r="G15" i="5"/>
  <c r="J14" i="5"/>
  <c r="N12" i="5"/>
  <c r="G14" i="5"/>
  <c r="J13" i="5"/>
  <c r="N11" i="5"/>
  <c r="G24" i="5"/>
  <c r="O20" i="5"/>
  <c r="F23" i="5"/>
  <c r="I22" i="5"/>
  <c r="M21" i="5"/>
  <c r="E17" i="5"/>
  <c r="I21" i="5"/>
  <c r="M20" i="5"/>
  <c r="D22" i="5"/>
  <c r="D15" i="5"/>
  <c r="H16" i="5"/>
  <c r="M19" i="5"/>
  <c r="E16" i="5"/>
  <c r="H15" i="5"/>
  <c r="K14" i="5"/>
  <c r="D20" i="5"/>
  <c r="I18" i="5"/>
  <c r="E14" i="5"/>
  <c r="H13" i="5"/>
  <c r="K12" i="5"/>
  <c r="E13" i="5"/>
  <c r="H12" i="5"/>
  <c r="M16" i="5"/>
  <c r="G21" i="5"/>
  <c r="J20" i="5"/>
  <c r="M15" i="5"/>
  <c r="K13" i="5"/>
  <c r="E11" i="5"/>
  <c r="I31" i="5"/>
  <c r="L30" i="5"/>
  <c r="O22" i="5"/>
  <c r="F15" i="5"/>
  <c r="I14" i="5"/>
  <c r="M29" i="5"/>
  <c r="I12" i="5"/>
  <c r="G18" i="5"/>
  <c r="L26" i="5"/>
  <c r="F28" i="5"/>
  <c r="I11" i="5"/>
  <c r="M25" i="5"/>
  <c r="D13" i="5"/>
  <c r="G16" i="5"/>
  <c r="J15" i="5"/>
  <c r="N13" i="5"/>
  <c r="N14" i="5"/>
  <c r="L18" i="5"/>
  <c r="J27" i="5"/>
  <c r="H27" i="5"/>
  <c r="E27" i="5"/>
  <c r="L15" i="5"/>
  <c r="D8" i="46"/>
  <c r="N8" i="46" s="1"/>
  <c r="D13" i="46"/>
  <c r="N13" i="46" s="1"/>
  <c r="D16" i="46"/>
  <c r="N16" i="46" s="1"/>
  <c r="D20" i="46"/>
  <c r="N20" i="46" s="1"/>
  <c r="D25" i="46"/>
  <c r="N25" i="46" s="1"/>
  <c r="E12" i="46"/>
  <c r="O12" i="46" s="1"/>
  <c r="E14" i="46"/>
  <c r="O14" i="46" s="1"/>
  <c r="F8" i="46"/>
  <c r="P8" i="46" s="1"/>
  <c r="F10" i="46"/>
  <c r="P10" i="46" s="1"/>
  <c r="F12" i="46"/>
  <c r="P12" i="46" s="1"/>
  <c r="F14" i="46"/>
  <c r="P14" i="46" s="1"/>
  <c r="F16" i="46"/>
  <c r="P16" i="46" s="1"/>
  <c r="F21" i="46"/>
  <c r="P21" i="46" s="1"/>
  <c r="G8" i="46"/>
  <c r="Q8" i="46" s="1"/>
  <c r="G16" i="46"/>
  <c r="Q16" i="46" s="1"/>
  <c r="G25" i="46"/>
  <c r="Q25" i="46" s="1"/>
  <c r="H11" i="46"/>
  <c r="R11" i="46" s="1"/>
  <c r="K9" i="46"/>
  <c r="U9" i="46" s="1"/>
  <c r="K17" i="46"/>
  <c r="U17" i="46" s="1"/>
  <c r="D11" i="5"/>
  <c r="L28" i="5"/>
  <c r="E20" i="5"/>
  <c r="H19" i="5"/>
  <c r="K18" i="5"/>
  <c r="H18" i="5"/>
  <c r="K17" i="5"/>
  <c r="O16" i="5"/>
  <c r="F14" i="5"/>
  <c r="G17" i="5"/>
  <c r="G29" i="5"/>
  <c r="J28" i="5"/>
  <c r="N26" i="5"/>
  <c r="F22" i="5"/>
  <c r="J26" i="5"/>
  <c r="N25" i="5"/>
  <c r="H14" i="5"/>
  <c r="F29" i="5"/>
  <c r="F21" i="5"/>
  <c r="I20" i="5"/>
  <c r="N24" i="5"/>
  <c r="F20" i="5"/>
  <c r="I19" i="5"/>
  <c r="M18" i="5"/>
  <c r="E30" i="5"/>
  <c r="K29" i="5"/>
  <c r="F18" i="5"/>
  <c r="I17" i="5"/>
  <c r="N21" i="5"/>
  <c r="F17" i="5"/>
  <c r="J21" i="5"/>
  <c r="N20" i="5"/>
  <c r="H26" i="5"/>
  <c r="K25" i="5"/>
  <c r="N19" i="5"/>
  <c r="M17" i="5"/>
  <c r="F16" i="5"/>
  <c r="I15" i="5"/>
  <c r="M30" i="5"/>
  <c r="E10" i="5"/>
  <c r="G19" i="5"/>
  <c r="J18" i="5"/>
  <c r="M13" i="5"/>
  <c r="D14" i="5"/>
  <c r="J17" i="5"/>
  <c r="M11" i="5"/>
  <c r="J16" i="5"/>
  <c r="N31" i="5"/>
  <c r="H20" i="5"/>
  <c r="K19" i="5"/>
  <c r="O17" i="5"/>
  <c r="L17" i="5"/>
  <c r="I27" i="5"/>
  <c r="G27" i="5"/>
  <c r="D18" i="5"/>
  <c r="E10" i="46"/>
  <c r="O10" i="46" s="1"/>
  <c r="C9" i="46"/>
  <c r="M9" i="46" s="1"/>
  <c r="J25" i="46"/>
  <c r="T25" i="46" s="1"/>
  <c r="J22" i="46"/>
  <c r="T22" i="46" s="1"/>
  <c r="J20" i="46"/>
  <c r="T20" i="46" s="1"/>
  <c r="J18" i="46"/>
  <c r="T18" i="46" s="1"/>
  <c r="J16" i="46"/>
  <c r="T16" i="46" s="1"/>
  <c r="J14" i="46"/>
  <c r="T14" i="46" s="1"/>
  <c r="J12" i="46"/>
  <c r="T12" i="46" s="1"/>
  <c r="J10" i="46"/>
  <c r="T10" i="46" s="1"/>
  <c r="J8" i="46"/>
  <c r="T8" i="46" s="1"/>
  <c r="I26" i="46"/>
  <c r="S26" i="46" s="1"/>
  <c r="I23" i="46"/>
  <c r="S23" i="46" s="1"/>
  <c r="I21" i="46"/>
  <c r="S21" i="46" s="1"/>
  <c r="I19" i="46"/>
  <c r="S19" i="46" s="1"/>
  <c r="I17" i="46"/>
  <c r="S17" i="46" s="1"/>
  <c r="I15" i="46"/>
  <c r="S15" i="46" s="1"/>
  <c r="I13" i="46"/>
  <c r="S13" i="46" s="1"/>
  <c r="I11" i="46"/>
  <c r="S11" i="46" s="1"/>
  <c r="I9" i="46"/>
  <c r="S9" i="46" s="1"/>
  <c r="I7" i="46"/>
  <c r="H25" i="46"/>
  <c r="R25" i="46" s="1"/>
  <c r="H22" i="46"/>
  <c r="R22" i="46" s="1"/>
  <c r="H20" i="46"/>
  <c r="R20" i="46" s="1"/>
  <c r="H18" i="46"/>
  <c r="R18" i="46" s="1"/>
  <c r="H16" i="46"/>
  <c r="R16" i="46" s="1"/>
  <c r="H14" i="46"/>
  <c r="R14" i="46" s="1"/>
  <c r="H12" i="46"/>
  <c r="R12" i="46" s="1"/>
  <c r="H10" i="46"/>
  <c r="R10" i="46" s="1"/>
  <c r="H8" i="46"/>
  <c r="R8" i="46" s="1"/>
  <c r="G26" i="46"/>
  <c r="Q26" i="46" s="1"/>
  <c r="G23" i="46"/>
  <c r="Q23" i="46" s="1"/>
  <c r="G21" i="46"/>
  <c r="Q21" i="46" s="1"/>
  <c r="G19" i="46"/>
  <c r="Q19" i="46" s="1"/>
  <c r="G17" i="46"/>
  <c r="Q17" i="46" s="1"/>
  <c r="G15" i="46"/>
  <c r="Q15" i="46" s="1"/>
  <c r="G13" i="46"/>
  <c r="Q13" i="46" s="1"/>
  <c r="G11" i="46"/>
  <c r="Q11" i="46" s="1"/>
  <c r="G9" i="46"/>
  <c r="Q9" i="46" s="1"/>
  <c r="G7" i="46"/>
  <c r="F25" i="46"/>
  <c r="P25" i="46" s="1"/>
  <c r="F22" i="46"/>
  <c r="P22" i="46" s="1"/>
  <c r="F20" i="46"/>
  <c r="P20" i="46" s="1"/>
  <c r="F18" i="46"/>
  <c r="P18" i="46" s="1"/>
  <c r="E15" i="46"/>
  <c r="O15" i="46" s="1"/>
  <c r="C10" i="46"/>
  <c r="M10" i="46" s="1"/>
  <c r="C25" i="46"/>
  <c r="M25" i="46" s="1"/>
  <c r="C12" i="46"/>
  <c r="M12" i="46" s="1"/>
  <c r="C14" i="46"/>
  <c r="M14" i="46" s="1"/>
  <c r="C16" i="46"/>
  <c r="M16" i="46" s="1"/>
  <c r="C18" i="46"/>
  <c r="M18" i="46" s="1"/>
  <c r="E9" i="46"/>
  <c r="O9" i="46" s="1"/>
  <c r="J26" i="46"/>
  <c r="T26" i="46" s="1"/>
  <c r="J23" i="46"/>
  <c r="T23" i="46" s="1"/>
  <c r="J21" i="46"/>
  <c r="T21" i="46" s="1"/>
  <c r="J19" i="46"/>
  <c r="T19" i="46" s="1"/>
  <c r="J17" i="46"/>
  <c r="T17" i="46" s="1"/>
  <c r="J15" i="46"/>
  <c r="T15" i="46" s="1"/>
  <c r="J13" i="46"/>
  <c r="T13" i="46" s="1"/>
  <c r="J11" i="46"/>
  <c r="T11" i="46" s="1"/>
  <c r="J9" i="46"/>
  <c r="T9" i="46" s="1"/>
  <c r="J7" i="46"/>
  <c r="I25" i="46"/>
  <c r="S25" i="46" s="1"/>
  <c r="I22" i="46"/>
  <c r="S22" i="46" s="1"/>
  <c r="I20" i="46"/>
  <c r="S20" i="46" s="1"/>
  <c r="I18" i="46"/>
  <c r="S18" i="46" s="1"/>
  <c r="I16" i="46"/>
  <c r="S16" i="46" s="1"/>
  <c r="I14" i="46"/>
  <c r="S14" i="46" s="1"/>
  <c r="I12" i="46"/>
  <c r="S12" i="46" s="1"/>
  <c r="I10" i="46"/>
  <c r="S10" i="46" s="1"/>
  <c r="I8" i="46"/>
  <c r="S8" i="46" s="1"/>
  <c r="H26" i="46"/>
  <c r="R26" i="46" s="1"/>
  <c r="H23" i="46"/>
  <c r="R23" i="46" s="1"/>
  <c r="H21" i="46"/>
  <c r="R21" i="46" s="1"/>
  <c r="H19" i="46"/>
  <c r="R19" i="46" s="1"/>
  <c r="H17" i="46"/>
  <c r="R17" i="46" s="1"/>
  <c r="H15" i="46"/>
  <c r="R15" i="46" s="1"/>
  <c r="F7" i="46"/>
  <c r="D11" i="46"/>
  <c r="N11" i="46" s="1"/>
  <c r="C8" i="46"/>
  <c r="M8" i="46" s="1"/>
  <c r="C11" i="46"/>
  <c r="M11" i="46" s="1"/>
  <c r="C13" i="46"/>
  <c r="M13" i="46" s="1"/>
  <c r="C15" i="46"/>
  <c r="M15" i="46" s="1"/>
  <c r="C17" i="46"/>
  <c r="M17" i="46" s="1"/>
  <c r="C19" i="46"/>
  <c r="M19" i="46" s="1"/>
  <c r="C22" i="46"/>
  <c r="M22" i="46" s="1"/>
  <c r="K25" i="46"/>
  <c r="U25" i="46" s="1"/>
  <c r="K22" i="46"/>
  <c r="U22" i="46" s="1"/>
  <c r="K20" i="46"/>
  <c r="U20" i="46" s="1"/>
  <c r="K18" i="46"/>
  <c r="U18" i="46" s="1"/>
  <c r="K16" i="46"/>
  <c r="U16" i="46" s="1"/>
  <c r="K14" i="46"/>
  <c r="U14" i="46" s="1"/>
  <c r="K12" i="46"/>
  <c r="U12" i="46" s="1"/>
  <c r="K10" i="46"/>
  <c r="U10" i="46" s="1"/>
  <c r="K8" i="46"/>
  <c r="U8" i="46" s="1"/>
  <c r="D10" i="46"/>
  <c r="N10" i="46" s="1"/>
  <c r="D17" i="46"/>
  <c r="N17" i="46" s="1"/>
  <c r="D21" i="46"/>
  <c r="N21" i="46" s="1"/>
  <c r="D26" i="46"/>
  <c r="N26" i="46" s="1"/>
  <c r="E17" i="46"/>
  <c r="O17" i="46" s="1"/>
  <c r="E19" i="46"/>
  <c r="O19" i="46" s="1"/>
  <c r="E21" i="46"/>
  <c r="O21" i="46" s="1"/>
  <c r="E23" i="46"/>
  <c r="O23" i="46" s="1"/>
  <c r="E26" i="46"/>
  <c r="O26" i="46" s="1"/>
  <c r="F19" i="46"/>
  <c r="P19" i="46" s="1"/>
  <c r="G14" i="46"/>
  <c r="Q14" i="46" s="1"/>
  <c r="G22" i="46"/>
  <c r="Q22" i="46" s="1"/>
  <c r="H9" i="46"/>
  <c r="R9" i="46" s="1"/>
  <c r="K7" i="46"/>
  <c r="K15" i="46"/>
  <c r="U15" i="46" s="1"/>
  <c r="K23" i="46"/>
  <c r="U23" i="46" s="1"/>
  <c r="E11" i="46"/>
  <c r="O11" i="46" s="1"/>
  <c r="E13" i="46"/>
  <c r="O13" i="46" s="1"/>
  <c r="F9" i="46"/>
  <c r="P9" i="46" s="1"/>
  <c r="F11" i="46"/>
  <c r="P11" i="46" s="1"/>
  <c r="F13" i="46"/>
  <c r="P13" i="46" s="1"/>
  <c r="F15" i="46"/>
  <c r="P15" i="46" s="1"/>
  <c r="F17" i="46"/>
  <c r="P17" i="46" s="1"/>
  <c r="F26" i="46"/>
  <c r="P26" i="46" s="1"/>
  <c r="G12" i="46"/>
  <c r="Q12" i="46" s="1"/>
  <c r="G20" i="46"/>
  <c r="Q20" i="46" s="1"/>
  <c r="H7" i="46"/>
  <c r="K13" i="46"/>
  <c r="U13" i="46" s="1"/>
  <c r="K21" i="46"/>
  <c r="U21" i="46" s="1"/>
  <c r="M23" i="5"/>
  <c r="O31" i="5"/>
  <c r="C408" i="41"/>
  <c r="C26" i="46"/>
  <c r="M26" i="46" s="1"/>
  <c r="D9" i="46"/>
  <c r="N9" i="46" s="1"/>
  <c r="I197" i="50"/>
  <c r="O24" i="5"/>
  <c r="F409" i="41"/>
  <c r="C21" i="46"/>
  <c r="M21" i="46" s="1"/>
  <c r="D23" i="50"/>
  <c r="I23" i="50"/>
  <c r="G23" i="50"/>
  <c r="I179" i="50"/>
  <c r="O29" i="5"/>
  <c r="C23" i="46"/>
  <c r="M23" i="46" s="1"/>
  <c r="C20" i="46"/>
  <c r="M20" i="46" s="1"/>
  <c r="D31" i="5"/>
  <c r="O47" i="5"/>
  <c r="H419" i="41"/>
  <c r="H408" i="41"/>
  <c r="O86" i="5"/>
  <c r="K86" i="5"/>
  <c r="T215" i="50"/>
  <c r="T232" i="50" s="1"/>
  <c r="E84" i="5"/>
  <c r="E81" i="46"/>
  <c r="R81" i="46" s="1"/>
  <c r="O48" i="5"/>
  <c r="N47" i="5"/>
  <c r="K84" i="5"/>
  <c r="U161" i="50"/>
  <c r="J83" i="5"/>
  <c r="U143" i="50"/>
  <c r="O39" i="5"/>
  <c r="R215" i="50"/>
  <c r="R232" i="50" s="1"/>
  <c r="M215" i="50"/>
  <c r="M232" i="50" s="1"/>
  <c r="C52" i="46"/>
  <c r="O52" i="46" s="1"/>
  <c r="C60" i="46"/>
  <c r="O60" i="46" s="1"/>
  <c r="E61" i="5"/>
  <c r="E62" i="46"/>
  <c r="Q62" i="46" s="1"/>
  <c r="G64" i="46"/>
  <c r="S64" i="46" s="1"/>
  <c r="N54" i="5"/>
  <c r="T197" i="50"/>
  <c r="E53" i="5"/>
  <c r="F54" i="5"/>
  <c r="F63" i="5"/>
  <c r="G55" i="5"/>
  <c r="G63" i="5"/>
  <c r="H63" i="5"/>
  <c r="H54" i="5"/>
  <c r="H66" i="5"/>
  <c r="I66" i="5"/>
  <c r="I53" i="5"/>
  <c r="D56" i="5"/>
  <c r="D68" i="5"/>
  <c r="D48" i="46"/>
  <c r="P48" i="46" s="1"/>
  <c r="D52" i="46"/>
  <c r="P52" i="46" s="1"/>
  <c r="D55" i="46"/>
  <c r="P55" i="46" s="1"/>
  <c r="E55" i="46"/>
  <c r="Q55" i="46" s="1"/>
  <c r="F62" i="5"/>
  <c r="F65" i="5"/>
  <c r="G59" i="5"/>
  <c r="H51" i="46"/>
  <c r="T51" i="46" s="1"/>
  <c r="H56" i="46"/>
  <c r="T56" i="46" s="1"/>
  <c r="H60" i="46"/>
  <c r="T60" i="46" s="1"/>
  <c r="J58" i="46"/>
  <c r="V58" i="46" s="1"/>
  <c r="J62" i="46"/>
  <c r="V62" i="46" s="1"/>
  <c r="J66" i="46"/>
  <c r="V66" i="46" s="1"/>
  <c r="K49" i="46"/>
  <c r="L56" i="5"/>
  <c r="K57" i="46"/>
  <c r="W57" i="46" s="1"/>
  <c r="K60" i="46"/>
  <c r="W60" i="46" s="1"/>
  <c r="N51" i="5"/>
  <c r="O65" i="5"/>
  <c r="K64" i="46"/>
  <c r="W64" i="46" s="1"/>
  <c r="J54" i="46"/>
  <c r="V54" i="46" s="1"/>
  <c r="O54" i="5"/>
  <c r="K57" i="5"/>
  <c r="M58" i="5"/>
  <c r="I59" i="5"/>
  <c r="O60" i="5"/>
  <c r="K62" i="5"/>
  <c r="M64" i="5"/>
  <c r="N66" i="5"/>
  <c r="N67" i="5"/>
  <c r="M69" i="5"/>
  <c r="N70" i="5"/>
  <c r="H63" i="46"/>
  <c r="G66" i="46"/>
  <c r="S66" i="46" s="1"/>
  <c r="G60" i="46"/>
  <c r="S60" i="46" s="1"/>
  <c r="G57" i="46"/>
  <c r="S57" i="46" s="1"/>
  <c r="F65" i="46"/>
  <c r="R65" i="46" s="1"/>
  <c r="F52" i="46"/>
  <c r="R52" i="46" s="1"/>
  <c r="E64" i="46"/>
  <c r="Q64" i="46" s="1"/>
  <c r="E51" i="46"/>
  <c r="Q51" i="46" s="1"/>
  <c r="D57" i="46"/>
  <c r="P57" i="46" s="1"/>
  <c r="C61" i="46"/>
  <c r="O61" i="46" s="1"/>
  <c r="K58" i="46"/>
  <c r="W58" i="46" s="1"/>
  <c r="N53" i="5"/>
  <c r="O55" i="5"/>
  <c r="M57" i="5"/>
  <c r="N58" i="5"/>
  <c r="J59" i="5"/>
  <c r="L61" i="5"/>
  <c r="M62" i="5"/>
  <c r="N64" i="5"/>
  <c r="O66" i="5"/>
  <c r="O67" i="5"/>
  <c r="N69" i="5"/>
  <c r="O70" i="5"/>
  <c r="J53" i="46"/>
  <c r="V53" i="46" s="1"/>
  <c r="I50" i="46"/>
  <c r="U50" i="46" s="1"/>
  <c r="H50" i="46"/>
  <c r="T50" i="46" s="1"/>
  <c r="F67" i="46"/>
  <c r="R67" i="46" s="1"/>
  <c r="E66" i="46"/>
  <c r="Q66" i="46" s="1"/>
  <c r="E57" i="46"/>
  <c r="Q57" i="46" s="1"/>
  <c r="D59" i="46"/>
  <c r="P59" i="46" s="1"/>
  <c r="D50" i="46"/>
  <c r="P50" i="46" s="1"/>
  <c r="K61" i="46"/>
  <c r="W61" i="46" s="1"/>
  <c r="J59" i="46"/>
  <c r="V59" i="46" s="1"/>
  <c r="O53" i="5"/>
  <c r="N56" i="5"/>
  <c r="N57" i="5"/>
  <c r="O58" i="5"/>
  <c r="N59" i="5"/>
  <c r="M61" i="5"/>
  <c r="O62" i="5"/>
  <c r="O64" i="5"/>
  <c r="L67" i="5"/>
  <c r="N68" i="5"/>
  <c r="O69" i="5"/>
  <c r="O51" i="5"/>
  <c r="I53" i="46"/>
  <c r="U53" i="46" s="1"/>
  <c r="F57" i="46"/>
  <c r="R57" i="46" s="1"/>
  <c r="C56" i="46"/>
  <c r="O56" i="46" s="1"/>
  <c r="D54" i="46"/>
  <c r="P54" i="46" s="1"/>
  <c r="F59" i="46"/>
  <c r="R59" i="46" s="1"/>
  <c r="O59" i="5"/>
  <c r="P215" i="50"/>
  <c r="P232" i="50" s="1"/>
  <c r="S125" i="50"/>
  <c r="E60" i="5"/>
  <c r="E70" i="5"/>
  <c r="E58" i="5"/>
  <c r="F60" i="5"/>
  <c r="F69" i="5"/>
  <c r="H52" i="5"/>
  <c r="F58" i="5"/>
  <c r="H69" i="5"/>
  <c r="I55" i="5"/>
  <c r="I65" i="5"/>
  <c r="G71" i="5"/>
  <c r="I69" i="5"/>
  <c r="J65" i="5"/>
  <c r="C50" i="46"/>
  <c r="O50" i="46" s="1"/>
  <c r="C54" i="46"/>
  <c r="O54" i="46" s="1"/>
  <c r="D61" i="5"/>
  <c r="D65" i="5"/>
  <c r="C66" i="46"/>
  <c r="O66" i="46" s="1"/>
  <c r="D49" i="46"/>
  <c r="E63" i="5"/>
  <c r="D64" i="46"/>
  <c r="P64" i="46" s="1"/>
  <c r="D67" i="46"/>
  <c r="P67" i="46" s="1"/>
  <c r="E49" i="46"/>
  <c r="E52" i="46"/>
  <c r="Q52" i="46" s="1"/>
  <c r="E56" i="46"/>
  <c r="Q56" i="46" s="1"/>
  <c r="E67" i="46"/>
  <c r="Q67" i="46" s="1"/>
  <c r="F50" i="46"/>
  <c r="R50" i="46" s="1"/>
  <c r="G51" i="46"/>
  <c r="S51" i="46" s="1"/>
  <c r="G54" i="46"/>
  <c r="S54" i="46" s="1"/>
  <c r="I55" i="46"/>
  <c r="U55" i="46" s="1"/>
  <c r="I60" i="46"/>
  <c r="U60" i="46" s="1"/>
  <c r="I64" i="46"/>
  <c r="U64" i="46" s="1"/>
  <c r="J51" i="46"/>
  <c r="V51" i="46" s="1"/>
  <c r="M70" i="5"/>
  <c r="O63" i="5"/>
  <c r="O57" i="5"/>
  <c r="O52" i="5"/>
  <c r="I48" i="46"/>
  <c r="U48" i="46" s="1"/>
  <c r="D51" i="46"/>
  <c r="P51" i="46" s="1"/>
  <c r="E58" i="46"/>
  <c r="Q58" i="46" s="1"/>
  <c r="F63" i="46"/>
  <c r="M67" i="5"/>
  <c r="O215" i="50"/>
  <c r="O232" i="50" s="1"/>
  <c r="O197" i="50"/>
  <c r="O161" i="50"/>
  <c r="E51" i="5"/>
  <c r="E71" i="5"/>
  <c r="E57" i="5"/>
  <c r="F52" i="5"/>
  <c r="G60" i="5"/>
  <c r="G68" i="5"/>
  <c r="F57" i="5"/>
  <c r="F70" i="5"/>
  <c r="N60" i="5"/>
  <c r="D64" i="5"/>
  <c r="J56" i="5"/>
  <c r="H70" i="5"/>
  <c r="C51" i="46"/>
  <c r="O51" i="46" s="1"/>
  <c r="D58" i="5"/>
  <c r="D62" i="5"/>
  <c r="D61" i="46"/>
  <c r="P61" i="46" s="1"/>
  <c r="D65" i="46"/>
  <c r="P65" i="46" s="1"/>
  <c r="I52" i="46"/>
  <c r="U52" i="46" s="1"/>
  <c r="O68" i="5"/>
  <c r="O61" i="5"/>
  <c r="O56" i="5"/>
  <c r="E65" i="46"/>
  <c r="Q65" i="46" s="1"/>
  <c r="F71" i="5"/>
  <c r="F53" i="46"/>
  <c r="R53" i="46" s="1"/>
  <c r="F60" i="46"/>
  <c r="R60" i="46" s="1"/>
  <c r="G66" i="5"/>
  <c r="F66" i="46"/>
  <c r="R66" i="46" s="1"/>
  <c r="G48" i="46"/>
  <c r="S48" i="46" s="1"/>
  <c r="G55" i="46"/>
  <c r="S55" i="46" s="1"/>
  <c r="G58" i="46"/>
  <c r="S58" i="46" s="1"/>
  <c r="H64" i="5"/>
  <c r="H67" i="5"/>
  <c r="G67" i="46"/>
  <c r="S67" i="46" s="1"/>
  <c r="H49" i="46"/>
  <c r="H52" i="46"/>
  <c r="T52" i="46" s="1"/>
  <c r="H57" i="46"/>
  <c r="T57" i="46" s="1"/>
  <c r="H61" i="46"/>
  <c r="T61" i="46" s="1"/>
  <c r="I67" i="5"/>
  <c r="I49" i="46"/>
  <c r="I57" i="46"/>
  <c r="U57" i="46" s="1"/>
  <c r="J64" i="5"/>
  <c r="J48" i="46"/>
  <c r="V48" i="46" s="1"/>
  <c r="J52" i="46"/>
  <c r="V52" i="46" s="1"/>
  <c r="J55" i="46"/>
  <c r="V55" i="46" s="1"/>
  <c r="J63" i="46"/>
  <c r="K70" i="5"/>
  <c r="K50" i="46"/>
  <c r="W50" i="46" s="1"/>
  <c r="K54" i="46"/>
  <c r="W54" i="46" s="1"/>
  <c r="L60" i="5"/>
  <c r="L64" i="5"/>
  <c r="L68" i="5"/>
  <c r="M55" i="5"/>
  <c r="M59" i="5"/>
  <c r="N61" i="5"/>
  <c r="H67" i="46"/>
  <c r="T67" i="46" s="1"/>
  <c r="O179" i="50"/>
  <c r="D66" i="5"/>
  <c r="C67" i="46"/>
  <c r="O67" i="46" s="1"/>
  <c r="E55" i="5"/>
  <c r="E59" i="5"/>
  <c r="D62" i="46"/>
  <c r="P62" i="46" s="1"/>
  <c r="E50" i="46"/>
  <c r="Q50" i="46" s="1"/>
  <c r="E53" i="46"/>
  <c r="Q53" i="46" s="1"/>
  <c r="E60" i="46"/>
  <c r="Q60" i="46" s="1"/>
  <c r="F66" i="5"/>
  <c r="F48" i="46"/>
  <c r="R48" i="46" s="1"/>
  <c r="F51" i="46"/>
  <c r="R51" i="46" s="1"/>
  <c r="F54" i="46"/>
  <c r="R54" i="46" s="1"/>
  <c r="G64" i="5"/>
  <c r="F64" i="46"/>
  <c r="R64" i="46" s="1"/>
  <c r="G49" i="46"/>
  <c r="G52" i="46"/>
  <c r="S52" i="46" s="1"/>
  <c r="G56" i="46"/>
  <c r="S56" i="46" s="1"/>
  <c r="G59" i="46"/>
  <c r="S59" i="46" s="1"/>
  <c r="H65" i="5"/>
  <c r="G65" i="46"/>
  <c r="S65" i="46" s="1"/>
  <c r="H53" i="46"/>
  <c r="T53" i="46" s="1"/>
  <c r="H58" i="46"/>
  <c r="T58" i="46" s="1"/>
  <c r="H62" i="46"/>
  <c r="T62" i="46" s="1"/>
  <c r="H65" i="46"/>
  <c r="T65" i="46" s="1"/>
  <c r="I58" i="46"/>
  <c r="U58" i="46" s="1"/>
  <c r="I62" i="46"/>
  <c r="U62" i="46" s="1"/>
  <c r="I66" i="46"/>
  <c r="U66" i="46" s="1"/>
  <c r="J49" i="46"/>
  <c r="J56" i="46"/>
  <c r="V56" i="46" s="1"/>
  <c r="J60" i="46"/>
  <c r="V60" i="46" s="1"/>
  <c r="J64" i="46"/>
  <c r="V64" i="46" s="1"/>
  <c r="K51" i="46"/>
  <c r="W51" i="46" s="1"/>
  <c r="K55" i="46"/>
  <c r="W55" i="46" s="1"/>
  <c r="K62" i="46"/>
  <c r="W62" i="46" s="1"/>
  <c r="L69" i="5"/>
  <c r="N55" i="5"/>
  <c r="I56" i="46"/>
  <c r="U56" i="46" s="1"/>
  <c r="P179" i="50"/>
  <c r="C57" i="46"/>
  <c r="O57" i="46" s="1"/>
  <c r="C64" i="46"/>
  <c r="O64" i="46" s="1"/>
  <c r="C68" i="46"/>
  <c r="O68" i="46" s="1"/>
  <c r="E56" i="5"/>
  <c r="E62" i="5"/>
  <c r="D63" i="46"/>
  <c r="D66" i="46"/>
  <c r="P66" i="46" s="1"/>
  <c r="E48" i="46"/>
  <c r="Q48" i="46" s="1"/>
  <c r="E54" i="46"/>
  <c r="Q54" i="46" s="1"/>
  <c r="E61" i="46"/>
  <c r="Q61" i="46" s="1"/>
  <c r="F49" i="46"/>
  <c r="F55" i="46"/>
  <c r="R55" i="46" s="1"/>
  <c r="G61" i="5"/>
  <c r="F62" i="46"/>
  <c r="R62" i="46" s="1"/>
  <c r="G50" i="46"/>
  <c r="S50" i="46" s="1"/>
  <c r="G53" i="46"/>
  <c r="S53" i="46" s="1"/>
  <c r="G63" i="46"/>
  <c r="I57" i="5"/>
  <c r="I62" i="5"/>
  <c r="H66" i="46"/>
  <c r="T66" i="46" s="1"/>
  <c r="I51" i="46"/>
  <c r="U51" i="46" s="1"/>
  <c r="I54" i="46"/>
  <c r="U54" i="46" s="1"/>
  <c r="I59" i="46"/>
  <c r="U59" i="46" s="1"/>
  <c r="I63" i="46"/>
  <c r="J70" i="5"/>
  <c r="J50" i="46"/>
  <c r="V50" i="46" s="1"/>
  <c r="K60" i="5"/>
  <c r="J61" i="46"/>
  <c r="V61" i="46" s="1"/>
  <c r="J65" i="46"/>
  <c r="V65" i="46" s="1"/>
  <c r="L51" i="5"/>
  <c r="L55" i="5"/>
  <c r="K56" i="46"/>
  <c r="W56" i="46" s="1"/>
  <c r="K59" i="46"/>
  <c r="W59" i="46" s="1"/>
  <c r="K63" i="46"/>
  <c r="K67" i="46"/>
  <c r="W67" i="46" s="1"/>
  <c r="M65" i="5"/>
  <c r="N63" i="5"/>
  <c r="J53" i="5"/>
  <c r="H55" i="46"/>
  <c r="T55" i="46" s="1"/>
  <c r="P107" i="50"/>
  <c r="P89" i="50"/>
  <c r="T89" i="50"/>
  <c r="S41" i="50"/>
  <c r="E69" i="5"/>
  <c r="F68" i="5"/>
  <c r="H56" i="5"/>
  <c r="G57" i="5"/>
  <c r="G67" i="5"/>
  <c r="G51" i="5"/>
  <c r="C58" i="46"/>
  <c r="O58" i="46" s="1"/>
  <c r="C65" i="46"/>
  <c r="O65" i="46" s="1"/>
  <c r="P23" i="50"/>
  <c r="R107" i="50"/>
  <c r="T107" i="50"/>
  <c r="P41" i="50"/>
  <c r="R41" i="50"/>
  <c r="S89" i="50"/>
  <c r="J55" i="5"/>
  <c r="D56" i="46"/>
  <c r="P56" i="46" s="1"/>
  <c r="D58" i="46"/>
  <c r="P58" i="46" s="1"/>
  <c r="D60" i="46"/>
  <c r="P60" i="46" s="1"/>
  <c r="F56" i="46"/>
  <c r="R56" i="46" s="1"/>
  <c r="F58" i="46"/>
  <c r="R58" i="46" s="1"/>
  <c r="C63" i="46"/>
  <c r="V106" i="50"/>
  <c r="V90" i="50"/>
  <c r="E67" i="5"/>
  <c r="F56" i="5"/>
  <c r="G52" i="5"/>
  <c r="G65" i="5"/>
  <c r="G69" i="5"/>
  <c r="F61" i="5"/>
  <c r="H68" i="5"/>
  <c r="E63" i="46"/>
  <c r="G62" i="46"/>
  <c r="S62" i="46" s="1"/>
  <c r="V84" i="50"/>
  <c r="T143" i="50"/>
  <c r="E54" i="5"/>
  <c r="G54" i="5"/>
  <c r="I60" i="5"/>
  <c r="I68" i="5"/>
  <c r="J51" i="5"/>
  <c r="V15" i="50"/>
  <c r="V80" i="50"/>
  <c r="V38" i="50"/>
  <c r="V26" i="50"/>
  <c r="F55" i="5"/>
  <c r="F51" i="5"/>
  <c r="G56" i="5"/>
  <c r="H57" i="5"/>
  <c r="I63" i="5"/>
  <c r="I58" i="5"/>
  <c r="I56" i="5"/>
  <c r="V14" i="50"/>
  <c r="V16" i="50"/>
  <c r="V92" i="50"/>
  <c r="V25" i="50"/>
  <c r="V36" i="50"/>
  <c r="D52" i="5"/>
  <c r="I54" i="5"/>
  <c r="H53" i="5"/>
  <c r="Q107" i="50"/>
  <c r="V88" i="50"/>
  <c r="O89" i="50"/>
  <c r="E52" i="5"/>
  <c r="H55" i="5"/>
  <c r="I52" i="5"/>
  <c r="H51" i="5"/>
  <c r="D53" i="46"/>
  <c r="P53" i="46" s="1"/>
  <c r="D70" i="5"/>
  <c r="D69" i="5"/>
  <c r="D57" i="5"/>
  <c r="V99" i="50"/>
  <c r="V91" i="50"/>
  <c r="V76" i="50"/>
  <c r="Q89" i="50"/>
  <c r="V33" i="50"/>
  <c r="N39" i="5"/>
  <c r="H73" i="46"/>
  <c r="U73" i="46" s="1"/>
  <c r="J75" i="5"/>
  <c r="D418" i="44"/>
  <c r="I83" i="5"/>
  <c r="O45" i="5"/>
  <c r="O38" i="5"/>
  <c r="V229" i="50"/>
  <c r="N81" i="5"/>
  <c r="L76" i="5"/>
  <c r="K74" i="5"/>
  <c r="I82" i="46"/>
  <c r="V82" i="46" s="1"/>
  <c r="L418" i="44"/>
  <c r="J74" i="46"/>
  <c r="W74" i="46" s="1"/>
  <c r="J76" i="5"/>
  <c r="L58" i="5"/>
  <c r="M51" i="5"/>
  <c r="S197" i="50"/>
  <c r="R197" i="50"/>
  <c r="M68" i="5"/>
  <c r="T179" i="50"/>
  <c r="L70" i="5"/>
  <c r="K68" i="46"/>
  <c r="W68" i="46" s="1"/>
  <c r="S179" i="50"/>
  <c r="V100" i="50"/>
  <c r="J67" i="5"/>
  <c r="F59" i="5"/>
  <c r="O40" i="5"/>
  <c r="O36" i="5"/>
  <c r="N62" i="5"/>
  <c r="M66" i="5"/>
  <c r="P197" i="50"/>
  <c r="M60" i="5"/>
  <c r="M54" i="5"/>
  <c r="M53" i="5"/>
  <c r="L66" i="5"/>
  <c r="L62" i="5"/>
  <c r="L59" i="5"/>
  <c r="L57" i="5"/>
  <c r="L52" i="5"/>
  <c r="S161" i="50"/>
  <c r="V145" i="50"/>
  <c r="K61" i="5"/>
  <c r="O143" i="50"/>
  <c r="J62" i="5"/>
  <c r="H59" i="46"/>
  <c r="T59" i="46" s="1"/>
  <c r="O125" i="50"/>
  <c r="H62" i="5"/>
  <c r="O107" i="50"/>
  <c r="G62" i="5"/>
  <c r="V37" i="50"/>
  <c r="O41" i="50"/>
  <c r="V28" i="50"/>
  <c r="M419" i="41"/>
  <c r="O30" i="5"/>
  <c r="V224" i="50"/>
  <c r="O41" i="5"/>
  <c r="O37" i="5"/>
  <c r="N41" i="5"/>
  <c r="M47" i="5"/>
  <c r="I85" i="5"/>
  <c r="N418" i="44"/>
  <c r="I78" i="5"/>
  <c r="O414" i="44"/>
  <c r="G418" i="44"/>
  <c r="V12" i="50"/>
  <c r="V29" i="50"/>
  <c r="E59" i="46"/>
  <c r="Q59" i="46" s="1"/>
  <c r="K67" i="5"/>
  <c r="J57" i="46"/>
  <c r="V57" i="46" s="1"/>
  <c r="P161" i="50"/>
  <c r="K66" i="46"/>
  <c r="W66" i="46" s="1"/>
  <c r="R179" i="50"/>
  <c r="K48" i="46"/>
  <c r="W48" i="46" s="1"/>
  <c r="M63" i="5"/>
  <c r="V191" i="50"/>
  <c r="V212" i="50"/>
  <c r="V204" i="50"/>
  <c r="N43" i="5"/>
  <c r="V35" i="50"/>
  <c r="V31" i="50"/>
  <c r="V27" i="50"/>
  <c r="V24" i="50"/>
  <c r="V30" i="50"/>
  <c r="F76" i="5"/>
  <c r="H76" i="5"/>
  <c r="E418" i="44"/>
  <c r="J74" i="5"/>
  <c r="L82" i="5"/>
  <c r="M179" i="50"/>
  <c r="K79" i="46"/>
  <c r="X79" i="46" s="1"/>
  <c r="G58" i="5"/>
  <c r="K71" i="5"/>
  <c r="H68" i="46"/>
  <c r="T68" i="46" s="1"/>
  <c r="O71" i="5"/>
  <c r="G68" i="46"/>
  <c r="S68" i="46" s="1"/>
  <c r="J71" i="5"/>
  <c r="N71" i="5"/>
  <c r="L71" i="5"/>
  <c r="J68" i="46"/>
  <c r="V68" i="46" s="1"/>
  <c r="D68" i="46"/>
  <c r="P68" i="46" s="1"/>
  <c r="E68" i="46"/>
  <c r="Q68" i="46" s="1"/>
  <c r="F68" i="46"/>
  <c r="R68" i="46" s="1"/>
  <c r="M71" i="5"/>
  <c r="J57" i="5"/>
  <c r="J52" i="5"/>
  <c r="T161" i="50"/>
  <c r="J67" i="46"/>
  <c r="V67" i="46" s="1"/>
  <c r="K66" i="5"/>
  <c r="K64" i="5"/>
  <c r="V165" i="50"/>
  <c r="V169" i="50"/>
  <c r="K65" i="46"/>
  <c r="W65" i="46" s="1"/>
  <c r="L63" i="5"/>
  <c r="L54" i="5"/>
  <c r="L53" i="5"/>
  <c r="Q197" i="50"/>
  <c r="M52" i="5"/>
  <c r="M56" i="5"/>
  <c r="Q215" i="50"/>
  <c r="Q232" i="50" s="1"/>
  <c r="N65" i="5"/>
  <c r="N52" i="5"/>
  <c r="N30" i="5"/>
  <c r="O43" i="5"/>
  <c r="N38" i="5"/>
  <c r="H85" i="5"/>
  <c r="G83" i="46"/>
  <c r="T83" i="46" s="1"/>
  <c r="Q179" i="50"/>
  <c r="K69" i="5"/>
  <c r="R161" i="50"/>
  <c r="V152" i="50"/>
  <c r="V148" i="50"/>
  <c r="K68" i="5"/>
  <c r="K58" i="5"/>
  <c r="K54" i="5"/>
  <c r="S143" i="50"/>
  <c r="I68" i="46"/>
  <c r="U68" i="46" s="1"/>
  <c r="I67" i="46"/>
  <c r="U67" i="46" s="1"/>
  <c r="I61" i="46"/>
  <c r="U61" i="46" s="1"/>
  <c r="J61" i="5"/>
  <c r="Q125" i="50"/>
  <c r="V114" i="50"/>
  <c r="V124" i="50"/>
  <c r="V110" i="50"/>
  <c r="I64" i="5"/>
  <c r="V123" i="50"/>
  <c r="V108" i="50"/>
  <c r="V117" i="50"/>
  <c r="V119" i="50"/>
  <c r="V118" i="50"/>
  <c r="V115" i="50"/>
  <c r="V105" i="50"/>
  <c r="V101" i="50"/>
  <c r="V97" i="50"/>
  <c r="V93" i="50"/>
  <c r="V104" i="50"/>
  <c r="V96" i="50"/>
  <c r="V103" i="50"/>
  <c r="V95" i="50"/>
  <c r="G61" i="46"/>
  <c r="S61" i="46" s="1"/>
  <c r="V87" i="50"/>
  <c r="V83" i="50"/>
  <c r="V79" i="50"/>
  <c r="V75" i="50"/>
  <c r="V86" i="50"/>
  <c r="V82" i="50"/>
  <c r="V78" i="50"/>
  <c r="V74" i="50"/>
  <c r="F61" i="46"/>
  <c r="R61" i="46" s="1"/>
  <c r="X413" i="43"/>
  <c r="V10" i="50"/>
  <c r="O23" i="50"/>
  <c r="X412" i="43"/>
  <c r="F64" i="5"/>
  <c r="V20" i="50"/>
  <c r="V8" i="50"/>
  <c r="E64" i="5"/>
  <c r="O417" i="44"/>
  <c r="V230" i="50"/>
  <c r="G215" i="50"/>
  <c r="G232" i="50" s="1"/>
  <c r="L215" i="50"/>
  <c r="L232" i="50" s="1"/>
  <c r="V203" i="50"/>
  <c r="V201" i="50"/>
  <c r="N36" i="5"/>
  <c r="M45" i="5"/>
  <c r="M44" i="5"/>
  <c r="V178" i="50"/>
  <c r="N179" i="50"/>
  <c r="U125" i="50"/>
  <c r="V120" i="50"/>
  <c r="V111" i="50"/>
  <c r="V116" i="50"/>
  <c r="V113" i="50"/>
  <c r="H418" i="44"/>
  <c r="H79" i="5"/>
  <c r="V102" i="50"/>
  <c r="V98" i="50"/>
  <c r="V94" i="50"/>
  <c r="H75" i="5"/>
  <c r="U89" i="50"/>
  <c r="V42" i="50"/>
  <c r="M161" i="50"/>
  <c r="J80" i="46"/>
  <c r="W80" i="46" s="1"/>
  <c r="O416" i="44"/>
  <c r="V154" i="50"/>
  <c r="S107" i="50"/>
  <c r="H71" i="5"/>
  <c r="H58" i="5"/>
  <c r="X414" i="43"/>
  <c r="V122" i="50"/>
  <c r="I71" i="5"/>
  <c r="V139" i="50"/>
  <c r="V136" i="50"/>
  <c r="J66" i="5"/>
  <c r="J58" i="5"/>
  <c r="K59" i="5"/>
  <c r="K53" i="5"/>
  <c r="K51" i="5"/>
  <c r="L65" i="5"/>
  <c r="V174" i="50"/>
  <c r="V214" i="50"/>
  <c r="M36" i="5"/>
  <c r="L39" i="5"/>
  <c r="K35" i="46"/>
  <c r="V35" i="46" s="1"/>
  <c r="V175" i="50"/>
  <c r="V177" i="50"/>
  <c r="V170" i="50"/>
  <c r="V166" i="50"/>
  <c r="V159" i="50"/>
  <c r="V157" i="50"/>
  <c r="V155" i="50"/>
  <c r="V153" i="50"/>
  <c r="V150" i="50"/>
  <c r="V146" i="50"/>
  <c r="V149" i="50"/>
  <c r="J47" i="5"/>
  <c r="V219" i="50"/>
  <c r="V218" i="50"/>
  <c r="O23" i="5"/>
  <c r="V216" i="50"/>
  <c r="V210" i="50"/>
  <c r="V206" i="50"/>
  <c r="N22" i="5"/>
  <c r="N23" i="5"/>
  <c r="V222" i="50"/>
  <c r="V225" i="50"/>
  <c r="V221" i="50"/>
  <c r="V227" i="50"/>
  <c r="V223" i="50"/>
  <c r="V231" i="50"/>
  <c r="V220" i="50"/>
  <c r="V228" i="50"/>
  <c r="V205" i="50"/>
  <c r="N215" i="50"/>
  <c r="N232" i="50" s="1"/>
  <c r="V208" i="50"/>
  <c r="V200" i="50"/>
  <c r="V211" i="50"/>
  <c r="V202" i="50"/>
  <c r="N35" i="5"/>
  <c r="K215" i="50"/>
  <c r="K232" i="50" s="1"/>
  <c r="V199" i="50"/>
  <c r="M48" i="5"/>
  <c r="V187" i="50"/>
  <c r="V195" i="50"/>
  <c r="L197" i="50"/>
  <c r="V194" i="50"/>
  <c r="V190" i="50"/>
  <c r="V186" i="50"/>
  <c r="V181" i="50"/>
  <c r="V182" i="50"/>
  <c r="N197" i="50"/>
  <c r="V189" i="50"/>
  <c r="M40" i="5"/>
  <c r="M37" i="5"/>
  <c r="V184" i="50"/>
  <c r="V180" i="50"/>
  <c r="V193" i="50"/>
  <c r="M35" i="5"/>
  <c r="V196" i="50"/>
  <c r="V192" i="50"/>
  <c r="V188" i="50"/>
  <c r="K197" i="50"/>
  <c r="V171" i="50"/>
  <c r="L179" i="50"/>
  <c r="V167" i="50"/>
  <c r="V173" i="50"/>
  <c r="V176" i="50"/>
  <c r="V172" i="50"/>
  <c r="V168" i="50"/>
  <c r="V164" i="50"/>
  <c r="V162" i="50"/>
  <c r="K179" i="50"/>
  <c r="N161" i="50"/>
  <c r="V160" i="50"/>
  <c r="V158" i="50"/>
  <c r="V156" i="50"/>
  <c r="V151" i="50"/>
  <c r="V147" i="50"/>
  <c r="N143" i="50"/>
  <c r="V13" i="50"/>
  <c r="V21" i="50"/>
  <c r="V7" i="50"/>
  <c r="V11" i="50"/>
  <c r="V19" i="50"/>
  <c r="D44" i="5"/>
  <c r="C32" i="46"/>
  <c r="N32" i="46" s="1"/>
  <c r="I80" i="46"/>
  <c r="V80" i="46" s="1"/>
  <c r="K418" i="44"/>
  <c r="V140" i="50"/>
  <c r="O415" i="44"/>
  <c r="J81" i="5"/>
  <c r="O413" i="44"/>
  <c r="G75" i="5"/>
  <c r="F85" i="5"/>
  <c r="O411" i="44"/>
  <c r="F75" i="5"/>
  <c r="O410" i="44"/>
  <c r="E76" i="5"/>
  <c r="J418" i="44"/>
  <c r="D81" i="5"/>
  <c r="M418" i="44"/>
  <c r="I418" i="44"/>
  <c r="D80" i="5"/>
  <c r="C82" i="46"/>
  <c r="P82" i="46" s="1"/>
  <c r="F418" i="44"/>
  <c r="D76" i="5"/>
  <c r="K53" i="46"/>
  <c r="W53" i="46" s="1"/>
  <c r="K52" i="46"/>
  <c r="W52" i="46" s="1"/>
  <c r="X418" i="43"/>
  <c r="K65" i="5"/>
  <c r="Q161" i="50"/>
  <c r="K63" i="5"/>
  <c r="V144" i="50"/>
  <c r="K55" i="5"/>
  <c r="X417" i="43"/>
  <c r="K52" i="5"/>
  <c r="V121" i="50"/>
  <c r="V112" i="50"/>
  <c r="T125" i="50"/>
  <c r="I70" i="5"/>
  <c r="V109" i="50"/>
  <c r="V133" i="50"/>
  <c r="V142" i="50"/>
  <c r="V138" i="50"/>
  <c r="J69" i="5"/>
  <c r="R143" i="50"/>
  <c r="V132" i="50"/>
  <c r="V128" i="50"/>
  <c r="V141" i="50"/>
  <c r="V129" i="50"/>
  <c r="J68" i="5"/>
  <c r="V126" i="50"/>
  <c r="I65" i="46"/>
  <c r="U65" i="46" s="1"/>
  <c r="V135" i="50"/>
  <c r="V134" i="50"/>
  <c r="Q143" i="50"/>
  <c r="V137" i="50"/>
  <c r="V130" i="50"/>
  <c r="V131" i="50"/>
  <c r="V127" i="50"/>
  <c r="J63" i="5"/>
  <c r="P143" i="50"/>
  <c r="J60" i="5"/>
  <c r="X416" i="43"/>
  <c r="J54" i="5"/>
  <c r="R125" i="50"/>
  <c r="H64" i="46"/>
  <c r="T64" i="46" s="1"/>
  <c r="X415" i="43"/>
  <c r="I61" i="5"/>
  <c r="H54" i="46"/>
  <c r="T54" i="46" s="1"/>
  <c r="Q41" i="50"/>
  <c r="E66" i="5"/>
  <c r="V9" i="50"/>
  <c r="Q23" i="50"/>
  <c r="V18" i="50"/>
  <c r="V22" i="50"/>
  <c r="V17" i="50"/>
  <c r="D71" i="5"/>
  <c r="D67" i="5"/>
  <c r="C62" i="46"/>
  <c r="O62" i="46" s="1"/>
  <c r="D63" i="5"/>
  <c r="C59" i="46"/>
  <c r="O59" i="46" s="1"/>
  <c r="D60" i="5"/>
  <c r="D59" i="5"/>
  <c r="C55" i="46"/>
  <c r="O55" i="46" s="1"/>
  <c r="C53" i="46"/>
  <c r="O53" i="46" s="1"/>
  <c r="D54" i="5"/>
  <c r="D53" i="5"/>
  <c r="D55" i="5"/>
  <c r="D51" i="5"/>
  <c r="O28" i="5"/>
  <c r="V226" i="50"/>
  <c r="O21" i="5"/>
  <c r="V217" i="50"/>
  <c r="L408" i="41"/>
  <c r="V213" i="50"/>
  <c r="J215" i="50"/>
  <c r="J232" i="50" s="1"/>
  <c r="V207" i="50"/>
  <c r="H215" i="50"/>
  <c r="H232" i="50" s="1"/>
  <c r="V209" i="50"/>
  <c r="V198" i="50"/>
  <c r="S409" i="41"/>
  <c r="I215" i="50"/>
  <c r="I232" i="50" s="1"/>
  <c r="M408" i="41"/>
  <c r="V163" i="50"/>
  <c r="K31" i="5"/>
  <c r="V409" i="41"/>
  <c r="V408" i="41"/>
  <c r="V419" i="41"/>
  <c r="H197" i="50"/>
  <c r="V183" i="50"/>
  <c r="V185" i="50"/>
  <c r="M22" i="5"/>
  <c r="M409" i="41"/>
  <c r="E408" i="41"/>
  <c r="C24" i="46"/>
  <c r="Q409" i="41"/>
  <c r="Q408" i="41"/>
  <c r="Q419" i="41"/>
  <c r="D26" i="5"/>
  <c r="O408" i="41"/>
  <c r="S410" i="41"/>
  <c r="C23" i="50"/>
  <c r="H23" i="50"/>
  <c r="E19" i="5"/>
  <c r="S408" i="41"/>
  <c r="L419" i="41"/>
  <c r="O410" i="41"/>
  <c r="F419" i="41"/>
  <c r="L409" i="41"/>
  <c r="P410" i="41"/>
  <c r="D410" i="41"/>
  <c r="E26" i="5"/>
  <c r="O409" i="41"/>
  <c r="F410" i="41"/>
  <c r="E18" i="5"/>
  <c r="E23" i="5"/>
  <c r="E21" i="5"/>
  <c r="D12" i="46"/>
  <c r="N12" i="46" s="1"/>
  <c r="V6" i="50"/>
  <c r="E24" i="5"/>
  <c r="E31" i="5"/>
  <c r="E15" i="5"/>
  <c r="P419" i="41"/>
  <c r="J408" i="41"/>
  <c r="P409" i="41"/>
  <c r="E29" i="5"/>
  <c r="F408" i="41"/>
  <c r="U409" i="41"/>
  <c r="U408" i="41"/>
  <c r="U419" i="41"/>
  <c r="D24" i="5"/>
  <c r="W423" i="41"/>
  <c r="E12" i="56" s="1"/>
  <c r="N419" i="41"/>
  <c r="N408" i="41"/>
  <c r="N409" i="41"/>
  <c r="T419" i="41"/>
  <c r="T409" i="41"/>
  <c r="T408" i="41"/>
  <c r="E7" i="46" l="1"/>
  <c r="O7" i="46" s="1"/>
  <c r="W3" i="41"/>
  <c r="C419" i="43"/>
  <c r="X419" i="43" s="1"/>
  <c r="C49" i="46"/>
  <c r="L49" i="46" s="1"/>
  <c r="G34" i="5"/>
  <c r="F30" i="46"/>
  <c r="Q30" i="46" s="1"/>
  <c r="H48" i="46"/>
  <c r="T48" i="46" s="1"/>
  <c r="X410" i="43"/>
  <c r="G30" i="46"/>
  <c r="R30" i="46" s="1"/>
  <c r="H34" i="5"/>
  <c r="C419" i="42"/>
  <c r="O24" i="46"/>
  <c r="R24" i="46"/>
  <c r="O63" i="46"/>
  <c r="U63" i="46"/>
  <c r="P49" i="46"/>
  <c r="D69" i="46"/>
  <c r="T63" i="46"/>
  <c r="U24" i="46"/>
  <c r="U7" i="46"/>
  <c r="K27" i="46"/>
  <c r="S49" i="46"/>
  <c r="G69" i="46"/>
  <c r="Q24" i="46"/>
  <c r="P63" i="46"/>
  <c r="V49" i="46"/>
  <c r="J69" i="46"/>
  <c r="R63" i="46"/>
  <c r="N24" i="46"/>
  <c r="U49" i="46"/>
  <c r="I69" i="46"/>
  <c r="P7" i="46"/>
  <c r="F27" i="46"/>
  <c r="F96" i="46" s="1"/>
  <c r="S7" i="46"/>
  <c r="I27" i="46"/>
  <c r="M24" i="46"/>
  <c r="W49" i="46"/>
  <c r="K69" i="46"/>
  <c r="R7" i="46"/>
  <c r="H27" i="46"/>
  <c r="T7" i="46"/>
  <c r="J27" i="46"/>
  <c r="T24" i="46"/>
  <c r="T49" i="46"/>
  <c r="H69" i="46"/>
  <c r="Q49" i="46"/>
  <c r="E69" i="46"/>
  <c r="S63" i="46"/>
  <c r="P24" i="46"/>
  <c r="R49" i="46"/>
  <c r="F69" i="46"/>
  <c r="E27" i="46"/>
  <c r="V63" i="46"/>
  <c r="S24" i="46"/>
  <c r="Q63" i="46"/>
  <c r="W63" i="46"/>
  <c r="Q7" i="46"/>
  <c r="G27" i="46"/>
  <c r="G96" i="46" s="1"/>
  <c r="M7" i="46"/>
  <c r="C27" i="46"/>
  <c r="C96" i="46" s="1"/>
  <c r="X411" i="43"/>
  <c r="E65" i="5"/>
  <c r="P65" i="5" s="1"/>
  <c r="Q65" i="5" s="1"/>
  <c r="J419" i="42"/>
  <c r="R418" i="42"/>
  <c r="F12" i="5"/>
  <c r="D7" i="46"/>
  <c r="E12" i="5"/>
  <c r="W431" i="41"/>
  <c r="C432" i="41"/>
  <c r="W432" i="41" s="1"/>
  <c r="P86" i="5"/>
  <c r="Q86" i="5" s="1"/>
  <c r="L83" i="46"/>
  <c r="P78" i="5"/>
  <c r="Q78" i="5" s="1"/>
  <c r="P83" i="5"/>
  <c r="Q83" i="5" s="1"/>
  <c r="L73" i="46"/>
  <c r="L75" i="46"/>
  <c r="L76" i="46"/>
  <c r="L78" i="46"/>
  <c r="L81" i="46"/>
  <c r="P84" i="5"/>
  <c r="Q84" i="5" s="1"/>
  <c r="P80" i="5"/>
  <c r="Q80" i="5" s="1"/>
  <c r="P79" i="5"/>
  <c r="Q79" i="5" s="1"/>
  <c r="L79" i="46"/>
  <c r="L77" i="46"/>
  <c r="U234" i="50"/>
  <c r="P82" i="5"/>
  <c r="Q82" i="5" s="1"/>
  <c r="V39" i="50"/>
  <c r="L43" i="46"/>
  <c r="L40" i="46"/>
  <c r="P42" i="5"/>
  <c r="Q42" i="5" s="1"/>
  <c r="L37" i="46"/>
  <c r="P46" i="5"/>
  <c r="Q46" i="5" s="1"/>
  <c r="L38" i="46"/>
  <c r="L42" i="46"/>
  <c r="L34" i="46"/>
  <c r="L39" i="46"/>
  <c r="P34" i="5"/>
  <c r="Q34" i="5" s="1"/>
  <c r="L36" i="46"/>
  <c r="L31" i="46"/>
  <c r="L44" i="46"/>
  <c r="L33" i="46"/>
  <c r="L41" i="46"/>
  <c r="L14" i="46"/>
  <c r="C234" i="50"/>
  <c r="L22" i="46"/>
  <c r="L16" i="46"/>
  <c r="P14" i="5"/>
  <c r="Q14" i="5" s="1"/>
  <c r="P11" i="5"/>
  <c r="Q11" i="5" s="1"/>
  <c r="P27" i="5"/>
  <c r="Q27" i="5" s="1"/>
  <c r="E234" i="50"/>
  <c r="L18" i="46"/>
  <c r="L23" i="46"/>
  <c r="L8" i="46"/>
  <c r="L20" i="46"/>
  <c r="L15" i="46"/>
  <c r="P13" i="5"/>
  <c r="Q13" i="5" s="1"/>
  <c r="P20" i="5"/>
  <c r="Q20" i="5" s="1"/>
  <c r="P16" i="5"/>
  <c r="Q16" i="5" s="1"/>
  <c r="P30" i="5"/>
  <c r="Q30" i="5" s="1"/>
  <c r="P17" i="5"/>
  <c r="Q17" i="5" s="1"/>
  <c r="D234" i="50"/>
  <c r="F234" i="50"/>
  <c r="P19" i="5"/>
  <c r="Q19" i="5" s="1"/>
  <c r="P25" i="5"/>
  <c r="Q25" i="5" s="1"/>
  <c r="P10" i="5"/>
  <c r="Q10" i="5" s="1"/>
  <c r="P24" i="5"/>
  <c r="Q24" i="5" s="1"/>
  <c r="L19" i="46"/>
  <c r="I234" i="50"/>
  <c r="L11" i="46"/>
  <c r="P15" i="5"/>
  <c r="Q15" i="5" s="1"/>
  <c r="L17" i="46"/>
  <c r="G234" i="50"/>
  <c r="V107" i="50"/>
  <c r="H238" i="50" s="1"/>
  <c r="L9" i="46"/>
  <c r="P28" i="5"/>
  <c r="Q28" i="5" s="1"/>
  <c r="L21" i="46"/>
  <c r="P18" i="5"/>
  <c r="Q18" i="5" s="1"/>
  <c r="L10" i="46"/>
  <c r="L25" i="46"/>
  <c r="L13" i="46"/>
  <c r="P29" i="5"/>
  <c r="Q29" i="5" s="1"/>
  <c r="L12" i="46"/>
  <c r="P21" i="5"/>
  <c r="Q21" i="5" s="1"/>
  <c r="P26" i="5"/>
  <c r="Q26" i="5" s="1"/>
  <c r="H234" i="50"/>
  <c r="P48" i="5"/>
  <c r="Q48" i="5" s="1"/>
  <c r="M234" i="50"/>
  <c r="P38" i="5"/>
  <c r="Q38" i="5" s="1"/>
  <c r="L74" i="46"/>
  <c r="L57" i="46"/>
  <c r="P45" i="5"/>
  <c r="Q45" i="5" s="1"/>
  <c r="P39" i="5"/>
  <c r="Q39" i="5" s="1"/>
  <c r="V232" i="50"/>
  <c r="L56" i="46"/>
  <c r="L63" i="46"/>
  <c r="L51" i="46"/>
  <c r="L50" i="46"/>
  <c r="L66" i="46"/>
  <c r="V41" i="50"/>
  <c r="F238" i="50" s="1"/>
  <c r="L64" i="46"/>
  <c r="L60" i="46"/>
  <c r="L54" i="46"/>
  <c r="P56" i="5"/>
  <c r="Q56" i="5" s="1"/>
  <c r="L58" i="46"/>
  <c r="V89" i="50"/>
  <c r="G238" i="50" s="1"/>
  <c r="L82" i="46"/>
  <c r="P40" i="5"/>
  <c r="Q40" i="5" s="1"/>
  <c r="L80" i="46"/>
  <c r="P70" i="5"/>
  <c r="Q70" i="5" s="1"/>
  <c r="S234" i="50"/>
  <c r="O234" i="50"/>
  <c r="P62" i="5"/>
  <c r="Q62" i="5" s="1"/>
  <c r="P57" i="5"/>
  <c r="Q57" i="5" s="1"/>
  <c r="P67" i="5"/>
  <c r="Q67" i="5" s="1"/>
  <c r="P61" i="5"/>
  <c r="Q61" i="5" s="1"/>
  <c r="V125" i="50"/>
  <c r="I238" i="50" s="1"/>
  <c r="P41" i="5"/>
  <c r="Q41" i="5" s="1"/>
  <c r="P37" i="5"/>
  <c r="Q37" i="5" s="1"/>
  <c r="P47" i="5"/>
  <c r="Q47" i="5" s="1"/>
  <c r="L67" i="46"/>
  <c r="T234" i="50"/>
  <c r="L65" i="46"/>
  <c r="P43" i="5"/>
  <c r="Q43" i="5" s="1"/>
  <c r="P85" i="5"/>
  <c r="Q85" i="5" s="1"/>
  <c r="L68" i="46"/>
  <c r="V161" i="50"/>
  <c r="K238" i="50" s="1"/>
  <c r="P52" i="5"/>
  <c r="Q52" i="5" s="1"/>
  <c r="L52" i="46"/>
  <c r="L234" i="50"/>
  <c r="L35" i="46"/>
  <c r="P69" i="5"/>
  <c r="Q69" i="5" s="1"/>
  <c r="P68" i="5"/>
  <c r="Q68" i="5" s="1"/>
  <c r="P59" i="5"/>
  <c r="Q59" i="5" s="1"/>
  <c r="R234" i="50"/>
  <c r="L61" i="46"/>
  <c r="P64" i="5"/>
  <c r="Q64" i="5" s="1"/>
  <c r="L26" i="46"/>
  <c r="P36" i="5"/>
  <c r="Q36" i="5" s="1"/>
  <c r="P44" i="5"/>
  <c r="Q44" i="5" s="1"/>
  <c r="P75" i="5"/>
  <c r="Q75" i="5" s="1"/>
  <c r="P76" i="5"/>
  <c r="Q76" i="5" s="1"/>
  <c r="P71" i="5"/>
  <c r="Q71" i="5" s="1"/>
  <c r="P58" i="5"/>
  <c r="Q58" i="5" s="1"/>
  <c r="P66" i="5"/>
  <c r="Q66" i="5" s="1"/>
  <c r="P53" i="5"/>
  <c r="Q53" i="5" s="1"/>
  <c r="P51" i="5"/>
  <c r="Q51" i="5" s="1"/>
  <c r="V197" i="50"/>
  <c r="M238" i="50" s="1"/>
  <c r="N234" i="50"/>
  <c r="P23" i="5"/>
  <c r="Q23" i="5" s="1"/>
  <c r="P22" i="5"/>
  <c r="Q22" i="5" s="1"/>
  <c r="P35" i="5"/>
  <c r="Q35" i="5" s="1"/>
  <c r="K234" i="50"/>
  <c r="V179" i="50"/>
  <c r="L238" i="50" s="1"/>
  <c r="R410" i="42"/>
  <c r="C30" i="46"/>
  <c r="L32" i="46"/>
  <c r="P81" i="5"/>
  <c r="Q81" i="5" s="1"/>
  <c r="O418" i="44"/>
  <c r="C72" i="46"/>
  <c r="D74" i="5"/>
  <c r="P74" i="5" s="1"/>
  <c r="Q74" i="5" s="1"/>
  <c r="O419" i="44"/>
  <c r="P55" i="5"/>
  <c r="Q55" i="5" s="1"/>
  <c r="P63" i="5"/>
  <c r="Q63" i="5" s="1"/>
  <c r="P54" i="5"/>
  <c r="Q54" i="5" s="1"/>
  <c r="P60" i="5"/>
  <c r="Q60" i="5" s="1"/>
  <c r="V143" i="50"/>
  <c r="J238" i="50" s="1"/>
  <c r="P234" i="50"/>
  <c r="Q234" i="50"/>
  <c r="V23" i="50"/>
  <c r="E238" i="50" s="1"/>
  <c r="L62" i="46"/>
  <c r="L59" i="46"/>
  <c r="L55" i="46"/>
  <c r="L53" i="46"/>
  <c r="C48" i="46"/>
  <c r="O48" i="46" s="1"/>
  <c r="V215" i="50"/>
  <c r="N238" i="50" s="1"/>
  <c r="P31" i="5"/>
  <c r="Q31" i="5" s="1"/>
  <c r="L24" i="46"/>
  <c r="J234" i="50"/>
  <c r="N30" i="46" l="1"/>
  <c r="C45" i="46"/>
  <c r="D84" i="46"/>
  <c r="D99" i="46" s="1"/>
  <c r="D98" i="46"/>
  <c r="H97" i="46"/>
  <c r="H96" i="46"/>
  <c r="J97" i="46"/>
  <c r="J96" i="46"/>
  <c r="E84" i="46"/>
  <c r="E99" i="46" s="1"/>
  <c r="E98" i="46"/>
  <c r="I84" i="46"/>
  <c r="I99" i="46" s="1"/>
  <c r="I98" i="46"/>
  <c r="G84" i="46"/>
  <c r="G99" i="46" s="1"/>
  <c r="G98" i="46"/>
  <c r="K84" i="46"/>
  <c r="K99" i="46" s="1"/>
  <c r="K98" i="46"/>
  <c r="E97" i="46"/>
  <c r="E96" i="46"/>
  <c r="H84" i="46"/>
  <c r="H99" i="46" s="1"/>
  <c r="H98" i="46"/>
  <c r="K97" i="46"/>
  <c r="K96" i="46"/>
  <c r="F84" i="46"/>
  <c r="F99" i="46" s="1"/>
  <c r="F98" i="46"/>
  <c r="I97" i="46"/>
  <c r="I96" i="46"/>
  <c r="J84" i="46"/>
  <c r="J99" i="46" s="1"/>
  <c r="J98" i="46"/>
  <c r="C69" i="46"/>
  <c r="O49" i="46"/>
  <c r="F97" i="46"/>
  <c r="F101" i="46" s="1"/>
  <c r="X420" i="43"/>
  <c r="G97" i="46"/>
  <c r="G101" i="46" s="1"/>
  <c r="N7" i="46"/>
  <c r="D27" i="46"/>
  <c r="R419" i="42"/>
  <c r="R420" i="42"/>
  <c r="L72" i="46"/>
  <c r="P72" i="46"/>
  <c r="P12" i="5"/>
  <c r="Q12" i="5" s="1"/>
  <c r="L7" i="46"/>
  <c r="W433" i="41"/>
  <c r="V234" i="50"/>
  <c r="L30" i="46"/>
  <c r="L48" i="46"/>
  <c r="P89" i="5"/>
  <c r="O238" i="50"/>
  <c r="J101" i="46" l="1"/>
  <c r="I101" i="46"/>
  <c r="C70" i="46"/>
  <c r="C84" i="46" s="1"/>
  <c r="C98" i="46"/>
  <c r="L98" i="46" s="1"/>
  <c r="H101" i="46"/>
  <c r="E101" i="46"/>
  <c r="D97" i="46"/>
  <c r="D96" i="46"/>
  <c r="K101" i="46"/>
  <c r="C28" i="46"/>
  <c r="C46" i="46" l="1"/>
  <c r="C97" i="46"/>
  <c r="D101" i="46"/>
  <c r="L96" i="46"/>
  <c r="C85" i="46"/>
  <c r="C99" i="46"/>
  <c r="L99" i="46" s="1"/>
  <c r="L97" i="46" l="1"/>
  <c r="C101"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W5" authorId="0" shapeId="0" xr:uid="{00000000-0006-0000-0700-000001000000}">
      <text>
        <r>
          <rPr>
            <b/>
            <sz val="9"/>
            <color indexed="81"/>
            <rFont val="Tahoma"/>
            <family val="2"/>
          </rPr>
          <t>Autor:</t>
        </r>
        <r>
          <rPr>
            <sz val="9"/>
            <color indexed="81"/>
            <rFont val="Tahoma"/>
            <family val="2"/>
          </rPr>
          <t xml:space="preserve">
AVANCE DEACUERDO A LAST PLANER</t>
        </r>
      </text>
    </comment>
    <comment ref="W63" authorId="0" shapeId="0" xr:uid="{00000000-0006-0000-0700-000002000000}">
      <text>
        <r>
          <rPr>
            <b/>
            <sz val="9"/>
            <color indexed="81"/>
            <rFont val="Tahoma"/>
            <family val="2"/>
          </rPr>
          <t>Autor:</t>
        </r>
        <r>
          <rPr>
            <sz val="9"/>
            <color indexed="81"/>
            <rFont val="Tahoma"/>
            <family val="2"/>
          </rPr>
          <t xml:space="preserve">
AVANCE DEACUERDO A LAST PLANER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X4" authorId="0" shapeId="0" xr:uid="{00000000-0006-0000-0900-000001000000}">
      <text>
        <r>
          <rPr>
            <b/>
            <sz val="9"/>
            <color indexed="81"/>
            <rFont val="Tahoma"/>
            <family val="2"/>
          </rPr>
          <t>Autor:</t>
        </r>
        <r>
          <rPr>
            <sz val="9"/>
            <color indexed="81"/>
            <rFont val="Tahoma"/>
            <family val="2"/>
          </rPr>
          <t xml:space="preserve">
AVANCE DEACUERDO A LAST PLANER</t>
        </r>
      </text>
    </comment>
    <comment ref="X26" authorId="0" shapeId="0" xr:uid="{00000000-0006-0000-0900-000002000000}">
      <text>
        <r>
          <rPr>
            <b/>
            <sz val="9"/>
            <color indexed="81"/>
            <rFont val="Tahoma"/>
            <family val="2"/>
          </rPr>
          <t>Autor:</t>
        </r>
        <r>
          <rPr>
            <sz val="9"/>
            <color indexed="81"/>
            <rFont val="Tahoma"/>
            <family val="2"/>
          </rPr>
          <t xml:space="preserve">
AVANCE DEACUERDO A LAST PLANER</t>
        </r>
      </text>
    </comment>
    <comment ref="X84" authorId="0" shapeId="0" xr:uid="{00000000-0006-0000-0900-000003000000}">
      <text>
        <r>
          <rPr>
            <b/>
            <sz val="9"/>
            <color indexed="81"/>
            <rFont val="Tahoma"/>
            <family val="2"/>
          </rPr>
          <t>Autor:</t>
        </r>
        <r>
          <rPr>
            <sz val="9"/>
            <color indexed="81"/>
            <rFont val="Tahoma"/>
            <family val="2"/>
          </rPr>
          <t xml:space="preserve">
AVANCE DEACUERDO A LAST PLANER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<sst xmlns="http://schemas.openxmlformats.org/spreadsheetml/2006/main" count="3458" uniqueCount="1028">
  <si>
    <t xml:space="preserve">Avance General </t>
  </si>
  <si>
    <t>Cantidad de Deptos.</t>
  </si>
  <si>
    <t>Deptos.</t>
  </si>
  <si>
    <t>Descarachado y Pulido</t>
  </si>
  <si>
    <t>Trazado y niveles tabiques gradas dint, cielo</t>
  </si>
  <si>
    <t>Retiro de camisas</t>
  </si>
  <si>
    <t>Tapada de pasadas</t>
  </si>
  <si>
    <t>Ductos alcantarillado</t>
  </si>
  <si>
    <t>Pruebas de agua recep.</t>
  </si>
  <si>
    <t>Ductos extracción</t>
  </si>
  <si>
    <t>Tabique 1er cara</t>
  </si>
  <si>
    <t>Tabique 2da cara</t>
  </si>
  <si>
    <t>Baranda Balcones</t>
  </si>
  <si>
    <t>Avance Real x Piso</t>
  </si>
  <si>
    <t>Piso n°2</t>
  </si>
  <si>
    <t>Piso n°3</t>
  </si>
  <si>
    <t>Piso n°4</t>
  </si>
  <si>
    <t>Piso n°5</t>
  </si>
  <si>
    <t>Piso n°6</t>
  </si>
  <si>
    <t>Piso n°7</t>
  </si>
  <si>
    <t>Piso n°8</t>
  </si>
  <si>
    <t>Piso n°9</t>
  </si>
  <si>
    <t xml:space="preserve">Colocacion marcos y puertas interiores </t>
  </si>
  <si>
    <t>Colocacion piernas de closet y cenefas</t>
  </si>
  <si>
    <t>Aplicación de Pasta muros y cielos deptos.</t>
  </si>
  <si>
    <t>Aplicación de bases (latex),  cielos deptos. LIJADO</t>
  </si>
  <si>
    <t>Aplicación de Losalin (textura deptos.)</t>
  </si>
  <si>
    <t>Instalacion Muebles Cocina</t>
  </si>
  <si>
    <t>Instalacion Closet</t>
  </si>
  <si>
    <t>Instalacion de Granito (Marmol)</t>
  </si>
  <si>
    <t xml:space="preserve">Aplicación final esmalte cocina-baños-walking closet </t>
  </si>
  <si>
    <t xml:space="preserve">instalacion piso flotante y 1/4 rodon </t>
  </si>
  <si>
    <t>Aplicación 2da mano y final de  pintura de corniza-puertas</t>
  </si>
  <si>
    <t>colocacion artefactos electricos (horno, encimera, campana)</t>
  </si>
  <si>
    <t xml:space="preserve">colocacion accesorios de baño, topes puertas </t>
  </si>
  <si>
    <t>2da mano de pintura muros y guardapolvo</t>
  </si>
  <si>
    <t xml:space="preserve">Aseo Final </t>
  </si>
  <si>
    <t>AVANCE DIARIO POR PARTIDAS  TORRE A  01-Enero-2015</t>
  </si>
  <si>
    <t xml:space="preserve">Partidas </t>
  </si>
  <si>
    <t>PISO</t>
  </si>
  <si>
    <t>% Avance Real</t>
  </si>
  <si>
    <t>% Avance Programado</t>
  </si>
  <si>
    <t>Insidencia en Dias</t>
  </si>
  <si>
    <t>METAS</t>
  </si>
  <si>
    <t xml:space="preserve">FASE 1 </t>
  </si>
  <si>
    <t>FASE 2</t>
  </si>
  <si>
    <t>FASE 3</t>
  </si>
  <si>
    <t>FASE 4</t>
  </si>
  <si>
    <t xml:space="preserve">PROGRAMA PARA R1 </t>
  </si>
  <si>
    <t>JUNIO</t>
  </si>
  <si>
    <t>JULIO</t>
  </si>
  <si>
    <t>PROGRAMA PARA RF</t>
  </si>
  <si>
    <t>AGOSTO</t>
  </si>
  <si>
    <t>DPTOS</t>
  </si>
  <si>
    <t>CANTIDAD DPTOS</t>
  </si>
  <si>
    <t>DESCARACHADO</t>
  </si>
  <si>
    <t>TRAZADO TAB.</t>
  </si>
  <si>
    <t>BARANDAS</t>
  </si>
  <si>
    <t>TAB. ESTRUCTURA</t>
  </si>
  <si>
    <t>TAB. 1 CARA</t>
  </si>
  <si>
    <t>TAB 2 CARA</t>
  </si>
  <si>
    <t>HUINCHAS TAB.</t>
  </si>
  <si>
    <t>YESO</t>
  </si>
  <si>
    <t>IMPERMEABILIZACION</t>
  </si>
  <si>
    <t>CORNIZAS</t>
  </si>
  <si>
    <t>CERAMICA MURO BA</t>
  </si>
  <si>
    <t>INST. TINAS</t>
  </si>
  <si>
    <t>CERAMICA PISO COCINA</t>
  </si>
  <si>
    <t>CERAMICA MURO COCINA</t>
  </si>
  <si>
    <t>CERAMICA PISO BAÑO</t>
  </si>
  <si>
    <t>MUEBLES (COC,CL,)</t>
  </si>
  <si>
    <t>INST. PUERTAS</t>
  </si>
  <si>
    <t>AVANCE PARA GRAFICOS</t>
  </si>
  <si>
    <t xml:space="preserve"> DESCARACHADO Y PULIDO</t>
  </si>
  <si>
    <t xml:space="preserve"> YESO y REMATES (CUADRATURA CAJAS,ETC…)</t>
  </si>
  <si>
    <t xml:space="preserve"> TRAZADO Y NIVELES</t>
  </si>
  <si>
    <t xml:space="preserve"> ALCANTARILLADO (VERTICALES Y RAMALES)</t>
  </si>
  <si>
    <t xml:space="preserve"> EXTRACCION BAÑOS Y COCINA</t>
  </si>
  <si>
    <t xml:space="preserve"> RASGOS VENTANAS, PUERTAS, ANTEPECHOS</t>
  </si>
  <si>
    <t xml:space="preserve"> GRADA BAJO VENTANA</t>
  </si>
  <si>
    <t xml:space="preserve"> TABIQUE VOLCOMETAL 1ra CARA</t>
  </si>
  <si>
    <t xml:space="preserve"> IMPERMEABILIZACION RASGOS Y VENTANAS</t>
  </si>
  <si>
    <t xml:space="preserve"> DISTRIBUCIÓN ELECT. Y CTE DEBILES EN TABIQUE</t>
  </si>
  <si>
    <t xml:space="preserve"> DISTRIBUCION GASFITERIA EN TABIQUES</t>
  </si>
  <si>
    <t xml:space="preserve"> TABIQUE VOLCOMETAL 2da CARA (incluye Shaff)</t>
  </si>
  <si>
    <t xml:space="preserve"> IMPERMEABILIZACION BAÑO y COCINA</t>
  </si>
  <si>
    <t xml:space="preserve"> HUINCHA TABIQUES, SHAFF Y VIGONES VOLC.</t>
  </si>
  <si>
    <t xml:space="preserve"> VENTANAS</t>
  </si>
  <si>
    <t xml:space="preserve"> INSTALACION PIERNAS Y CENEFAS DE CLOSETS</t>
  </si>
  <si>
    <t xml:space="preserve"> COLOC.PUERTAS INTERIORES Y CENEFAS CORREDERAS</t>
  </si>
  <si>
    <t xml:space="preserve"> NIVELACION PISO</t>
  </si>
  <si>
    <t xml:space="preserve"> COLOCACION DE TINA</t>
  </si>
  <si>
    <t xml:space="preserve"> FALDÓN DE TINA</t>
  </si>
  <si>
    <t xml:space="preserve"> CORNISAS</t>
  </si>
  <si>
    <t xml:space="preserve"> COLOCACION PUERTA DE ACCESO</t>
  </si>
  <si>
    <t xml:space="preserve"> CERAMICA MUROS Y PISO BAÑO/COCINA/TERRAZA</t>
  </si>
  <si>
    <t xml:space="preserve"> COLOCACION DE GUARDAPOLVO</t>
  </si>
  <si>
    <t xml:space="preserve"> PASTA TABIQUES Y MUROS</t>
  </si>
  <si>
    <t xml:space="preserve"> LOSALIN CIELO</t>
  </si>
  <si>
    <t xml:space="preserve"> ALAMBRADO y ENLAUCHADO ELECT. Y CTES DEBILES</t>
  </si>
  <si>
    <t xml:space="preserve"> CERRADURAS</t>
  </si>
  <si>
    <t xml:space="preserve"> 1RA.MANO PINTURA</t>
  </si>
  <si>
    <t xml:space="preserve"> INSTALACION MUEBLES Y PUERTAS DE CLOSETS</t>
  </si>
  <si>
    <t xml:space="preserve"> INST.MUEBLES DE COCINA</t>
  </si>
  <si>
    <t xml:space="preserve"> INST. MUEBLES DE VANITORIOS</t>
  </si>
  <si>
    <t xml:space="preserve"> CUBIERTA DE M.COCINA</t>
  </si>
  <si>
    <t xml:space="preserve"> MANO DE PINTURA FINAL</t>
  </si>
  <si>
    <t xml:space="preserve"> INST.ARTEFACTOS SANITARIOS</t>
  </si>
  <si>
    <t xml:space="preserve"> COLOC.CUBIERTAS BAÑOS</t>
  </si>
  <si>
    <t xml:space="preserve"> PAPEL MURAL</t>
  </si>
  <si>
    <t xml:space="preserve"> VIDRIO RETROPINTADO+ESPEJOS</t>
  </si>
  <si>
    <t xml:space="preserve"> ARTEFACTOS DE COCINA</t>
  </si>
  <si>
    <t xml:space="preserve"> GRIFERIA</t>
  </si>
  <si>
    <t xml:space="preserve"> BARANDA TERRAZA</t>
  </si>
  <si>
    <t xml:space="preserve"> PISO FOTOLAMINADO</t>
  </si>
  <si>
    <t xml:space="preserve"> COLOC.TABLERO ELECTRICO</t>
  </si>
  <si>
    <t xml:space="preserve"> SELLOS (PAPEL, VENTANAS, ETC…)</t>
  </si>
  <si>
    <t xml:space="preserve"> CITOFONO y CORRIENTES DEBILES</t>
  </si>
  <si>
    <t xml:space="preserve"> ASEO FINAL</t>
  </si>
  <si>
    <t xml:space="preserve"> COLOC.ARTEFACTOS ELECTRICOS</t>
  </si>
  <si>
    <t>CONVECTORES</t>
  </si>
  <si>
    <t xml:space="preserve"> ACCESORIOS DE BAÑOS</t>
  </si>
  <si>
    <t>AVANCE DIARIO POR PARTIDAS  TORRE B  01-Enero-2015</t>
  </si>
  <si>
    <t>RESUMEN PARA GRAFICOS X DPTOS</t>
  </si>
  <si>
    <t>TORRE A</t>
  </si>
  <si>
    <t>TORRE B</t>
  </si>
  <si>
    <t>FASE 1</t>
  </si>
  <si>
    <t>Colocación lana mineral</t>
  </si>
  <si>
    <t>Inst. Elec.y Tabiques</t>
  </si>
  <si>
    <t>Yesos Pasillo</t>
  </si>
  <si>
    <t>Yesos Departamentos</t>
  </si>
  <si>
    <t>Cielos falsos Volcanitas ( Vigones cocinas y baños )</t>
  </si>
  <si>
    <t>Huincha Cielos tabiques (vigones cocinas y baños)</t>
  </si>
  <si>
    <t>Huincha Muros Deptos.</t>
  </si>
  <si>
    <t>Rasgos Ventanas</t>
  </si>
  <si>
    <t xml:space="preserve">Instalación fierro grada buque </t>
  </si>
  <si>
    <t>Grada Buque Albañilería + Alfeiser y bloq.</t>
  </si>
  <si>
    <t>Impermeabilizacion rasgos de ventanas</t>
  </si>
  <si>
    <t>Kangueo y desbaste de pisos</t>
  </si>
  <si>
    <t>Afinado de pisos y terrazas</t>
  </si>
  <si>
    <t>Colocacion de gargolas</t>
  </si>
  <si>
    <t xml:space="preserve">Impermeabilizacion de baños y cocina </t>
  </si>
  <si>
    <t xml:space="preserve">Refuerzo de tinas </t>
  </si>
  <si>
    <t xml:space="preserve">Instalacion de Tinas </t>
  </si>
  <si>
    <t>Faldon de Tinas / Zocalo</t>
  </si>
  <si>
    <t xml:space="preserve">Instalacion  de Ventanas </t>
  </si>
  <si>
    <t>Vigones baño y Cocina</t>
  </si>
  <si>
    <t xml:space="preserve">Instalacion Marco y puerta de acceso </t>
  </si>
  <si>
    <t xml:space="preserve">Instalacion cerradura puerta acceso </t>
  </si>
  <si>
    <t>Colocacion de cornisa</t>
  </si>
  <si>
    <t>Coloc. Ceramica Cocina</t>
  </si>
  <si>
    <t>Coloc. Porcelanato piso baño</t>
  </si>
  <si>
    <t>Coloc. Porcelanato Terraza</t>
  </si>
  <si>
    <t>Ceramicos muro Cocina</t>
  </si>
  <si>
    <t xml:space="preserve">Ceramicos muro baño </t>
  </si>
  <si>
    <t xml:space="preserve">Ceramicos Pasillos </t>
  </si>
  <si>
    <t xml:space="preserve">Colocacion cerradura interiores </t>
  </si>
  <si>
    <t xml:space="preserve">Enlauchado </t>
  </si>
  <si>
    <t xml:space="preserve">Cableado </t>
  </si>
  <si>
    <t>Colocacion de artefactos Electricos</t>
  </si>
  <si>
    <t xml:space="preserve">Colocacion Guardapolvo </t>
  </si>
  <si>
    <t>Colocacion de Artefactos Sanitarios</t>
  </si>
  <si>
    <t xml:space="preserve">Colocacion de extractor </t>
  </si>
  <si>
    <t>Lijado y Aplicación Esmalte</t>
  </si>
  <si>
    <t xml:space="preserve">Pintura Puertas , Cornizas, guarda polvo </t>
  </si>
  <si>
    <t xml:space="preserve">Colocacion de Vanitorio </t>
  </si>
  <si>
    <t xml:space="preserve">colocacion lavaplatos y griferia </t>
  </si>
  <si>
    <t xml:space="preserve">AVANCE DIARIO POR PARTIDAS  TORRE A  </t>
  </si>
  <si>
    <t xml:space="preserve">AVANCE DIARIO POR PARTIDAS  TORRE B  </t>
  </si>
  <si>
    <t>MAYO</t>
  </si>
  <si>
    <t xml:space="preserve">JUNIO </t>
  </si>
  <si>
    <t>MUEBLES</t>
  </si>
  <si>
    <t>TABIQUE</t>
  </si>
  <si>
    <t>INST PUERTAS</t>
  </si>
  <si>
    <t>PINTURA PUERTAS</t>
  </si>
  <si>
    <t xml:space="preserve"> PINTURA CIELO</t>
  </si>
  <si>
    <t>ASEO GRUESO</t>
  </si>
  <si>
    <t>PORCENTAJES DE AVANCES A LA FECHA</t>
  </si>
  <si>
    <t>OBRA PEDRO ALARCON</t>
  </si>
  <si>
    <t>201-A</t>
  </si>
  <si>
    <t>202-A</t>
  </si>
  <si>
    <t>203-A</t>
  </si>
  <si>
    <t>204-A</t>
  </si>
  <si>
    <t>205-A</t>
  </si>
  <si>
    <t>206-A</t>
  </si>
  <si>
    <t>207-A</t>
  </si>
  <si>
    <t>301-A</t>
  </si>
  <si>
    <t>302-A</t>
  </si>
  <si>
    <t>303-A</t>
  </si>
  <si>
    <t>304-A</t>
  </si>
  <si>
    <t>305-A</t>
  </si>
  <si>
    <t>306-A</t>
  </si>
  <si>
    <t>307-A</t>
  </si>
  <si>
    <t>308-A</t>
  </si>
  <si>
    <t>401-A</t>
  </si>
  <si>
    <t>402-A</t>
  </si>
  <si>
    <t>403-A</t>
  </si>
  <si>
    <t>404-A</t>
  </si>
  <si>
    <t>405-A</t>
  </si>
  <si>
    <t>406-A</t>
  </si>
  <si>
    <t>407-A</t>
  </si>
  <si>
    <t>408-A</t>
  </si>
  <si>
    <t>501-A</t>
  </si>
  <si>
    <t>502-A</t>
  </si>
  <si>
    <t>503-A</t>
  </si>
  <si>
    <t>504-A</t>
  </si>
  <si>
    <t>505-A</t>
  </si>
  <si>
    <t>506-A</t>
  </si>
  <si>
    <t>507-A</t>
  </si>
  <si>
    <t>508-A</t>
  </si>
  <si>
    <t>601-A</t>
  </si>
  <si>
    <t>602-A</t>
  </si>
  <si>
    <t>603-A</t>
  </si>
  <si>
    <t>604-A</t>
  </si>
  <si>
    <t>605-A</t>
  </si>
  <si>
    <t>606-A</t>
  </si>
  <si>
    <t>607-A</t>
  </si>
  <si>
    <t>608-A</t>
  </si>
  <si>
    <t>701-A</t>
  </si>
  <si>
    <t>702-A</t>
  </si>
  <si>
    <t>703-A</t>
  </si>
  <si>
    <t>704-A</t>
  </si>
  <si>
    <t>705-A</t>
  </si>
  <si>
    <t>706-A</t>
  </si>
  <si>
    <t>707-A</t>
  </si>
  <si>
    <t>708-A</t>
  </si>
  <si>
    <t>801-A</t>
  </si>
  <si>
    <t>802-A</t>
  </si>
  <si>
    <t>803-A</t>
  </si>
  <si>
    <t>804-A</t>
  </si>
  <si>
    <t>805-A</t>
  </si>
  <si>
    <t>806-A</t>
  </si>
  <si>
    <t>807-A</t>
  </si>
  <si>
    <t>808-A</t>
  </si>
  <si>
    <t>901-A</t>
  </si>
  <si>
    <t>902-A</t>
  </si>
  <si>
    <t>903-A</t>
  </si>
  <si>
    <t>904-A</t>
  </si>
  <si>
    <t>905-A</t>
  </si>
  <si>
    <t>906-A</t>
  </si>
  <si>
    <t>907-A</t>
  </si>
  <si>
    <t>908-A</t>
  </si>
  <si>
    <t>1001-A</t>
  </si>
  <si>
    <t>1002-A</t>
  </si>
  <si>
    <t>1003-A</t>
  </si>
  <si>
    <t>1004-A</t>
  </si>
  <si>
    <t>1005-A</t>
  </si>
  <si>
    <t>1006-A</t>
  </si>
  <si>
    <t>1007-A</t>
  </si>
  <si>
    <t>1008-A</t>
  </si>
  <si>
    <t>1101-A</t>
  </si>
  <si>
    <t>1102-A</t>
  </si>
  <si>
    <t>1103-A</t>
  </si>
  <si>
    <t>1104-A</t>
  </si>
  <si>
    <t>1105-A</t>
  </si>
  <si>
    <t>1106-A</t>
  </si>
  <si>
    <t>1107-A</t>
  </si>
  <si>
    <t>1108-A</t>
  </si>
  <si>
    <t>1201-A</t>
  </si>
  <si>
    <t>1202-A</t>
  </si>
  <si>
    <t>1203-A</t>
  </si>
  <si>
    <t>1204-A</t>
  </si>
  <si>
    <t>1205-A</t>
  </si>
  <si>
    <t>1206-A</t>
  </si>
  <si>
    <t>1207-A</t>
  </si>
  <si>
    <t>1208-A</t>
  </si>
  <si>
    <t>1301-A</t>
  </si>
  <si>
    <t>1302-A</t>
  </si>
  <si>
    <t>1303-A</t>
  </si>
  <si>
    <t>1304-A</t>
  </si>
  <si>
    <t>1305-A</t>
  </si>
  <si>
    <t>1306-A</t>
  </si>
  <si>
    <t>1307-A</t>
  </si>
  <si>
    <t>1308-A</t>
  </si>
  <si>
    <t>1401-A</t>
  </si>
  <si>
    <t>1402-A</t>
  </si>
  <si>
    <t>1403-A</t>
  </si>
  <si>
    <t>1404-A</t>
  </si>
  <si>
    <t>1405-A</t>
  </si>
  <si>
    <t>1406-A</t>
  </si>
  <si>
    <t>1407-A</t>
  </si>
  <si>
    <t>1408-A</t>
  </si>
  <si>
    <t>1501-A</t>
  </si>
  <si>
    <t>1502-A</t>
  </si>
  <si>
    <t>1503-A</t>
  </si>
  <si>
    <t>1504-A</t>
  </si>
  <si>
    <t>1505-A</t>
  </si>
  <si>
    <t>1506-A</t>
  </si>
  <si>
    <t>1507-A</t>
  </si>
  <si>
    <t>1508-A</t>
  </si>
  <si>
    <t>1601-A</t>
  </si>
  <si>
    <t>1602-A</t>
  </si>
  <si>
    <t>1603-A</t>
  </si>
  <si>
    <t>1604-A</t>
  </si>
  <si>
    <t>1605-A</t>
  </si>
  <si>
    <t>1606-A</t>
  </si>
  <si>
    <t>1607-A</t>
  </si>
  <si>
    <t>1608-A</t>
  </si>
  <si>
    <t>1701-A</t>
  </si>
  <si>
    <t>1702-A</t>
  </si>
  <si>
    <t>1703-A</t>
  </si>
  <si>
    <t>1704-A</t>
  </si>
  <si>
    <t>1705-A</t>
  </si>
  <si>
    <t>1706-A</t>
  </si>
  <si>
    <t>1707-A</t>
  </si>
  <si>
    <t>1708-A</t>
  </si>
  <si>
    <t>1801-A</t>
  </si>
  <si>
    <t>1802-A</t>
  </si>
  <si>
    <t>1803-A</t>
  </si>
  <si>
    <t>1804-A</t>
  </si>
  <si>
    <t>1805-A</t>
  </si>
  <si>
    <t>1806-A</t>
  </si>
  <si>
    <t>1807-A</t>
  </si>
  <si>
    <t>1808-A</t>
  </si>
  <si>
    <t>1901-A</t>
  </si>
  <si>
    <t>1902-A</t>
  </si>
  <si>
    <t>1903-A</t>
  </si>
  <si>
    <t>1904-A</t>
  </si>
  <si>
    <t>1905-A</t>
  </si>
  <si>
    <t>1906-A</t>
  </si>
  <si>
    <t>1907-A</t>
  </si>
  <si>
    <t>1908-A</t>
  </si>
  <si>
    <t>201-B</t>
  </si>
  <si>
    <t>202-B</t>
  </si>
  <si>
    <t>203-B</t>
  </si>
  <si>
    <t>204-B</t>
  </si>
  <si>
    <t>205-B</t>
  </si>
  <si>
    <t>206-B</t>
  </si>
  <si>
    <t>207-B</t>
  </si>
  <si>
    <t>301-B</t>
  </si>
  <si>
    <t>302-B</t>
  </si>
  <si>
    <t>303-B</t>
  </si>
  <si>
    <t>304-B</t>
  </si>
  <si>
    <t>305-B</t>
  </si>
  <si>
    <t>306-B</t>
  </si>
  <si>
    <t>307-B</t>
  </si>
  <si>
    <t>308-B</t>
  </si>
  <si>
    <t>401-B</t>
  </si>
  <si>
    <t>402-B</t>
  </si>
  <si>
    <t>403-B</t>
  </si>
  <si>
    <t>404-B</t>
  </si>
  <si>
    <t>405-B</t>
  </si>
  <si>
    <t>406-B</t>
  </si>
  <si>
    <t>407-B</t>
  </si>
  <si>
    <t>408-B</t>
  </si>
  <si>
    <t>501-B</t>
  </si>
  <si>
    <t>502-B</t>
  </si>
  <si>
    <t>503-B</t>
  </si>
  <si>
    <t>504-B</t>
  </si>
  <si>
    <t>505-B</t>
  </si>
  <si>
    <t>506-B</t>
  </si>
  <si>
    <t>507-B</t>
  </si>
  <si>
    <t>508-B</t>
  </si>
  <si>
    <t>601-B</t>
  </si>
  <si>
    <t>602-B</t>
  </si>
  <si>
    <t>603-B</t>
  </si>
  <si>
    <t>604-B</t>
  </si>
  <si>
    <t>605-B</t>
  </si>
  <si>
    <t>606-B</t>
  </si>
  <si>
    <t>607-B</t>
  </si>
  <si>
    <t>608-B</t>
  </si>
  <si>
    <t>701-B</t>
  </si>
  <si>
    <t>702-B</t>
  </si>
  <si>
    <t>703-B</t>
  </si>
  <si>
    <t>704-B</t>
  </si>
  <si>
    <t>705-B</t>
  </si>
  <si>
    <t>706-B</t>
  </si>
  <si>
    <t>707-B</t>
  </si>
  <si>
    <t>708-B</t>
  </si>
  <si>
    <t>801-B</t>
  </si>
  <si>
    <t>802-B</t>
  </si>
  <si>
    <t>803-B</t>
  </si>
  <si>
    <t>804-B</t>
  </si>
  <si>
    <t>805-B</t>
  </si>
  <si>
    <t>806-B</t>
  </si>
  <si>
    <t>807-B</t>
  </si>
  <si>
    <t>808-B</t>
  </si>
  <si>
    <t>901-B</t>
  </si>
  <si>
    <t>902-B</t>
  </si>
  <si>
    <t>903-B</t>
  </si>
  <si>
    <t>904-B</t>
  </si>
  <si>
    <t>905-B</t>
  </si>
  <si>
    <t>906-B</t>
  </si>
  <si>
    <t>907-B</t>
  </si>
  <si>
    <t>908-B</t>
  </si>
  <si>
    <t>1001-B</t>
  </si>
  <si>
    <t>1002-B</t>
  </si>
  <si>
    <t>1003-B</t>
  </si>
  <si>
    <t>1004-B</t>
  </si>
  <si>
    <t>1005-B</t>
  </si>
  <si>
    <t>1006-B</t>
  </si>
  <si>
    <t>1007-B</t>
  </si>
  <si>
    <t>1008-B</t>
  </si>
  <si>
    <t>1101-B</t>
  </si>
  <si>
    <t>1102-B</t>
  </si>
  <si>
    <t>1103-B</t>
  </si>
  <si>
    <t>1104-B</t>
  </si>
  <si>
    <t>1105-B</t>
  </si>
  <si>
    <t>1106-B</t>
  </si>
  <si>
    <t>1107-B</t>
  </si>
  <si>
    <t>1108-B</t>
  </si>
  <si>
    <t>1201-B</t>
  </si>
  <si>
    <t>1202-B</t>
  </si>
  <si>
    <t>1203-B</t>
  </si>
  <si>
    <t>1204-B</t>
  </si>
  <si>
    <t>1205-B</t>
  </si>
  <si>
    <t>1206-B</t>
  </si>
  <si>
    <t>1207-B</t>
  </si>
  <si>
    <t>1208-B</t>
  </si>
  <si>
    <t>1301-B</t>
  </si>
  <si>
    <t>1302-B</t>
  </si>
  <si>
    <t>1303-B</t>
  </si>
  <si>
    <t>1304-B</t>
  </si>
  <si>
    <t>1305-B</t>
  </si>
  <si>
    <t>1306-B</t>
  </si>
  <si>
    <t>1307-B</t>
  </si>
  <si>
    <t>1308-B</t>
  </si>
  <si>
    <t>1401-B</t>
  </si>
  <si>
    <t>1402-B</t>
  </si>
  <si>
    <t>1403-B</t>
  </si>
  <si>
    <t>1404-B</t>
  </si>
  <si>
    <t>1405-B</t>
  </si>
  <si>
    <t>1406-B</t>
  </si>
  <si>
    <t>1407-B</t>
  </si>
  <si>
    <t>1408-B</t>
  </si>
  <si>
    <t>1501-B</t>
  </si>
  <si>
    <t>1502-B</t>
  </si>
  <si>
    <t>1503-B</t>
  </si>
  <si>
    <t>1504-B</t>
  </si>
  <si>
    <t>1505-B</t>
  </si>
  <si>
    <t>1506-B</t>
  </si>
  <si>
    <t>1507-B</t>
  </si>
  <si>
    <t>1508-B</t>
  </si>
  <si>
    <t>1601-B</t>
  </si>
  <si>
    <t>1602-B</t>
  </si>
  <si>
    <t>1603-B</t>
  </si>
  <si>
    <t>1604-B</t>
  </si>
  <si>
    <t>1605-B</t>
  </si>
  <si>
    <t>1606-B</t>
  </si>
  <si>
    <t>1607-B</t>
  </si>
  <si>
    <t>1608-B</t>
  </si>
  <si>
    <t>1701-B</t>
  </si>
  <si>
    <t>1702-B</t>
  </si>
  <si>
    <t>1703-B</t>
  </si>
  <si>
    <t>1704-B</t>
  </si>
  <si>
    <t>1705-B</t>
  </si>
  <si>
    <t>1706-B</t>
  </si>
  <si>
    <t>1707-B</t>
  </si>
  <si>
    <t>1708-B</t>
  </si>
  <si>
    <t>1801-B</t>
  </si>
  <si>
    <t>1802-B</t>
  </si>
  <si>
    <t>1803-B</t>
  </si>
  <si>
    <t>1804-B</t>
  </si>
  <si>
    <t>1805-B</t>
  </si>
  <si>
    <t>1806-B</t>
  </si>
  <si>
    <t>1807-B</t>
  </si>
  <si>
    <t>1808-B</t>
  </si>
  <si>
    <t>1901-B</t>
  </si>
  <si>
    <t>1902-B</t>
  </si>
  <si>
    <t>1903-B</t>
  </si>
  <si>
    <t>1904-B</t>
  </si>
  <si>
    <t>1905-B</t>
  </si>
  <si>
    <t>1906-B</t>
  </si>
  <si>
    <t>1907-B</t>
  </si>
  <si>
    <t>1908-B</t>
  </si>
  <si>
    <t>DESCARACHADO Y PULIDO</t>
  </si>
  <si>
    <t>YESO y REMATES (CUADRATURA CAJAS,ETC…)</t>
  </si>
  <si>
    <t>TRAZADO Y NIVELES</t>
  </si>
  <si>
    <t>ALCANTARILLADO (VERTICALES Y RAMALES)</t>
  </si>
  <si>
    <t>EXTRACCION BAÑOS Y COCINA</t>
  </si>
  <si>
    <t>RASGOS VENTANAS, PUERTAS, ANTEPECHOS</t>
  </si>
  <si>
    <t>GRADA BAJO VENTANA</t>
  </si>
  <si>
    <t>TABIQUE VOLCOMETAL 1ra CARA</t>
  </si>
  <si>
    <t>IMPERMEABILIZACION RASGOS Y VENTANAS</t>
  </si>
  <si>
    <t>DISTRIBUCIÓN ELECT. Y CTE DEBILES EN TABIQUE</t>
  </si>
  <si>
    <t>DISTRIBUCION GASFITERIA EN TABIQUES</t>
  </si>
  <si>
    <t>TABIQUE VOLCOMETAL 2da CARA (incluye Shaff)</t>
  </si>
  <si>
    <t>IMPERMEABILIZACION BAÑO y COCINA</t>
  </si>
  <si>
    <t>HUINCHA TABIQUES, SHAFF Y VIGONES VOLC.</t>
  </si>
  <si>
    <t>VENTANAS</t>
  </si>
  <si>
    <t>INSTALACION PIERNAS Y CENEFAS DE CLOSETS</t>
  </si>
  <si>
    <t>COLOC.PUERTAS INTERIORES Y CENEFAS CORREDERAS</t>
  </si>
  <si>
    <t>NIVELACION PISO</t>
  </si>
  <si>
    <t>COLOCACION DE TINA</t>
  </si>
  <si>
    <t>FALDÓN DE TINA</t>
  </si>
  <si>
    <t>CORNISAS</t>
  </si>
  <si>
    <t>COLOCACION PUERTA DE ACCESO</t>
  </si>
  <si>
    <t>CERAMICA MUROS Y PISO BAÑO/COCINA/TERRAZA</t>
  </si>
  <si>
    <t>COLOCACION DE GUARDAPOLVO</t>
  </si>
  <si>
    <t>PASTA TABIQUES Y MUROS</t>
  </si>
  <si>
    <t>LOSALIN CIELO</t>
  </si>
  <si>
    <t>ALAMBRADO y ENLAUCHADO ELECT. Y CTES DEBILES</t>
  </si>
  <si>
    <t>CERRADURAS</t>
  </si>
  <si>
    <t>1RA.MANO PINTURA</t>
  </si>
  <si>
    <t>INSTALACION MUEBLES Y PUERTAS DE CLOSETS</t>
  </si>
  <si>
    <t>INST.MUEBLES DE COCINA</t>
  </si>
  <si>
    <t>INST. MUEBLES DE VANITORIOS</t>
  </si>
  <si>
    <t>CUBIERTA DE M.COCINA</t>
  </si>
  <si>
    <t>MANO DE PINTURA FINAL</t>
  </si>
  <si>
    <t>INST.ARTEFACTOS SANITARIOS</t>
  </si>
  <si>
    <t>COLOC.CUBIERTAS BAÑOS</t>
  </si>
  <si>
    <t>PAPEL MURAL</t>
  </si>
  <si>
    <t>VIDRIO RETROPINTADO+ESPEJOS</t>
  </si>
  <si>
    <t>ARTEFACTOS DE COCINA</t>
  </si>
  <si>
    <t>GRIFERIA</t>
  </si>
  <si>
    <t>BARANDA TERRAZA</t>
  </si>
  <si>
    <t>PISO FOTOLAMINADO</t>
  </si>
  <si>
    <t>COLOC.TABLERO ELECTRICO</t>
  </si>
  <si>
    <t>SELLOS (PAPEL, VENTANAS, ETC…)</t>
  </si>
  <si>
    <t>CITOFONO y CORRIENTES DEBILES</t>
  </si>
  <si>
    <t>ASEO FINAL</t>
  </si>
  <si>
    <t>COLOC.ARTEFACTOS ELECTRICOS</t>
  </si>
  <si>
    <t>ACCESORIOS DE BAÑOS</t>
  </si>
  <si>
    <t>REVISION 1</t>
  </si>
  <si>
    <t>ENTREGA FINAL DEPTO</t>
  </si>
  <si>
    <t>PASILLOS</t>
  </si>
  <si>
    <t>PISO 1</t>
  </si>
  <si>
    <t>PISO 2</t>
  </si>
  <si>
    <t>PISO 3</t>
  </si>
  <si>
    <t>PISO 4</t>
  </si>
  <si>
    <t>PISO 5</t>
  </si>
  <si>
    <t>PISO 6</t>
  </si>
  <si>
    <t>PISO 7</t>
  </si>
  <si>
    <t>PISO 8</t>
  </si>
  <si>
    <t>PISO 9</t>
  </si>
  <si>
    <t>PISO 10</t>
  </si>
  <si>
    <t>PISO 11</t>
  </si>
  <si>
    <t>PISO 12</t>
  </si>
  <si>
    <t>PISO 13</t>
  </si>
  <si>
    <t>PISO 14</t>
  </si>
  <si>
    <t>PISO 15</t>
  </si>
  <si>
    <t>PISO 16</t>
  </si>
  <si>
    <t>PISO 17</t>
  </si>
  <si>
    <t>PISO 18</t>
  </si>
  <si>
    <t>PISO 19</t>
  </si>
  <si>
    <t>P1</t>
  </si>
  <si>
    <t>P2</t>
  </si>
  <si>
    <t>P3</t>
  </si>
  <si>
    <t>p4</t>
  </si>
  <si>
    <t>Tabiques</t>
  </si>
  <si>
    <t xml:space="preserve">Puertas </t>
  </si>
  <si>
    <t>Ceramicas</t>
  </si>
  <si>
    <t>Guardapolvo</t>
  </si>
  <si>
    <t>Empaste y Pintura</t>
  </si>
  <si>
    <t>Agua Potable</t>
  </si>
  <si>
    <t>Electricidad</t>
  </si>
  <si>
    <t>Lamparas</t>
  </si>
  <si>
    <t>RESUMEN POR PARTIDAS  TORRE A</t>
  </si>
  <si>
    <t>Piso n°1</t>
  </si>
  <si>
    <t>LEGADO 1</t>
  </si>
  <si>
    <t>Depto.201</t>
  </si>
  <si>
    <t>Depto.202</t>
  </si>
  <si>
    <t>Depto.203</t>
  </si>
  <si>
    <t>Depto.204</t>
  </si>
  <si>
    <t>Depto.205</t>
  </si>
  <si>
    <t>Depto.206</t>
  </si>
  <si>
    <t>Depto.207</t>
  </si>
  <si>
    <t>Depto.208</t>
  </si>
  <si>
    <t>Depto.209</t>
  </si>
  <si>
    <t>Depto.210</t>
  </si>
  <si>
    <t>Depto.213</t>
  </si>
  <si>
    <t>Depto.214</t>
  </si>
  <si>
    <t>Depto.215</t>
  </si>
  <si>
    <t>Depto.216</t>
  </si>
  <si>
    <t>Depto.217</t>
  </si>
  <si>
    <t>Depto.303</t>
  </si>
  <si>
    <t>Depto.304</t>
  </si>
  <si>
    <t>Depto.305</t>
  </si>
  <si>
    <t>Depto.306</t>
  </si>
  <si>
    <t>Depto.307</t>
  </si>
  <si>
    <t>Depto.308</t>
  </si>
  <si>
    <t>Depto.309</t>
  </si>
  <si>
    <t>Depto.310</t>
  </si>
  <si>
    <t>Depto.311</t>
  </si>
  <si>
    <t>Depto.312</t>
  </si>
  <si>
    <t>Depto.313</t>
  </si>
  <si>
    <t>Depto.314</t>
  </si>
  <si>
    <t>Depto.315</t>
  </si>
  <si>
    <t>Depto.316</t>
  </si>
  <si>
    <t>Depto.317</t>
  </si>
  <si>
    <t>Depto.401</t>
  </si>
  <si>
    <t>Depto.402</t>
  </si>
  <si>
    <t>Depto.403</t>
  </si>
  <si>
    <t>Depto.404</t>
  </si>
  <si>
    <t>Depto.405</t>
  </si>
  <si>
    <t>Depto.406</t>
  </si>
  <si>
    <t>Depto.407</t>
  </si>
  <si>
    <t>Depto.408</t>
  </si>
  <si>
    <t>Depto.409</t>
  </si>
  <si>
    <t>Depto.410</t>
  </si>
  <si>
    <t>Depto.411</t>
  </si>
  <si>
    <t>Depto.412</t>
  </si>
  <si>
    <t>Depto.413</t>
  </si>
  <si>
    <t>Depto.414</t>
  </si>
  <si>
    <t>Depto.415</t>
  </si>
  <si>
    <t>Depto.416</t>
  </si>
  <si>
    <t>Depto.417</t>
  </si>
  <si>
    <t>Depto.501</t>
  </si>
  <si>
    <t>Depto.502</t>
  </si>
  <si>
    <t>Depto.503</t>
  </si>
  <si>
    <t>Depto.504</t>
  </si>
  <si>
    <t>Depto.505</t>
  </si>
  <si>
    <t>Depto.506</t>
  </si>
  <si>
    <t>Depto.507</t>
  </si>
  <si>
    <t>Depto.508</t>
  </si>
  <si>
    <t>Depto.509</t>
  </si>
  <si>
    <t>Depto.510</t>
  </si>
  <si>
    <t>Depto.511</t>
  </si>
  <si>
    <t>Depto.512</t>
  </si>
  <si>
    <t>Depto.513</t>
  </si>
  <si>
    <t>Depto.514</t>
  </si>
  <si>
    <t>Depto.515</t>
  </si>
  <si>
    <t>Depto.516</t>
  </si>
  <si>
    <t>Depto.517</t>
  </si>
  <si>
    <t>Depto.601</t>
  </si>
  <si>
    <t>Depto.602</t>
  </si>
  <si>
    <t>Depto.603</t>
  </si>
  <si>
    <t>Depto.604</t>
  </si>
  <si>
    <t>Depto.605</t>
  </si>
  <si>
    <t>Depto.606</t>
  </si>
  <si>
    <t>Depto.607</t>
  </si>
  <si>
    <t>Depto.608</t>
  </si>
  <si>
    <t>Depto.609</t>
  </si>
  <si>
    <t>Depto.610</t>
  </si>
  <si>
    <t>Depto.611</t>
  </si>
  <si>
    <t>Depto.612</t>
  </si>
  <si>
    <t>Depto.613</t>
  </si>
  <si>
    <t>Depto.614</t>
  </si>
  <si>
    <t>Depto.615</t>
  </si>
  <si>
    <t>Depto.616</t>
  </si>
  <si>
    <t>Depto.617</t>
  </si>
  <si>
    <t>Depto.701</t>
  </si>
  <si>
    <t>Depto.702</t>
  </si>
  <si>
    <t>Depto.703</t>
  </si>
  <si>
    <t>Depto.704</t>
  </si>
  <si>
    <t>Depto.705</t>
  </si>
  <si>
    <t>Depto.706</t>
  </si>
  <si>
    <t>Depto.707</t>
  </si>
  <si>
    <t>Depto.708</t>
  </si>
  <si>
    <t>Depto.709</t>
  </si>
  <si>
    <t>Depto.710</t>
  </si>
  <si>
    <t>Depto.711</t>
  </si>
  <si>
    <t>Depto.712</t>
  </si>
  <si>
    <t>Depto.713</t>
  </si>
  <si>
    <t>Depto.714</t>
  </si>
  <si>
    <t>Depto.715</t>
  </si>
  <si>
    <t>Depto.716</t>
  </si>
  <si>
    <t>Depto.717</t>
  </si>
  <si>
    <t>Depto.801</t>
  </si>
  <si>
    <t>Depto.802</t>
  </si>
  <si>
    <t>Depto.803</t>
  </si>
  <si>
    <t>Depto.804</t>
  </si>
  <si>
    <t>Depto.805</t>
  </si>
  <si>
    <t>Depto.806</t>
  </si>
  <si>
    <t>Depto.807</t>
  </si>
  <si>
    <t>Depto.808</t>
  </si>
  <si>
    <t>Depto.809</t>
  </si>
  <si>
    <t>Depto.810</t>
  </si>
  <si>
    <t>Depto.811</t>
  </si>
  <si>
    <t>Depto.812</t>
  </si>
  <si>
    <t>Depto.813</t>
  </si>
  <si>
    <t>Depto.814</t>
  </si>
  <si>
    <t>Depto.815</t>
  </si>
  <si>
    <t>Depto.816</t>
  </si>
  <si>
    <t>Depto.817</t>
  </si>
  <si>
    <t>Depto.901</t>
  </si>
  <si>
    <t>Depto.902</t>
  </si>
  <si>
    <t>Depto.903</t>
  </si>
  <si>
    <t>Depto.904</t>
  </si>
  <si>
    <t>Depto.905</t>
  </si>
  <si>
    <t>Depto.906</t>
  </si>
  <si>
    <t>Depto.907</t>
  </si>
  <si>
    <t>Depto.908</t>
  </si>
  <si>
    <t>Depto.909</t>
  </si>
  <si>
    <t>Depto.910</t>
  </si>
  <si>
    <t>Depto.911</t>
  </si>
  <si>
    <t>Depto.912</t>
  </si>
  <si>
    <t>Depto.913</t>
  </si>
  <si>
    <t>Depto.914</t>
  </si>
  <si>
    <t>Depto.915</t>
  </si>
  <si>
    <t>Depto.916</t>
  </si>
  <si>
    <t>Depto.917</t>
  </si>
  <si>
    <t>PISO N° 1</t>
  </si>
  <si>
    <t>Recepción Obra Gruesa</t>
  </si>
  <si>
    <t>Cangueo y desbaste de pisos</t>
  </si>
  <si>
    <t>Retiro camisas / Tapado Pasadas</t>
  </si>
  <si>
    <t>Pulido, descarachado y preparacion de muros</t>
  </si>
  <si>
    <t>Trazado tabique/Yeso/auxiliares vent. Y puertas</t>
  </si>
  <si>
    <t>Chequeo Rasgos Puerta Acceso</t>
  </si>
  <si>
    <t>Grada Buque (9cm)</t>
  </si>
  <si>
    <t>Instalación de Gargolas en Terraza</t>
  </si>
  <si>
    <t>Rasgo ventana - terrazas</t>
  </si>
  <si>
    <t>Despeje caja electricas y enlauchado</t>
  </si>
  <si>
    <t>Yeso Muro</t>
  </si>
  <si>
    <t>Yeso Cielo</t>
  </si>
  <si>
    <t>Sanitario vertical y ramal</t>
  </si>
  <si>
    <t>Maquillaje de Terraza</t>
  </si>
  <si>
    <t>Tabique 1° Cara</t>
  </si>
  <si>
    <t>Aislación Interior y Refuerzo Plasma</t>
  </si>
  <si>
    <t>Instalaciones Interior Tabique</t>
  </si>
  <si>
    <t xml:space="preserve">Tabique 2° cara </t>
  </si>
  <si>
    <t>Shaft /Tabique</t>
  </si>
  <si>
    <t>Mochetas y Dinteles Puerta Acceso</t>
  </si>
  <si>
    <t>Huinchas tabiques</t>
  </si>
  <si>
    <t>Instalación Marco Puerta Acceso</t>
  </si>
  <si>
    <t>Marcos Puertas Interiores</t>
  </si>
  <si>
    <t>Impermeabilizacion Baños</t>
  </si>
  <si>
    <t>Impermeabilizacion Terrazas</t>
  </si>
  <si>
    <t>Preparación de Pisos</t>
  </si>
  <si>
    <t>Instalacion de tina/Receptaculo</t>
  </si>
  <si>
    <t>Faldon de tina.</t>
  </si>
  <si>
    <t>Instalación Ventana</t>
  </si>
  <si>
    <t>Ceramica Pisos</t>
  </si>
  <si>
    <t>Ceramica Muros</t>
  </si>
  <si>
    <t>Frague</t>
  </si>
  <si>
    <t>Instalación piernas de closet</t>
  </si>
  <si>
    <t>Instalación Cornisas</t>
  </si>
  <si>
    <t>Cuadratura de cajas.</t>
  </si>
  <si>
    <t>Remate yeso y cornisas</t>
  </si>
  <si>
    <t>Puertas interiores</t>
  </si>
  <si>
    <t>Puertas de acceso y pasillo</t>
  </si>
  <si>
    <t xml:space="preserve">Cerradura Puertas </t>
  </si>
  <si>
    <t>Cableado Eléctrico y CCDD</t>
  </si>
  <si>
    <t>Cerámica de Terrazas</t>
  </si>
  <si>
    <t>Canterias</t>
  </si>
  <si>
    <t>Empaste Muro Cielo</t>
  </si>
  <si>
    <t>Instalacion Guardapolvo</t>
  </si>
  <si>
    <t>Pintura Cielo Terrazas</t>
  </si>
  <si>
    <t xml:space="preserve">Grano Muros Terrazas </t>
  </si>
  <si>
    <t xml:space="preserve">Losalin Cielo Departamento </t>
  </si>
  <si>
    <t>Pintura Cielo Baños</t>
  </si>
  <si>
    <t>Instalacion de Artefactos Sanitarios.</t>
  </si>
  <si>
    <t>Extractor de baño.</t>
  </si>
  <si>
    <t>Instalacion de Muebles baño</t>
  </si>
  <si>
    <t>Instalacion Muebles de cocina (Base)</t>
  </si>
  <si>
    <t>Instalacion Muebles de cocina (Aereo)</t>
  </si>
  <si>
    <t>Instalación cubiertas cocina</t>
  </si>
  <si>
    <t>1° mano de Pintura (interior closet+ puertas)</t>
  </si>
  <si>
    <t>Muebles Interior closet</t>
  </si>
  <si>
    <t>Instalacion de Espejos.</t>
  </si>
  <si>
    <t>Kit de cocina (Horno-Encimera -Campana - Lavaplato)</t>
  </si>
  <si>
    <t>Griferia.</t>
  </si>
  <si>
    <t>Pruebas de Instalaciones.</t>
  </si>
  <si>
    <t>Piso Flotante + cubrejunta + junquillo</t>
  </si>
  <si>
    <t xml:space="preserve">Protección Piso Flotante </t>
  </si>
  <si>
    <t>(2°) Segunda Mano Pintura Interior</t>
  </si>
  <si>
    <t>2° mano de pintura. (puertas, , cielo de baño, )</t>
  </si>
  <si>
    <t>Topes en piso y Accesorios</t>
  </si>
  <si>
    <t>Ductos de Extracción</t>
  </si>
  <si>
    <t>Protección Tina/receptaculo</t>
  </si>
  <si>
    <t>Instalación de Shower Door y Barra Cortina</t>
  </si>
  <si>
    <t>Instalación de Baranda de Crital</t>
  </si>
  <si>
    <t>Instalación Lana Mineral</t>
  </si>
  <si>
    <t xml:space="preserve">AVANCE GENERAL PISO N° 1 </t>
  </si>
  <si>
    <t>PORCENTAJE POR PARTIDA</t>
  </si>
  <si>
    <t xml:space="preserve">GRAFICO DE AVANCE POR PARTIDA </t>
  </si>
  <si>
    <t>AVANCE GENERAL PISO N° 2</t>
  </si>
  <si>
    <t>AVANCE GENERAL PISO N° 3</t>
  </si>
  <si>
    <t>AVANCE GENERAL PISO N° 4</t>
  </si>
  <si>
    <t>AVANCE GENERAL PISO N° 5</t>
  </si>
  <si>
    <t>AVANCE GENERAL PISO N° 6</t>
  </si>
  <si>
    <t>AVANCE GENERAL PISO N° 7</t>
  </si>
  <si>
    <t>AVANCE GENERAL PISO N° 8</t>
  </si>
  <si>
    <t>AVANCE GENERAL PISO N° 9</t>
  </si>
  <si>
    <t>Depto.211</t>
  </si>
  <si>
    <t>Depto.212</t>
  </si>
  <si>
    <t xml:space="preserve">VALOR MINIMO </t>
  </si>
  <si>
    <t xml:space="preserve">VALOR MAXIMO </t>
  </si>
  <si>
    <t xml:space="preserve">COLOR </t>
  </si>
  <si>
    <t xml:space="preserve">ROJO </t>
  </si>
  <si>
    <t xml:space="preserve">AZUL </t>
  </si>
  <si>
    <t>verde</t>
  </si>
  <si>
    <t>AVANCE SEMANAL  POR PARTIDAS  LYON</t>
  </si>
  <si>
    <t>Enlauchado</t>
  </si>
  <si>
    <t xml:space="preserve">Despeje caja electricas </t>
  </si>
  <si>
    <t xml:space="preserve">NOVIEMBRE </t>
  </si>
  <si>
    <t>DICIEMBRE</t>
  </si>
  <si>
    <t>ENERO</t>
  </si>
  <si>
    <t xml:space="preserve">FEBRERO </t>
  </si>
  <si>
    <t xml:space="preserve">MARZO </t>
  </si>
  <si>
    <t>ABRIL</t>
  </si>
  <si>
    <t>Metas</t>
  </si>
  <si>
    <t>PORCENTAJE DE AVANCE GENERAL DE FASE</t>
  </si>
  <si>
    <t xml:space="preserve">PORCENTAJE DE AVANCE POR PISO </t>
  </si>
  <si>
    <t>Trazado</t>
  </si>
  <si>
    <t>I. Sanitaria</t>
  </si>
  <si>
    <t>Tabique 2° Cara</t>
  </si>
  <si>
    <t>Ventanas</t>
  </si>
  <si>
    <t>Extracción</t>
  </si>
  <si>
    <t>I. Eléctrica</t>
  </si>
  <si>
    <t>Cerámicos</t>
  </si>
  <si>
    <t>Pasta</t>
  </si>
  <si>
    <t>Pintura</t>
  </si>
  <si>
    <t>Retropintado</t>
  </si>
  <si>
    <t>Muebles Closet</t>
  </si>
  <si>
    <t>Puertas</t>
  </si>
  <si>
    <t>MATRIZ SEGUIMIENTO RUTA CRITICA TERMINACIONES</t>
  </si>
  <si>
    <t>Baranda Cristal</t>
  </si>
  <si>
    <t>Av. Depto/Piso</t>
  </si>
  <si>
    <t>Departamento</t>
  </si>
  <si>
    <t>Etiquetas de fila</t>
  </si>
  <si>
    <t>Total general</t>
  </si>
  <si>
    <t>Suma de Av. Depto/Piso</t>
  </si>
  <si>
    <t>Muebles C/B</t>
  </si>
  <si>
    <t>Cubiertas</t>
  </si>
  <si>
    <t>Instalacion de Espejos y Retropintados</t>
  </si>
  <si>
    <t>Piso Vinilico</t>
  </si>
  <si>
    <t>PROGRAMA R1</t>
  </si>
  <si>
    <t>FEBRERO</t>
  </si>
  <si>
    <t>MARZO</t>
  </si>
  <si>
    <t>PROGRAMA RF</t>
  </si>
  <si>
    <t>% AVANCE</t>
  </si>
  <si>
    <t>sem1</t>
  </si>
  <si>
    <t>sem2</t>
  </si>
  <si>
    <t>sem3</t>
  </si>
  <si>
    <t>sem4</t>
  </si>
  <si>
    <t>sem5</t>
  </si>
  <si>
    <t>sem6</t>
  </si>
  <si>
    <t>sem7</t>
  </si>
  <si>
    <t>sem8</t>
  </si>
  <si>
    <t>sem9</t>
  </si>
  <si>
    <t>sem10</t>
  </si>
  <si>
    <t>sem11</t>
  </si>
  <si>
    <t>sem12</t>
  </si>
  <si>
    <t>sem13</t>
  </si>
  <si>
    <t>sem14</t>
  </si>
  <si>
    <t>Suma de Yeso Cielo</t>
  </si>
  <si>
    <t>Suma de Yeso Muro</t>
  </si>
  <si>
    <t>Valores</t>
  </si>
  <si>
    <t>Suma de Tabique 1° Cara</t>
  </si>
  <si>
    <t>Suma de I. Sanitaria</t>
  </si>
  <si>
    <t>Suma de I. Eléctrica</t>
  </si>
  <si>
    <t>Suma de Extracción</t>
  </si>
  <si>
    <t>Suma de Tabique 2° Cara</t>
  </si>
  <si>
    <t>Suma de Puertas</t>
  </si>
  <si>
    <t>Suma de Cerámicos</t>
  </si>
  <si>
    <t>Suma de Piso Vinilico</t>
  </si>
  <si>
    <t>Suma de Ventanas</t>
  </si>
  <si>
    <t>Suma de Baranda Cristal</t>
  </si>
  <si>
    <t>Suma de Pasta</t>
  </si>
  <si>
    <t>Suma de Muebles C/B</t>
  </si>
  <si>
    <t>Suma de Muebles Closet</t>
  </si>
  <si>
    <t>Suma de Cubiertas</t>
  </si>
  <si>
    <t>Suma de Retropintado</t>
  </si>
  <si>
    <t>Promedio de Trazado</t>
  </si>
  <si>
    <t>P.SEMAN</t>
  </si>
  <si>
    <t>sem15</t>
  </si>
  <si>
    <t>sem16</t>
  </si>
  <si>
    <t>sem17</t>
  </si>
  <si>
    <t>sem18</t>
  </si>
  <si>
    <t>sem19</t>
  </si>
  <si>
    <t>sem20</t>
  </si>
  <si>
    <t>sem21</t>
  </si>
  <si>
    <t>GRAFICO AVANCE SEMANAL PARTIDAS</t>
  </si>
  <si>
    <t>sem22</t>
  </si>
  <si>
    <t>sem23</t>
  </si>
  <si>
    <t>sem24</t>
  </si>
  <si>
    <t>sem25</t>
  </si>
  <si>
    <t>sem26</t>
  </si>
  <si>
    <t>sem27</t>
  </si>
  <si>
    <t>DEPTO 102</t>
  </si>
  <si>
    <t>DEPTO 103</t>
  </si>
  <si>
    <t>DEPTO 104</t>
  </si>
  <si>
    <t>DEPTO 105</t>
  </si>
  <si>
    <t>DEPTO 106</t>
  </si>
  <si>
    <t>DEPTO 107</t>
  </si>
  <si>
    <t>DEPTO 108</t>
  </si>
  <si>
    <t>DEPTO 118</t>
  </si>
  <si>
    <t>DEPTO 119</t>
  </si>
  <si>
    <t>DEPTO 120</t>
  </si>
  <si>
    <t>DEPTO 121</t>
  </si>
  <si>
    <t xml:space="preserve">LOCAL 1 </t>
  </si>
  <si>
    <t>LOCAL 2</t>
  </si>
  <si>
    <t>LOCAL 3</t>
  </si>
  <si>
    <t>LOCAL 4</t>
  </si>
  <si>
    <t>LOCAL 5</t>
  </si>
  <si>
    <t>LOCAL 6</t>
  </si>
  <si>
    <t>LOCAL 7</t>
  </si>
  <si>
    <t>LOCAL 8</t>
  </si>
  <si>
    <t>LOCAL 9</t>
  </si>
  <si>
    <t xml:space="preserve">COWORK </t>
  </si>
  <si>
    <t>GIMNASIO</t>
  </si>
  <si>
    <t>SALON GOURMET 1</t>
  </si>
  <si>
    <t>SALON GOURMET 2</t>
  </si>
  <si>
    <t>Depto.318</t>
  </si>
  <si>
    <t>Depto.319</t>
  </si>
  <si>
    <t>Depto.320</t>
  </si>
  <si>
    <t>Depto.321</t>
  </si>
  <si>
    <t>Depto.322</t>
  </si>
  <si>
    <t>Depto.323</t>
  </si>
  <si>
    <t xml:space="preserve">Depto.301 </t>
  </si>
  <si>
    <t xml:space="preserve">Depto.302 </t>
  </si>
  <si>
    <t>PISO N°3 A</t>
  </si>
  <si>
    <t>PISO N°3 B</t>
  </si>
  <si>
    <t>Depto.218</t>
  </si>
  <si>
    <t>Depto.219</t>
  </si>
  <si>
    <t>Depto.220</t>
  </si>
  <si>
    <t>Depto.221</t>
  </si>
  <si>
    <t>Depto.222</t>
  </si>
  <si>
    <t>Depto.223</t>
  </si>
  <si>
    <t>PISO N° 2 A</t>
  </si>
  <si>
    <t>PISO N° 2 B</t>
  </si>
  <si>
    <t>Depto.418</t>
  </si>
  <si>
    <t>Depto.419</t>
  </si>
  <si>
    <t>Depto.420</t>
  </si>
  <si>
    <t>Depto.421</t>
  </si>
  <si>
    <t>Depto.422</t>
  </si>
  <si>
    <t>Depto.423</t>
  </si>
  <si>
    <t>PISO N°4 A</t>
  </si>
  <si>
    <t>PISO N°4 B</t>
  </si>
  <si>
    <t>Depto.518</t>
  </si>
  <si>
    <t>Depto.519</t>
  </si>
  <si>
    <t>Depto.520</t>
  </si>
  <si>
    <t>Depto.521</t>
  </si>
  <si>
    <t>Depto.522</t>
  </si>
  <si>
    <t>Depto.523</t>
  </si>
  <si>
    <t>PISO N°5 A</t>
  </si>
  <si>
    <t>PISO N°5 B</t>
  </si>
  <si>
    <t>Depto.618</t>
  </si>
  <si>
    <t>Depto.619</t>
  </si>
  <si>
    <t>Depto.620</t>
  </si>
  <si>
    <t>Depto.621</t>
  </si>
  <si>
    <t>Depto.622</t>
  </si>
  <si>
    <t>Depto.623</t>
  </si>
  <si>
    <t>PISO N°6 A</t>
  </si>
  <si>
    <t>PISO N°6 B</t>
  </si>
  <si>
    <t>Depto703</t>
  </si>
  <si>
    <t>Depto.718</t>
  </si>
  <si>
    <t>Depto.719</t>
  </si>
  <si>
    <t>Depto.720</t>
  </si>
  <si>
    <t>Depto.721</t>
  </si>
  <si>
    <t>Depto.722</t>
  </si>
  <si>
    <t>Depto.723</t>
  </si>
  <si>
    <t>PISO N°7 A</t>
  </si>
  <si>
    <t>PISO N°7 B</t>
  </si>
  <si>
    <t>Depto803</t>
  </si>
  <si>
    <t>Depto.818</t>
  </si>
  <si>
    <t>Depto.819</t>
  </si>
  <si>
    <t>Depto.820</t>
  </si>
  <si>
    <t>Depto.821</t>
  </si>
  <si>
    <t>Depto.822</t>
  </si>
  <si>
    <t>Depto.823</t>
  </si>
  <si>
    <t>PISO N°8 A</t>
  </si>
  <si>
    <t>PISO N°8 B</t>
  </si>
  <si>
    <t>Depto.918</t>
  </si>
  <si>
    <t>Depto.919</t>
  </si>
  <si>
    <t>Depto.920</t>
  </si>
  <si>
    <t>Depto.921</t>
  </si>
  <si>
    <t>Depto.923</t>
  </si>
  <si>
    <t>PISO N°9 A</t>
  </si>
  <si>
    <t>PISO N°9 B</t>
  </si>
  <si>
    <t>Instalación de Papel Mural</t>
  </si>
  <si>
    <t>Papel Mural</t>
  </si>
  <si>
    <t xml:space="preserve">Instalación de Shower Door </t>
  </si>
  <si>
    <t xml:space="preserve">Instalación Lana Mineral Verticales Samitarias </t>
  </si>
  <si>
    <t xml:space="preserve">2da Mano de Pintura </t>
  </si>
  <si>
    <t>JUNIO 2026</t>
  </si>
  <si>
    <t>JULIO 2026</t>
  </si>
  <si>
    <t>JUNIO 2027</t>
  </si>
  <si>
    <t>JULIO 2027</t>
  </si>
  <si>
    <t>AGOSTO 2026</t>
  </si>
  <si>
    <t>SEPT. 2026</t>
  </si>
  <si>
    <t>OCT. 2026</t>
  </si>
  <si>
    <t>NOV. 2026</t>
  </si>
  <si>
    <t>DIC. 2026</t>
  </si>
  <si>
    <t>ENERO 2027</t>
  </si>
  <si>
    <t>MARZO 2027</t>
  </si>
  <si>
    <t>FEB. 2027</t>
  </si>
  <si>
    <t>ABRIL 2027</t>
  </si>
  <si>
    <t>MAYO 2027</t>
  </si>
  <si>
    <t>AVANCE PARTIDA</t>
  </si>
  <si>
    <t>CONTROL AVANCE FASE 2 SAN FRANCISCO 211</t>
  </si>
  <si>
    <t>CONTROL AVANCE FASE 1 SAN FRANCISCO 211</t>
  </si>
  <si>
    <t>CONTROL AVANCE FASE 3 SAN FRANCISCO 211</t>
  </si>
  <si>
    <t>CONTROL AVANCE FASE 4 SAN FRANCISCO 211</t>
  </si>
  <si>
    <t>Máx. de PISO 1</t>
  </si>
  <si>
    <t>Máx. de PISO 2</t>
  </si>
  <si>
    <t>Máx. de PISO 3</t>
  </si>
  <si>
    <t>Máx. de PISO 4</t>
  </si>
  <si>
    <t>Máx. de PISO 6</t>
  </si>
  <si>
    <t>Máx. de PISO 7</t>
  </si>
  <si>
    <t>Máx. de PISO 8</t>
  </si>
  <si>
    <t>Máx. de PISO 9</t>
  </si>
  <si>
    <t>Máx. de PISO 5</t>
  </si>
  <si>
    <t>Partidas</t>
  </si>
  <si>
    <t>Partidos</t>
  </si>
  <si>
    <t>FASE</t>
  </si>
  <si>
    <t>Avance Piso</t>
  </si>
  <si>
    <t>EDIFICIO SAN FRANCISCO</t>
  </si>
  <si>
    <t>CONSTRUCTORA PAZ SPA</t>
  </si>
  <si>
    <t>Leyenda:</t>
  </si>
  <si>
    <t>Según lo previsto</t>
  </si>
  <si>
    <t>Riesgo bajo</t>
  </si>
  <si>
    <t>Riesgo medio</t>
  </si>
  <si>
    <t>Riesgo alto</t>
  </si>
  <si>
    <t>Sin asignar</t>
  </si>
  <si>
    <t>Leonardo Castro G.</t>
  </si>
  <si>
    <t>Fecha de inicio del proyecto:</t>
  </si>
  <si>
    <t>Incremento de desplazamiento:</t>
  </si>
  <si>
    <t>Descripción del hito</t>
  </si>
  <si>
    <t>Categoría</t>
  </si>
  <si>
    <t>Asignado a</t>
  </si>
  <si>
    <t>Progreso</t>
  </si>
  <si>
    <t>Inicio</t>
  </si>
  <si>
    <t>Días</t>
  </si>
  <si>
    <t>JUN</t>
  </si>
  <si>
    <t>JUL</t>
  </si>
  <si>
    <t>AGO</t>
  </si>
  <si>
    <t>SEPT</t>
  </si>
  <si>
    <t>OCT</t>
  </si>
  <si>
    <t>NOV</t>
  </si>
  <si>
    <t>DIC</t>
  </si>
  <si>
    <t>ENE</t>
  </si>
  <si>
    <t>FEB</t>
  </si>
  <si>
    <t>MAR</t>
  </si>
  <si>
    <t>ABR</t>
  </si>
  <si>
    <t>MAY</t>
  </si>
  <si>
    <t>Hito</t>
  </si>
  <si>
    <t>Piso 1</t>
  </si>
  <si>
    <t>Piso 2</t>
  </si>
  <si>
    <t>Piso 3</t>
  </si>
  <si>
    <t>Piso 4</t>
  </si>
  <si>
    <t>Piso 5</t>
  </si>
  <si>
    <t>Piso 6</t>
  </si>
  <si>
    <t>Piso 7</t>
  </si>
  <si>
    <t>Piso 8</t>
  </si>
  <si>
    <t>Piso 9</t>
  </si>
  <si>
    <t>Depto 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</si>
</sst>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 #,##0_ ;_ * \-#,##0_ ;_ * &quot;-&quot;_ ;_ @_ "/>
    <numFmt numFmtId="164" formatCode="0.000%"/>
    <numFmt numFmtId="165" formatCode="0.0%"/>
    <numFmt numFmtId="166" formatCode="d"/>
    <numFmt numFmtId="167" formatCode="#,##0_ ;\-#,##0\ "/>
  </numFmts>
  <fonts count="73">
    <font>
      <sz val="10"/>
      <name val="Arial"/>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color rgb="FF0000CC"/>
      <name val="Arial"/>
      <family val="2"/>
    </font>
    <font>
      <sz val="10"/>
      <name val="Arial"/>
      <family val="2"/>
    </font>
    <font>
      <b/>
      <sz val="10"/>
      <name val="Arial"/>
      <family val="2"/>
    </font>
    <font>
      <b/>
      <sz val="14"/>
      <color rgb="FF0000CC"/>
      <name val="Arial"/>
      <family val="2"/>
    </font>
    <font>
      <b/>
      <sz val="16"/>
      <color rgb="FF0000CC"/>
      <name val="Arial"/>
      <family val="2"/>
    </font>
    <font>
      <b/>
      <sz val="9"/>
      <color indexed="81"/>
      <name val="Tahoma"/>
      <family val="2"/>
    </font>
    <font>
      <b/>
      <sz val="16"/>
      <name val="Arial"/>
      <family val="2"/>
    </font>
    <font>
      <sz val="9"/>
      <color indexed="81"/>
      <name val="Tahoma"/>
      <family val="2"/>
    </font>
    <font>
      <b/>
      <sz val="12"/>
      <color rgb="FF0000CC"/>
      <name val="Arial"/>
      <family val="2"/>
    </font>
    <font>
      <sz val="22"/>
      <color theme="1"/>
      <name val="Calibri"/>
      <family val="2"/>
      <scheme val="minor"/>
    </font>
    <font>
      <sz val="10"/>
      <color theme="1"/>
      <name val="Calibri"/>
      <family val="2"/>
      <scheme val="minor"/>
    </font>
    <font>
      <b/>
      <u/>
      <sz val="24"/>
      <color theme="1"/>
      <name val="Calibri"/>
      <family val="2"/>
      <scheme val="minor"/>
    </font>
    <font>
      <b/>
      <u/>
      <sz val="26"/>
      <color theme="1"/>
      <name val="Calibri"/>
      <family val="2"/>
      <scheme val="minor"/>
    </font>
    <font>
      <b/>
      <sz val="18"/>
      <color theme="1"/>
      <name val="Calibri"/>
      <family val="2"/>
      <scheme val="minor"/>
    </font>
    <font>
      <b/>
      <sz val="22"/>
      <color theme="1"/>
      <name val="Calibri"/>
      <family val="2"/>
      <scheme val="minor"/>
    </font>
    <font>
      <sz val="14"/>
      <name val="Arial"/>
      <family val="2"/>
    </font>
    <font>
      <b/>
      <sz val="11"/>
      <color rgb="FF0000CC"/>
      <name val="Calibri"/>
      <family val="2"/>
      <scheme val="minor"/>
    </font>
    <font>
      <b/>
      <sz val="16"/>
      <color rgb="FFFF0000"/>
      <name val="Arial"/>
      <family val="2"/>
    </font>
    <font>
      <b/>
      <sz val="16"/>
      <color theme="1"/>
      <name val="Calibri"/>
      <family val="2"/>
      <scheme val="minor"/>
    </font>
    <font>
      <b/>
      <sz val="11"/>
      <name val="Calibri"/>
      <family val="2"/>
      <scheme val="minor"/>
    </font>
    <font>
      <b/>
      <sz val="18"/>
      <color rgb="FF0000CC"/>
      <name val="Calibri"/>
      <family val="2"/>
      <scheme val="minor"/>
    </font>
    <font>
      <b/>
      <sz val="11"/>
      <color theme="0"/>
      <name val="Calibri"/>
      <family val="2"/>
      <scheme val="minor"/>
    </font>
    <font>
      <sz val="8"/>
      <name val="Arial"/>
      <family val="2"/>
    </font>
    <font>
      <b/>
      <sz val="12"/>
      <name val="Arial"/>
      <family val="2"/>
    </font>
    <font>
      <b/>
      <sz val="22"/>
      <name val="Arial"/>
      <family val="2"/>
    </font>
    <font>
      <sz val="11"/>
      <name val="Arial"/>
      <family val="2"/>
    </font>
    <font>
      <b/>
      <sz val="20"/>
      <name val="Arial"/>
      <family val="2"/>
    </font>
    <font>
      <b/>
      <u/>
      <sz val="72"/>
      <color theme="1"/>
      <name val="Calibri"/>
      <family val="2"/>
      <scheme val="minor"/>
    </font>
    <font>
      <b/>
      <sz val="28"/>
      <name val="Arial"/>
      <family val="2"/>
    </font>
    <font>
      <b/>
      <sz val="22"/>
      <name val="Calibri"/>
      <family val="2"/>
      <scheme val="minor"/>
    </font>
    <font>
      <b/>
      <sz val="16"/>
      <name val="Calibri"/>
      <family val="2"/>
      <scheme val="minor"/>
    </font>
    <font>
      <b/>
      <sz val="11"/>
      <name val="Arial"/>
      <family val="2"/>
    </font>
    <font>
      <sz val="12"/>
      <name val="Arial"/>
      <family val="2"/>
    </font>
    <font>
      <b/>
      <sz val="16"/>
      <color rgb="FF0000CC"/>
      <name val="Calibri"/>
      <family val="2"/>
      <scheme val="minor"/>
    </font>
    <font>
      <b/>
      <sz val="11"/>
      <color rgb="FFFF0000"/>
      <name val="Arial"/>
      <family val="2"/>
    </font>
    <font>
      <b/>
      <sz val="18"/>
      <color rgb="FFFF0000"/>
      <name val="Calibri"/>
      <family val="2"/>
      <scheme val="minor"/>
    </font>
    <font>
      <b/>
      <sz val="20"/>
      <color rgb="FF000000"/>
      <name val="ZapfHumnst BT"/>
    </font>
    <font>
      <sz val="16"/>
      <color rgb="FF000000"/>
      <name val="Calibri"/>
      <family val="2"/>
      <scheme val="minor"/>
    </font>
    <font>
      <sz val="16"/>
      <color theme="0"/>
      <name val="Calibri"/>
      <family val="2"/>
      <scheme val="minor"/>
    </font>
    <font>
      <sz val="8"/>
      <color rgb="FF000000"/>
      <name val="Calibri"/>
      <family val="2"/>
      <scheme val="minor"/>
    </font>
    <font>
      <b/>
      <sz val="12"/>
      <color theme="1"/>
      <name val="Calibri"/>
      <family val="2"/>
      <scheme val="minor"/>
    </font>
    <font>
      <sz val="10"/>
      <name val="Arial"/>
      <family val="2"/>
    </font>
    <font>
      <sz val="20"/>
      <name val="Arial"/>
      <family val="2"/>
    </font>
    <font>
      <sz val="8"/>
      <name val="Arial"/>
      <family val="2"/>
    </font>
    <font>
      <b/>
      <u/>
      <sz val="10"/>
      <color theme="1"/>
      <name val="Calibri"/>
      <family val="2"/>
      <scheme val="minor"/>
    </font>
    <font>
      <b/>
      <sz val="10"/>
      <color theme="1"/>
      <name val="Calibri"/>
      <family val="2"/>
      <scheme val="minor"/>
    </font>
    <font>
      <b/>
      <sz val="10"/>
      <color rgb="FF0000CC"/>
      <name val="Calibri"/>
      <family val="2"/>
      <scheme val="minor"/>
    </font>
    <font>
      <b/>
      <sz val="14"/>
      <name val="Arial"/>
      <family val="2"/>
    </font>
    <font>
      <b/>
      <sz val="36"/>
      <name val="Arial"/>
      <family val="2"/>
    </font>
    <font>
      <sz val="8"/>
      <name val="Arial"/>
      <family val="2"/>
    </font>
    <font>
      <sz val="10"/>
      <name val="Calibri"/>
      <family val="2"/>
      <scheme val="minor"/>
    </font>
    <font>
      <u/>
      <sz val="10"/>
      <name val="Calibri"/>
      <family val="2"/>
      <scheme val="minor"/>
    </font>
    <font>
      <b/>
      <sz val="10"/>
      <name val="Calibri"/>
      <family val="2"/>
      <scheme val="minor"/>
    </font>
    <font>
      <sz val="10"/>
      <name val="Calibri"/>
      <family val="2"/>
    </font>
    <font>
      <i/>
      <u/>
      <sz val="10"/>
      <name val="Arial"/>
      <family val="2"/>
    </font>
    <font>
      <sz val="11"/>
      <color theme="0"/>
      <name val="Calibri"/>
      <family val="2"/>
      <scheme val="minor"/>
    </font>
    <font>
      <b/>
      <sz val="22"/>
      <color theme="1" tint="0.34998626667073579"/>
      <name val="Cambria"/>
      <family val="2"/>
      <scheme val="major"/>
    </font>
    <font>
      <b/>
      <sz val="26"/>
      <color theme="0"/>
      <name val="Cambria"/>
      <family val="2"/>
      <scheme val="major"/>
    </font>
    <font>
      <sz val="14"/>
      <color theme="0"/>
      <name val="Calibri"/>
      <family val="2"/>
      <scheme val="minor"/>
    </font>
    <font>
      <b/>
      <sz val="22"/>
      <name val="Cambria"/>
      <family val="2"/>
      <scheme val="major"/>
    </font>
    <font>
      <b/>
      <sz val="20"/>
      <name val="Cambria"/>
      <family val="2"/>
      <scheme val="major"/>
    </font>
    <font>
      <sz val="11"/>
      <name val="Calibri"/>
      <family val="2"/>
      <scheme val="minor"/>
    </font>
    <font>
      <sz val="14"/>
      <name val="Calibri"/>
      <family val="2"/>
      <scheme val="minor"/>
    </font>
    <font>
      <sz val="14"/>
      <color theme="1"/>
      <name val="Calibri"/>
      <family val="2"/>
      <scheme val="minor"/>
    </font>
    <font>
      <b/>
      <sz val="14"/>
      <color theme="0"/>
      <name val="Calibri"/>
      <family val="2"/>
      <scheme val="minor"/>
    </font>
    <font>
      <b/>
      <sz val="14"/>
      <name val="Calibri"/>
      <family val="2"/>
      <scheme val="minor"/>
    </font>
    <font>
      <b/>
      <sz val="10"/>
      <color theme="0"/>
      <name val="Calibri"/>
      <family val="2"/>
      <scheme val="minor"/>
    </font>
  </fonts>
  <fills count="41">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00FF00"/>
        <bgColor indexed="64"/>
      </patternFill>
    </fill>
    <fill>
      <patternFill patternType="solid">
        <fgColor theme="8" tint="0.39997558519241921"/>
        <bgColor indexed="64"/>
      </patternFill>
    </fill>
    <fill>
      <patternFill patternType="solid">
        <fgColor theme="6"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1" tint="0.14999847407452621"/>
        <bgColor indexed="64"/>
      </patternFill>
    </fill>
    <fill>
      <patternFill patternType="solid">
        <fgColor theme="9" tint="0.59999389629810485"/>
        <bgColor indexed="64"/>
      </patternFill>
    </fill>
    <fill>
      <patternFill patternType="solid">
        <fgColor rgb="FF00B0F0"/>
        <bgColor indexed="64"/>
      </patternFill>
    </fill>
    <fill>
      <patternFill patternType="solid">
        <fgColor rgb="FF66FFFF"/>
        <bgColor indexed="64"/>
      </patternFill>
    </fill>
    <fill>
      <patternFill patternType="solid">
        <fgColor rgb="FF99CC00"/>
        <bgColor indexed="64"/>
      </patternFill>
    </fill>
    <fill>
      <patternFill patternType="solid">
        <fgColor rgb="FF00FF99"/>
        <bgColor indexed="64"/>
      </patternFill>
    </fill>
    <fill>
      <patternFill patternType="solid">
        <fgColor rgb="FFFF9900"/>
        <bgColor indexed="64"/>
      </patternFill>
    </fill>
    <fill>
      <patternFill patternType="solid">
        <fgColor theme="1"/>
        <bgColor indexed="64"/>
      </patternFill>
    </fill>
    <fill>
      <patternFill patternType="solid">
        <fgColor rgb="FFFFFFCC"/>
        <bgColor indexed="64"/>
      </patternFill>
    </fill>
    <fill>
      <patternFill patternType="solid">
        <fgColor rgb="FFCCFF66"/>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rgb="FFFFFFFF"/>
        <bgColor indexed="64"/>
      </patternFill>
    </fill>
    <fill>
      <patternFill patternType="solid">
        <fgColor rgb="FFFF0000"/>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6"/>
      </patternFill>
    </fill>
    <fill>
      <patternFill patternType="solid">
        <fgColor theme="9" tint="-0.499984740745262"/>
        <bgColor indexed="64"/>
      </patternFill>
    </fill>
    <fill>
      <patternFill patternType="solid">
        <fgColor theme="6"/>
        <bgColor indexed="64"/>
      </patternFill>
    </fill>
    <fill>
      <patternFill patternType="solid">
        <fgColor theme="9"/>
        <bgColor indexed="64"/>
      </patternFill>
    </fill>
    <fill>
      <patternFill patternType="solid">
        <fgColor theme="5"/>
        <bgColor indexed="64"/>
      </patternFill>
    </fill>
    <fill>
      <patternFill patternType="solid">
        <fgColor theme="7" tint="-0.249977111117893"/>
        <bgColor indexed="64"/>
      </patternFill>
    </fill>
    <fill>
      <patternFill patternType="solid">
        <fgColor theme="2" tint="-9.9978637043366805E-2"/>
        <bgColor indexed="64"/>
      </patternFill>
    </fill>
  </fills>
  <borders count="13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medium">
        <color indexed="64"/>
      </top>
      <bottom/>
      <diagonal/>
    </border>
    <border>
      <left style="double">
        <color indexed="64"/>
      </left>
      <right style="double">
        <color indexed="64"/>
      </right>
      <top style="double">
        <color indexed="64"/>
      </top>
      <bottom/>
      <diagonal/>
    </border>
    <border>
      <left/>
      <right/>
      <top/>
      <bottom style="double">
        <color indexed="64"/>
      </bottom>
      <diagonal/>
    </border>
    <border>
      <left/>
      <right/>
      <top/>
      <bottom style="medium">
        <color indexed="64"/>
      </bottom>
      <diagonal/>
    </border>
    <border>
      <left style="double">
        <color indexed="64"/>
      </left>
      <right style="double">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hair">
        <color indexed="64"/>
      </left>
      <right style="hair">
        <color indexed="64"/>
      </right>
      <top style="medium">
        <color indexed="64"/>
      </top>
      <bottom style="hair">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hair">
        <color indexed="64"/>
      </left>
      <right style="hair">
        <color indexed="64"/>
      </right>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medium">
        <color indexed="64"/>
      </left>
      <right style="medium">
        <color indexed="64"/>
      </right>
      <top/>
      <bottom style="thin">
        <color indexed="64"/>
      </bottom>
      <diagonal/>
    </border>
    <border>
      <left style="medium">
        <color indexed="64"/>
      </left>
      <right style="hair">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hair">
        <color indexed="64"/>
      </right>
      <top/>
      <bottom style="hair">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hair">
        <color indexed="64"/>
      </right>
      <top/>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right style="medium">
        <color indexed="64"/>
      </right>
      <top style="thin">
        <color indexed="64"/>
      </top>
      <bottom style="medium">
        <color indexed="64"/>
      </bottom>
      <diagonal/>
    </border>
    <border>
      <left style="hair">
        <color indexed="64"/>
      </left>
      <right style="hair">
        <color indexed="64"/>
      </right>
      <top/>
      <bottom/>
      <diagonal/>
    </border>
    <border>
      <left/>
      <right style="medium">
        <color indexed="64"/>
      </right>
      <top style="medium">
        <color indexed="64"/>
      </top>
      <bottom style="medium">
        <color indexed="64"/>
      </bottom>
      <diagonal/>
    </border>
    <border>
      <left style="medium">
        <color indexed="64"/>
      </left>
      <right style="hair">
        <color indexed="64"/>
      </right>
      <top/>
      <bottom/>
      <diagonal/>
    </border>
    <border>
      <left/>
      <right style="hair">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dotted">
        <color indexed="64"/>
      </left>
      <right style="dotted">
        <color indexed="64"/>
      </right>
      <top/>
      <bottom style="dotted">
        <color indexed="64"/>
      </bottom>
      <diagonal/>
    </border>
    <border>
      <left/>
      <right style="dotted">
        <color indexed="64"/>
      </right>
      <top/>
      <bottom style="dotted">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medium">
        <color indexed="64"/>
      </left>
      <right/>
      <top style="medium">
        <color indexed="64"/>
      </top>
      <bottom style="dotted">
        <color indexed="64"/>
      </bottom>
      <diagonal/>
    </border>
    <border>
      <left style="medium">
        <color indexed="64"/>
      </left>
      <right/>
      <top style="dotted">
        <color indexed="64"/>
      </top>
      <bottom style="dotted">
        <color indexed="64"/>
      </bottom>
      <diagonal/>
    </border>
    <border>
      <left style="medium">
        <color indexed="64"/>
      </left>
      <right style="thin">
        <color rgb="FFB1BBCC"/>
      </right>
      <top style="medium">
        <color indexed="64"/>
      </top>
      <bottom/>
      <diagonal/>
    </border>
    <border>
      <left style="thin">
        <color rgb="FFB1BBCC"/>
      </left>
      <right style="thin">
        <color rgb="FFB1BBCC"/>
      </right>
      <top style="medium">
        <color indexed="64"/>
      </top>
      <bottom/>
      <diagonal/>
    </border>
    <border>
      <left style="thin">
        <color rgb="FFB1BBCC"/>
      </left>
      <right style="medium">
        <color indexed="64"/>
      </right>
      <top style="medium">
        <color indexed="64"/>
      </top>
      <bottom/>
      <diagonal/>
    </border>
    <border>
      <left style="thin">
        <color rgb="FFB1BBCC"/>
      </left>
      <right/>
      <top style="medium">
        <color indexed="64"/>
      </top>
      <bottom/>
      <diagonal/>
    </border>
    <border>
      <left/>
      <right style="medium">
        <color indexed="64"/>
      </right>
      <top style="medium">
        <color indexed="64"/>
      </top>
      <bottom/>
      <diagonal/>
    </border>
    <border>
      <left style="thin">
        <color rgb="FFB1BBCC"/>
      </left>
      <right style="thin">
        <color rgb="FFB1BBCC"/>
      </right>
      <top/>
      <bottom style="thin">
        <color rgb="FFB1BBCC"/>
      </bottom>
      <diagonal/>
    </border>
    <border>
      <left style="thin">
        <color rgb="FFB1BBCC"/>
      </left>
      <right style="thin">
        <color rgb="FFB1BBCC"/>
      </right>
      <top style="thin">
        <color rgb="FFB1BBCC"/>
      </top>
      <bottom style="thin">
        <color rgb="FFB1BBCC"/>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medium">
        <color indexed="64"/>
      </top>
      <bottom style="dashed">
        <color indexed="64"/>
      </bottom>
      <diagonal/>
    </border>
    <border>
      <left/>
      <right style="medium">
        <color indexed="64"/>
      </right>
      <top/>
      <bottom/>
      <diagonal/>
    </border>
    <border>
      <left style="dashed">
        <color indexed="64"/>
      </left>
      <right style="dashed">
        <color indexed="64"/>
      </right>
      <top/>
      <bottom style="dashed">
        <color indexed="64"/>
      </bottom>
      <diagonal/>
    </border>
    <border>
      <left style="dotted">
        <color indexed="64"/>
      </left>
      <right/>
      <top style="dotted">
        <color indexed="64"/>
      </top>
      <bottom style="dotted">
        <color indexed="64"/>
      </bottom>
      <diagonal/>
    </border>
    <border>
      <left style="dashed">
        <color indexed="64"/>
      </left>
      <right style="medium">
        <color indexed="64"/>
      </right>
      <top style="medium">
        <color indexed="64"/>
      </top>
      <bottom style="dashed">
        <color indexed="64"/>
      </bottom>
      <diagonal/>
    </border>
    <border>
      <left style="dashed">
        <color indexed="64"/>
      </left>
      <right style="medium">
        <color indexed="64"/>
      </right>
      <top style="dashed">
        <color indexed="64"/>
      </top>
      <bottom style="dashed">
        <color indexed="64"/>
      </bottom>
      <diagonal/>
    </border>
    <border>
      <left style="dashed">
        <color indexed="64"/>
      </left>
      <right style="dashed">
        <color indexed="64"/>
      </right>
      <top style="dashed">
        <color indexed="64"/>
      </top>
      <bottom style="medium">
        <color indexed="64"/>
      </bottom>
      <diagonal/>
    </border>
    <border>
      <left style="dashed">
        <color indexed="64"/>
      </left>
      <right style="medium">
        <color indexed="64"/>
      </right>
      <top style="dashed">
        <color indexed="64"/>
      </top>
      <bottom style="medium">
        <color indexed="64"/>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right style="dashed">
        <color indexed="64"/>
      </right>
      <top style="medium">
        <color indexed="64"/>
      </top>
      <bottom style="dashed">
        <color indexed="64"/>
      </bottom>
      <diagonal/>
    </border>
    <border>
      <left/>
      <right style="dashed">
        <color indexed="64"/>
      </right>
      <top style="dashed">
        <color indexed="64"/>
      </top>
      <bottom style="dashed">
        <color indexed="64"/>
      </bottom>
      <diagonal/>
    </border>
    <border>
      <left/>
      <right style="dashed">
        <color indexed="64"/>
      </right>
      <top style="dashed">
        <color indexed="64"/>
      </top>
      <bottom style="medium">
        <color indexed="64"/>
      </bottom>
      <diagonal/>
    </border>
    <border>
      <left style="medium">
        <color indexed="64"/>
      </left>
      <right style="medium">
        <color indexed="64"/>
      </right>
      <top/>
      <bottom style="dotted">
        <color indexed="64"/>
      </bottom>
      <diagonal/>
    </border>
    <border>
      <left style="dashed">
        <color indexed="64"/>
      </left>
      <right style="dashed">
        <color indexed="64"/>
      </right>
      <top style="dashed">
        <color indexed="64"/>
      </top>
      <bottom/>
      <diagonal/>
    </border>
    <border>
      <left style="dashed">
        <color indexed="64"/>
      </left>
      <right style="medium">
        <color indexed="64"/>
      </right>
      <top style="dashed">
        <color indexed="64"/>
      </top>
      <bottom/>
      <diagonal/>
    </border>
    <border>
      <left style="medium">
        <color indexed="64"/>
      </left>
      <right style="medium">
        <color indexed="64"/>
      </right>
      <top style="dashed">
        <color indexed="64"/>
      </top>
      <bottom/>
      <diagonal/>
    </border>
    <border>
      <left style="medium">
        <color indexed="64"/>
      </left>
      <right style="thin">
        <color indexed="64"/>
      </right>
      <top style="medium">
        <color indexed="64"/>
      </top>
      <bottom/>
      <diagonal/>
    </border>
    <border>
      <left/>
      <right style="dashed">
        <color indexed="64"/>
      </right>
      <top/>
      <bottom style="dashed">
        <color indexed="64"/>
      </bottom>
      <diagonal/>
    </border>
    <border>
      <left style="medium">
        <color indexed="64"/>
      </left>
      <right/>
      <top/>
      <bottom/>
      <diagonal/>
    </border>
    <border>
      <left style="medium">
        <color indexed="64"/>
      </left>
      <right/>
      <top/>
      <bottom style="medium">
        <color indexed="64"/>
      </bottom>
      <diagonal/>
    </border>
    <border>
      <left style="dashed">
        <color indexed="64"/>
      </left>
      <right style="medium">
        <color indexed="64"/>
      </right>
      <top/>
      <bottom style="dashed">
        <color indexed="64"/>
      </bottom>
      <diagonal/>
    </border>
    <border>
      <left style="medium">
        <color indexed="64"/>
      </left>
      <right style="dashed">
        <color indexed="64"/>
      </right>
      <top style="medium">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dashed">
        <color indexed="64"/>
      </right>
      <top style="medium">
        <color indexed="64"/>
      </top>
      <bottom style="medium">
        <color indexed="64"/>
      </bottom>
      <diagonal/>
    </border>
    <border>
      <left/>
      <right style="dashed">
        <color indexed="64"/>
      </right>
      <top style="medium">
        <color indexed="64"/>
      </top>
      <bottom style="medium">
        <color indexed="64"/>
      </bottom>
      <diagonal/>
    </border>
    <border>
      <left/>
      <right style="dashed">
        <color indexed="64"/>
      </right>
      <top style="medium">
        <color indexed="64"/>
      </top>
      <bottom/>
      <diagonal/>
    </border>
    <border>
      <left style="medium">
        <color indexed="64"/>
      </left>
      <right style="dashed">
        <color indexed="64"/>
      </right>
      <top style="dashed">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bottom style="medium">
        <color indexed="64"/>
      </bottom>
      <diagonal/>
    </border>
    <border>
      <left/>
      <right style="dashed">
        <color indexed="64"/>
      </right>
      <top style="dashed">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dotted">
        <color indexed="64"/>
      </left>
      <right/>
      <top/>
      <bottom style="dotted">
        <color indexed="64"/>
      </bottom>
      <diagonal/>
    </border>
    <border>
      <left style="dotted">
        <color indexed="64"/>
      </left>
      <right/>
      <top style="dotted">
        <color indexed="64"/>
      </top>
      <bottom/>
      <diagonal/>
    </border>
    <border>
      <left/>
      <right style="dotted">
        <color indexed="64"/>
      </right>
      <top style="thin">
        <color indexed="64"/>
      </top>
      <bottom style="thin">
        <color indexed="64"/>
      </bottom>
      <diagonal/>
    </border>
    <border>
      <left/>
      <right style="dotted">
        <color indexed="64"/>
      </right>
      <top style="thin">
        <color indexed="64"/>
      </top>
      <bottom/>
      <diagonal/>
    </border>
    <border>
      <left/>
      <right style="dotted">
        <color indexed="64"/>
      </right>
      <top/>
      <bottom style="thin">
        <color indexed="64"/>
      </bottom>
      <diagonal/>
    </border>
    <border>
      <left style="medium">
        <color indexed="64"/>
      </left>
      <right style="medium">
        <color indexed="64"/>
      </right>
      <top style="dotted">
        <color indexed="64"/>
      </top>
      <bottom/>
      <diagonal/>
    </border>
    <border>
      <left style="medium">
        <color indexed="64"/>
      </left>
      <right style="medium">
        <color indexed="64"/>
      </right>
      <top/>
      <bottom style="dashed">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double">
        <color indexed="64"/>
      </top>
      <bottom/>
      <diagonal/>
    </border>
    <border>
      <left/>
      <right style="thin">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style="thin">
        <color theme="0" tint="-0.14993743705557422"/>
      </left>
      <right style="thin">
        <color theme="0" tint="-0.14993743705557422"/>
      </right>
      <top/>
      <bottom/>
      <diagonal/>
    </border>
    <border>
      <left style="thin">
        <color theme="0" tint="-0.14993743705557422"/>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29">
    <xf numFmtId="0" fontId="0" fillId="0" borderId="0"/>
    <xf numFmtId="9" fontId="5" fillId="0" borderId="0" applyFont="0" applyFill="0" applyBorder="0" applyAlignment="0" applyProtection="0"/>
    <xf numFmtId="0" fontId="7" fillId="0" borderId="0"/>
    <xf numFmtId="0" fontId="7" fillId="0" borderId="0"/>
    <xf numFmtId="0" fontId="7" fillId="0" borderId="0"/>
    <xf numFmtId="9" fontId="3" fillId="0" borderId="0" applyFont="0" applyFill="0" applyBorder="0" applyAlignment="0" applyProtection="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9" fontId="7" fillId="0" borderId="0" applyFont="0" applyFill="0" applyBorder="0" applyAlignment="0" applyProtection="0"/>
    <xf numFmtId="9" fontId="3" fillId="0" borderId="0" applyFont="0" applyFill="0" applyBorder="0" applyAlignment="0" applyProtection="0"/>
    <xf numFmtId="0" fontId="2" fillId="0" borderId="0"/>
    <xf numFmtId="41" fontId="47" fillId="0" borderId="0" applyFont="0" applyFill="0" applyBorder="0" applyAlignment="0" applyProtection="0"/>
    <xf numFmtId="0" fontId="61" fillId="34" borderId="0" applyNumberFormat="0" applyBorder="0" applyAlignment="0" applyProtection="0"/>
    <xf numFmtId="0" fontId="61" fillId="0" borderId="0"/>
    <xf numFmtId="0" fontId="1" fillId="0" borderId="0"/>
    <xf numFmtId="0" fontId="62" fillId="0" borderId="0" applyNumberFormat="0" applyFill="0" applyBorder="0" applyAlignment="0" applyProtection="0"/>
    <xf numFmtId="0" fontId="69" fillId="0" borderId="0" applyNumberFormat="0" applyFill="0" applyAlignment="0" applyProtection="0"/>
    <xf numFmtId="0" fontId="1" fillId="0" borderId="0" applyNumberFormat="0" applyFill="0" applyProtection="0">
      <alignment horizontal="right" vertical="center" indent="1"/>
    </xf>
    <xf numFmtId="14" fontId="1" fillId="0" borderId="0" applyFont="0" applyFill="0" applyBorder="0">
      <alignment horizontal="center" vertical="center"/>
    </xf>
    <xf numFmtId="9" fontId="1" fillId="0" borderId="0" applyFont="0" applyFill="0" applyBorder="0" applyProtection="0">
      <alignment horizontal="center" vertical="center"/>
    </xf>
    <xf numFmtId="167" fontId="1" fillId="0" borderId="0" applyFont="0" applyFill="0" applyBorder="0" applyProtection="0">
      <alignment horizontal="center" vertical="center"/>
    </xf>
  </cellStyleXfs>
  <cellXfs count="669">
    <xf numFmtId="0" fontId="0" fillId="0" borderId="0" xfId="0"/>
    <xf numFmtId="0" fontId="0" fillId="0" borderId="0" xfId="0" applyAlignment="1">
      <alignment horizontal="center"/>
    </xf>
    <xf numFmtId="9" fontId="0" fillId="0" borderId="0" xfId="0" applyNumberFormat="1"/>
    <xf numFmtId="9" fontId="0" fillId="0" borderId="0" xfId="0" applyNumberFormat="1" applyAlignment="1">
      <alignment horizontal="center"/>
    </xf>
    <xf numFmtId="0" fontId="0" fillId="10" borderId="0" xfId="0" applyFill="1"/>
    <xf numFmtId="0" fontId="0" fillId="10" borderId="0" xfId="0" applyFill="1" applyAlignment="1">
      <alignment horizontal="center"/>
    </xf>
    <xf numFmtId="0" fontId="15" fillId="10" borderId="0" xfId="0" applyFont="1" applyFill="1"/>
    <xf numFmtId="0" fontId="16" fillId="10" borderId="0" xfId="0" applyFont="1" applyFill="1" applyAlignment="1">
      <alignment horizontal="left"/>
    </xf>
    <xf numFmtId="0" fontId="17" fillId="10" borderId="0" xfId="0" applyFont="1" applyFill="1"/>
    <xf numFmtId="0" fontId="4" fillId="12" borderId="14" xfId="0" applyFont="1" applyFill="1" applyBorder="1" applyAlignment="1">
      <alignment horizontal="center"/>
    </xf>
    <xf numFmtId="0" fontId="4" fillId="12" borderId="24" xfId="0" applyFont="1" applyFill="1" applyBorder="1" applyAlignment="1">
      <alignment horizontal="center" vertical="center"/>
    </xf>
    <xf numFmtId="0" fontId="4" fillId="12" borderId="25" xfId="0" applyFont="1" applyFill="1" applyBorder="1" applyAlignment="1">
      <alignment horizontal="center" vertical="center"/>
    </xf>
    <xf numFmtId="164" fontId="4" fillId="12" borderId="10" xfId="0" applyNumberFormat="1" applyFont="1" applyFill="1" applyBorder="1" applyAlignment="1">
      <alignment horizontal="center" vertical="center"/>
    </xf>
    <xf numFmtId="0" fontId="4" fillId="13" borderId="10" xfId="0" applyFont="1" applyFill="1" applyBorder="1" applyAlignment="1">
      <alignment horizontal="center" vertical="center"/>
    </xf>
    <xf numFmtId="0" fontId="19" fillId="7" borderId="10" xfId="0" applyFont="1" applyFill="1" applyBorder="1" applyAlignment="1">
      <alignment horizontal="center" vertical="center" wrapText="1"/>
    </xf>
    <xf numFmtId="0" fontId="19" fillId="2" borderId="10" xfId="0" applyFont="1" applyFill="1" applyBorder="1" applyAlignment="1">
      <alignment horizontal="center" vertical="center"/>
    </xf>
    <xf numFmtId="1" fontId="22" fillId="0" borderId="27" xfId="0" applyNumberFormat="1" applyFont="1" applyBorder="1" applyAlignment="1">
      <alignment horizontal="center"/>
    </xf>
    <xf numFmtId="1" fontId="22" fillId="0" borderId="14" xfId="0" applyNumberFormat="1" applyFont="1" applyBorder="1" applyAlignment="1">
      <alignment horizontal="center"/>
    </xf>
    <xf numFmtId="9" fontId="10" fillId="0" borderId="15" xfId="0" applyNumberFormat="1" applyFont="1" applyBorder="1" applyAlignment="1">
      <alignment horizontal="center" vertical="center"/>
    </xf>
    <xf numFmtId="9" fontId="10" fillId="0" borderId="28" xfId="0" applyNumberFormat="1" applyFont="1" applyBorder="1" applyAlignment="1">
      <alignment horizontal="center" vertical="center"/>
    </xf>
    <xf numFmtId="3" fontId="23" fillId="0" borderId="29" xfId="0" applyNumberFormat="1" applyFont="1" applyBorder="1" applyAlignment="1">
      <alignment horizontal="center" vertical="center"/>
    </xf>
    <xf numFmtId="15" fontId="24" fillId="0" borderId="22" xfId="0" applyNumberFormat="1" applyFont="1" applyBorder="1" applyAlignment="1">
      <alignment horizontal="center"/>
    </xf>
    <xf numFmtId="3" fontId="23" fillId="0" borderId="30" xfId="0" applyNumberFormat="1" applyFont="1" applyBorder="1" applyAlignment="1">
      <alignment horizontal="center" vertical="center"/>
    </xf>
    <xf numFmtId="15" fontId="24" fillId="0" borderId="13" xfId="0" applyNumberFormat="1" applyFont="1" applyBorder="1" applyAlignment="1">
      <alignment horizontal="center"/>
    </xf>
    <xf numFmtId="1" fontId="22" fillId="0" borderId="31" xfId="0" applyNumberFormat="1" applyFont="1" applyBorder="1" applyAlignment="1">
      <alignment horizontal="center"/>
    </xf>
    <xf numFmtId="3" fontId="23" fillId="0" borderId="32" xfId="0" applyNumberFormat="1" applyFont="1" applyBorder="1" applyAlignment="1">
      <alignment horizontal="center" vertical="center"/>
    </xf>
    <xf numFmtId="0" fontId="22" fillId="0" borderId="23" xfId="0" applyFont="1" applyBorder="1" applyAlignment="1">
      <alignment horizontal="center"/>
    </xf>
    <xf numFmtId="3" fontId="23" fillId="0" borderId="33" xfId="0" applyNumberFormat="1" applyFont="1" applyBorder="1" applyAlignment="1">
      <alignment horizontal="center" vertical="center"/>
    </xf>
    <xf numFmtId="15" fontId="24" fillId="0" borderId="11" xfId="0" applyNumberFormat="1" applyFont="1" applyBorder="1" applyAlignment="1">
      <alignment horizontal="center"/>
    </xf>
    <xf numFmtId="0" fontId="22" fillId="0" borderId="21" xfId="0" applyFont="1" applyBorder="1" applyAlignment="1">
      <alignment horizontal="center"/>
    </xf>
    <xf numFmtId="3" fontId="23" fillId="0" borderId="34" xfId="0" applyNumberFormat="1" applyFont="1" applyBorder="1" applyAlignment="1">
      <alignment horizontal="center" vertical="center"/>
    </xf>
    <xf numFmtId="0" fontId="22" fillId="0" borderId="35" xfId="0" applyFont="1" applyBorder="1" applyAlignment="1">
      <alignment horizontal="center"/>
    </xf>
    <xf numFmtId="3" fontId="23" fillId="0" borderId="37" xfId="0" applyNumberFormat="1" applyFont="1" applyBorder="1" applyAlignment="1">
      <alignment horizontal="center" vertical="center"/>
    </xf>
    <xf numFmtId="15" fontId="24" fillId="0" borderId="16" xfId="0" applyNumberFormat="1" applyFont="1" applyBorder="1" applyAlignment="1">
      <alignment horizontal="center"/>
    </xf>
    <xf numFmtId="0" fontId="22" fillId="0" borderId="27" xfId="0" applyFont="1" applyBorder="1" applyAlignment="1">
      <alignment horizontal="center"/>
    </xf>
    <xf numFmtId="0" fontId="24" fillId="0" borderId="13" xfId="0" applyFont="1" applyBorder="1" applyAlignment="1">
      <alignment horizontal="center"/>
    </xf>
    <xf numFmtId="0" fontId="22" fillId="0" borderId="31" xfId="0" applyFont="1" applyBorder="1" applyAlignment="1">
      <alignment horizontal="center"/>
    </xf>
    <xf numFmtId="0" fontId="16" fillId="0" borderId="0" xfId="0" applyFont="1" applyAlignment="1">
      <alignment horizontal="left"/>
    </xf>
    <xf numFmtId="0" fontId="25" fillId="0" borderId="0" xfId="0" applyFont="1" applyAlignment="1">
      <alignment horizontal="center"/>
    </xf>
    <xf numFmtId="0" fontId="4" fillId="16" borderId="10" xfId="0" applyFont="1" applyFill="1" applyBorder="1" applyAlignment="1">
      <alignment horizontal="center"/>
    </xf>
    <xf numFmtId="0" fontId="4" fillId="17" borderId="10" xfId="0" applyFont="1" applyFill="1" applyBorder="1" applyAlignment="1">
      <alignment horizontal="center"/>
    </xf>
    <xf numFmtId="0" fontId="4" fillId="2" borderId="39" xfId="0" applyFont="1" applyFill="1" applyBorder="1" applyAlignment="1">
      <alignment horizontal="center"/>
    </xf>
    <xf numFmtId="0" fontId="4" fillId="2" borderId="10" xfId="0" applyFont="1" applyFill="1" applyBorder="1" applyAlignment="1">
      <alignment horizontal="center"/>
    </xf>
    <xf numFmtId="9" fontId="26" fillId="2" borderId="10" xfId="0" applyNumberFormat="1" applyFont="1" applyFill="1" applyBorder="1" applyAlignment="1">
      <alignment horizontal="center"/>
    </xf>
    <xf numFmtId="9" fontId="26" fillId="0" borderId="0" xfId="0" applyNumberFormat="1" applyFont="1" applyAlignment="1">
      <alignment horizontal="center"/>
    </xf>
    <xf numFmtId="0" fontId="4" fillId="18" borderId="10" xfId="0" applyFont="1" applyFill="1" applyBorder="1" applyAlignment="1">
      <alignment horizontal="center"/>
    </xf>
    <xf numFmtId="1" fontId="22" fillId="0" borderId="12" xfId="0" applyNumberFormat="1" applyFont="1" applyBorder="1" applyAlignment="1">
      <alignment horizontal="center"/>
    </xf>
    <xf numFmtId="1" fontId="22" fillId="0" borderId="17" xfId="0" applyNumberFormat="1" applyFont="1" applyBorder="1" applyAlignment="1">
      <alignment horizontal="center"/>
    </xf>
    <xf numFmtId="1" fontId="22" fillId="0" borderId="36" xfId="0" applyNumberFormat="1" applyFont="1" applyBorder="1" applyAlignment="1">
      <alignment horizontal="center"/>
    </xf>
    <xf numFmtId="1" fontId="22" fillId="0" borderId="38" xfId="0" applyNumberFormat="1" applyFont="1" applyBorder="1" applyAlignment="1">
      <alignment horizontal="center"/>
    </xf>
    <xf numFmtId="0" fontId="22" fillId="0" borderId="40" xfId="0" applyFont="1" applyBorder="1" applyAlignment="1">
      <alignment horizontal="center"/>
    </xf>
    <xf numFmtId="0" fontId="22" fillId="0" borderId="41" xfId="0" applyFont="1" applyBorder="1" applyAlignment="1">
      <alignment horizontal="center"/>
    </xf>
    <xf numFmtId="0" fontId="21" fillId="2" borderId="34" xfId="0" applyFont="1" applyFill="1" applyBorder="1" applyAlignment="1">
      <alignment horizontal="left" vertical="center" wrapText="1"/>
    </xf>
    <xf numFmtId="0" fontId="20" fillId="10" borderId="8" xfId="0" applyFont="1" applyFill="1" applyBorder="1" applyAlignment="1">
      <alignment horizontal="center" vertical="center" wrapText="1"/>
    </xf>
    <xf numFmtId="0" fontId="29" fillId="0" borderId="44" xfId="0" applyFont="1" applyBorder="1" applyAlignment="1">
      <alignment horizontal="center"/>
    </xf>
    <xf numFmtId="1" fontId="29" fillId="0" borderId="44" xfId="0" applyNumberFormat="1" applyFont="1" applyBorder="1" applyAlignment="1">
      <alignment horizontal="center"/>
    </xf>
    <xf numFmtId="0" fontId="0" fillId="3" borderId="10" xfId="0" applyFill="1" applyBorder="1" applyAlignment="1">
      <alignment horizontal="center"/>
    </xf>
    <xf numFmtId="0" fontId="29" fillId="0" borderId="45" xfId="0" applyFont="1" applyBorder="1" applyAlignment="1">
      <alignment horizontal="center"/>
    </xf>
    <xf numFmtId="0" fontId="12" fillId="0" borderId="46" xfId="0" applyFont="1" applyBorder="1" applyAlignment="1">
      <alignment horizontal="center"/>
    </xf>
    <xf numFmtId="0" fontId="12" fillId="0" borderId="47" xfId="0" applyFont="1" applyBorder="1" applyAlignment="1">
      <alignment horizontal="center"/>
    </xf>
    <xf numFmtId="0" fontId="12" fillId="0" borderId="48" xfId="0" applyFont="1" applyBorder="1" applyAlignment="1">
      <alignment horizontal="center"/>
    </xf>
    <xf numFmtId="0" fontId="21" fillId="2" borderId="33" xfId="0" applyFont="1" applyFill="1" applyBorder="1" applyAlignment="1">
      <alignment horizontal="left" vertical="center" wrapText="1"/>
    </xf>
    <xf numFmtId="0" fontId="21" fillId="2" borderId="37" xfId="0" applyFont="1" applyFill="1" applyBorder="1" applyAlignment="1">
      <alignment horizontal="left" vertical="center" wrapText="1"/>
    </xf>
    <xf numFmtId="0" fontId="21" fillId="19" borderId="43" xfId="0" applyFont="1" applyFill="1" applyBorder="1" applyAlignment="1">
      <alignment horizontal="left" vertical="center" wrapText="1"/>
    </xf>
    <xf numFmtId="0" fontId="21" fillId="19" borderId="33" xfId="0" applyFont="1" applyFill="1" applyBorder="1" applyAlignment="1">
      <alignment horizontal="left" vertical="center" wrapText="1"/>
    </xf>
    <xf numFmtId="0" fontId="21" fillId="5" borderId="33" xfId="0" applyFont="1" applyFill="1" applyBorder="1" applyAlignment="1">
      <alignment horizontal="left" vertical="center" wrapText="1"/>
    </xf>
    <xf numFmtId="0" fontId="21" fillId="5" borderId="34" xfId="0" applyFont="1" applyFill="1" applyBorder="1" applyAlignment="1">
      <alignment horizontal="left" vertical="center" wrapText="1"/>
    </xf>
    <xf numFmtId="0" fontId="21" fillId="19" borderId="34" xfId="0" applyFont="1" applyFill="1" applyBorder="1" applyAlignment="1">
      <alignment horizontal="left" vertical="center" wrapText="1"/>
    </xf>
    <xf numFmtId="0" fontId="21" fillId="5" borderId="37" xfId="0" applyFont="1" applyFill="1" applyBorder="1" applyAlignment="1">
      <alignment horizontal="left" vertical="center" wrapText="1"/>
    </xf>
    <xf numFmtId="0" fontId="21" fillId="5" borderId="42" xfId="0" applyFont="1" applyFill="1" applyBorder="1" applyAlignment="1">
      <alignment horizontal="left" vertical="center" wrapText="1"/>
    </xf>
    <xf numFmtId="0" fontId="21" fillId="15" borderId="34" xfId="0" applyFont="1" applyFill="1" applyBorder="1" applyAlignment="1">
      <alignment horizontal="left" vertical="center" wrapText="1"/>
    </xf>
    <xf numFmtId="0" fontId="21" fillId="16" borderId="34" xfId="0" applyFont="1" applyFill="1" applyBorder="1" applyAlignment="1">
      <alignment horizontal="left" vertical="center" wrapText="1"/>
    </xf>
    <xf numFmtId="0" fontId="21" fillId="16" borderId="33" xfId="0" applyFont="1" applyFill="1" applyBorder="1" applyAlignment="1">
      <alignment horizontal="left" vertical="center" wrapText="1"/>
    </xf>
    <xf numFmtId="0" fontId="21" fillId="16" borderId="42" xfId="0" applyFont="1" applyFill="1" applyBorder="1" applyAlignment="1">
      <alignment horizontal="left" vertical="center" wrapText="1"/>
    </xf>
    <xf numFmtId="0" fontId="22" fillId="16" borderId="21" xfId="0" applyFont="1" applyFill="1" applyBorder="1" applyAlignment="1">
      <alignment horizontal="center"/>
    </xf>
    <xf numFmtId="0" fontId="20" fillId="16" borderId="8" xfId="0" applyFont="1" applyFill="1" applyBorder="1" applyAlignment="1">
      <alignment horizontal="center" vertical="center" wrapText="1"/>
    </xf>
    <xf numFmtId="1" fontId="22" fillId="16" borderId="17" xfId="0" applyNumberFormat="1" applyFont="1" applyFill="1" applyBorder="1" applyAlignment="1">
      <alignment horizontal="center"/>
    </xf>
    <xf numFmtId="1" fontId="29" fillId="0" borderId="45" xfId="0" applyNumberFormat="1" applyFont="1" applyBorder="1" applyAlignment="1">
      <alignment horizontal="center"/>
    </xf>
    <xf numFmtId="0" fontId="0" fillId="20" borderId="0" xfId="0" applyFill="1"/>
    <xf numFmtId="164" fontId="4" fillId="12" borderId="1" xfId="0" applyNumberFormat="1" applyFont="1" applyFill="1" applyBorder="1" applyAlignment="1">
      <alignment horizontal="center" vertical="center"/>
    </xf>
    <xf numFmtId="1" fontId="22" fillId="0" borderId="52" xfId="0" applyNumberFormat="1" applyFont="1" applyBorder="1" applyAlignment="1">
      <alignment horizontal="center"/>
    </xf>
    <xf numFmtId="1" fontId="32" fillId="0" borderId="8" xfId="0" applyNumberFormat="1" applyFont="1" applyBorder="1" applyAlignment="1">
      <alignment horizontal="center"/>
    </xf>
    <xf numFmtId="0" fontId="35" fillId="10" borderId="8" xfId="0" applyFont="1" applyFill="1" applyBorder="1" applyAlignment="1">
      <alignment horizontal="center" vertical="center" wrapText="1"/>
    </xf>
    <xf numFmtId="3" fontId="12" fillId="0" borderId="34" xfId="0" applyNumberFormat="1" applyFont="1" applyBorder="1" applyAlignment="1">
      <alignment horizontal="center" vertical="center"/>
    </xf>
    <xf numFmtId="15" fontId="36" fillId="0" borderId="13" xfId="0" applyNumberFormat="1" applyFont="1" applyBorder="1" applyAlignment="1">
      <alignment horizontal="center"/>
    </xf>
    <xf numFmtId="0" fontId="29" fillId="0" borderId="10" xfId="0" applyFont="1" applyBorder="1" applyAlignment="1">
      <alignment horizontal="center" vertical="center"/>
    </xf>
    <xf numFmtId="0" fontId="37" fillId="0" borderId="10" xfId="0" applyFont="1" applyBorder="1" applyAlignment="1">
      <alignment horizontal="center" vertical="center"/>
    </xf>
    <xf numFmtId="1" fontId="0" fillId="0" borderId="54" xfId="0" applyNumberFormat="1" applyBorder="1" applyAlignment="1">
      <alignment horizontal="center" vertical="center"/>
    </xf>
    <xf numFmtId="1" fontId="0" fillId="0" borderId="55" xfId="0" applyNumberFormat="1" applyBorder="1" applyAlignment="1">
      <alignment horizontal="center" vertical="center"/>
    </xf>
    <xf numFmtId="1" fontId="0" fillId="0" borderId="56" xfId="0" applyNumberFormat="1" applyBorder="1" applyAlignment="1">
      <alignment horizontal="center" vertical="center"/>
    </xf>
    <xf numFmtId="0" fontId="29" fillId="0" borderId="46" xfId="0" applyFont="1" applyBorder="1" applyAlignment="1">
      <alignment horizontal="center" vertical="center"/>
    </xf>
    <xf numFmtId="0" fontId="29" fillId="0" borderId="47" xfId="0" applyFont="1" applyBorder="1" applyAlignment="1">
      <alignment horizontal="center" vertical="center"/>
    </xf>
    <xf numFmtId="0" fontId="29" fillId="0" borderId="48" xfId="0" applyFont="1" applyBorder="1" applyAlignment="1">
      <alignment horizontal="center" vertical="center"/>
    </xf>
    <xf numFmtId="0" fontId="37" fillId="0" borderId="1" xfId="0" applyFont="1" applyBorder="1" applyAlignment="1">
      <alignment horizontal="center" vertical="center"/>
    </xf>
    <xf numFmtId="0" fontId="30" fillId="0" borderId="0" xfId="0" applyFont="1"/>
    <xf numFmtId="0" fontId="38" fillId="0" borderId="0" xfId="0" applyFont="1"/>
    <xf numFmtId="0" fontId="29" fillId="0" borderId="57" xfId="0" applyFont="1" applyBorder="1" applyAlignment="1">
      <alignment horizontal="center" vertical="center"/>
    </xf>
    <xf numFmtId="0" fontId="29" fillId="0" borderId="58" xfId="0" applyFont="1" applyBorder="1" applyAlignment="1">
      <alignment horizontal="center" vertical="center"/>
    </xf>
    <xf numFmtId="0" fontId="38" fillId="0" borderId="0" xfId="0" applyFont="1" applyAlignment="1">
      <alignment vertical="center"/>
    </xf>
    <xf numFmtId="1" fontId="39" fillId="0" borderId="27" xfId="0" applyNumberFormat="1" applyFont="1" applyBorder="1" applyAlignment="1">
      <alignment horizontal="center"/>
    </xf>
    <xf numFmtId="1" fontId="39" fillId="0" borderId="31" xfId="0" applyNumberFormat="1" applyFont="1" applyBorder="1" applyAlignment="1">
      <alignment horizontal="center"/>
    </xf>
    <xf numFmtId="1" fontId="39" fillId="0" borderId="12" xfId="0" applyNumberFormat="1" applyFont="1" applyBorder="1" applyAlignment="1">
      <alignment horizontal="center"/>
    </xf>
    <xf numFmtId="1" fontId="39" fillId="0" borderId="38" xfId="0" applyNumberFormat="1" applyFont="1" applyBorder="1" applyAlignment="1">
      <alignment horizontal="center"/>
    </xf>
    <xf numFmtId="1" fontId="39" fillId="0" borderId="17" xfId="0" applyNumberFormat="1" applyFont="1" applyBorder="1" applyAlignment="1">
      <alignment horizontal="center"/>
    </xf>
    <xf numFmtId="1" fontId="39" fillId="0" borderId="36" xfId="0" applyNumberFormat="1" applyFont="1" applyBorder="1" applyAlignment="1">
      <alignment horizontal="center"/>
    </xf>
    <xf numFmtId="0" fontId="4" fillId="0" borderId="0" xfId="0" applyFont="1" applyAlignment="1">
      <alignment horizontal="center"/>
    </xf>
    <xf numFmtId="0" fontId="8" fillId="10" borderId="0" xfId="0" applyFont="1" applyFill="1" applyAlignment="1">
      <alignment horizontal="center"/>
    </xf>
    <xf numFmtId="0" fontId="4" fillId="24" borderId="10" xfId="0" applyFont="1" applyFill="1" applyBorder="1" applyAlignment="1">
      <alignment horizontal="center"/>
    </xf>
    <xf numFmtId="0" fontId="32" fillId="16" borderId="51" xfId="0" applyFont="1" applyFill="1" applyBorder="1" applyAlignment="1">
      <alignment horizontal="left" vertical="center" wrapText="1"/>
    </xf>
    <xf numFmtId="0" fontId="32" fillId="19" borderId="51" xfId="0" applyFont="1" applyFill="1" applyBorder="1" applyAlignment="1">
      <alignment horizontal="left" vertical="center" wrapText="1"/>
    </xf>
    <xf numFmtId="9" fontId="4" fillId="12" borderId="10" xfId="0" applyNumberFormat="1" applyFont="1" applyFill="1" applyBorder="1" applyAlignment="1">
      <alignment horizontal="center" vertical="center"/>
    </xf>
    <xf numFmtId="9" fontId="4" fillId="12" borderId="10" xfId="1" applyFont="1" applyFill="1" applyBorder="1" applyAlignment="1">
      <alignment horizontal="center" vertical="center"/>
    </xf>
    <xf numFmtId="0" fontId="4" fillId="0" borderId="0" xfId="18" applyFont="1" applyAlignment="1">
      <alignment horizontal="left"/>
    </xf>
    <xf numFmtId="0" fontId="2" fillId="0" borderId="0" xfId="18"/>
    <xf numFmtId="0" fontId="2" fillId="0" borderId="0" xfId="18" applyAlignment="1">
      <alignment horizontal="center"/>
    </xf>
    <xf numFmtId="0" fontId="42" fillId="25" borderId="59" xfId="18" applyFont="1" applyFill="1" applyBorder="1" applyAlignment="1">
      <alignment horizontal="center" vertical="center" textRotation="90"/>
    </xf>
    <xf numFmtId="0" fontId="42" fillId="25" borderId="60" xfId="18" applyFont="1" applyFill="1" applyBorder="1" applyAlignment="1">
      <alignment vertical="center" textRotation="90" wrapText="1"/>
    </xf>
    <xf numFmtId="0" fontId="42" fillId="25" borderId="61" xfId="18" applyFont="1" applyFill="1" applyBorder="1" applyAlignment="1">
      <alignment vertical="center" textRotation="90" wrapText="1"/>
    </xf>
    <xf numFmtId="0" fontId="42" fillId="25" borderId="59" xfId="18" applyFont="1" applyFill="1" applyBorder="1" applyAlignment="1">
      <alignment vertical="center" textRotation="90" wrapText="1"/>
    </xf>
    <xf numFmtId="0" fontId="42" fillId="25" borderId="62" xfId="18" applyFont="1" applyFill="1" applyBorder="1" applyAlignment="1">
      <alignment vertical="center" textRotation="90" wrapText="1"/>
    </xf>
    <xf numFmtId="9" fontId="44" fillId="0" borderId="8" xfId="18" applyNumberFormat="1" applyFont="1" applyBorder="1" applyAlignment="1">
      <alignment horizontal="center" vertical="center" wrapText="1"/>
    </xf>
    <xf numFmtId="0" fontId="4" fillId="0" borderId="0" xfId="18" applyFont="1" applyAlignment="1">
      <alignment horizontal="center"/>
    </xf>
    <xf numFmtId="0" fontId="2" fillId="0" borderId="8" xfId="18" applyBorder="1"/>
    <xf numFmtId="0" fontId="45" fillId="25" borderId="8" xfId="18" applyFont="1" applyFill="1" applyBorder="1" applyAlignment="1">
      <alignment horizontal="center" vertical="center" wrapText="1"/>
    </xf>
    <xf numFmtId="0" fontId="45" fillId="27" borderId="64" xfId="18" applyFont="1" applyFill="1" applyBorder="1" applyAlignment="1">
      <alignment horizontal="center" vertical="center" wrapText="1"/>
    </xf>
    <xf numFmtId="0" fontId="45" fillId="25" borderId="64" xfId="18" applyFont="1" applyFill="1" applyBorder="1" applyAlignment="1">
      <alignment horizontal="center" vertical="center" wrapText="1"/>
    </xf>
    <xf numFmtId="9" fontId="2" fillId="27" borderId="8" xfId="18" applyNumberFormat="1" applyFill="1" applyBorder="1"/>
    <xf numFmtId="0" fontId="45" fillId="25" borderId="65" xfId="18" applyFont="1" applyFill="1" applyBorder="1" applyAlignment="1">
      <alignment horizontal="center" vertical="center" wrapText="1"/>
    </xf>
    <xf numFmtId="9" fontId="43" fillId="0" borderId="8" xfId="18" applyNumberFormat="1" applyFont="1" applyBorder="1" applyAlignment="1">
      <alignment horizontal="center" vertical="center" wrapText="1"/>
    </xf>
    <xf numFmtId="0" fontId="43" fillId="0" borderId="8" xfId="18" applyFont="1" applyBorder="1" applyAlignment="1">
      <alignment horizontal="center" vertical="center" wrapText="1"/>
    </xf>
    <xf numFmtId="0" fontId="43" fillId="25" borderId="8" xfId="18" applyFont="1" applyFill="1" applyBorder="1" applyAlignment="1">
      <alignment horizontal="left" vertical="center" wrapText="1"/>
    </xf>
    <xf numFmtId="0" fontId="43" fillId="0" borderId="8" xfId="18" applyFont="1" applyBorder="1" applyAlignment="1">
      <alignment horizontal="left" vertical="center" wrapText="1"/>
    </xf>
    <xf numFmtId="0" fontId="42" fillId="26" borderId="26" xfId="18" applyFont="1" applyFill="1" applyBorder="1" applyAlignment="1">
      <alignment vertical="center" textRotation="90" wrapText="1"/>
    </xf>
    <xf numFmtId="0" fontId="42" fillId="26" borderId="3" xfId="18" applyFont="1" applyFill="1" applyBorder="1" applyAlignment="1">
      <alignment vertical="center" textRotation="90" wrapText="1"/>
    </xf>
    <xf numFmtId="0" fontId="42" fillId="26" borderId="63" xfId="18" applyFont="1" applyFill="1" applyBorder="1" applyAlignment="1">
      <alignment vertical="center" textRotation="90" wrapText="1"/>
    </xf>
    <xf numFmtId="0" fontId="32" fillId="15" borderId="50" xfId="0" applyFont="1" applyFill="1" applyBorder="1" applyAlignment="1">
      <alignment horizontal="left" vertical="center" wrapText="1"/>
    </xf>
    <xf numFmtId="0" fontId="32" fillId="16" borderId="50" xfId="0" applyFont="1" applyFill="1" applyBorder="1" applyAlignment="1">
      <alignment horizontal="left" vertical="center" wrapText="1"/>
    </xf>
    <xf numFmtId="0" fontId="32" fillId="19" borderId="49" xfId="0" applyFont="1" applyFill="1" applyBorder="1" applyAlignment="1">
      <alignment horizontal="left" vertical="center" wrapText="1"/>
    </xf>
    <xf numFmtId="0" fontId="32" fillId="5" borderId="51" xfId="0" applyFont="1" applyFill="1" applyBorder="1" applyAlignment="1">
      <alignment horizontal="left" vertical="center" wrapText="1"/>
    </xf>
    <xf numFmtId="0" fontId="32" fillId="2" borderId="51" xfId="0" applyFont="1" applyFill="1" applyBorder="1" applyAlignment="1">
      <alignment horizontal="left" vertical="center" wrapText="1"/>
    </xf>
    <xf numFmtId="1" fontId="34" fillId="0" borderId="10" xfId="0" applyNumberFormat="1" applyFont="1" applyBorder="1" applyAlignment="1">
      <alignment horizontal="center"/>
    </xf>
    <xf numFmtId="0" fontId="0" fillId="0" borderId="10" xfId="0" applyBorder="1"/>
    <xf numFmtId="0" fontId="14" fillId="22" borderId="10" xfId="0" applyFont="1" applyFill="1" applyBorder="1" applyAlignment="1">
      <alignment horizontal="center" vertical="center" wrapText="1"/>
    </xf>
    <xf numFmtId="0" fontId="9" fillId="22" borderId="10" xfId="0" applyFont="1" applyFill="1" applyBorder="1" applyAlignment="1">
      <alignment horizontal="center" vertical="center" wrapText="1"/>
    </xf>
    <xf numFmtId="0" fontId="14" fillId="21" borderId="10" xfId="0" applyFont="1" applyFill="1" applyBorder="1" applyAlignment="1">
      <alignment horizontal="center" vertical="center" wrapText="1"/>
    </xf>
    <xf numFmtId="0" fontId="9" fillId="20" borderId="10" xfId="0" applyFont="1" applyFill="1" applyBorder="1" applyAlignment="1">
      <alignment horizontal="center" vertical="center" wrapText="1"/>
    </xf>
    <xf numFmtId="0" fontId="14" fillId="21" borderId="53" xfId="0" applyFont="1" applyFill="1" applyBorder="1" applyAlignment="1">
      <alignment horizontal="center" vertical="center" wrapText="1"/>
    </xf>
    <xf numFmtId="1" fontId="5" fillId="0" borderId="55" xfId="0" applyNumberFormat="1" applyFont="1" applyBorder="1" applyAlignment="1">
      <alignment horizontal="center" vertical="center"/>
    </xf>
    <xf numFmtId="0" fontId="5" fillId="0" borderId="0" xfId="0" applyFont="1"/>
    <xf numFmtId="0" fontId="40" fillId="10" borderId="0" xfId="0" applyFont="1" applyFill="1" applyAlignment="1">
      <alignment horizontal="center"/>
    </xf>
    <xf numFmtId="0" fontId="19" fillId="7" borderId="1" xfId="0" applyFont="1" applyFill="1" applyBorder="1" applyAlignment="1">
      <alignment horizontal="center" vertical="center" wrapText="1"/>
    </xf>
    <xf numFmtId="1" fontId="22" fillId="0" borderId="0" xfId="0" applyNumberFormat="1" applyFont="1" applyAlignment="1">
      <alignment horizontal="center"/>
    </xf>
    <xf numFmtId="0" fontId="4" fillId="24" borderId="0" xfId="0" applyFont="1" applyFill="1" applyAlignment="1">
      <alignment horizontal="center"/>
    </xf>
    <xf numFmtId="9" fontId="4" fillId="12" borderId="1" xfId="1" applyFont="1" applyFill="1" applyBorder="1" applyAlignment="1">
      <alignment horizontal="center" vertical="center"/>
    </xf>
    <xf numFmtId="0" fontId="19" fillId="2" borderId="1" xfId="0" applyFont="1" applyFill="1" applyBorder="1" applyAlignment="1">
      <alignment horizontal="center" vertical="center"/>
    </xf>
    <xf numFmtId="9" fontId="10" fillId="0" borderId="66" xfId="0" applyNumberFormat="1" applyFont="1" applyBorder="1" applyAlignment="1">
      <alignment horizontal="center" vertical="center"/>
    </xf>
    <xf numFmtId="9" fontId="10" fillId="0" borderId="67" xfId="0" applyNumberFormat="1" applyFont="1" applyBorder="1" applyAlignment="1">
      <alignment horizontal="center" vertical="center"/>
    </xf>
    <xf numFmtId="15" fontId="24" fillId="0" borderId="71" xfId="0" applyNumberFormat="1" applyFont="1" applyBorder="1" applyAlignment="1">
      <alignment horizontal="center"/>
    </xf>
    <xf numFmtId="15" fontId="24" fillId="0" borderId="72" xfId="0" applyNumberFormat="1" applyFont="1" applyBorder="1" applyAlignment="1">
      <alignment horizontal="center"/>
    </xf>
    <xf numFmtId="15" fontId="24" fillId="0" borderId="74" xfId="0" applyNumberFormat="1" applyFont="1" applyBorder="1" applyAlignment="1">
      <alignment horizontal="center"/>
    </xf>
    <xf numFmtId="9" fontId="10" fillId="0" borderId="84" xfId="0" applyNumberFormat="1" applyFont="1" applyBorder="1" applyAlignment="1">
      <alignment horizontal="center" vertical="center"/>
    </xf>
    <xf numFmtId="15" fontId="24" fillId="0" borderId="85" xfId="0" applyNumberFormat="1" applyFont="1" applyBorder="1" applyAlignment="1">
      <alignment horizontal="center"/>
    </xf>
    <xf numFmtId="9" fontId="22" fillId="0" borderId="80" xfId="1" applyFont="1" applyBorder="1" applyAlignment="1">
      <alignment horizontal="center"/>
    </xf>
    <xf numFmtId="0" fontId="21" fillId="6" borderId="75" xfId="0" applyFont="1" applyFill="1" applyBorder="1" applyAlignment="1">
      <alignment horizontal="left" vertical="center" wrapText="1"/>
    </xf>
    <xf numFmtId="0" fontId="21" fillId="6" borderId="76" xfId="0" applyFont="1" applyFill="1" applyBorder="1" applyAlignment="1">
      <alignment horizontal="left" vertical="center" wrapText="1"/>
    </xf>
    <xf numFmtId="0" fontId="9" fillId="2" borderId="75" xfId="0" applyFont="1" applyFill="1" applyBorder="1" applyAlignment="1">
      <alignment horizontal="left" vertical="center" wrapText="1"/>
    </xf>
    <xf numFmtId="0" fontId="9" fillId="2" borderId="76" xfId="0" applyFont="1" applyFill="1" applyBorder="1" applyAlignment="1">
      <alignment horizontal="left" vertical="center" wrapText="1"/>
    </xf>
    <xf numFmtId="0" fontId="21" fillId="6" borderId="86" xfId="0" applyFont="1" applyFill="1" applyBorder="1" applyAlignment="1">
      <alignment horizontal="left" vertical="center" wrapText="1"/>
    </xf>
    <xf numFmtId="14" fontId="24" fillId="0" borderId="72" xfId="0" applyNumberFormat="1" applyFont="1" applyBorder="1" applyAlignment="1">
      <alignment horizontal="center"/>
    </xf>
    <xf numFmtId="0" fontId="21" fillId="4" borderId="75" xfId="0" applyFont="1" applyFill="1" applyBorder="1" applyAlignment="1">
      <alignment horizontal="left" vertical="center" wrapText="1"/>
    </xf>
    <xf numFmtId="0" fontId="21" fillId="4" borderId="76" xfId="0" applyFont="1" applyFill="1" applyBorder="1" applyAlignment="1">
      <alignment horizontal="left" vertical="center" wrapText="1"/>
    </xf>
    <xf numFmtId="0" fontId="21" fillId="4" borderId="86" xfId="0" applyFont="1" applyFill="1" applyBorder="1" applyAlignment="1">
      <alignment horizontal="left" vertical="center" wrapText="1"/>
    </xf>
    <xf numFmtId="0" fontId="4" fillId="12" borderId="87" xfId="0" applyFont="1" applyFill="1" applyBorder="1" applyAlignment="1">
      <alignment horizontal="center"/>
    </xf>
    <xf numFmtId="41" fontId="0" fillId="0" borderId="0" xfId="19" applyFont="1" applyAlignment="1">
      <alignment horizontal="center"/>
    </xf>
    <xf numFmtId="9" fontId="22" fillId="0" borderId="92" xfId="1" applyFont="1" applyBorder="1" applyAlignment="1">
      <alignment horizontal="center"/>
    </xf>
    <xf numFmtId="9" fontId="22" fillId="0" borderId="93" xfId="1" applyFont="1" applyBorder="1" applyAlignment="1">
      <alignment horizontal="center"/>
    </xf>
    <xf numFmtId="9" fontId="22" fillId="0" borderId="94" xfId="1" applyFont="1" applyBorder="1" applyAlignment="1">
      <alignment horizontal="center"/>
    </xf>
    <xf numFmtId="9" fontId="22" fillId="0" borderId="95" xfId="1" applyFont="1" applyBorder="1" applyAlignment="1">
      <alignment horizontal="center"/>
    </xf>
    <xf numFmtId="9" fontId="22" fillId="0" borderId="39" xfId="1" applyFont="1" applyBorder="1" applyAlignment="1">
      <alignment horizontal="center"/>
    </xf>
    <xf numFmtId="0" fontId="18" fillId="11" borderId="1" xfId="0" applyFont="1" applyFill="1" applyBorder="1" applyAlignment="1">
      <alignment horizontal="center" vertical="center"/>
    </xf>
    <xf numFmtId="0" fontId="46" fillId="12" borderId="26" xfId="0" applyFont="1" applyFill="1" applyBorder="1" applyAlignment="1">
      <alignment horizontal="center" vertical="center"/>
    </xf>
    <xf numFmtId="0" fontId="46" fillId="12" borderId="3" xfId="0" applyFont="1" applyFill="1" applyBorder="1" applyAlignment="1">
      <alignment horizontal="center" vertical="center"/>
    </xf>
    <xf numFmtId="0" fontId="46" fillId="12" borderId="63" xfId="0" applyFont="1" applyFill="1" applyBorder="1" applyAlignment="1">
      <alignment horizontal="center" vertical="center"/>
    </xf>
    <xf numFmtId="0" fontId="19" fillId="2" borderId="2" xfId="0" applyFont="1" applyFill="1" applyBorder="1" applyAlignment="1">
      <alignment horizontal="center"/>
    </xf>
    <xf numFmtId="0" fontId="19" fillId="7" borderId="10" xfId="0" applyFont="1" applyFill="1" applyBorder="1" applyAlignment="1">
      <alignment vertical="center" wrapText="1"/>
    </xf>
    <xf numFmtId="0" fontId="7" fillId="0" borderId="0" xfId="4"/>
    <xf numFmtId="0" fontId="41" fillId="23" borderId="39" xfId="0" applyFont="1" applyFill="1" applyBorder="1"/>
    <xf numFmtId="0" fontId="26" fillId="2" borderId="39" xfId="0" applyFont="1" applyFill="1" applyBorder="1"/>
    <xf numFmtId="9" fontId="22" fillId="0" borderId="96" xfId="1" applyFont="1" applyBorder="1" applyAlignment="1">
      <alignment horizontal="center"/>
    </xf>
    <xf numFmtId="0" fontId="9" fillId="2" borderId="86" xfId="0" applyFont="1" applyFill="1" applyBorder="1" applyAlignment="1">
      <alignment horizontal="left" vertical="center" wrapText="1"/>
    </xf>
    <xf numFmtId="9" fontId="8" fillId="0" borderId="10" xfId="1" applyFont="1" applyBorder="1" applyAlignment="1">
      <alignment horizontal="center" vertical="center"/>
    </xf>
    <xf numFmtId="0" fontId="5" fillId="10" borderId="0" xfId="0" applyFont="1" applyFill="1" applyAlignment="1">
      <alignment horizontal="center"/>
    </xf>
    <xf numFmtId="0" fontId="50" fillId="10" borderId="0" xfId="0" applyFont="1" applyFill="1" applyAlignment="1">
      <alignment horizontal="center"/>
    </xf>
    <xf numFmtId="9" fontId="6" fillId="2" borderId="1" xfId="1" applyFont="1" applyFill="1" applyBorder="1" applyAlignment="1">
      <alignment horizontal="center" vertical="center" wrapText="1"/>
    </xf>
    <xf numFmtId="9" fontId="6" fillId="2" borderId="75" xfId="1" applyFont="1" applyFill="1" applyBorder="1" applyAlignment="1">
      <alignment horizontal="center" vertical="center" wrapText="1"/>
    </xf>
    <xf numFmtId="9" fontId="5" fillId="0" borderId="10" xfId="1" applyFont="1" applyBorder="1" applyAlignment="1">
      <alignment horizontal="center" vertical="center"/>
    </xf>
    <xf numFmtId="9" fontId="6" fillId="0" borderId="69" xfId="0" applyNumberFormat="1" applyFont="1" applyBorder="1" applyAlignment="1">
      <alignment horizontal="center" vertical="center"/>
    </xf>
    <xf numFmtId="9" fontId="6" fillId="0" borderId="66" xfId="0" applyNumberFormat="1" applyFont="1" applyBorder="1" applyAlignment="1">
      <alignment horizontal="center" vertical="center"/>
    </xf>
    <xf numFmtId="9" fontId="6" fillId="0" borderId="84" xfId="0" applyNumberFormat="1" applyFont="1" applyBorder="1" applyAlignment="1">
      <alignment horizontal="center" vertical="center"/>
    </xf>
    <xf numFmtId="0" fontId="8" fillId="6" borderId="75" xfId="0" applyFont="1" applyFill="1" applyBorder="1" applyAlignment="1">
      <alignment horizontal="center" vertical="center" wrapText="1"/>
    </xf>
    <xf numFmtId="9" fontId="6" fillId="0" borderId="67" xfId="0" applyNumberFormat="1" applyFont="1" applyBorder="1" applyAlignment="1">
      <alignment horizontal="center" vertical="center"/>
    </xf>
    <xf numFmtId="0" fontId="8" fillId="4" borderId="10" xfId="0" applyFont="1" applyFill="1" applyBorder="1" applyAlignment="1">
      <alignment horizontal="center" vertical="center" wrapText="1"/>
    </xf>
    <xf numFmtId="0" fontId="8" fillId="2" borderId="10" xfId="0" applyFont="1" applyFill="1" applyBorder="1" applyAlignment="1">
      <alignment horizontal="center" vertical="center" wrapText="1"/>
    </xf>
    <xf numFmtId="9" fontId="6" fillId="0" borderId="80" xfId="0" applyNumberFormat="1" applyFont="1" applyBorder="1" applyAlignment="1">
      <alignment horizontal="center" vertical="center"/>
    </xf>
    <xf numFmtId="9" fontId="6" fillId="0" borderId="81" xfId="0" applyNumberFormat="1" applyFont="1" applyBorder="1" applyAlignment="1">
      <alignment horizontal="center" vertical="center"/>
    </xf>
    <xf numFmtId="9" fontId="6" fillId="0" borderId="82" xfId="0" applyNumberFormat="1" applyFont="1" applyBorder="1" applyAlignment="1">
      <alignment horizontal="center" vertical="center"/>
    </xf>
    <xf numFmtId="9" fontId="6" fillId="0" borderId="73" xfId="0" applyNumberFormat="1" applyFont="1" applyBorder="1" applyAlignment="1">
      <alignment horizontal="center" vertical="center"/>
    </xf>
    <xf numFmtId="0" fontId="5" fillId="0" borderId="0" xfId="0" applyFont="1" applyAlignment="1">
      <alignment horizontal="center"/>
    </xf>
    <xf numFmtId="9" fontId="52" fillId="0" borderId="0" xfId="0" applyNumberFormat="1" applyFont="1" applyAlignment="1">
      <alignment horizontal="center"/>
    </xf>
    <xf numFmtId="9" fontId="5" fillId="0" borderId="0" xfId="0" applyNumberFormat="1" applyFont="1" applyAlignment="1">
      <alignment horizontal="center"/>
    </xf>
    <xf numFmtId="9" fontId="10" fillId="0" borderId="92" xfId="0" applyNumberFormat="1" applyFont="1" applyBorder="1" applyAlignment="1">
      <alignment horizontal="center" vertical="center"/>
    </xf>
    <xf numFmtId="9" fontId="10" fillId="0" borderId="97" xfId="0" applyNumberFormat="1" applyFont="1" applyBorder="1" applyAlignment="1">
      <alignment horizontal="center" vertical="center"/>
    </xf>
    <xf numFmtId="9" fontId="10" fillId="0" borderId="98" xfId="0" applyNumberFormat="1" applyFont="1" applyBorder="1" applyAlignment="1">
      <alignment horizontal="center" vertical="center"/>
    </xf>
    <xf numFmtId="9" fontId="6" fillId="0" borderId="99" xfId="0" applyNumberFormat="1" applyFont="1" applyBorder="1" applyAlignment="1">
      <alignment horizontal="center" vertical="center"/>
    </xf>
    <xf numFmtId="0" fontId="19" fillId="7" borderId="68" xfId="0" applyFont="1" applyFill="1" applyBorder="1" applyAlignment="1">
      <alignment horizontal="center" vertical="center" wrapText="1"/>
    </xf>
    <xf numFmtId="0" fontId="19" fillId="7" borderId="63" xfId="0" applyFont="1" applyFill="1" applyBorder="1" applyAlignment="1">
      <alignment horizontal="center" vertical="center" wrapText="1"/>
    </xf>
    <xf numFmtId="3" fontId="23" fillId="0" borderId="80" xfId="0" applyNumberFormat="1" applyFont="1" applyBorder="1" applyAlignment="1">
      <alignment horizontal="center" vertical="center"/>
    </xf>
    <xf numFmtId="3" fontId="23" fillId="0" borderId="81" xfId="0" applyNumberFormat="1" applyFont="1" applyBorder="1" applyAlignment="1">
      <alignment horizontal="center" vertical="center"/>
    </xf>
    <xf numFmtId="3" fontId="23" fillId="0" borderId="100" xfId="0" applyNumberFormat="1" applyFont="1" applyBorder="1" applyAlignment="1">
      <alignment horizontal="center" vertical="center"/>
    </xf>
    <xf numFmtId="3" fontId="23" fillId="0" borderId="82" xfId="0" applyNumberFormat="1" applyFont="1" applyBorder="1" applyAlignment="1">
      <alignment horizontal="center" vertical="center"/>
    </xf>
    <xf numFmtId="0" fontId="46" fillId="12" borderId="87" xfId="0" applyFont="1" applyFill="1" applyBorder="1" applyAlignment="1">
      <alignment horizontal="center" vertical="center"/>
    </xf>
    <xf numFmtId="0" fontId="46" fillId="12" borderId="101" xfId="0" applyFont="1" applyFill="1" applyBorder="1" applyAlignment="1">
      <alignment horizontal="center" vertical="center"/>
    </xf>
    <xf numFmtId="0" fontId="46" fillId="12" borderId="102" xfId="0" applyFont="1" applyFill="1" applyBorder="1" applyAlignment="1">
      <alignment horizontal="center" vertical="center"/>
    </xf>
    <xf numFmtId="9" fontId="6" fillId="0" borderId="91" xfId="0" applyNumberFormat="1" applyFont="1" applyBorder="1" applyAlignment="1">
      <alignment horizontal="center" vertical="center"/>
    </xf>
    <xf numFmtId="9" fontId="6" fillId="0" borderId="72" xfId="0" applyNumberFormat="1" applyFont="1" applyBorder="1" applyAlignment="1">
      <alignment horizontal="center" vertical="center"/>
    </xf>
    <xf numFmtId="9" fontId="6" fillId="0" borderId="85" xfId="0" applyNumberFormat="1" applyFont="1" applyBorder="1" applyAlignment="1">
      <alignment horizontal="center" vertical="center"/>
    </xf>
    <xf numFmtId="9" fontId="6" fillId="0" borderId="71" xfId="0" applyNumberFormat="1" applyFont="1" applyBorder="1" applyAlignment="1">
      <alignment horizontal="center" vertical="center"/>
    </xf>
    <xf numFmtId="0" fontId="21" fillId="2" borderId="75" xfId="0" applyFont="1" applyFill="1" applyBorder="1" applyAlignment="1">
      <alignment horizontal="left" vertical="center" wrapText="1"/>
    </xf>
    <xf numFmtId="0" fontId="21" fillId="2" borderId="76" xfId="0" applyFont="1" applyFill="1" applyBorder="1" applyAlignment="1">
      <alignment horizontal="left" vertical="center" wrapText="1"/>
    </xf>
    <xf numFmtId="0" fontId="21" fillId="2" borderId="77" xfId="0" applyFont="1" applyFill="1" applyBorder="1" applyAlignment="1">
      <alignment horizontal="left" vertical="center" wrapText="1"/>
    </xf>
    <xf numFmtId="9" fontId="6" fillId="0" borderId="74" xfId="0" applyNumberFormat="1" applyFont="1" applyBorder="1" applyAlignment="1">
      <alignment horizontal="center" vertical="center"/>
    </xf>
    <xf numFmtId="0" fontId="7" fillId="0" borderId="26" xfId="4" applyBorder="1"/>
    <xf numFmtId="0" fontId="7" fillId="0" borderId="3" xfId="4" applyBorder="1"/>
    <xf numFmtId="0" fontId="7" fillId="0" borderId="63" xfId="4" applyBorder="1"/>
    <xf numFmtId="0" fontId="7" fillId="0" borderId="90" xfId="4" applyBorder="1"/>
    <xf numFmtId="0" fontId="7" fillId="0" borderId="6" xfId="4" applyBorder="1"/>
    <xf numFmtId="0" fontId="7" fillId="0" borderId="79" xfId="4" applyBorder="1"/>
    <xf numFmtId="0" fontId="0" fillId="0" borderId="0" xfId="0" applyAlignment="1">
      <alignment horizontal="left"/>
    </xf>
    <xf numFmtId="0" fontId="32" fillId="0" borderId="0" xfId="0" applyFont="1" applyAlignment="1">
      <alignment horizontal="center" vertical="center" textRotation="45"/>
    </xf>
    <xf numFmtId="0" fontId="48" fillId="0" borderId="0" xfId="0" applyFont="1" applyAlignment="1">
      <alignment vertical="center"/>
    </xf>
    <xf numFmtId="0" fontId="38" fillId="0" borderId="0" xfId="0" applyFont="1" applyAlignment="1">
      <alignment horizontal="center"/>
    </xf>
    <xf numFmtId="0" fontId="0" fillId="0" borderId="0" xfId="0" pivotButton="1"/>
    <xf numFmtId="0" fontId="29" fillId="0" borderId="0" xfId="0" applyFont="1" applyAlignment="1">
      <alignment horizontal="center"/>
    </xf>
    <xf numFmtId="0" fontId="29" fillId="0" borderId="51" xfId="0" applyFont="1" applyBorder="1" applyAlignment="1">
      <alignment horizontal="center"/>
    </xf>
    <xf numFmtId="0" fontId="12" fillId="28" borderId="51" xfId="0" applyFont="1" applyFill="1" applyBorder="1" applyAlignment="1">
      <alignment horizontal="center" vertical="center" textRotation="90"/>
    </xf>
    <xf numFmtId="0" fontId="32" fillId="28" borderId="51" xfId="0" applyFont="1" applyFill="1" applyBorder="1" applyAlignment="1">
      <alignment horizontal="center" vertical="center" textRotation="90"/>
    </xf>
    <xf numFmtId="9" fontId="0" fillId="0" borderId="70" xfId="0" applyNumberFormat="1" applyBorder="1" applyAlignment="1">
      <alignment horizontal="center"/>
    </xf>
    <xf numFmtId="9" fontId="0" fillId="0" borderId="45" xfId="0" applyNumberFormat="1" applyBorder="1" applyAlignment="1">
      <alignment horizontal="center"/>
    </xf>
    <xf numFmtId="9" fontId="0" fillId="0" borderId="44" xfId="0" applyNumberFormat="1" applyBorder="1" applyAlignment="1">
      <alignment horizontal="center"/>
    </xf>
    <xf numFmtId="9" fontId="0" fillId="0" borderId="103" xfId="0" applyNumberFormat="1" applyBorder="1" applyAlignment="1">
      <alignment horizontal="center"/>
    </xf>
    <xf numFmtId="9" fontId="0" fillId="0" borderId="104" xfId="0" applyNumberFormat="1" applyBorder="1" applyAlignment="1">
      <alignment horizontal="center"/>
    </xf>
    <xf numFmtId="9" fontId="0" fillId="0" borderId="105" xfId="0" applyNumberFormat="1" applyBorder="1" applyAlignment="1">
      <alignment horizontal="center"/>
    </xf>
    <xf numFmtId="10" fontId="0" fillId="0" borderId="0" xfId="0" applyNumberFormat="1"/>
    <xf numFmtId="9" fontId="0" fillId="0" borderId="51" xfId="0" applyNumberFormat="1" applyBorder="1" applyAlignment="1">
      <alignment horizontal="center"/>
    </xf>
    <xf numFmtId="9" fontId="0" fillId="0" borderId="106" xfId="0" applyNumberFormat="1" applyBorder="1" applyAlignment="1">
      <alignment horizontal="center"/>
    </xf>
    <xf numFmtId="9" fontId="0" fillId="0" borderId="107" xfId="0" applyNumberFormat="1" applyBorder="1" applyAlignment="1">
      <alignment horizontal="center"/>
    </xf>
    <xf numFmtId="9" fontId="0" fillId="0" borderId="10" xfId="0" applyNumberFormat="1" applyBorder="1" applyAlignment="1">
      <alignment horizontal="center"/>
    </xf>
    <xf numFmtId="9" fontId="29" fillId="0" borderId="10" xfId="0" applyNumberFormat="1" applyFont="1" applyBorder="1" applyAlignment="1">
      <alignment horizontal="center"/>
    </xf>
    <xf numFmtId="0" fontId="8" fillId="0" borderId="8" xfId="0" applyFont="1" applyBorder="1" applyAlignment="1">
      <alignment horizontal="center"/>
    </xf>
    <xf numFmtId="9" fontId="8" fillId="0" borderId="8" xfId="1" applyFont="1" applyBorder="1" applyAlignment="1">
      <alignment horizontal="center"/>
    </xf>
    <xf numFmtId="9" fontId="0" fillId="0" borderId="0" xfId="1" applyFont="1"/>
    <xf numFmtId="9" fontId="8" fillId="0" borderId="18" xfId="1" applyFont="1" applyFill="1" applyBorder="1" applyAlignment="1">
      <alignment horizontal="center"/>
    </xf>
    <xf numFmtId="9" fontId="8" fillId="0" borderId="19" xfId="1" applyFont="1" applyFill="1" applyBorder="1" applyAlignment="1">
      <alignment horizontal="center"/>
    </xf>
    <xf numFmtId="9" fontId="8" fillId="0" borderId="20" xfId="1" applyFont="1" applyFill="1" applyBorder="1" applyAlignment="1">
      <alignment horizontal="center"/>
    </xf>
    <xf numFmtId="9" fontId="56" fillId="0" borderId="8" xfId="1" applyFont="1" applyFill="1" applyBorder="1" applyAlignment="1">
      <alignment horizontal="center" vertical="center"/>
    </xf>
    <xf numFmtId="0" fontId="5" fillId="0" borderId="8" xfId="0" applyFont="1" applyBorder="1" applyAlignment="1">
      <alignment horizontal="center" vertical="center"/>
    </xf>
    <xf numFmtId="0" fontId="56" fillId="0" borderId="8" xfId="0" applyFont="1" applyBorder="1" applyAlignment="1">
      <alignment horizontal="left" vertical="center"/>
    </xf>
    <xf numFmtId="0" fontId="58" fillId="0" borderId="8" xfId="0" applyFont="1" applyBorder="1" applyAlignment="1">
      <alignment horizontal="center" vertical="center"/>
    </xf>
    <xf numFmtId="0" fontId="56" fillId="0" borderId="8" xfId="0" applyFont="1" applyBorder="1" applyAlignment="1">
      <alignment horizontal="center" vertical="center" wrapText="1"/>
    </xf>
    <xf numFmtId="49" fontId="8" fillId="0" borderId="8" xfId="1" applyNumberFormat="1" applyFont="1" applyFill="1" applyBorder="1" applyAlignment="1">
      <alignment horizontal="center" vertical="center" wrapText="1"/>
    </xf>
    <xf numFmtId="164" fontId="56" fillId="0" borderId="8" xfId="0" applyNumberFormat="1" applyFont="1" applyBorder="1" applyAlignment="1">
      <alignment horizontal="center" vertical="center"/>
    </xf>
    <xf numFmtId="9" fontId="5" fillId="0" borderId="8" xfId="1" applyFont="1" applyFill="1" applyBorder="1" applyAlignment="1">
      <alignment horizontal="center" vertical="center"/>
    </xf>
    <xf numFmtId="0" fontId="5" fillId="0" borderId="8" xfId="4" applyFont="1" applyBorder="1" applyAlignment="1">
      <alignment horizontal="center" vertical="center"/>
    </xf>
    <xf numFmtId="9" fontId="5" fillId="0" borderId="8" xfId="0" applyNumberFormat="1" applyFont="1" applyBorder="1" applyAlignment="1">
      <alignment horizontal="center" vertical="center" wrapText="1"/>
    </xf>
    <xf numFmtId="9" fontId="5" fillId="0" borderId="8" xfId="0" applyNumberFormat="1" applyFont="1" applyBorder="1" applyAlignment="1">
      <alignment horizontal="center" vertical="center"/>
    </xf>
    <xf numFmtId="0" fontId="5" fillId="0" borderId="0" xfId="0" applyFont="1" applyAlignment="1">
      <alignment horizontal="center" vertical="center"/>
    </xf>
    <xf numFmtId="0" fontId="5" fillId="0" borderId="0" xfId="2" applyFont="1"/>
    <xf numFmtId="1" fontId="5" fillId="0" borderId="10" xfId="0" applyNumberFormat="1" applyFont="1" applyBorder="1" applyAlignment="1">
      <alignment horizontal="center" vertical="center"/>
    </xf>
    <xf numFmtId="0" fontId="5" fillId="0" borderId="10" xfId="0" applyFont="1" applyBorder="1" applyAlignment="1">
      <alignment horizontal="center" vertical="center"/>
    </xf>
    <xf numFmtId="9" fontId="5" fillId="0" borderId="10" xfId="1" applyFont="1" applyFill="1" applyBorder="1" applyAlignment="1">
      <alignment horizontal="center" vertical="center"/>
    </xf>
    <xf numFmtId="0" fontId="5" fillId="0" borderId="0" xfId="3" applyFont="1" applyAlignment="1">
      <alignment horizontal="center" vertical="center"/>
    </xf>
    <xf numFmtId="0" fontId="5" fillId="0" borderId="0" xfId="3" applyFont="1"/>
    <xf numFmtId="9" fontId="5" fillId="0" borderId="66" xfId="1" applyFont="1" applyFill="1" applyBorder="1" applyAlignment="1">
      <alignment horizontal="center" vertical="center" wrapText="1"/>
    </xf>
    <xf numFmtId="0" fontId="5" fillId="0" borderId="0" xfId="0" applyFont="1" applyAlignment="1">
      <alignment wrapText="1"/>
    </xf>
    <xf numFmtId="9" fontId="5" fillId="0" borderId="66" xfId="1" applyFont="1" applyFill="1" applyBorder="1" applyAlignment="1">
      <alignment horizontal="center" vertical="center"/>
    </xf>
    <xf numFmtId="9" fontId="5" fillId="0" borderId="66" xfId="5" applyFont="1" applyFill="1" applyBorder="1" applyAlignment="1">
      <alignment horizontal="center" vertical="center"/>
    </xf>
    <xf numFmtId="9" fontId="5" fillId="0" borderId="0" xfId="0" applyNumberFormat="1" applyFont="1"/>
    <xf numFmtId="0" fontId="5" fillId="0" borderId="19" xfId="0" applyFont="1" applyBorder="1" applyAlignment="1">
      <alignment horizontal="center"/>
    </xf>
    <xf numFmtId="0" fontId="5" fillId="0" borderId="0" xfId="0" applyFont="1" applyAlignment="1">
      <alignment horizontal="left" vertical="top"/>
    </xf>
    <xf numFmtId="0" fontId="5" fillId="0" borderId="10" xfId="0" applyFont="1" applyBorder="1" applyAlignment="1">
      <alignment horizontal="center" vertical="center" wrapText="1"/>
    </xf>
    <xf numFmtId="0" fontId="8" fillId="0" borderId="0" xfId="0" applyFont="1" applyAlignment="1">
      <alignment horizontal="center" vertical="center"/>
    </xf>
    <xf numFmtId="0" fontId="8" fillId="0" borderId="0" xfId="3" applyFont="1" applyAlignment="1">
      <alignment horizontal="center" vertical="center"/>
    </xf>
    <xf numFmtId="9" fontId="5" fillId="0" borderId="80" xfId="0" applyNumberFormat="1" applyFont="1" applyBorder="1" applyAlignment="1">
      <alignment horizontal="center" vertical="center" wrapText="1"/>
    </xf>
    <xf numFmtId="9" fontId="5" fillId="0" borderId="75" xfId="0" applyNumberFormat="1" applyFont="1" applyBorder="1" applyAlignment="1">
      <alignment horizontal="center"/>
    </xf>
    <xf numFmtId="9" fontId="5" fillId="0" borderId="81" xfId="0" applyNumberFormat="1" applyFont="1" applyBorder="1" applyAlignment="1">
      <alignment horizontal="center" vertical="center" wrapText="1"/>
    </xf>
    <xf numFmtId="9" fontId="5" fillId="0" borderId="76" xfId="0" applyNumberFormat="1" applyFont="1" applyBorder="1" applyAlignment="1">
      <alignment horizontal="center"/>
    </xf>
    <xf numFmtId="9" fontId="5" fillId="0" borderId="10" xfId="0" applyNumberFormat="1" applyFont="1" applyBorder="1" applyAlignment="1">
      <alignment horizontal="center" vertical="center" wrapText="1"/>
    </xf>
    <xf numFmtId="9" fontId="5" fillId="0" borderId="53" xfId="0" applyNumberFormat="1" applyFont="1" applyBorder="1" applyAlignment="1">
      <alignment horizontal="center" vertical="center" wrapText="1"/>
    </xf>
    <xf numFmtId="9" fontId="5" fillId="0" borderId="88" xfId="0" applyNumberFormat="1" applyFont="1" applyBorder="1" applyAlignment="1">
      <alignment horizontal="center" vertical="center" wrapText="1"/>
    </xf>
    <xf numFmtId="9" fontId="5" fillId="0" borderId="66" xfId="0" applyNumberFormat="1" applyFont="1" applyBorder="1" applyAlignment="1">
      <alignment horizontal="center" vertical="center" wrapText="1"/>
    </xf>
    <xf numFmtId="9" fontId="5" fillId="0" borderId="77" xfId="0" applyNumberFormat="1" applyFont="1" applyBorder="1" applyAlignment="1">
      <alignment horizontal="center"/>
    </xf>
    <xf numFmtId="9" fontId="5" fillId="0" borderId="67" xfId="0" applyNumberFormat="1" applyFont="1" applyBorder="1" applyAlignment="1">
      <alignment horizontal="center" vertical="center" wrapText="1"/>
    </xf>
    <xf numFmtId="9" fontId="5" fillId="0" borderId="69" xfId="0" applyNumberFormat="1" applyFont="1" applyBorder="1" applyAlignment="1">
      <alignment horizontal="center" vertical="center" wrapText="1"/>
    </xf>
    <xf numFmtId="9" fontId="5" fillId="0" borderId="66" xfId="3" applyNumberFormat="1" applyFont="1" applyBorder="1" applyAlignment="1">
      <alignment horizontal="center" wrapText="1"/>
    </xf>
    <xf numFmtId="9" fontId="5" fillId="0" borderId="66" xfId="3" applyNumberFormat="1" applyFont="1" applyBorder="1" applyAlignment="1">
      <alignment horizontal="center"/>
    </xf>
    <xf numFmtId="0" fontId="60" fillId="0" borderId="0" xfId="0" applyFont="1" applyAlignment="1">
      <alignment horizontal="center" vertical="center" wrapText="1"/>
    </xf>
    <xf numFmtId="9" fontId="5" fillId="0" borderId="82" xfId="0" applyNumberFormat="1" applyFont="1" applyBorder="1" applyAlignment="1">
      <alignment horizontal="center" vertical="center" wrapText="1"/>
    </xf>
    <xf numFmtId="9" fontId="5" fillId="0" borderId="73" xfId="0" applyNumberFormat="1" applyFont="1" applyBorder="1" applyAlignment="1">
      <alignment horizontal="center" vertical="center" wrapText="1"/>
    </xf>
    <xf numFmtId="9" fontId="5" fillId="0" borderId="109" xfId="0" applyNumberFormat="1" applyFont="1" applyBorder="1" applyAlignment="1">
      <alignment horizontal="center"/>
    </xf>
    <xf numFmtId="0" fontId="5" fillId="0" borderId="0" xfId="0" applyFont="1" applyAlignment="1">
      <alignment horizontal="center" vertical="center" wrapText="1"/>
    </xf>
    <xf numFmtId="9" fontId="5" fillId="0" borderId="0" xfId="0" applyNumberFormat="1" applyFont="1" applyAlignment="1">
      <alignment horizontal="center" vertical="center" wrapText="1"/>
    </xf>
    <xf numFmtId="9" fontId="59" fillId="0" borderId="0" xfId="0" applyNumberFormat="1" applyFont="1" applyAlignment="1">
      <alignment horizontal="center"/>
    </xf>
    <xf numFmtId="0" fontId="60" fillId="0" borderId="0" xfId="0" applyFont="1" applyAlignment="1">
      <alignment vertical="center" wrapText="1"/>
    </xf>
    <xf numFmtId="0" fontId="60" fillId="0" borderId="5" xfId="0" applyFont="1" applyBorder="1" applyAlignment="1">
      <alignment vertical="center" wrapText="1"/>
    </xf>
    <xf numFmtId="0" fontId="5" fillId="29" borderId="10" xfId="0" applyFont="1" applyFill="1" applyBorder="1" applyAlignment="1">
      <alignment horizontal="center" vertical="center" wrapText="1"/>
    </xf>
    <xf numFmtId="0" fontId="5" fillId="29" borderId="1" xfId="0" applyFont="1" applyFill="1" applyBorder="1" applyAlignment="1">
      <alignment horizontal="center" vertical="center" wrapText="1"/>
    </xf>
    <xf numFmtId="0" fontId="5" fillId="29" borderId="46" xfId="0" applyFont="1" applyFill="1" applyBorder="1" applyAlignment="1">
      <alignment horizontal="center" vertical="center" wrapText="1"/>
    </xf>
    <xf numFmtId="0" fontId="5" fillId="29" borderId="83" xfId="0" applyFont="1" applyFill="1" applyBorder="1" applyAlignment="1">
      <alignment horizontal="center" vertical="center" wrapText="1"/>
    </xf>
    <xf numFmtId="0" fontId="5" fillId="29" borderId="47" xfId="0" applyFont="1" applyFill="1" applyBorder="1" applyAlignment="1">
      <alignment horizontal="center" vertical="center"/>
    </xf>
    <xf numFmtId="0" fontId="5" fillId="29" borderId="108" xfId="0" applyFont="1" applyFill="1" applyBorder="1" applyAlignment="1">
      <alignment horizontal="center" vertical="center"/>
    </xf>
    <xf numFmtId="0" fontId="5" fillId="29" borderId="46" xfId="0" applyFont="1" applyFill="1" applyBorder="1" applyAlignment="1">
      <alignment horizontal="center" vertical="center"/>
    </xf>
    <xf numFmtId="0" fontId="5" fillId="29" borderId="48" xfId="0" applyFont="1" applyFill="1" applyBorder="1" applyAlignment="1">
      <alignment horizontal="center" vertical="center"/>
    </xf>
    <xf numFmtId="0" fontId="8" fillId="29" borderId="10" xfId="0" applyFont="1" applyFill="1" applyBorder="1" applyAlignment="1">
      <alignment horizontal="center" vertical="center" wrapText="1"/>
    </xf>
    <xf numFmtId="0" fontId="8" fillId="29" borderId="66" xfId="4" applyFont="1" applyFill="1" applyBorder="1" applyAlignment="1">
      <alignment horizontal="center" vertical="center" wrapText="1"/>
    </xf>
    <xf numFmtId="0" fontId="8" fillId="29" borderId="66" xfId="4" applyFont="1" applyFill="1" applyBorder="1" applyAlignment="1">
      <alignment horizontal="center" vertical="center"/>
    </xf>
    <xf numFmtId="0" fontId="8" fillId="29" borderId="0" xfId="3" applyFont="1" applyFill="1" applyAlignment="1">
      <alignment horizontal="center" vertical="center"/>
    </xf>
    <xf numFmtId="0" fontId="5" fillId="30" borderId="10" xfId="0" applyFont="1" applyFill="1" applyBorder="1" applyAlignment="1">
      <alignment horizontal="center" vertical="center" wrapText="1"/>
    </xf>
    <xf numFmtId="0" fontId="5" fillId="30" borderId="1" xfId="0" applyFont="1" applyFill="1" applyBorder="1" applyAlignment="1">
      <alignment horizontal="center" vertical="center" wrapText="1"/>
    </xf>
    <xf numFmtId="0" fontId="5" fillId="30" borderId="46" xfId="0" applyFont="1" applyFill="1" applyBorder="1" applyAlignment="1">
      <alignment horizontal="center" vertical="center" wrapText="1"/>
    </xf>
    <xf numFmtId="0" fontId="5" fillId="30" borderId="83" xfId="0" applyFont="1" applyFill="1" applyBorder="1" applyAlignment="1">
      <alignment horizontal="center" vertical="center" wrapText="1"/>
    </xf>
    <xf numFmtId="0" fontId="5" fillId="30" borderId="47" xfId="0" applyFont="1" applyFill="1" applyBorder="1" applyAlignment="1">
      <alignment horizontal="center" vertical="center"/>
    </xf>
    <xf numFmtId="0" fontId="5" fillId="30" borderId="108" xfId="0" applyFont="1" applyFill="1" applyBorder="1" applyAlignment="1">
      <alignment horizontal="center" vertical="center"/>
    </xf>
    <xf numFmtId="0" fontId="5" fillId="30" borderId="46" xfId="0" applyFont="1" applyFill="1" applyBorder="1" applyAlignment="1">
      <alignment horizontal="center" vertical="center"/>
    </xf>
    <xf numFmtId="0" fontId="5" fillId="30" borderId="48" xfId="0" applyFont="1" applyFill="1" applyBorder="1" applyAlignment="1">
      <alignment horizontal="center" vertical="center"/>
    </xf>
    <xf numFmtId="0" fontId="8" fillId="30" borderId="66" xfId="4" applyFont="1" applyFill="1" applyBorder="1" applyAlignment="1">
      <alignment horizontal="center" vertical="center" wrapText="1"/>
    </xf>
    <xf numFmtId="0" fontId="8" fillId="30" borderId="66" xfId="4" applyFont="1" applyFill="1" applyBorder="1" applyAlignment="1">
      <alignment horizontal="center" vertical="center"/>
    </xf>
    <xf numFmtId="0" fontId="8" fillId="30" borderId="0" xfId="3" applyFont="1" applyFill="1" applyAlignment="1">
      <alignment horizontal="center" vertical="center"/>
    </xf>
    <xf numFmtId="9" fontId="5" fillId="0" borderId="84" xfId="1" applyFont="1" applyFill="1" applyBorder="1" applyAlignment="1">
      <alignment horizontal="center" vertical="center"/>
    </xf>
    <xf numFmtId="9" fontId="5" fillId="0" borderId="84" xfId="3" applyNumberFormat="1" applyFont="1" applyBorder="1" applyAlignment="1">
      <alignment horizontal="center" wrapText="1"/>
    </xf>
    <xf numFmtId="0" fontId="8" fillId="30" borderId="10" xfId="0" applyFont="1" applyFill="1" applyBorder="1" applyAlignment="1">
      <alignment horizontal="center" vertical="center" wrapText="1"/>
    </xf>
    <xf numFmtId="9" fontId="5" fillId="0" borderId="81" xfId="3" applyNumberFormat="1" applyFont="1" applyBorder="1" applyAlignment="1">
      <alignment horizontal="center"/>
    </xf>
    <xf numFmtId="0" fontId="8" fillId="31" borderId="66" xfId="4" applyFont="1" applyFill="1" applyBorder="1" applyAlignment="1">
      <alignment horizontal="center" vertical="center" wrapText="1"/>
    </xf>
    <xf numFmtId="0" fontId="8" fillId="31" borderId="66" xfId="4" applyFont="1" applyFill="1" applyBorder="1" applyAlignment="1">
      <alignment horizontal="center" vertical="center"/>
    </xf>
    <xf numFmtId="0" fontId="8" fillId="31" borderId="10" xfId="0" applyFont="1" applyFill="1" applyBorder="1" applyAlignment="1">
      <alignment horizontal="center" vertical="center" wrapText="1"/>
    </xf>
    <xf numFmtId="0" fontId="5" fillId="31" borderId="10" xfId="0" applyFont="1" applyFill="1" applyBorder="1" applyAlignment="1">
      <alignment horizontal="center" vertical="center" wrapText="1"/>
    </xf>
    <xf numFmtId="0" fontId="5" fillId="31" borderId="46" xfId="0" applyFont="1" applyFill="1" applyBorder="1" applyAlignment="1">
      <alignment horizontal="center" vertical="center" wrapText="1"/>
    </xf>
    <xf numFmtId="0" fontId="5" fillId="31" borderId="83" xfId="0" applyFont="1" applyFill="1" applyBorder="1" applyAlignment="1">
      <alignment horizontal="center" vertical="center" wrapText="1"/>
    </xf>
    <xf numFmtId="0" fontId="5" fillId="31" borderId="47" xfId="0" applyFont="1" applyFill="1" applyBorder="1" applyAlignment="1">
      <alignment horizontal="center" vertical="center"/>
    </xf>
    <xf numFmtId="0" fontId="5" fillId="31" borderId="108" xfId="0" applyFont="1" applyFill="1" applyBorder="1" applyAlignment="1">
      <alignment horizontal="center" vertical="center"/>
    </xf>
    <xf numFmtId="0" fontId="5" fillId="31" borderId="48" xfId="0" applyFont="1" applyFill="1" applyBorder="1" applyAlignment="1">
      <alignment horizontal="center" vertical="center"/>
    </xf>
    <xf numFmtId="0" fontId="5" fillId="31" borderId="46" xfId="0" applyFont="1" applyFill="1" applyBorder="1" applyAlignment="1">
      <alignment horizontal="center" vertical="center"/>
    </xf>
    <xf numFmtId="0" fontId="5" fillId="31" borderId="1" xfId="0" applyFont="1" applyFill="1" applyBorder="1" applyAlignment="1">
      <alignment horizontal="center" vertical="center" wrapText="1"/>
    </xf>
    <xf numFmtId="0" fontId="5" fillId="32" borderId="10" xfId="0" applyFont="1" applyFill="1" applyBorder="1" applyAlignment="1">
      <alignment horizontal="center" vertical="center" wrapText="1"/>
    </xf>
    <xf numFmtId="0" fontId="5" fillId="32" borderId="1" xfId="0" applyFont="1" applyFill="1" applyBorder="1" applyAlignment="1">
      <alignment horizontal="center" vertical="center" wrapText="1"/>
    </xf>
    <xf numFmtId="0" fontId="5" fillId="32" borderId="46" xfId="0" applyFont="1" applyFill="1" applyBorder="1" applyAlignment="1">
      <alignment horizontal="center" vertical="center" wrapText="1"/>
    </xf>
    <xf numFmtId="0" fontId="5" fillId="32" borderId="83" xfId="0" applyFont="1" applyFill="1" applyBorder="1" applyAlignment="1">
      <alignment horizontal="center" vertical="center" wrapText="1"/>
    </xf>
    <xf numFmtId="0" fontId="5" fillId="32" borderId="47" xfId="0" applyFont="1" applyFill="1" applyBorder="1" applyAlignment="1">
      <alignment horizontal="center" vertical="center"/>
    </xf>
    <xf numFmtId="0" fontId="5" fillId="32" borderId="108" xfId="0" applyFont="1" applyFill="1" applyBorder="1" applyAlignment="1">
      <alignment horizontal="center" vertical="center"/>
    </xf>
    <xf numFmtId="0" fontId="5" fillId="32" borderId="48" xfId="0" applyFont="1" applyFill="1" applyBorder="1" applyAlignment="1">
      <alignment horizontal="center" vertical="center"/>
    </xf>
    <xf numFmtId="0" fontId="5" fillId="32" borderId="46" xfId="0" applyFont="1" applyFill="1" applyBorder="1" applyAlignment="1">
      <alignment horizontal="center" vertical="center"/>
    </xf>
    <xf numFmtId="0" fontId="8" fillId="32" borderId="66" xfId="4" applyFont="1" applyFill="1" applyBorder="1" applyAlignment="1">
      <alignment horizontal="center" vertical="center" wrapText="1"/>
    </xf>
    <xf numFmtId="0" fontId="8" fillId="32" borderId="66" xfId="4" applyFont="1" applyFill="1" applyBorder="1" applyAlignment="1">
      <alignment horizontal="center" vertical="center"/>
    </xf>
    <xf numFmtId="0" fontId="8" fillId="32" borderId="0" xfId="3" applyFont="1" applyFill="1" applyAlignment="1">
      <alignment horizontal="center" vertical="center"/>
    </xf>
    <xf numFmtId="0" fontId="8" fillId="32" borderId="10" xfId="0" applyFont="1" applyFill="1" applyBorder="1" applyAlignment="1">
      <alignment horizontal="center" vertical="center" wrapText="1"/>
    </xf>
    <xf numFmtId="9" fontId="5" fillId="0" borderId="84" xfId="3" applyNumberFormat="1" applyFont="1" applyBorder="1" applyAlignment="1">
      <alignment horizontal="center"/>
    </xf>
    <xf numFmtId="0" fontId="5" fillId="0" borderId="25" xfId="0" applyFont="1" applyBorder="1" applyAlignment="1">
      <alignment horizontal="center" vertical="center"/>
    </xf>
    <xf numFmtId="0" fontId="5" fillId="0" borderId="110" xfId="0" applyFont="1" applyBorder="1" applyAlignment="1">
      <alignment horizontal="center" vertical="center"/>
    </xf>
    <xf numFmtId="0" fontId="56" fillId="0" borderId="0" xfId="0" applyFont="1" applyAlignment="1">
      <alignment horizontal="center" vertical="center"/>
    </xf>
    <xf numFmtId="0" fontId="56" fillId="0" borderId="0" xfId="0" applyFont="1" applyAlignment="1">
      <alignment horizontal="left" vertical="center"/>
    </xf>
    <xf numFmtId="0" fontId="56" fillId="0" borderId="112" xfId="0" applyFont="1" applyBorder="1" applyAlignment="1">
      <alignment horizontal="center" vertical="center"/>
    </xf>
    <xf numFmtId="0" fontId="5" fillId="0" borderId="0" xfId="4" applyFont="1" applyAlignment="1">
      <alignment horizontal="center" vertical="center"/>
    </xf>
    <xf numFmtId="9" fontId="56" fillId="0" borderId="114" xfId="1" applyFont="1" applyFill="1" applyBorder="1" applyAlignment="1">
      <alignment horizontal="center" vertical="center"/>
    </xf>
    <xf numFmtId="9" fontId="56" fillId="0" borderId="112" xfId="1" applyFont="1" applyFill="1" applyBorder="1" applyAlignment="1">
      <alignment horizontal="center" vertical="center"/>
    </xf>
    <xf numFmtId="9" fontId="5" fillId="0" borderId="112" xfId="4" applyNumberFormat="1" applyFont="1" applyBorder="1" applyAlignment="1">
      <alignment horizontal="center" vertical="center"/>
    </xf>
    <xf numFmtId="0" fontId="5" fillId="32" borderId="34" xfId="0" applyFont="1" applyFill="1" applyBorder="1" applyAlignment="1">
      <alignment horizontal="left" vertical="center" wrapText="1"/>
    </xf>
    <xf numFmtId="0" fontId="5" fillId="31" borderId="34" xfId="0" applyFont="1" applyFill="1" applyBorder="1" applyAlignment="1">
      <alignment horizontal="left" vertical="center" wrapText="1"/>
    </xf>
    <xf numFmtId="0" fontId="5" fillId="30" borderId="34" xfId="0" applyFont="1" applyFill="1" applyBorder="1" applyAlignment="1">
      <alignment horizontal="left" vertical="center" wrapText="1"/>
    </xf>
    <xf numFmtId="0" fontId="5" fillId="29" borderId="34" xfId="0" applyFont="1" applyFill="1" applyBorder="1" applyAlignment="1">
      <alignment horizontal="left" vertical="center" wrapText="1"/>
    </xf>
    <xf numFmtId="0" fontId="8" fillId="29" borderId="34" xfId="4" applyFont="1" applyFill="1" applyBorder="1" applyAlignment="1">
      <alignment horizontal="left" vertical="center"/>
    </xf>
    <xf numFmtId="0" fontId="8" fillId="30" borderId="34" xfId="4" applyFont="1" applyFill="1" applyBorder="1" applyAlignment="1">
      <alignment horizontal="left" vertical="center"/>
    </xf>
    <xf numFmtId="0" fontId="8" fillId="31" borderId="34" xfId="4" applyFont="1" applyFill="1" applyBorder="1" applyAlignment="1">
      <alignment horizontal="left" vertical="center"/>
    </xf>
    <xf numFmtId="0" fontId="8" fillId="31" borderId="37" xfId="4" applyFont="1" applyFill="1" applyBorder="1" applyAlignment="1">
      <alignment horizontal="left" vertical="center"/>
    </xf>
    <xf numFmtId="0" fontId="8" fillId="32" borderId="34" xfId="4" applyFont="1" applyFill="1" applyBorder="1" applyAlignment="1">
      <alignment horizontal="left" vertical="center"/>
    </xf>
    <xf numFmtId="0" fontId="8" fillId="32" borderId="37" xfId="4" applyFont="1" applyFill="1" applyBorder="1" applyAlignment="1">
      <alignment horizontal="left" vertical="center"/>
    </xf>
    <xf numFmtId="49" fontId="8" fillId="0" borderId="112" xfId="1" applyNumberFormat="1" applyFont="1" applyFill="1" applyBorder="1" applyAlignment="1">
      <alignment horizontal="center" vertical="center" wrapText="1"/>
    </xf>
    <xf numFmtId="0" fontId="57" fillId="0" borderId="0" xfId="0" applyFont="1" applyAlignment="1">
      <alignment horizontal="left" vertical="center"/>
    </xf>
    <xf numFmtId="0" fontId="56" fillId="0" borderId="0" xfId="0" applyFont="1" applyAlignment="1">
      <alignment horizontal="center" vertical="center" wrapText="1"/>
    </xf>
    <xf numFmtId="0" fontId="56" fillId="0" borderId="113" xfId="0" applyFont="1" applyBorder="1" applyAlignment="1">
      <alignment horizontal="center" vertical="center" wrapText="1"/>
    </xf>
    <xf numFmtId="0" fontId="8" fillId="0" borderId="8" xfId="0" applyFont="1" applyBorder="1" applyAlignment="1">
      <alignment horizontal="center" vertical="center" wrapText="1"/>
    </xf>
    <xf numFmtId="3" fontId="5" fillId="0" borderId="114" xfId="0" applyNumberFormat="1" applyFont="1" applyBorder="1" applyAlignment="1">
      <alignment horizontal="center" vertical="center"/>
    </xf>
    <xf numFmtId="0" fontId="5" fillId="0" borderId="114" xfId="4" applyFont="1" applyBorder="1" applyAlignment="1">
      <alignment horizontal="center" vertical="center"/>
    </xf>
    <xf numFmtId="0" fontId="5" fillId="0" borderId="114" xfId="0" applyFont="1" applyBorder="1" applyAlignment="1">
      <alignment horizontal="center" vertical="center"/>
    </xf>
    <xf numFmtId="0" fontId="5" fillId="29" borderId="42" xfId="0" applyFont="1" applyFill="1" applyBorder="1" applyAlignment="1">
      <alignment horizontal="left" vertical="center" wrapText="1"/>
    </xf>
    <xf numFmtId="0" fontId="56" fillId="0" borderId="115" xfId="0" applyFont="1" applyBorder="1" applyAlignment="1">
      <alignment horizontal="center" vertical="center" wrapText="1"/>
    </xf>
    <xf numFmtId="0" fontId="58" fillId="0" borderId="8" xfId="0" applyFont="1" applyBorder="1" applyAlignment="1">
      <alignment vertical="center" wrapText="1"/>
    </xf>
    <xf numFmtId="0" fontId="5" fillId="0" borderId="116" xfId="0" applyFont="1" applyBorder="1" applyAlignment="1">
      <alignment horizontal="center"/>
    </xf>
    <xf numFmtId="0" fontId="5" fillId="0" borderId="117" xfId="0" applyFont="1" applyBorder="1" applyAlignment="1">
      <alignment horizontal="center"/>
    </xf>
    <xf numFmtId="0" fontId="53" fillId="0" borderId="0" xfId="0" applyFont="1" applyAlignment="1">
      <alignment vertical="center" wrapText="1"/>
    </xf>
    <xf numFmtId="0" fontId="53" fillId="0" borderId="5" xfId="0" applyFont="1" applyBorder="1" applyAlignment="1">
      <alignment vertical="center" wrapText="1"/>
    </xf>
    <xf numFmtId="0" fontId="0" fillId="33" borderId="0" xfId="0" applyFill="1"/>
    <xf numFmtId="0" fontId="8" fillId="29" borderId="43" xfId="4" applyFont="1" applyFill="1" applyBorder="1" applyAlignment="1">
      <alignment horizontal="left" vertical="center"/>
    </xf>
    <xf numFmtId="0" fontId="5" fillId="30" borderId="42" xfId="0" applyFont="1" applyFill="1" applyBorder="1" applyAlignment="1">
      <alignment horizontal="left" vertical="center" wrapText="1"/>
    </xf>
    <xf numFmtId="9" fontId="56" fillId="0" borderId="119" xfId="1" applyFont="1" applyFill="1" applyBorder="1" applyAlignment="1">
      <alignment horizontal="center" vertical="center"/>
    </xf>
    <xf numFmtId="9" fontId="56" fillId="0" borderId="110" xfId="1" applyFont="1" applyFill="1" applyBorder="1" applyAlignment="1">
      <alignment horizontal="center" vertical="center"/>
    </xf>
    <xf numFmtId="9" fontId="5" fillId="0" borderId="25" xfId="1" applyFont="1" applyFill="1" applyBorder="1" applyAlignment="1">
      <alignment horizontal="center" vertical="center"/>
    </xf>
    <xf numFmtId="9" fontId="8" fillId="0" borderId="25" xfId="1" applyFont="1" applyFill="1" applyBorder="1" applyAlignment="1">
      <alignment horizontal="center" vertical="center"/>
    </xf>
    <xf numFmtId="0" fontId="5" fillId="0" borderId="115" xfId="4" applyFont="1" applyBorder="1" applyAlignment="1">
      <alignment horizontal="center" vertical="center"/>
    </xf>
    <xf numFmtId="9" fontId="5" fillId="0" borderId="110" xfId="0" applyNumberFormat="1" applyFont="1" applyBorder="1" applyAlignment="1">
      <alignment horizontal="center" vertical="center" wrapText="1"/>
    </xf>
    <xf numFmtId="9" fontId="5" fillId="0" borderId="110" xfId="0" applyNumberFormat="1" applyFont="1" applyBorder="1" applyAlignment="1">
      <alignment horizontal="center" vertical="center"/>
    </xf>
    <xf numFmtId="9" fontId="8" fillId="0" borderId="52" xfId="0" applyNumberFormat="1" applyFont="1" applyBorder="1" applyAlignment="1">
      <alignment horizontal="center" vertical="center" wrapText="1"/>
    </xf>
    <xf numFmtId="9" fontId="8" fillId="0" borderId="15" xfId="0" applyNumberFormat="1" applyFont="1" applyBorder="1" applyAlignment="1">
      <alignment horizontal="center" vertical="center" wrapText="1"/>
    </xf>
    <xf numFmtId="0" fontId="5" fillId="0" borderId="15" xfId="4" applyFont="1" applyBorder="1" applyAlignment="1">
      <alignment horizontal="center" vertical="center"/>
    </xf>
    <xf numFmtId="9" fontId="5" fillId="0" borderId="15" xfId="1" applyFont="1" applyFill="1" applyBorder="1" applyAlignment="1">
      <alignment horizontal="center" vertical="center"/>
    </xf>
    <xf numFmtId="9" fontId="8" fillId="0" borderId="15" xfId="1" applyFont="1" applyFill="1" applyBorder="1" applyAlignment="1">
      <alignment horizontal="center" vertical="center"/>
    </xf>
    <xf numFmtId="0" fontId="5" fillId="0" borderId="28" xfId="4" applyFont="1" applyBorder="1" applyAlignment="1">
      <alignment horizontal="center" vertical="center"/>
    </xf>
    <xf numFmtId="3" fontId="5" fillId="0" borderId="30" xfId="0" applyNumberFormat="1" applyFont="1" applyBorder="1" applyAlignment="1">
      <alignment horizontal="center" vertical="center"/>
    </xf>
    <xf numFmtId="0" fontId="5" fillId="0" borderId="30" xfId="4" applyFont="1" applyBorder="1" applyAlignment="1">
      <alignment horizontal="center" vertical="center"/>
    </xf>
    <xf numFmtId="9" fontId="5" fillId="0" borderId="123" xfId="1" applyFont="1" applyFill="1" applyBorder="1" applyAlignment="1">
      <alignment horizontal="center" vertical="center"/>
    </xf>
    <xf numFmtId="9" fontId="8" fillId="0" borderId="123" xfId="1" applyFont="1" applyFill="1" applyBorder="1" applyAlignment="1">
      <alignment horizontal="center" vertical="center"/>
    </xf>
    <xf numFmtId="0" fontId="5" fillId="0" borderId="32" xfId="4" applyFont="1" applyBorder="1" applyAlignment="1">
      <alignment horizontal="center" vertical="center"/>
    </xf>
    <xf numFmtId="0" fontId="5" fillId="30" borderId="52" xfId="0" applyFont="1" applyFill="1" applyBorder="1" applyAlignment="1">
      <alignment horizontal="left" vertical="center" wrapText="1"/>
    </xf>
    <xf numFmtId="0" fontId="8" fillId="30" borderId="43" xfId="4" applyFont="1" applyFill="1" applyBorder="1" applyAlignment="1">
      <alignment horizontal="left" vertical="center"/>
    </xf>
    <xf numFmtId="0" fontId="5" fillId="31" borderId="112" xfId="0" applyFont="1" applyFill="1" applyBorder="1" applyAlignment="1">
      <alignment horizontal="left" vertical="center" wrapText="1"/>
    </xf>
    <xf numFmtId="0" fontId="5" fillId="0" borderId="124" xfId="4" applyFont="1" applyBorder="1" applyAlignment="1">
      <alignment horizontal="center" vertical="center"/>
    </xf>
    <xf numFmtId="0" fontId="5" fillId="32" borderId="42" xfId="0" applyFont="1" applyFill="1" applyBorder="1" applyAlignment="1">
      <alignment horizontal="left" vertical="center" wrapText="1"/>
    </xf>
    <xf numFmtId="9" fontId="5" fillId="0" borderId="101" xfId="1" applyFont="1" applyFill="1" applyBorder="1" applyAlignment="1">
      <alignment horizontal="center" vertical="center"/>
    </xf>
    <xf numFmtId="9" fontId="8" fillId="0" borderId="101" xfId="1" applyFont="1" applyFill="1" applyBorder="1" applyAlignment="1">
      <alignment horizontal="center" vertical="center"/>
    </xf>
    <xf numFmtId="0" fontId="5" fillId="0" borderId="102" xfId="4" applyFont="1" applyBorder="1" applyAlignment="1">
      <alignment horizontal="center" vertical="center"/>
    </xf>
    <xf numFmtId="3" fontId="5" fillId="0" borderId="29" xfId="0" applyNumberFormat="1" applyFont="1" applyBorder="1" applyAlignment="1">
      <alignment horizontal="center" vertical="center"/>
    </xf>
    <xf numFmtId="0" fontId="8" fillId="31" borderId="52" xfId="0" applyFont="1" applyFill="1" applyBorder="1" applyAlignment="1">
      <alignment horizontal="left" vertical="center" wrapText="1"/>
    </xf>
    <xf numFmtId="0" fontId="8" fillId="0" borderId="15" xfId="4" applyFont="1" applyBorder="1" applyAlignment="1">
      <alignment horizontal="center" vertical="center"/>
    </xf>
    <xf numFmtId="0" fontId="8" fillId="32" borderId="33" xfId="0" applyFont="1" applyFill="1" applyBorder="1" applyAlignment="1">
      <alignment horizontal="left" vertical="center" wrapText="1"/>
    </xf>
    <xf numFmtId="9" fontId="8" fillId="0" borderId="125" xfId="0" applyNumberFormat="1" applyFont="1" applyBorder="1" applyAlignment="1">
      <alignment horizontal="center" vertical="center" wrapText="1"/>
    </xf>
    <xf numFmtId="9" fontId="8" fillId="0" borderId="101" xfId="0" applyNumberFormat="1" applyFont="1" applyBorder="1" applyAlignment="1">
      <alignment horizontal="center" vertical="center" wrapText="1"/>
    </xf>
    <xf numFmtId="0" fontId="8" fillId="0" borderId="101" xfId="4" applyFont="1" applyBorder="1" applyAlignment="1">
      <alignment horizontal="center" vertical="center"/>
    </xf>
    <xf numFmtId="3" fontId="5" fillId="0" borderId="124" xfId="0" applyNumberFormat="1" applyFont="1" applyBorder="1" applyAlignment="1">
      <alignment horizontal="center" vertical="center"/>
    </xf>
    <xf numFmtId="0" fontId="5" fillId="0" borderId="68" xfId="0" applyFont="1" applyBorder="1" applyAlignment="1">
      <alignment horizontal="center" vertical="center"/>
    </xf>
    <xf numFmtId="0" fontId="5" fillId="0" borderId="6" xfId="0" applyFont="1" applyBorder="1" applyAlignment="1">
      <alignment horizontal="center" vertical="center"/>
    </xf>
    <xf numFmtId="0" fontId="5" fillId="0" borderId="79" xfId="0" applyFont="1" applyBorder="1" applyAlignment="1">
      <alignment horizontal="center" vertical="center"/>
    </xf>
    <xf numFmtId="0" fontId="58" fillId="0" borderId="0" xfId="0" applyFont="1" applyAlignment="1">
      <alignment horizontal="right" vertical="center"/>
    </xf>
    <xf numFmtId="9" fontId="5" fillId="0" borderId="0" xfId="0" applyNumberFormat="1" applyFont="1" applyAlignment="1">
      <alignment horizontal="center" vertical="center"/>
    </xf>
    <xf numFmtId="0" fontId="61" fillId="0" borderId="0" xfId="21"/>
    <xf numFmtId="0" fontId="1" fillId="0" borderId="0" xfId="22"/>
    <xf numFmtId="0" fontId="1" fillId="0" borderId="0" xfId="22" applyAlignment="1">
      <alignment horizontal="center"/>
    </xf>
    <xf numFmtId="0" fontId="61" fillId="0" borderId="0" xfId="21" applyAlignment="1">
      <alignment wrapText="1"/>
    </xf>
    <xf numFmtId="0" fontId="61" fillId="35" borderId="0" xfId="22" applyFont="1" applyFill="1"/>
    <xf numFmtId="0" fontId="65" fillId="0" borderId="0" xfId="23" applyFont="1" applyFill="1" applyBorder="1" applyAlignment="1">
      <alignment horizontal="left" vertical="center"/>
    </xf>
    <xf numFmtId="0" fontId="66" fillId="0" borderId="0" xfId="22" applyFont="1" applyAlignment="1">
      <alignment horizontal="left" vertical="center"/>
    </xf>
    <xf numFmtId="0" fontId="67" fillId="0" borderId="0" xfId="22" applyFont="1" applyAlignment="1">
      <alignment vertical="center"/>
    </xf>
    <xf numFmtId="0" fontId="68" fillId="0" borderId="0" xfId="22" applyFont="1" applyAlignment="1">
      <alignment horizontal="center" vertical="center"/>
    </xf>
    <xf numFmtId="0" fontId="68" fillId="0" borderId="0" xfId="22" applyFont="1" applyAlignment="1">
      <alignment vertical="center"/>
    </xf>
    <xf numFmtId="0" fontId="1" fillId="0" borderId="0" xfId="22" applyAlignment="1">
      <alignment vertical="center"/>
    </xf>
    <xf numFmtId="0" fontId="36" fillId="0" borderId="0" xfId="24" applyFont="1" applyFill="1" applyAlignment="1">
      <alignment horizontal="left" vertical="center" indent="2"/>
    </xf>
    <xf numFmtId="0" fontId="68" fillId="0" borderId="0" xfId="24" applyFont="1" applyFill="1" applyAlignment="1">
      <alignment horizontal="left" vertical="center" indent="2"/>
    </xf>
    <xf numFmtId="0" fontId="67" fillId="0" borderId="0" xfId="22" applyFont="1" applyAlignment="1">
      <alignment horizontal="left" vertical="center" indent="2"/>
    </xf>
    <xf numFmtId="0" fontId="67" fillId="0" borderId="0" xfId="22" applyFont="1"/>
    <xf numFmtId="0" fontId="67" fillId="0" borderId="0" xfId="22" applyFont="1" applyAlignment="1">
      <alignment horizontal="center"/>
    </xf>
    <xf numFmtId="0" fontId="67" fillId="0" borderId="0" xfId="22" applyFont="1" applyAlignment="1">
      <alignment horizontal="right" vertical="center"/>
    </xf>
    <xf numFmtId="0" fontId="36" fillId="0" borderId="0" xfId="22" applyFont="1" applyAlignment="1">
      <alignment horizontal="left" vertical="center" indent="2"/>
    </xf>
    <xf numFmtId="0" fontId="67" fillId="0" borderId="0" xfId="25" applyFont="1" applyFill="1" applyAlignment="1">
      <alignment horizontal="left" vertical="center" indent="2"/>
    </xf>
    <xf numFmtId="14" fontId="67" fillId="0" borderId="0" xfId="26" applyFont="1" applyFill="1" applyBorder="1" applyAlignment="1">
      <alignment horizontal="left" vertical="center"/>
    </xf>
    <xf numFmtId="0" fontId="36" fillId="0" borderId="0" xfId="22" applyFont="1" applyAlignment="1">
      <alignment vertical="center"/>
    </xf>
    <xf numFmtId="0" fontId="67" fillId="0" borderId="0" xfId="22" applyFont="1" applyAlignment="1">
      <alignment horizontal="left" vertical="center"/>
    </xf>
    <xf numFmtId="166" fontId="56" fillId="0" borderId="0" xfId="22" applyNumberFormat="1" applyFont="1" applyAlignment="1">
      <alignment horizontal="center" vertical="center"/>
    </xf>
    <xf numFmtId="0" fontId="56" fillId="0" borderId="0" xfId="22" applyFont="1" applyAlignment="1">
      <alignment horizontal="center" vertical="center" shrinkToFit="1"/>
    </xf>
    <xf numFmtId="0" fontId="27" fillId="35" borderId="0" xfId="22" applyFont="1" applyFill="1" applyAlignment="1">
      <alignment horizontal="left" vertical="center" indent="1"/>
    </xf>
    <xf numFmtId="0" fontId="27" fillId="35" borderId="0" xfId="22" applyFont="1" applyFill="1" applyAlignment="1">
      <alignment horizontal="center" vertical="center" wrapText="1"/>
    </xf>
    <xf numFmtId="0" fontId="72" fillId="0" borderId="127" xfId="22" applyFont="1" applyBorder="1" applyAlignment="1">
      <alignment horizontal="center" vertical="center" wrapText="1"/>
    </xf>
    <xf numFmtId="0" fontId="56" fillId="3" borderId="128" xfId="22" applyFont="1" applyFill="1" applyBorder="1" applyAlignment="1">
      <alignment horizontal="center" vertical="center" shrinkToFit="1"/>
    </xf>
    <xf numFmtId="0" fontId="56" fillId="3" borderId="129" xfId="22" applyFont="1" applyFill="1" applyBorder="1" applyAlignment="1">
      <alignment horizontal="center" vertical="center" shrinkToFit="1"/>
    </xf>
    <xf numFmtId="0" fontId="1" fillId="0" borderId="0" xfId="22" applyAlignment="1">
      <alignment horizontal="left" wrapText="1" indent="2"/>
    </xf>
    <xf numFmtId="9" fontId="0" fillId="0" borderId="0" xfId="27" applyFont="1" applyFill="1" applyBorder="1">
      <alignment horizontal="center" vertical="center"/>
    </xf>
    <xf numFmtId="0" fontId="1" fillId="0" borderId="0" xfId="22" applyAlignment="1">
      <alignment horizontal="center" vertical="center" wrapText="1"/>
    </xf>
    <xf numFmtId="14" fontId="0" fillId="0" borderId="0" xfId="26" applyFont="1" applyFill="1" applyBorder="1">
      <alignment horizontal="center" vertical="center"/>
    </xf>
    <xf numFmtId="167" fontId="0" fillId="0" borderId="0" xfId="28" applyFont="1" applyFill="1" applyBorder="1">
      <alignment horizontal="center" vertical="center"/>
    </xf>
    <xf numFmtId="0" fontId="1" fillId="0" borderId="130" xfId="22" applyBorder="1" applyAlignment="1">
      <alignment vertical="center"/>
    </xf>
    <xf numFmtId="0" fontId="1" fillId="0" borderId="131" xfId="22" applyBorder="1" applyAlignment="1">
      <alignment vertical="center"/>
    </xf>
    <xf numFmtId="0" fontId="58" fillId="0" borderId="0" xfId="22" applyFont="1" applyAlignment="1">
      <alignment horizontal="left" vertical="center" wrapText="1" indent="1"/>
    </xf>
    <xf numFmtId="0" fontId="56" fillId="0" borderId="0" xfId="22" applyFont="1" applyAlignment="1">
      <alignment horizontal="center" vertical="center"/>
    </xf>
    <xf numFmtId="9" fontId="58" fillId="0" borderId="0" xfId="27" applyFont="1" applyFill="1" applyBorder="1">
      <alignment horizontal="center" vertical="center"/>
    </xf>
    <xf numFmtId="14" fontId="56" fillId="0" borderId="0" xfId="26" applyFont="1" applyFill="1" applyBorder="1">
      <alignment horizontal="center" vertical="center"/>
    </xf>
    <xf numFmtId="167" fontId="56" fillId="0" borderId="0" xfId="28" applyFont="1" applyFill="1" applyBorder="1">
      <alignment horizontal="center" vertical="center"/>
    </xf>
    <xf numFmtId="0" fontId="67" fillId="0" borderId="0" xfId="22" applyFont="1" applyAlignment="1">
      <alignment horizontal="center" vertical="center"/>
    </xf>
    <xf numFmtId="0" fontId="1" fillId="0" borderId="132" xfId="22" applyBorder="1" applyAlignment="1">
      <alignment horizontal="center" vertical="center"/>
    </xf>
    <xf numFmtId="0" fontId="1" fillId="0" borderId="0" xfId="22" applyAlignment="1">
      <alignment horizontal="center" vertical="center"/>
    </xf>
    <xf numFmtId="0" fontId="56" fillId="0" borderId="0" xfId="22" applyFont="1" applyAlignment="1">
      <alignment horizontal="left" vertical="center" wrapText="1" indent="2"/>
    </xf>
    <xf numFmtId="0" fontId="1" fillId="9" borderId="132" xfId="22" applyFill="1" applyBorder="1" applyAlignment="1">
      <alignment horizontal="center" vertical="center"/>
    </xf>
    <xf numFmtId="0" fontId="1" fillId="0" borderId="0" xfId="22" applyAlignment="1">
      <alignment horizontal="right" vertical="center"/>
    </xf>
    <xf numFmtId="0" fontId="61" fillId="9" borderId="132" xfId="22" applyFont="1" applyFill="1" applyBorder="1" applyAlignment="1">
      <alignment horizontal="center" vertical="center"/>
    </xf>
    <xf numFmtId="0" fontId="70" fillId="39" borderId="0" xfId="22" applyFont="1" applyFill="1" applyAlignment="1">
      <alignment horizontal="center" vertical="center"/>
    </xf>
    <xf numFmtId="0" fontId="71" fillId="40" borderId="0" xfId="22" applyFont="1" applyFill="1" applyAlignment="1">
      <alignment horizontal="center" vertical="center"/>
    </xf>
    <xf numFmtId="0" fontId="36" fillId="0" borderId="114" xfId="22" applyFont="1" applyBorder="1" applyAlignment="1">
      <alignment horizontal="center" vertical="center"/>
    </xf>
    <xf numFmtId="0" fontId="36" fillId="0" borderId="51" xfId="22" applyFont="1" applyBorder="1" applyAlignment="1">
      <alignment horizontal="center" vertical="center"/>
    </xf>
    <xf numFmtId="0" fontId="36" fillId="0" borderId="112" xfId="22" applyFont="1" applyBorder="1" applyAlignment="1">
      <alignment horizontal="center" vertical="center"/>
    </xf>
    <xf numFmtId="0" fontId="63" fillId="35" borderId="0" xfId="23" applyFont="1" applyFill="1" applyAlignment="1">
      <alignment horizontal="left" vertical="center" indent="1"/>
    </xf>
    <xf numFmtId="0" fontId="64" fillId="35" borderId="0" xfId="22" applyFont="1" applyFill="1" applyAlignment="1">
      <alignment horizontal="center" vertical="center"/>
    </xf>
    <xf numFmtId="0" fontId="61" fillId="35" borderId="0" xfId="22" applyFont="1" applyFill="1" applyAlignment="1">
      <alignment horizontal="center" vertical="center"/>
    </xf>
    <xf numFmtId="0" fontId="70" fillId="36" borderId="0" xfId="20" applyFont="1" applyFill="1" applyAlignment="1">
      <alignment horizontal="center" vertical="center"/>
    </xf>
    <xf numFmtId="0" fontId="70" fillId="37" borderId="0" xfId="22" applyFont="1" applyFill="1" applyAlignment="1">
      <alignment horizontal="center" vertical="center"/>
    </xf>
    <xf numFmtId="0" fontId="70" fillId="38" borderId="0" xfId="22" applyFont="1" applyFill="1" applyAlignment="1">
      <alignment horizontal="center" vertical="center"/>
    </xf>
    <xf numFmtId="0" fontId="5" fillId="32" borderId="1" xfId="0" applyFont="1" applyFill="1" applyBorder="1" applyAlignment="1">
      <alignment horizontal="center" vertical="center" wrapText="1"/>
    </xf>
    <xf numFmtId="0" fontId="5" fillId="32" borderId="2" xfId="0" applyFont="1" applyFill="1" applyBorder="1" applyAlignment="1">
      <alignment horizontal="center" vertical="center" wrapText="1"/>
    </xf>
    <xf numFmtId="0" fontId="5" fillId="32" borderId="9" xfId="0" applyFont="1" applyFill="1" applyBorder="1" applyAlignment="1">
      <alignment horizontal="center" vertical="center" wrapText="1"/>
    </xf>
    <xf numFmtId="0" fontId="5" fillId="32" borderId="1" xfId="0" applyFont="1" applyFill="1" applyBorder="1" applyAlignment="1">
      <alignment horizontal="center" vertical="center"/>
    </xf>
    <xf numFmtId="0" fontId="5" fillId="32" borderId="2" xfId="0" applyFont="1" applyFill="1" applyBorder="1" applyAlignment="1">
      <alignment horizontal="center" vertical="center"/>
    </xf>
    <xf numFmtId="0" fontId="5" fillId="32" borderId="9" xfId="0" applyFont="1" applyFill="1" applyBorder="1" applyAlignment="1">
      <alignment horizontal="center" vertical="center"/>
    </xf>
    <xf numFmtId="0" fontId="5" fillId="32" borderId="53" xfId="0" applyFont="1" applyFill="1" applyBorder="1" applyAlignment="1">
      <alignment horizontal="center" vertical="center" wrapText="1"/>
    </xf>
    <xf numFmtId="0" fontId="5" fillId="32" borderId="39"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9" fontId="48" fillId="0" borderId="118" xfId="0" applyNumberFormat="1" applyFont="1" applyBorder="1" applyAlignment="1">
      <alignment horizontal="center" vertical="center"/>
    </xf>
    <xf numFmtId="9" fontId="48" fillId="0" borderId="9" xfId="0" applyNumberFormat="1" applyFont="1" applyBorder="1" applyAlignment="1">
      <alignment horizontal="center" vertical="center"/>
    </xf>
    <xf numFmtId="9" fontId="5" fillId="0" borderId="1" xfId="0" applyNumberFormat="1" applyFont="1" applyBorder="1" applyAlignment="1">
      <alignment horizontal="center"/>
    </xf>
    <xf numFmtId="9" fontId="5" fillId="0" borderId="2" xfId="0" applyNumberFormat="1" applyFont="1" applyBorder="1" applyAlignment="1">
      <alignment horizontal="center"/>
    </xf>
    <xf numFmtId="9" fontId="5" fillId="0" borderId="9" xfId="0" applyNumberFormat="1" applyFont="1" applyBorder="1" applyAlignment="1">
      <alignment horizontal="center"/>
    </xf>
    <xf numFmtId="0" fontId="5" fillId="32" borderId="78" xfId="0" applyFont="1" applyFill="1" applyBorder="1" applyAlignment="1">
      <alignment horizontal="center" vertical="center" wrapText="1"/>
    </xf>
    <xf numFmtId="9" fontId="5" fillId="0" borderId="53" xfId="0" applyNumberFormat="1" applyFont="1" applyBorder="1" applyAlignment="1">
      <alignment horizontal="center" vertical="center" wrapText="1"/>
    </xf>
    <xf numFmtId="9" fontId="5" fillId="0" borderId="78" xfId="0" applyNumberFormat="1" applyFont="1" applyBorder="1" applyAlignment="1">
      <alignment horizontal="center" vertical="center" wrapText="1"/>
    </xf>
    <xf numFmtId="9" fontId="5" fillId="0" borderId="39" xfId="0" applyNumberFormat="1" applyFont="1" applyBorder="1" applyAlignment="1">
      <alignment horizontal="center" vertical="center" wrapText="1"/>
    </xf>
    <xf numFmtId="0" fontId="53" fillId="32" borderId="26" xfId="0" applyFont="1" applyFill="1" applyBorder="1" applyAlignment="1">
      <alignment horizontal="center" vertical="center" wrapText="1"/>
    </xf>
    <xf numFmtId="0" fontId="53" fillId="32" borderId="3" xfId="0" applyFont="1" applyFill="1" applyBorder="1" applyAlignment="1">
      <alignment horizontal="center" vertical="center" wrapText="1"/>
    </xf>
    <xf numFmtId="0" fontId="53" fillId="32" borderId="63" xfId="0" applyFont="1" applyFill="1" applyBorder="1" applyAlignment="1">
      <alignment horizontal="center" vertical="center" wrapText="1"/>
    </xf>
    <xf numFmtId="0" fontId="53" fillId="32" borderId="89" xfId="0" applyFont="1" applyFill="1" applyBorder="1" applyAlignment="1">
      <alignment horizontal="center" vertical="center" wrapText="1"/>
    </xf>
    <xf numFmtId="0" fontId="53" fillId="32" borderId="0" xfId="0" applyFont="1" applyFill="1" applyAlignment="1">
      <alignment horizontal="center" vertical="center" wrapText="1"/>
    </xf>
    <xf numFmtId="0" fontId="53" fillId="32" borderId="68" xfId="0" applyFont="1" applyFill="1" applyBorder="1" applyAlignment="1">
      <alignment horizontal="center" vertical="center" wrapText="1"/>
    </xf>
    <xf numFmtId="0" fontId="53" fillId="32" borderId="90" xfId="0" applyFont="1" applyFill="1" applyBorder="1" applyAlignment="1">
      <alignment horizontal="center" vertical="center" wrapText="1"/>
    </xf>
    <xf numFmtId="0" fontId="53" fillId="32" borderId="6" xfId="0" applyFont="1" applyFill="1" applyBorder="1" applyAlignment="1">
      <alignment horizontal="center" vertical="center" wrapText="1"/>
    </xf>
    <xf numFmtId="0" fontId="53" fillId="32" borderId="79"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1" fontId="5" fillId="0" borderId="3" xfId="0" applyNumberFormat="1" applyFont="1" applyBorder="1" applyAlignment="1">
      <alignment horizontal="center" vertical="center" wrapText="1"/>
    </xf>
    <xf numFmtId="1" fontId="5" fillId="0" borderId="6" xfId="0" applyNumberFormat="1" applyFont="1" applyBorder="1" applyAlignment="1">
      <alignment horizontal="center" vertical="center" wrapText="1"/>
    </xf>
    <xf numFmtId="0" fontId="8" fillId="31" borderId="1" xfId="0" applyFont="1" applyFill="1" applyBorder="1" applyAlignment="1">
      <alignment horizontal="center" vertical="center" wrapText="1"/>
    </xf>
    <xf numFmtId="0" fontId="8" fillId="31" borderId="2" xfId="0" applyFont="1" applyFill="1" applyBorder="1" applyAlignment="1">
      <alignment horizontal="center" vertical="center" wrapText="1"/>
    </xf>
    <xf numFmtId="0" fontId="8" fillId="31" borderId="9" xfId="0" applyFont="1" applyFill="1" applyBorder="1" applyAlignment="1">
      <alignment horizontal="center" vertical="center" wrapText="1"/>
    </xf>
    <xf numFmtId="0" fontId="5" fillId="31" borderId="53" xfId="0" applyFont="1" applyFill="1" applyBorder="1" applyAlignment="1">
      <alignment horizontal="center" vertical="center" wrapText="1"/>
    </xf>
    <xf numFmtId="0" fontId="5" fillId="31" borderId="39" xfId="0" applyFont="1" applyFill="1" applyBorder="1" applyAlignment="1">
      <alignment horizontal="center" vertical="center" wrapText="1"/>
    </xf>
    <xf numFmtId="0" fontId="5" fillId="31" borderId="78" xfId="0" applyFont="1" applyFill="1" applyBorder="1" applyAlignment="1">
      <alignment horizontal="center" vertical="center" wrapText="1"/>
    </xf>
    <xf numFmtId="9" fontId="48" fillId="0" borderId="4" xfId="0" applyNumberFormat="1" applyFont="1" applyBorder="1" applyAlignment="1">
      <alignment horizontal="center" vertical="center"/>
    </xf>
    <xf numFmtId="9" fontId="48" fillId="0" borderId="7" xfId="0" applyNumberFormat="1" applyFont="1" applyBorder="1" applyAlignment="1">
      <alignment horizontal="center" vertical="center"/>
    </xf>
    <xf numFmtId="0" fontId="53" fillId="31" borderId="26" xfId="0" applyFont="1" applyFill="1" applyBorder="1" applyAlignment="1">
      <alignment horizontal="center" vertical="center" wrapText="1"/>
    </xf>
    <xf numFmtId="0" fontId="53" fillId="31" borderId="3" xfId="0" applyFont="1" applyFill="1" applyBorder="1" applyAlignment="1">
      <alignment horizontal="center" vertical="center" wrapText="1"/>
    </xf>
    <xf numFmtId="0" fontId="53" fillId="31" borderId="63" xfId="0" applyFont="1" applyFill="1" applyBorder="1" applyAlignment="1">
      <alignment horizontal="center" vertical="center" wrapText="1"/>
    </xf>
    <xf numFmtId="0" fontId="53" fillId="31" borderId="89" xfId="0" applyFont="1" applyFill="1" applyBorder="1" applyAlignment="1">
      <alignment horizontal="center" vertical="center" wrapText="1"/>
    </xf>
    <xf numFmtId="0" fontId="53" fillId="31" borderId="0" xfId="0" applyFont="1" applyFill="1" applyAlignment="1">
      <alignment horizontal="center" vertical="center" wrapText="1"/>
    </xf>
    <xf numFmtId="0" fontId="53" fillId="31" borderId="68" xfId="0" applyFont="1" applyFill="1" applyBorder="1" applyAlignment="1">
      <alignment horizontal="center" vertical="center" wrapText="1"/>
    </xf>
    <xf numFmtId="0" fontId="53" fillId="31" borderId="90" xfId="0" applyFont="1" applyFill="1" applyBorder="1" applyAlignment="1">
      <alignment horizontal="center" vertical="center" wrapText="1"/>
    </xf>
    <xf numFmtId="0" fontId="53" fillId="31" borderId="6" xfId="0" applyFont="1" applyFill="1" applyBorder="1" applyAlignment="1">
      <alignment horizontal="center" vertical="center" wrapText="1"/>
    </xf>
    <xf numFmtId="0" fontId="53" fillId="31" borderId="79" xfId="0" applyFont="1" applyFill="1" applyBorder="1" applyAlignment="1">
      <alignment horizontal="center" vertical="center" wrapText="1"/>
    </xf>
    <xf numFmtId="0" fontId="8" fillId="31" borderId="1" xfId="0" applyFont="1" applyFill="1" applyBorder="1" applyAlignment="1">
      <alignment horizontal="center" vertical="center"/>
    </xf>
    <xf numFmtId="0" fontId="8" fillId="31" borderId="2" xfId="0" applyFont="1" applyFill="1" applyBorder="1" applyAlignment="1">
      <alignment horizontal="center" vertical="center"/>
    </xf>
    <xf numFmtId="0" fontId="8" fillId="31" borderId="9" xfId="0" applyFont="1" applyFill="1" applyBorder="1" applyAlignment="1">
      <alignment horizontal="center" vertical="center"/>
    </xf>
    <xf numFmtId="0" fontId="8" fillId="30" borderId="1" xfId="0" applyFont="1" applyFill="1" applyBorder="1" applyAlignment="1">
      <alignment horizontal="center" vertical="center" wrapText="1"/>
    </xf>
    <xf numFmtId="0" fontId="8" fillId="30" borderId="2" xfId="0" applyFont="1" applyFill="1" applyBorder="1" applyAlignment="1">
      <alignment horizontal="center" vertical="center" wrapText="1"/>
    </xf>
    <xf numFmtId="0" fontId="8" fillId="30" borderId="9" xfId="0" applyFont="1" applyFill="1" applyBorder="1" applyAlignment="1">
      <alignment horizontal="center" vertical="center" wrapText="1"/>
    </xf>
    <xf numFmtId="0" fontId="8" fillId="30" borderId="1" xfId="0" applyFont="1" applyFill="1" applyBorder="1" applyAlignment="1">
      <alignment horizontal="center" vertical="center"/>
    </xf>
    <xf numFmtId="0" fontId="8" fillId="30" borderId="2" xfId="0" applyFont="1" applyFill="1" applyBorder="1" applyAlignment="1">
      <alignment horizontal="center" vertical="center"/>
    </xf>
    <xf numFmtId="0" fontId="8" fillId="30" borderId="9" xfId="0" applyFont="1" applyFill="1" applyBorder="1" applyAlignment="1">
      <alignment horizontal="center" vertical="center"/>
    </xf>
    <xf numFmtId="0" fontId="5" fillId="30" borderId="53" xfId="0" applyFont="1" applyFill="1" applyBorder="1" applyAlignment="1">
      <alignment horizontal="center" vertical="center" wrapText="1"/>
    </xf>
    <xf numFmtId="0" fontId="5" fillId="30" borderId="39" xfId="0" applyFont="1" applyFill="1" applyBorder="1" applyAlignment="1">
      <alignment horizontal="center" vertical="center" wrapText="1"/>
    </xf>
    <xf numFmtId="9" fontId="59" fillId="0" borderId="1" xfId="0" applyNumberFormat="1" applyFont="1" applyBorder="1" applyAlignment="1">
      <alignment horizontal="center"/>
    </xf>
    <xf numFmtId="9" fontId="59" fillId="0" borderId="2" xfId="0" applyNumberFormat="1" applyFont="1" applyBorder="1" applyAlignment="1">
      <alignment horizontal="center"/>
    </xf>
    <xf numFmtId="9" fontId="59" fillId="0" borderId="9" xfId="0" applyNumberFormat="1" applyFont="1" applyBorder="1" applyAlignment="1">
      <alignment horizontal="center"/>
    </xf>
    <xf numFmtId="0" fontId="5" fillId="30" borderId="78" xfId="0" applyFont="1" applyFill="1" applyBorder="1" applyAlignment="1">
      <alignment horizontal="center" vertical="center" wrapText="1"/>
    </xf>
    <xf numFmtId="0" fontId="53" fillId="30" borderId="26" xfId="0" applyFont="1" applyFill="1" applyBorder="1" applyAlignment="1">
      <alignment horizontal="center" vertical="center" wrapText="1"/>
    </xf>
    <xf numFmtId="0" fontId="53" fillId="30" borderId="3" xfId="0" applyFont="1" applyFill="1" applyBorder="1" applyAlignment="1">
      <alignment horizontal="center" vertical="center" wrapText="1"/>
    </xf>
    <xf numFmtId="0" fontId="53" fillId="30" borderId="63" xfId="0" applyFont="1" applyFill="1" applyBorder="1" applyAlignment="1">
      <alignment horizontal="center" vertical="center" wrapText="1"/>
    </xf>
    <xf numFmtId="0" fontId="53" fillId="30" borderId="89" xfId="0" applyFont="1" applyFill="1" applyBorder="1" applyAlignment="1">
      <alignment horizontal="center" vertical="center" wrapText="1"/>
    </xf>
    <xf numFmtId="0" fontId="53" fillId="30" borderId="0" xfId="0" applyFont="1" applyFill="1" applyAlignment="1">
      <alignment horizontal="center" vertical="center" wrapText="1"/>
    </xf>
    <xf numFmtId="0" fontId="53" fillId="30" borderId="68" xfId="0" applyFont="1" applyFill="1" applyBorder="1" applyAlignment="1">
      <alignment horizontal="center" vertical="center" wrapText="1"/>
    </xf>
    <xf numFmtId="0" fontId="53" fillId="30" borderId="90" xfId="0" applyFont="1" applyFill="1" applyBorder="1" applyAlignment="1">
      <alignment horizontal="center" vertical="center" wrapText="1"/>
    </xf>
    <xf numFmtId="0" fontId="53" fillId="30" borderId="6" xfId="0" applyFont="1" applyFill="1" applyBorder="1" applyAlignment="1">
      <alignment horizontal="center" vertical="center" wrapText="1"/>
    </xf>
    <xf numFmtId="0" fontId="53" fillId="30" borderId="79" xfId="0" applyFont="1" applyFill="1" applyBorder="1" applyAlignment="1">
      <alignment horizontal="center" vertical="center" wrapText="1"/>
    </xf>
    <xf numFmtId="0" fontId="5" fillId="0" borderId="9" xfId="0" applyFont="1" applyBorder="1" applyAlignment="1">
      <alignment horizontal="center" vertical="center" wrapText="1"/>
    </xf>
    <xf numFmtId="0" fontId="19" fillId="2" borderId="1" xfId="0" applyFont="1" applyFill="1" applyBorder="1" applyAlignment="1">
      <alignment horizontal="center"/>
    </xf>
    <xf numFmtId="0" fontId="19" fillId="2" borderId="9" xfId="0" applyFont="1" applyFill="1" applyBorder="1" applyAlignment="1">
      <alignment horizontal="center"/>
    </xf>
    <xf numFmtId="0" fontId="19" fillId="7" borderId="1" xfId="0" applyFont="1" applyFill="1" applyBorder="1" applyAlignment="1">
      <alignment horizontal="center" vertical="center" wrapText="1"/>
    </xf>
    <xf numFmtId="0" fontId="19" fillId="7" borderId="2" xfId="0" applyFont="1" applyFill="1" applyBorder="1" applyAlignment="1">
      <alignment horizontal="center" vertical="center" wrapText="1"/>
    </xf>
    <xf numFmtId="0" fontId="40" fillId="10" borderId="0" xfId="0" applyFont="1" applyFill="1" applyAlignment="1">
      <alignment horizontal="center"/>
    </xf>
    <xf numFmtId="0" fontId="7" fillId="0" borderId="26" xfId="4" applyBorder="1" applyAlignment="1">
      <alignment horizontal="center"/>
    </xf>
    <xf numFmtId="0" fontId="7" fillId="0" borderId="3" xfId="4" applyBorder="1" applyAlignment="1">
      <alignment horizontal="center"/>
    </xf>
    <xf numFmtId="0" fontId="7" fillId="0" borderId="63" xfId="4" applyBorder="1" applyAlignment="1">
      <alignment horizontal="center"/>
    </xf>
    <xf numFmtId="0" fontId="7" fillId="0" borderId="90" xfId="4" applyBorder="1" applyAlignment="1">
      <alignment horizontal="center"/>
    </xf>
    <xf numFmtId="0" fontId="7" fillId="0" borderId="6" xfId="4" applyBorder="1" applyAlignment="1">
      <alignment horizontal="center"/>
    </xf>
    <xf numFmtId="0" fontId="7" fillId="0" borderId="79" xfId="4" applyBorder="1" applyAlignment="1">
      <alignment horizontal="center"/>
    </xf>
    <xf numFmtId="0" fontId="20" fillId="10" borderId="1" xfId="0" applyFont="1" applyFill="1" applyBorder="1" applyAlignment="1">
      <alignment horizontal="center" vertical="center" textRotation="71" wrapText="1"/>
    </xf>
    <xf numFmtId="0" fontId="20" fillId="10" borderId="2" xfId="0" applyFont="1" applyFill="1" applyBorder="1" applyAlignment="1">
      <alignment horizontal="center" vertical="center" textRotation="71" wrapText="1"/>
    </xf>
    <xf numFmtId="0" fontId="20" fillId="10" borderId="9" xfId="0" applyFont="1" applyFill="1" applyBorder="1" applyAlignment="1">
      <alignment horizontal="center" vertical="center" textRotation="71" wrapText="1"/>
    </xf>
    <xf numFmtId="0" fontId="4" fillId="0" borderId="0" xfId="0" applyFont="1" applyAlignment="1">
      <alignment horizontal="center"/>
    </xf>
    <xf numFmtId="0" fontId="18" fillId="11" borderId="1" xfId="0" applyFont="1" applyFill="1" applyBorder="1" applyAlignment="1">
      <alignment horizontal="center" vertical="center"/>
    </xf>
    <xf numFmtId="0" fontId="18" fillId="11" borderId="2" xfId="0" applyFont="1" applyFill="1" applyBorder="1" applyAlignment="1">
      <alignment horizontal="center" vertical="center"/>
    </xf>
    <xf numFmtId="0" fontId="20" fillId="10" borderId="75" xfId="0" applyFont="1" applyFill="1" applyBorder="1" applyAlignment="1">
      <alignment horizontal="center" vertical="center" textRotation="71" wrapText="1"/>
    </xf>
    <xf numFmtId="0" fontId="20" fillId="10" borderId="76" xfId="0" applyFont="1" applyFill="1" applyBorder="1" applyAlignment="1">
      <alignment horizontal="center" vertical="center" textRotation="71" wrapText="1"/>
    </xf>
    <xf numFmtId="0" fontId="20" fillId="10" borderId="77" xfId="0" applyFont="1" applyFill="1" applyBorder="1" applyAlignment="1">
      <alignment horizontal="center" vertical="center" textRotation="71" wrapText="1"/>
    </xf>
    <xf numFmtId="0" fontId="51" fillId="14" borderId="26" xfId="0" applyFont="1" applyFill="1" applyBorder="1" applyAlignment="1">
      <alignment horizontal="center" vertical="center" wrapText="1"/>
    </xf>
    <xf numFmtId="0" fontId="51" fillId="14" borderId="3" xfId="0" applyFont="1" applyFill="1" applyBorder="1" applyAlignment="1">
      <alignment horizontal="center" vertical="center" wrapText="1"/>
    </xf>
    <xf numFmtId="0" fontId="51" fillId="14" borderId="63" xfId="0" applyFont="1" applyFill="1" applyBorder="1" applyAlignment="1">
      <alignment horizontal="center" vertical="center" wrapText="1"/>
    </xf>
    <xf numFmtId="0" fontId="51" fillId="14" borderId="89" xfId="0" applyFont="1" applyFill="1" applyBorder="1" applyAlignment="1">
      <alignment horizontal="center" vertical="center" wrapText="1"/>
    </xf>
    <xf numFmtId="0" fontId="51" fillId="14" borderId="0" xfId="0" applyFont="1" applyFill="1" applyAlignment="1">
      <alignment horizontal="center" vertical="center" wrapText="1"/>
    </xf>
    <xf numFmtId="0" fontId="51" fillId="14" borderId="68" xfId="0" applyFont="1" applyFill="1" applyBorder="1" applyAlignment="1">
      <alignment horizontal="center" vertical="center" wrapText="1"/>
    </xf>
    <xf numFmtId="0" fontId="5" fillId="29" borderId="53" xfId="0" applyFont="1" applyFill="1" applyBorder="1" applyAlignment="1">
      <alignment horizontal="center" vertical="center" wrapText="1"/>
    </xf>
    <xf numFmtId="0" fontId="5" fillId="29" borderId="39" xfId="0" applyFont="1" applyFill="1" applyBorder="1" applyAlignment="1">
      <alignment horizontal="center" vertical="center" wrapText="1"/>
    </xf>
    <xf numFmtId="0" fontId="5" fillId="29" borderId="78" xfId="0" applyFont="1" applyFill="1" applyBorder="1" applyAlignment="1">
      <alignment horizontal="center" vertical="center" wrapText="1"/>
    </xf>
    <xf numFmtId="0" fontId="8" fillId="29" borderId="1" xfId="0" applyFont="1" applyFill="1" applyBorder="1" applyAlignment="1">
      <alignment horizontal="center" vertical="center" wrapText="1"/>
    </xf>
    <xf numFmtId="0" fontId="8" fillId="29" borderId="2" xfId="0" applyFont="1" applyFill="1" applyBorder="1" applyAlignment="1">
      <alignment horizontal="center" vertical="center" wrapText="1"/>
    </xf>
    <xf numFmtId="0" fontId="8" fillId="29" borderId="9" xfId="0" applyFont="1" applyFill="1" applyBorder="1" applyAlignment="1">
      <alignment horizontal="center" vertical="center" wrapText="1"/>
    </xf>
    <xf numFmtId="0" fontId="8" fillId="29" borderId="1" xfId="0" applyFont="1" applyFill="1" applyBorder="1" applyAlignment="1">
      <alignment horizontal="center" vertical="center"/>
    </xf>
    <xf numFmtId="0" fontId="8" fillId="29" borderId="2" xfId="0" applyFont="1" applyFill="1" applyBorder="1" applyAlignment="1">
      <alignment horizontal="center" vertical="center"/>
    </xf>
    <xf numFmtId="0" fontId="8" fillId="29" borderId="9" xfId="0" applyFont="1" applyFill="1" applyBorder="1" applyAlignment="1">
      <alignment horizontal="center" vertical="center"/>
    </xf>
    <xf numFmtId="165" fontId="48" fillId="0" borderId="4" xfId="0" applyNumberFormat="1" applyFont="1" applyBorder="1" applyAlignment="1">
      <alignment horizontal="center" vertical="center"/>
    </xf>
    <xf numFmtId="165" fontId="48" fillId="0" borderId="7" xfId="0" applyNumberFormat="1" applyFont="1" applyBorder="1" applyAlignment="1">
      <alignment horizontal="center" vertical="center"/>
    </xf>
    <xf numFmtId="0" fontId="53" fillId="29" borderId="26" xfId="0" applyFont="1" applyFill="1" applyBorder="1" applyAlignment="1">
      <alignment horizontal="center" vertical="center" wrapText="1"/>
    </xf>
    <xf numFmtId="0" fontId="53" fillId="29" borderId="3" xfId="0" applyFont="1" applyFill="1" applyBorder="1" applyAlignment="1">
      <alignment horizontal="center" vertical="center" wrapText="1"/>
    </xf>
    <xf numFmtId="0" fontId="53" fillId="29" borderId="63" xfId="0" applyFont="1" applyFill="1" applyBorder="1" applyAlignment="1">
      <alignment horizontal="center" vertical="center" wrapText="1"/>
    </xf>
    <xf numFmtId="0" fontId="53" fillId="29" borderId="89" xfId="0" applyFont="1" applyFill="1" applyBorder="1" applyAlignment="1">
      <alignment horizontal="center" vertical="center" wrapText="1"/>
    </xf>
    <xf numFmtId="0" fontId="53" fillId="29" borderId="0" xfId="0" applyFont="1" applyFill="1" applyAlignment="1">
      <alignment horizontal="center" vertical="center" wrapText="1"/>
    </xf>
    <xf numFmtId="0" fontId="53" fillId="29" borderId="68" xfId="0" applyFont="1" applyFill="1" applyBorder="1" applyAlignment="1">
      <alignment horizontal="center" vertical="center" wrapText="1"/>
    </xf>
    <xf numFmtId="0" fontId="53" fillId="29" borderId="90" xfId="0" applyFont="1" applyFill="1" applyBorder="1" applyAlignment="1">
      <alignment horizontal="center" vertical="center" wrapText="1"/>
    </xf>
    <xf numFmtId="0" fontId="53" fillId="29" borderId="6" xfId="0" applyFont="1" applyFill="1" applyBorder="1" applyAlignment="1">
      <alignment horizontal="center" vertical="center" wrapText="1"/>
    </xf>
    <xf numFmtId="0" fontId="53" fillId="29" borderId="79" xfId="0" applyFont="1" applyFill="1" applyBorder="1" applyAlignment="1">
      <alignment horizontal="center" vertical="center" wrapText="1"/>
    </xf>
    <xf numFmtId="9" fontId="5" fillId="0" borderId="122" xfId="0" applyNumberFormat="1" applyFont="1" applyBorder="1" applyAlignment="1">
      <alignment horizontal="center" vertical="center" wrapText="1"/>
    </xf>
    <xf numFmtId="9" fontId="5" fillId="0" borderId="123" xfId="0" applyNumberFormat="1" applyFont="1" applyBorder="1" applyAlignment="1">
      <alignment horizontal="center" vertical="center" wrapText="1"/>
    </xf>
    <xf numFmtId="0" fontId="5" fillId="0" borderId="25" xfId="4" applyFont="1" applyBorder="1" applyAlignment="1">
      <alignment horizontal="center" vertical="center"/>
    </xf>
    <xf numFmtId="0" fontId="5" fillId="0" borderId="116" xfId="4" applyFont="1" applyBorder="1" applyAlignment="1">
      <alignment horizontal="center" vertical="center"/>
    </xf>
    <xf numFmtId="0" fontId="5" fillId="0" borderId="115" xfId="0" applyFont="1" applyBorder="1" applyAlignment="1">
      <alignment horizontal="center" vertical="center"/>
    </xf>
    <xf numFmtId="0" fontId="5" fillId="0" borderId="126" xfId="0" applyFont="1" applyBorder="1" applyAlignment="1">
      <alignment horizontal="center" vertical="center"/>
    </xf>
    <xf numFmtId="0" fontId="56" fillId="31" borderId="1" xfId="0" applyFont="1" applyFill="1" applyBorder="1" applyAlignment="1">
      <alignment horizontal="center" vertical="center" textRotation="71" wrapText="1"/>
    </xf>
    <xf numFmtId="0" fontId="56" fillId="31" borderId="2" xfId="0" applyFont="1" applyFill="1" applyBorder="1" applyAlignment="1">
      <alignment horizontal="center" vertical="center" textRotation="71" wrapText="1"/>
    </xf>
    <xf numFmtId="0" fontId="56" fillId="31" borderId="9" xfId="0" applyFont="1" applyFill="1" applyBorder="1" applyAlignment="1">
      <alignment horizontal="center" vertical="center" textRotation="71" wrapText="1"/>
    </xf>
    <xf numFmtId="0" fontId="56" fillId="32" borderId="1" xfId="0" applyFont="1" applyFill="1" applyBorder="1" applyAlignment="1">
      <alignment horizontal="center" vertical="center" textRotation="71" wrapText="1"/>
    </xf>
    <xf numFmtId="0" fontId="56" fillId="32" borderId="2" xfId="0" applyFont="1" applyFill="1" applyBorder="1" applyAlignment="1">
      <alignment horizontal="center" vertical="center" textRotation="71" wrapText="1"/>
    </xf>
    <xf numFmtId="0" fontId="56" fillId="32" borderId="9" xfId="0" applyFont="1" applyFill="1" applyBorder="1" applyAlignment="1">
      <alignment horizontal="center" vertical="center" textRotation="71" wrapText="1"/>
    </xf>
    <xf numFmtId="9" fontId="5" fillId="0" borderId="111" xfId="0" applyNumberFormat="1" applyFont="1" applyBorder="1" applyAlignment="1">
      <alignment horizontal="center" vertical="center" wrapText="1"/>
    </xf>
    <xf numFmtId="9" fontId="5" fillId="0" borderId="25" xfId="0" applyNumberFormat="1" applyFont="1" applyBorder="1" applyAlignment="1">
      <alignment horizontal="center" vertical="center" wrapText="1"/>
    </xf>
    <xf numFmtId="0" fontId="56" fillId="0" borderId="111" xfId="0" applyFont="1" applyBorder="1" applyAlignment="1">
      <alignment horizontal="center" vertical="center" wrapText="1"/>
    </xf>
    <xf numFmtId="0" fontId="56" fillId="0" borderId="25" xfId="0" applyFont="1" applyBorder="1" applyAlignment="1">
      <alignment horizontal="center" vertical="center" wrapText="1"/>
    </xf>
    <xf numFmtId="0" fontId="56" fillId="29" borderId="11" xfId="0" applyFont="1" applyFill="1" applyBorder="1" applyAlignment="1">
      <alignment horizontal="center" vertical="center" textRotation="71" wrapText="1"/>
    </xf>
    <xf numFmtId="0" fontId="56" fillId="29" borderId="13" xfId="0" applyFont="1" applyFill="1" applyBorder="1" applyAlignment="1">
      <alignment horizontal="center" vertical="center" textRotation="71" wrapText="1"/>
    </xf>
    <xf numFmtId="0" fontId="56" fillId="29" borderId="120" xfId="0" applyFont="1" applyFill="1" applyBorder="1" applyAlignment="1">
      <alignment horizontal="center" vertical="center" textRotation="71" wrapText="1"/>
    </xf>
    <xf numFmtId="0" fontId="5" fillId="0" borderId="121" xfId="4" applyFont="1" applyBorder="1" applyAlignment="1">
      <alignment horizontal="center" vertical="center"/>
    </xf>
    <xf numFmtId="0" fontId="56" fillId="30" borderId="1" xfId="0" applyFont="1" applyFill="1" applyBorder="1" applyAlignment="1">
      <alignment horizontal="center" vertical="center" textRotation="71" wrapText="1"/>
    </xf>
    <xf numFmtId="0" fontId="56" fillId="30" borderId="2" xfId="0" applyFont="1" applyFill="1" applyBorder="1" applyAlignment="1">
      <alignment horizontal="center" vertical="center" textRotation="71" wrapText="1"/>
    </xf>
    <xf numFmtId="0" fontId="54" fillId="0" borderId="0" xfId="0" applyFont="1" applyAlignment="1">
      <alignment horizontal="center"/>
    </xf>
    <xf numFmtId="0" fontId="29" fillId="0" borderId="0" xfId="0" applyFont="1" applyAlignment="1">
      <alignment horizontal="center"/>
    </xf>
    <xf numFmtId="0" fontId="8" fillId="0" borderId="8" xfId="0" applyFont="1" applyBorder="1" applyAlignment="1">
      <alignment horizontal="center"/>
    </xf>
    <xf numFmtId="0" fontId="38" fillId="0" borderId="0" xfId="0" applyFont="1" applyAlignment="1">
      <alignment horizontal="center"/>
    </xf>
    <xf numFmtId="0" fontId="33" fillId="10" borderId="0" xfId="0" applyFont="1" applyFill="1" applyAlignment="1">
      <alignment horizontal="center"/>
    </xf>
    <xf numFmtId="0" fontId="27" fillId="13" borderId="1" xfId="0" applyFont="1" applyFill="1" applyBorder="1" applyAlignment="1">
      <alignment horizontal="center" vertical="center"/>
    </xf>
    <xf numFmtId="0" fontId="27" fillId="13" borderId="2" xfId="0" applyFont="1" applyFill="1" applyBorder="1" applyAlignment="1">
      <alignment horizontal="center" vertical="center"/>
    </xf>
    <xf numFmtId="0" fontId="19" fillId="14" borderId="1" xfId="0" applyFont="1" applyFill="1" applyBorder="1" applyAlignment="1">
      <alignment horizontal="center" vertical="center" wrapText="1"/>
    </xf>
    <xf numFmtId="0" fontId="19" fillId="14" borderId="2" xfId="0" applyFont="1" applyFill="1" applyBorder="1" applyAlignment="1">
      <alignment horizontal="center" vertical="center" wrapText="1"/>
    </xf>
    <xf numFmtId="0" fontId="2" fillId="0" borderId="8" xfId="18" applyBorder="1" applyAlignment="1">
      <alignment horizontal="center"/>
    </xf>
    <xf numFmtId="0" fontId="33" fillId="10" borderId="0" xfId="0" applyFont="1" applyFill="1" applyAlignment="1">
      <alignment horizontal="left"/>
    </xf>
    <xf numFmtId="0" fontId="31" fillId="9" borderId="1" xfId="0" applyFont="1" applyFill="1" applyBorder="1" applyAlignment="1">
      <alignment horizontal="center" vertical="center" wrapText="1" shrinkToFit="1"/>
    </xf>
    <xf numFmtId="0" fontId="31" fillId="9" borderId="9" xfId="0" applyFont="1" applyFill="1" applyBorder="1" applyAlignment="1">
      <alignment horizontal="center" vertical="center" wrapText="1" shrinkToFit="1"/>
    </xf>
    <xf numFmtId="0" fontId="30" fillId="3" borderId="6" xfId="0" applyFont="1" applyFill="1" applyBorder="1" applyAlignment="1">
      <alignment horizontal="center"/>
    </xf>
    <xf numFmtId="0" fontId="31" fillId="16" borderId="1" xfId="0" applyFont="1" applyFill="1" applyBorder="1" applyAlignment="1">
      <alignment horizontal="center" vertical="center" textRotation="91" wrapText="1" shrinkToFit="1"/>
    </xf>
    <xf numFmtId="0" fontId="31" fillId="16" borderId="9" xfId="0" applyFont="1" applyFill="1" applyBorder="1" applyAlignment="1">
      <alignment horizontal="center" vertical="center" textRotation="91" wrapText="1" shrinkToFit="1"/>
    </xf>
    <xf numFmtId="0" fontId="31" fillId="8" borderId="1" xfId="0" applyFont="1" applyFill="1" applyBorder="1" applyAlignment="1">
      <alignment horizontal="center" vertical="center" textRotation="91" wrapText="1" shrinkToFit="1"/>
    </xf>
    <xf numFmtId="0" fontId="31" fillId="8" borderId="9" xfId="0" applyFont="1" applyFill="1" applyBorder="1" applyAlignment="1">
      <alignment horizontal="center" vertical="center" textRotation="91" wrapText="1" shrinkToFit="1"/>
    </xf>
    <xf numFmtId="0" fontId="31" fillId="9" borderId="1" xfId="0" applyFont="1" applyFill="1" applyBorder="1" applyAlignment="1">
      <alignment horizontal="center" vertical="center" textRotation="90" wrapText="1" shrinkToFit="1"/>
    </xf>
    <xf numFmtId="0" fontId="31" fillId="9" borderId="9" xfId="0" applyFont="1" applyFill="1" applyBorder="1" applyAlignment="1">
      <alignment horizontal="center" vertical="center" textRotation="90" wrapText="1" shrinkToFit="1"/>
    </xf>
    <xf numFmtId="0" fontId="28" fillId="0" borderId="0" xfId="0" applyFont="1" applyAlignment="1">
      <alignment textRotation="41" wrapText="1" shrinkToFit="1"/>
    </xf>
    <xf numFmtId="0" fontId="37" fillId="16" borderId="1" xfId="0" applyFont="1" applyFill="1" applyBorder="1" applyAlignment="1">
      <alignment horizontal="center" vertical="center" textRotation="90" wrapText="1" shrinkToFit="1"/>
    </xf>
    <xf numFmtId="0" fontId="37" fillId="16" borderId="9" xfId="0" applyFont="1" applyFill="1" applyBorder="1" applyAlignment="1">
      <alignment horizontal="center" vertical="center" textRotation="90" wrapText="1" shrinkToFit="1"/>
    </xf>
    <xf numFmtId="0" fontId="31" fillId="8" borderId="1" xfId="0" applyFont="1" applyFill="1" applyBorder="1" applyAlignment="1">
      <alignment horizontal="center" vertical="center" textRotation="90" wrapText="1" shrinkToFit="1"/>
    </xf>
    <xf numFmtId="0" fontId="31" fillId="8" borderId="9" xfId="0" applyFont="1" applyFill="1" applyBorder="1" applyAlignment="1">
      <alignment horizontal="center" vertical="center" textRotation="90" wrapText="1" shrinkToFit="1"/>
    </xf>
    <xf numFmtId="0" fontId="30" fillId="0" borderId="0" xfId="0" applyFont="1" applyAlignment="1">
      <alignment horizontal="left"/>
    </xf>
    <xf numFmtId="0" fontId="0" fillId="0" borderId="0" xfId="0" applyAlignment="1">
      <alignment horizontal="left"/>
    </xf>
  </cellXfs>
  <cellStyles count="29">
    <cellStyle name="Encabezado 1 2" xfId="24" xr:uid="{B6E655C9-C0DF-46F0-A3C3-7553326D45D5}"/>
    <cellStyle name="Énfasis3" xfId="20" builtinId="37"/>
    <cellStyle name="Fecha" xfId="26" xr:uid="{8CABD515-1AAE-4667-AE57-BA413CAC8CDD}"/>
    <cellStyle name="Millares [0]" xfId="19" builtinId="6"/>
    <cellStyle name="Millares [0] 2" xfId="28" xr:uid="{21F75C6E-2F93-4A1E-B1C6-452DA1E6196A}"/>
    <cellStyle name="Normal" xfId="0" builtinId="0"/>
    <cellStyle name="Normal 2" xfId="4" xr:uid="{00000000-0005-0000-0000-000001000000}"/>
    <cellStyle name="Normal 2 2" xfId="7" xr:uid="{00000000-0005-0000-0000-000002000000}"/>
    <cellStyle name="Normal 2_FASE 4" xfId="8" xr:uid="{00000000-0005-0000-0000-000003000000}"/>
    <cellStyle name="Normal 3" xfId="6" xr:uid="{00000000-0005-0000-0000-000004000000}"/>
    <cellStyle name="Normal 3 2" xfId="9" xr:uid="{00000000-0005-0000-0000-000005000000}"/>
    <cellStyle name="Normal 4" xfId="3" xr:uid="{00000000-0005-0000-0000-000006000000}"/>
    <cellStyle name="Normal 4 2" xfId="10" xr:uid="{00000000-0005-0000-0000-000007000000}"/>
    <cellStyle name="Normal 5" xfId="11" xr:uid="{00000000-0005-0000-0000-000008000000}"/>
    <cellStyle name="Normal 5 2" xfId="12" xr:uid="{00000000-0005-0000-0000-000009000000}"/>
    <cellStyle name="Normal 6" xfId="13" xr:uid="{00000000-0005-0000-0000-00000A000000}"/>
    <cellStyle name="Normal 6 2" xfId="14" xr:uid="{00000000-0005-0000-0000-00000B000000}"/>
    <cellStyle name="Normal 7" xfId="15" xr:uid="{00000000-0005-0000-0000-00000C000000}"/>
    <cellStyle name="Normal 8" xfId="18" xr:uid="{00000000-0005-0000-0000-00000D000000}"/>
    <cellStyle name="Normal 9" xfId="22" xr:uid="{12A7DCD2-B7E5-4C78-A0E4-114BB1F31265}"/>
    <cellStyle name="Normal_AVANCE FACE 1 15-05-2012" xfId="2" xr:uid="{00000000-0005-0000-0000-00000E000000}"/>
    <cellStyle name="Porcentaje" xfId="1" builtinId="5"/>
    <cellStyle name="Porcentaje 2" xfId="5" xr:uid="{00000000-0005-0000-0000-000011000000}"/>
    <cellStyle name="Porcentaje 3" xfId="16" xr:uid="{00000000-0005-0000-0000-000012000000}"/>
    <cellStyle name="Porcentaje 4" xfId="17" xr:uid="{00000000-0005-0000-0000-000013000000}"/>
    <cellStyle name="Porcentaje 5" xfId="27" xr:uid="{9FCA96DE-7149-444D-8596-DC42205DE136}"/>
    <cellStyle name="Título 3 2" xfId="25" xr:uid="{F6EEF024-34C9-461D-95C3-5B676B6CEA19}"/>
    <cellStyle name="Título 4" xfId="23" xr:uid="{352FFCE0-7981-42D8-B3F3-14D1A656F5BD}"/>
    <cellStyle name="zHiddenText" xfId="21" xr:uid="{F406E999-53F6-4CEA-BD2B-C7D1EB0809A6}"/>
  </cellStyles>
  <dxfs count="165">
    <dxf>
      <fill>
        <patternFill>
          <bgColor rgb="FFFF0000"/>
        </patternFill>
      </fill>
    </dxf>
    <dxf>
      <fill>
        <patternFill>
          <bgColor theme="0"/>
        </patternFill>
      </fill>
    </dxf>
    <dxf>
      <fill>
        <patternFill>
          <bgColor rgb="FF00FF00"/>
        </patternFill>
      </fill>
    </dxf>
    <dxf>
      <fill>
        <patternFill>
          <bgColor rgb="FFFFFF00"/>
        </patternFill>
      </fill>
    </dxf>
    <dxf>
      <fill>
        <patternFill>
          <bgColor theme="9" tint="-0.24994659260841701"/>
        </patternFill>
      </fill>
    </dxf>
    <dxf>
      <fill>
        <patternFill>
          <bgColor rgb="FF00FF00"/>
        </patternFill>
      </fill>
    </dxf>
    <dxf>
      <fill>
        <patternFill>
          <bgColor rgb="FFFFFF00"/>
        </patternFill>
      </fill>
    </dxf>
    <dxf>
      <fill>
        <patternFill>
          <bgColor theme="9" tint="-0.24994659260841701"/>
        </patternFill>
      </fill>
    </dxf>
    <dxf>
      <fill>
        <patternFill>
          <bgColor theme="0" tint="-4.9989318521683403E-2"/>
        </patternFill>
      </fill>
    </dxf>
    <dxf>
      <fill>
        <patternFill>
          <bgColor rgb="FFFF0000"/>
        </patternFill>
      </fill>
    </dxf>
    <dxf>
      <fill>
        <patternFill>
          <bgColor rgb="FF00FF00"/>
        </patternFill>
      </fill>
    </dxf>
    <dxf>
      <fill>
        <patternFill>
          <bgColor rgb="FF00FF00"/>
        </patternFill>
      </fill>
    </dxf>
    <dxf>
      <fill>
        <patternFill>
          <bgColor rgb="FF00FF00"/>
        </patternFill>
      </fill>
    </dxf>
    <dxf>
      <fill>
        <patternFill>
          <bgColor rgb="FF00FF00"/>
        </patternFill>
      </fill>
    </dxf>
    <dxf>
      <fill>
        <patternFill>
          <bgColor rgb="FFFFFF00"/>
        </patternFill>
      </fill>
    </dxf>
    <dxf>
      <fill>
        <patternFill>
          <bgColor theme="9" tint="-0.24994659260841701"/>
        </patternFill>
      </fill>
    </dxf>
    <dxf>
      <fill>
        <patternFill>
          <bgColor rgb="FF00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FF00"/>
        </patternFill>
      </fill>
    </dxf>
    <dxf>
      <fill>
        <patternFill>
          <bgColor rgb="FFFF9900"/>
        </patternFill>
      </fill>
    </dxf>
    <dxf>
      <fill>
        <patternFill patternType="none">
          <bgColor auto="1"/>
        </patternFill>
      </fill>
    </dxf>
    <dxf>
      <fill>
        <patternFill>
          <bgColor theme="9" tint="-0.24994659260841701"/>
        </patternFill>
      </fill>
    </dxf>
    <dxf>
      <fill>
        <patternFill>
          <bgColor rgb="FF00FF00"/>
        </patternFill>
      </fill>
    </dxf>
    <dxf>
      <fill>
        <patternFill>
          <bgColor rgb="FF00FF00"/>
        </patternFill>
      </fill>
    </dxf>
    <dxf>
      <fill>
        <patternFill>
          <bgColor rgb="FFFFFF00"/>
        </patternFill>
      </fill>
    </dxf>
    <dxf>
      <fill>
        <patternFill>
          <bgColor rgb="FFFF9900"/>
        </patternFill>
      </fill>
    </dxf>
    <dxf>
      <fill>
        <patternFill patternType="none">
          <bgColor auto="1"/>
        </patternFill>
      </fill>
    </dxf>
    <dxf>
      <fill>
        <patternFill>
          <bgColor rgb="FFFFFF00"/>
        </patternFill>
      </fill>
    </dxf>
    <dxf>
      <fill>
        <patternFill patternType="none">
          <bgColor auto="1"/>
        </patternFill>
      </fill>
    </dxf>
    <dxf>
      <fill>
        <patternFill>
          <bgColor rgb="FF00FF00"/>
        </patternFill>
      </fill>
    </dxf>
    <dxf>
      <fill>
        <patternFill>
          <bgColor rgb="FFFFFF00"/>
        </patternFill>
      </fill>
    </dxf>
    <dxf>
      <fill>
        <patternFill>
          <bgColor rgb="FFFF9900"/>
        </patternFill>
      </fill>
    </dxf>
    <dxf>
      <fill>
        <patternFill>
          <bgColor rgb="FFFFFF00"/>
        </patternFill>
      </fill>
    </dxf>
    <dxf>
      <fill>
        <patternFill>
          <bgColor rgb="FFFF9900"/>
        </patternFill>
      </fill>
    </dxf>
    <dxf>
      <fill>
        <patternFill>
          <bgColor rgb="FFFFFF00"/>
        </patternFill>
      </fill>
    </dxf>
    <dxf>
      <fill>
        <patternFill>
          <bgColor rgb="FFFFFF00"/>
        </patternFill>
      </fill>
    </dxf>
    <dxf>
      <fill>
        <patternFill>
          <bgColor rgb="FFFF9900"/>
        </patternFill>
      </fill>
    </dxf>
    <dxf>
      <fill>
        <patternFill>
          <bgColor rgb="FFFFFF00"/>
        </patternFill>
      </fill>
    </dxf>
    <dxf>
      <fill>
        <patternFill>
          <bgColor theme="9" tint="-0.24994659260841701"/>
        </patternFill>
      </fill>
    </dxf>
    <dxf>
      <fill>
        <patternFill>
          <bgColor rgb="FF00FF00"/>
        </patternFill>
      </fill>
    </dxf>
    <dxf>
      <fill>
        <patternFill patternType="none">
          <bgColor auto="1"/>
        </patternFill>
      </fill>
    </dxf>
    <dxf>
      <fill>
        <patternFill>
          <bgColor rgb="FF00FF00"/>
        </patternFill>
      </fill>
    </dxf>
    <dxf>
      <fill>
        <patternFill>
          <bgColor rgb="FFFFFF00"/>
        </patternFill>
      </fill>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rgb="FF00FF00"/>
        </patternFill>
      </fill>
    </dxf>
    <dxf>
      <fill>
        <patternFill>
          <bgColor theme="0"/>
        </patternFill>
      </fill>
    </dxf>
    <dxf>
      <fill>
        <patternFill>
          <bgColor theme="9"/>
        </patternFill>
      </fill>
    </dxf>
    <dxf>
      <fill>
        <patternFill>
          <bgColor theme="9"/>
        </patternFill>
      </fill>
    </dxf>
    <dxf>
      <fill>
        <patternFill>
          <bgColor theme="9"/>
        </patternFill>
      </fill>
    </dxf>
    <dxf>
      <fill>
        <patternFill>
          <bgColor theme="0" tint="-4.9989318521683403E-2"/>
        </patternFill>
      </fill>
    </dxf>
    <dxf>
      <fill>
        <patternFill>
          <bgColor theme="9"/>
        </patternFill>
      </fill>
    </dxf>
    <dxf>
      <fill>
        <patternFill>
          <bgColor rgb="FF00FF00"/>
        </patternFill>
      </fill>
    </dxf>
    <dxf>
      <fill>
        <patternFill>
          <bgColor theme="0" tint="-4.9989318521683403E-2"/>
        </patternFill>
      </fill>
    </dxf>
    <dxf>
      <fill>
        <patternFill>
          <bgColor rgb="FFFF0000"/>
        </patternFill>
      </fill>
    </dxf>
    <dxf>
      <fill>
        <patternFill>
          <bgColor theme="9"/>
        </patternFill>
      </fill>
    </dxf>
    <dxf>
      <fill>
        <patternFill>
          <bgColor rgb="FF00FF00"/>
        </patternFill>
      </fill>
    </dxf>
    <dxf>
      <fill>
        <patternFill>
          <bgColor theme="0" tint="-4.9989318521683403E-2"/>
        </patternFill>
      </fill>
    </dxf>
    <dxf>
      <fill>
        <patternFill>
          <bgColor theme="9"/>
        </patternFill>
      </fill>
    </dxf>
    <dxf>
      <fill>
        <patternFill>
          <bgColor rgb="FFFF0000"/>
        </patternFill>
      </fill>
    </dxf>
    <dxf>
      <fill>
        <patternFill>
          <bgColor theme="0" tint="-4.9989318521683403E-2"/>
        </patternFill>
      </fill>
    </dxf>
    <dxf>
      <fill>
        <patternFill>
          <bgColor theme="9"/>
        </patternFill>
      </fill>
    </dxf>
    <dxf>
      <fill>
        <patternFill>
          <bgColor theme="9"/>
        </patternFill>
      </fill>
    </dxf>
    <dxf>
      <fill>
        <patternFill>
          <bgColor theme="0" tint="-4.9989318521683403E-2"/>
        </patternFill>
      </fill>
    </dxf>
    <dxf>
      <fill>
        <patternFill>
          <bgColor rgb="FFFF0000"/>
        </patternFill>
      </fill>
    </dxf>
    <dxf>
      <fill>
        <patternFill>
          <bgColor theme="0" tint="-4.9989318521683403E-2"/>
        </patternFill>
      </fill>
    </dxf>
    <dxf>
      <fill>
        <patternFill>
          <bgColor rgb="FF00FF00"/>
        </patternFill>
      </fill>
    </dxf>
    <dxf>
      <fill>
        <patternFill>
          <bgColor theme="0" tint="-4.9989318521683403E-2"/>
        </patternFill>
      </fill>
    </dxf>
    <dxf>
      <fill>
        <patternFill>
          <bgColor rgb="FF00FF00"/>
        </patternFill>
      </fill>
    </dxf>
    <dxf>
      <fill>
        <patternFill>
          <bgColor theme="0" tint="-4.9989318521683403E-2"/>
        </patternFill>
      </fill>
    </dxf>
    <dxf>
      <fill>
        <patternFill>
          <bgColor rgb="FFFF0000"/>
        </patternFill>
      </fill>
    </dxf>
    <dxf>
      <fill>
        <patternFill>
          <bgColor theme="9"/>
        </patternFill>
      </fill>
    </dxf>
    <dxf>
      <fill>
        <patternFill>
          <bgColor theme="9"/>
        </patternFill>
      </fill>
    </dxf>
    <dxf>
      <fill>
        <patternFill>
          <bgColor theme="0" tint="-4.9989318521683403E-2"/>
        </patternFill>
      </fill>
    </dxf>
    <dxf>
      <fill>
        <patternFill>
          <bgColor rgb="FFFF0000"/>
        </patternFill>
      </fill>
    </dxf>
    <dxf>
      <fill>
        <patternFill>
          <bgColor rgb="FF00FF00"/>
        </patternFill>
      </fill>
    </dxf>
    <dxf>
      <fill>
        <patternFill>
          <bgColor theme="0" tint="-4.9989318521683403E-2"/>
        </patternFill>
      </fill>
    </dxf>
    <dxf>
      <fill>
        <patternFill>
          <bgColor rgb="FFFF0000"/>
        </patternFill>
      </fill>
    </dxf>
    <dxf>
      <fill>
        <patternFill>
          <bgColor rgb="FF00FF00"/>
        </patternFill>
      </fill>
    </dxf>
    <dxf>
      <fill>
        <patternFill>
          <bgColor theme="0" tint="-4.9989318521683403E-2"/>
        </patternFill>
      </fill>
    </dxf>
    <dxf>
      <fill>
        <patternFill>
          <bgColor theme="9"/>
        </patternFill>
      </fill>
    </dxf>
    <dxf>
      <fill>
        <patternFill>
          <bgColor theme="0" tint="-4.9989318521683403E-2"/>
        </patternFill>
      </fill>
    </dxf>
    <dxf>
      <fill>
        <patternFill>
          <bgColor rgb="FFFF0000"/>
        </patternFill>
      </fill>
    </dxf>
    <dxf>
      <fill>
        <patternFill>
          <bgColor theme="0" tint="-4.9989318521683403E-2"/>
        </patternFill>
      </fill>
    </dxf>
    <dxf>
      <fill>
        <patternFill>
          <bgColor theme="9"/>
        </patternFill>
      </fill>
    </dxf>
    <dxf>
      <fill>
        <patternFill>
          <bgColor theme="0" tint="-4.9989318521683403E-2"/>
        </patternFill>
      </fill>
    </dxf>
    <dxf>
      <fill>
        <patternFill>
          <bgColor rgb="FF00FF00"/>
        </patternFill>
      </fill>
    </dxf>
    <dxf>
      <fill>
        <patternFill>
          <bgColor rgb="FFFF0000"/>
        </patternFill>
      </fill>
    </dxf>
    <dxf>
      <fill>
        <patternFill>
          <bgColor theme="0" tint="-4.9989318521683403E-2"/>
        </patternFill>
      </fill>
    </dxf>
    <dxf>
      <fill>
        <patternFill>
          <bgColor theme="9"/>
        </patternFill>
      </fill>
    </dxf>
    <dxf>
      <fill>
        <patternFill>
          <bgColor rgb="FF00FF00"/>
        </patternFill>
      </fill>
    </dxf>
    <dxf>
      <fill>
        <patternFill>
          <bgColor theme="0" tint="-4.9989318521683403E-2"/>
        </patternFill>
      </fill>
    </dxf>
    <dxf>
      <fill>
        <patternFill>
          <bgColor theme="9"/>
        </patternFill>
      </fill>
    </dxf>
    <dxf>
      <fill>
        <patternFill>
          <bgColor rgb="FF00FF00"/>
        </patternFill>
      </fill>
    </dxf>
    <dxf>
      <fill>
        <patternFill>
          <bgColor theme="0" tint="-4.9989318521683403E-2"/>
        </patternFill>
      </fill>
    </dxf>
    <dxf>
      <fill>
        <patternFill>
          <bgColor rgb="FFFF0000"/>
        </patternFill>
      </fill>
    </dxf>
    <dxf>
      <fill>
        <patternFill>
          <bgColor theme="0" tint="-4.9989318521683403E-2"/>
        </patternFill>
      </fill>
    </dxf>
    <dxf>
      <fill>
        <patternFill>
          <bgColor theme="0" tint="-4.9989318521683403E-2"/>
        </patternFill>
      </fill>
    </dxf>
    <dxf>
      <fill>
        <patternFill>
          <bgColor rgb="FF00FF00"/>
        </patternFill>
      </fill>
    </dxf>
    <dxf>
      <fill>
        <patternFill>
          <bgColor rgb="FFFF0000"/>
        </patternFill>
      </fill>
    </dxf>
    <dxf>
      <fill>
        <patternFill>
          <bgColor theme="0" tint="-4.9989318521683403E-2"/>
        </patternFill>
      </fill>
    </dxf>
    <dxf>
      <fill>
        <patternFill>
          <bgColor theme="9"/>
        </patternFill>
      </fill>
    </dxf>
    <dxf>
      <fill>
        <patternFill>
          <bgColor rgb="FFFF0000"/>
        </patternFill>
      </fill>
    </dxf>
    <dxf>
      <fill>
        <patternFill>
          <bgColor theme="0" tint="-4.9989318521683403E-2"/>
        </patternFill>
      </fill>
    </dxf>
    <dxf>
      <fill>
        <patternFill>
          <bgColor theme="9"/>
        </patternFill>
      </fill>
    </dxf>
    <dxf>
      <fill>
        <patternFill>
          <bgColor theme="0" tint="-4.9989318521683403E-2"/>
        </patternFill>
      </fill>
    </dxf>
    <dxf>
      <fill>
        <patternFill>
          <bgColor rgb="FF00FF00"/>
        </patternFill>
      </fill>
    </dxf>
    <dxf>
      <fill>
        <patternFill>
          <bgColor rgb="FFFFFF00"/>
        </patternFill>
      </fill>
    </dxf>
    <dxf>
      <fill>
        <patternFill>
          <bgColor rgb="FF00FF00"/>
        </patternFill>
      </fill>
    </dxf>
    <dxf>
      <fill>
        <patternFill>
          <bgColor rgb="FFFFFF00"/>
        </patternFill>
      </fill>
    </dxf>
    <dxf>
      <fill>
        <patternFill>
          <bgColor rgb="FFFF9900"/>
        </patternFill>
      </fill>
    </dxf>
    <dxf>
      <fill>
        <patternFill patternType="none">
          <bgColor auto="1"/>
        </patternFill>
      </fill>
    </dxf>
    <dxf>
      <fill>
        <patternFill>
          <bgColor rgb="FF00FF00"/>
        </patternFill>
      </fill>
    </dxf>
    <dxf>
      <fill>
        <patternFill>
          <bgColor rgb="FFFFFF00"/>
        </patternFill>
      </fill>
    </dxf>
    <dxf>
      <fill>
        <patternFill>
          <bgColor rgb="FFFF9900"/>
        </patternFill>
      </fill>
    </dxf>
    <dxf>
      <fill>
        <patternFill patternType="none">
          <bgColor auto="1"/>
        </patternFill>
      </fill>
    </dxf>
    <dxf>
      <fill>
        <patternFill>
          <bgColor rgb="FF83C937"/>
        </patternFill>
      </fill>
    </dxf>
    <dxf>
      <fill>
        <patternFill>
          <bgColor theme="0" tint="-4.9989318521683403E-2"/>
        </patternFill>
      </fill>
    </dxf>
    <dxf>
      <fill>
        <patternFill>
          <bgColor rgb="FF00FF00"/>
        </patternFill>
      </fill>
    </dxf>
    <dxf>
      <fill>
        <patternFill>
          <bgColor theme="9"/>
        </patternFill>
      </fill>
    </dxf>
    <dxf>
      <fill>
        <patternFill>
          <bgColor theme="0" tint="-4.9989318521683403E-2"/>
        </patternFill>
      </fill>
    </dxf>
    <dxf>
      <fill>
        <patternFill>
          <bgColor theme="9"/>
        </patternFill>
      </fill>
    </dxf>
    <dxf>
      <fill>
        <patternFill>
          <bgColor rgb="FFFF0000"/>
        </patternFill>
      </fill>
    </dxf>
    <dxf>
      <fill>
        <patternFill>
          <bgColor theme="9"/>
        </patternFill>
      </fill>
    </dxf>
    <dxf>
      <fill>
        <patternFill>
          <bgColor rgb="FF00FF00"/>
        </patternFill>
      </fill>
    </dxf>
    <dxf>
      <fill>
        <patternFill>
          <bgColor theme="0"/>
        </patternFill>
      </fill>
    </dxf>
    <dxf>
      <fill>
        <patternFill>
          <bgColor theme="9"/>
        </patternFill>
      </fill>
    </dxf>
    <dxf>
      <fill>
        <patternFill>
          <bgColor rgb="FF00FF00"/>
        </patternFill>
      </fill>
    </dxf>
    <dxf>
      <fill>
        <patternFill>
          <bgColor theme="0"/>
        </patternFill>
      </fill>
    </dxf>
    <dxf>
      <fill>
        <patternFill>
          <bgColor theme="9"/>
        </patternFill>
      </fill>
    </dxf>
    <dxf>
      <fill>
        <patternFill>
          <bgColor rgb="FF00FF00"/>
        </patternFill>
      </fill>
    </dxf>
    <dxf>
      <fill>
        <patternFill>
          <bgColor theme="0"/>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s>
  <tableStyles count="1" defaultTableStyle="TableStyleMedium2" defaultPivotStyle="PivotStyleLight16">
    <tableStyle name="ListaTareasPendientes" pivot="0" count="9" xr9:uid="{475B0AE8-B218-4E4C-9BF6-BE972C7632F8}">
      <tableStyleElement type="wholeTable" dxfId="164"/>
      <tableStyleElement type="headerRow" dxfId="163"/>
      <tableStyleElement type="totalRow" dxfId="162"/>
      <tableStyleElement type="firstColumn" dxfId="161"/>
      <tableStyleElement type="lastColumn" dxfId="160"/>
      <tableStyleElement type="firstRowStripe" dxfId="159"/>
      <tableStyleElement type="secondRowStripe" dxfId="158"/>
      <tableStyleElement type="firstColumnStripe" dxfId="157"/>
      <tableStyleElement type="secondColumnStripe" dxfId="156"/>
    </tableStyle>
  </tableStyles>
  <colors>
    <mruColors>
      <color rgb="FF83C937"/>
      <color rgb="FF66FFFF"/>
      <color rgb="FFA0D565"/>
      <color rgb="FFFFC819"/>
      <color rgb="FFFF5757"/>
      <color rgb="FFE8E8E8"/>
      <color rgb="FFB4DE86"/>
      <color rgb="FFFFDA65"/>
      <color rgb="FF00FF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GRAFICO!$G$1</c:f>
              <c:strCache>
                <c:ptCount val="1"/>
                <c:pt idx="0">
                  <c:v>sem6</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GRAFICO!$G$2:$G$20</c:f>
              <c:numCache>
                <c:formatCode>0%</c:formatCode>
                <c:ptCount val="19"/>
                <c:pt idx="0">
                  <c:v>0.62078232308151693</c:v>
                </c:pt>
                <c:pt idx="1">
                  <c:v>0.8196476560167214</c:v>
                </c:pt>
                <c:pt idx="2">
                  <c:v>0.67506718423409962</c:v>
                </c:pt>
                <c:pt idx="3">
                  <c:v>0.58584652134965653</c:v>
                </c:pt>
                <c:pt idx="4">
                  <c:v>0.69871603463720544</c:v>
                </c:pt>
                <c:pt idx="5">
                  <c:v>0.50630038817557566</c:v>
                </c:pt>
                <c:pt idx="6">
                  <c:v>0.54446103314422245</c:v>
                </c:pt>
                <c:pt idx="7">
                  <c:v>0.45685279187817257</c:v>
                </c:pt>
                <c:pt idx="8">
                  <c:v>0.26443714541654245</c:v>
                </c:pt>
                <c:pt idx="9">
                  <c:v>0.2502657509704389</c:v>
                </c:pt>
                <c:pt idx="10">
                  <c:v>0.13073229291716684</c:v>
                </c:pt>
                <c:pt idx="11">
                  <c:v>0.31522842639593934</c:v>
                </c:pt>
                <c:pt idx="12">
                  <c:v>2.6873693639892504E-2</c:v>
                </c:pt>
                <c:pt idx="13">
                  <c:v>0.44368468199462568</c:v>
                </c:pt>
                <c:pt idx="14">
                  <c:v>0.13893699611824448</c:v>
                </c:pt>
                <c:pt idx="15">
                  <c:v>7.9725291131681031E-2</c:v>
                </c:pt>
                <c:pt idx="16">
                  <c:v>2.0424007166318304E-2</c:v>
                </c:pt>
                <c:pt idx="17">
                  <c:v>2.1498954911914003E-2</c:v>
                </c:pt>
                <c:pt idx="18">
                  <c:v>1.2899372947148402E-2</c:v>
                </c:pt>
              </c:numCache>
            </c:numRef>
          </c:val>
          <c:smooth val="0"/>
          <c:extLst>
            <c:ext xmlns:c16="http://schemas.microsoft.com/office/drawing/2014/chart" uri="{C3380CC4-5D6E-409C-BE32-E72D297353CC}">
              <c16:uniqueId val="{00000000-BA41-4CFC-BAB9-037AEF46B3FB}"/>
            </c:ext>
          </c:extLst>
        </c:ser>
        <c:ser>
          <c:idx val="1"/>
          <c:order val="1"/>
          <c:tx>
            <c:strRef>
              <c:f>GRAFICO!$H$1</c:f>
              <c:strCache>
                <c:ptCount val="1"/>
                <c:pt idx="0">
                  <c:v>sem7</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GRAFICO!$H$2:$H$20</c:f>
              <c:numCache>
                <c:formatCode>0%</c:formatCode>
                <c:ptCount val="19"/>
                <c:pt idx="0">
                  <c:v>0.67184234099731255</c:v>
                </c:pt>
                <c:pt idx="1">
                  <c:v>0.8196476560167214</c:v>
                </c:pt>
                <c:pt idx="2">
                  <c:v>0.73096446700507611</c:v>
                </c:pt>
                <c:pt idx="3">
                  <c:v>0.64389369961182441</c:v>
                </c:pt>
                <c:pt idx="4">
                  <c:v>0.75515079128097928</c:v>
                </c:pt>
                <c:pt idx="5">
                  <c:v>0.52994923857867993</c:v>
                </c:pt>
                <c:pt idx="6">
                  <c:v>0.58638399522245443</c:v>
                </c:pt>
                <c:pt idx="7">
                  <c:v>0.52188713048671243</c:v>
                </c:pt>
                <c:pt idx="8">
                  <c:v>0.29512690355329918</c:v>
                </c:pt>
                <c:pt idx="9">
                  <c:v>0.29989250522544064</c:v>
                </c:pt>
                <c:pt idx="10">
                  <c:v>0.16206482593037208</c:v>
                </c:pt>
                <c:pt idx="11">
                  <c:v>0.43857868020304674</c:v>
                </c:pt>
                <c:pt idx="12">
                  <c:v>2.6873693639892504E-2</c:v>
                </c:pt>
                <c:pt idx="13">
                  <c:v>0.46357121528814632</c:v>
                </c:pt>
                <c:pt idx="14">
                  <c:v>0.1520379217676921</c:v>
                </c:pt>
                <c:pt idx="15">
                  <c:v>0.1326664676022693</c:v>
                </c:pt>
                <c:pt idx="16">
                  <c:v>2.0424007166318304E-2</c:v>
                </c:pt>
                <c:pt idx="17">
                  <c:v>2.1498954911914003E-2</c:v>
                </c:pt>
                <c:pt idx="18">
                  <c:v>1.2899372947148402E-2</c:v>
                </c:pt>
              </c:numCache>
            </c:numRef>
          </c:val>
          <c:smooth val="0"/>
          <c:extLst>
            <c:ext xmlns:c16="http://schemas.microsoft.com/office/drawing/2014/chart" uri="{C3380CC4-5D6E-409C-BE32-E72D297353CC}">
              <c16:uniqueId val="{00000001-BA41-4CFC-BAB9-037AEF46B3FB}"/>
            </c:ext>
          </c:extLst>
        </c:ser>
        <c:ser>
          <c:idx val="2"/>
          <c:order val="2"/>
          <c:tx>
            <c:strRef>
              <c:f>GRAFICO!$I$1</c:f>
              <c:strCache>
                <c:ptCount val="1"/>
                <c:pt idx="0">
                  <c:v>sem8</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GRAFICO!$I$2:$I$20</c:f>
              <c:numCache>
                <c:formatCode>0%</c:formatCode>
                <c:ptCount val="19"/>
                <c:pt idx="0">
                  <c:v>0.74440131382502239</c:v>
                </c:pt>
                <c:pt idx="1">
                  <c:v>0.91400418035234399</c:v>
                </c:pt>
                <c:pt idx="2">
                  <c:v>0.77503732457449992</c:v>
                </c:pt>
                <c:pt idx="3">
                  <c:v>0.72558972827709767</c:v>
                </c:pt>
                <c:pt idx="4">
                  <c:v>0.75515079128097928</c:v>
                </c:pt>
                <c:pt idx="5">
                  <c:v>0.56918483129292385</c:v>
                </c:pt>
                <c:pt idx="6">
                  <c:v>0.62561958793669703</c:v>
                </c:pt>
                <c:pt idx="7">
                  <c:v>0.5471484025082114</c:v>
                </c:pt>
                <c:pt idx="8">
                  <c:v>0.35303971334726786</c:v>
                </c:pt>
                <c:pt idx="9">
                  <c:v>0.33509704389370004</c:v>
                </c:pt>
                <c:pt idx="10">
                  <c:v>0.23013205282112861</c:v>
                </c:pt>
                <c:pt idx="11">
                  <c:v>0.43857868020304674</c:v>
                </c:pt>
                <c:pt idx="12">
                  <c:v>2.6873693639892504E-2</c:v>
                </c:pt>
                <c:pt idx="13">
                  <c:v>0.60761421319796993</c:v>
                </c:pt>
                <c:pt idx="14">
                  <c:v>0.19409525231412375</c:v>
                </c:pt>
                <c:pt idx="15">
                  <c:v>0.15837563451776659</c:v>
                </c:pt>
                <c:pt idx="16">
                  <c:v>6.2346969244550597E-2</c:v>
                </c:pt>
                <c:pt idx="17">
                  <c:v>9.1370558375634514E-2</c:v>
                </c:pt>
                <c:pt idx="18">
                  <c:v>1.2899372947148402E-2</c:v>
                </c:pt>
              </c:numCache>
            </c:numRef>
          </c:val>
          <c:smooth val="0"/>
          <c:extLst>
            <c:ext xmlns:c16="http://schemas.microsoft.com/office/drawing/2014/chart" uri="{C3380CC4-5D6E-409C-BE32-E72D297353CC}">
              <c16:uniqueId val="{00000002-BA41-4CFC-BAB9-037AEF46B3FB}"/>
            </c:ext>
          </c:extLst>
        </c:ser>
        <c:ser>
          <c:idx val="3"/>
          <c:order val="3"/>
          <c:tx>
            <c:strRef>
              <c:f>GRAFICO!$J$1</c:f>
              <c:strCache>
                <c:ptCount val="1"/>
                <c:pt idx="0">
                  <c:v>sem9</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GRAFICO!$J$2:$J$20</c:f>
              <c:numCache>
                <c:formatCode>0%</c:formatCode>
                <c:ptCount val="19"/>
                <c:pt idx="0">
                  <c:v>0.79008659301283968</c:v>
                </c:pt>
                <c:pt idx="1">
                  <c:v>0.91400418035234399</c:v>
                </c:pt>
                <c:pt idx="2">
                  <c:v>0.85255651379691921</c:v>
                </c:pt>
                <c:pt idx="3">
                  <c:v>0.73096446700507611</c:v>
                </c:pt>
                <c:pt idx="4">
                  <c:v>0.82240528340329855</c:v>
                </c:pt>
                <c:pt idx="5">
                  <c:v>0.59337115556882647</c:v>
                </c:pt>
                <c:pt idx="6">
                  <c:v>0.6675425500149299</c:v>
                </c:pt>
                <c:pt idx="7">
                  <c:v>0.54822335025380708</c:v>
                </c:pt>
                <c:pt idx="8">
                  <c:v>0.43057031949835767</c:v>
                </c:pt>
                <c:pt idx="9">
                  <c:v>0.36161242161839396</c:v>
                </c:pt>
                <c:pt idx="10">
                  <c:v>0.29387755102040841</c:v>
                </c:pt>
                <c:pt idx="11">
                  <c:v>0.43857868020304674</c:v>
                </c:pt>
                <c:pt idx="12">
                  <c:v>2.6873693639892504E-2</c:v>
                </c:pt>
                <c:pt idx="13">
                  <c:v>0.726545237384294</c:v>
                </c:pt>
                <c:pt idx="14">
                  <c:v>0.26403404001194442</c:v>
                </c:pt>
                <c:pt idx="15">
                  <c:v>0.21928934010152304</c:v>
                </c:pt>
                <c:pt idx="16">
                  <c:v>0.1015825619587936</c:v>
                </c:pt>
                <c:pt idx="17">
                  <c:v>0.21015228426395913</c:v>
                </c:pt>
                <c:pt idx="18">
                  <c:v>1.2899372947148402E-2</c:v>
                </c:pt>
              </c:numCache>
            </c:numRef>
          </c:val>
          <c:smooth val="0"/>
          <c:extLst>
            <c:ext xmlns:c16="http://schemas.microsoft.com/office/drawing/2014/chart" uri="{C3380CC4-5D6E-409C-BE32-E72D297353CC}">
              <c16:uniqueId val="{00000003-BA41-4CFC-BAB9-037AEF46B3FB}"/>
            </c:ext>
          </c:extLst>
        </c:ser>
        <c:ser>
          <c:idx val="4"/>
          <c:order val="4"/>
          <c:tx>
            <c:strRef>
              <c:f>GRAFICO!$K$1</c:f>
              <c:strCache>
                <c:ptCount val="1"/>
                <c:pt idx="0">
                  <c:v>sem10</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GRAFICO!$K$2:$K$20</c:f>
              <c:numCache>
                <c:formatCode>0%</c:formatCode>
                <c:ptCount val="19"/>
                <c:pt idx="0">
                  <c:v>0.84393936732650654</c:v>
                </c:pt>
                <c:pt idx="1">
                  <c:v>0.91400418035234399</c:v>
                </c:pt>
                <c:pt idx="2">
                  <c:v>0.91983559622714417</c:v>
                </c:pt>
                <c:pt idx="3">
                  <c:v>0.80997312630636009</c:v>
                </c:pt>
                <c:pt idx="4">
                  <c:v>0.81970913178648597</c:v>
                </c:pt>
                <c:pt idx="5">
                  <c:v>0.63260674828307017</c:v>
                </c:pt>
                <c:pt idx="6">
                  <c:v>0.68527918781725883</c:v>
                </c:pt>
                <c:pt idx="7">
                  <c:v>0.63368169602866531</c:v>
                </c:pt>
                <c:pt idx="8">
                  <c:v>0.4705583756345183</c:v>
                </c:pt>
                <c:pt idx="9">
                  <c:v>0.36996118244252058</c:v>
                </c:pt>
                <c:pt idx="10">
                  <c:v>0.31008403361344561</c:v>
                </c:pt>
                <c:pt idx="11">
                  <c:v>0.53451776649746374</c:v>
                </c:pt>
                <c:pt idx="12">
                  <c:v>2.6873693639892504E-2</c:v>
                </c:pt>
                <c:pt idx="13">
                  <c:v>0.81343684681994954</c:v>
                </c:pt>
                <c:pt idx="14">
                  <c:v>0.26537772469393905</c:v>
                </c:pt>
                <c:pt idx="15">
                  <c:v>0.24105703194983555</c:v>
                </c:pt>
                <c:pt idx="16">
                  <c:v>0.1209316213795163</c:v>
                </c:pt>
                <c:pt idx="17">
                  <c:v>0.27411167512690354</c:v>
                </c:pt>
                <c:pt idx="18">
                  <c:v>1.2899372947148402E-2</c:v>
                </c:pt>
              </c:numCache>
            </c:numRef>
          </c:val>
          <c:smooth val="0"/>
          <c:extLst>
            <c:ext xmlns:c16="http://schemas.microsoft.com/office/drawing/2014/chart" uri="{C3380CC4-5D6E-409C-BE32-E72D297353CC}">
              <c16:uniqueId val="{00000004-BA41-4CFC-BAB9-037AEF46B3FB}"/>
            </c:ext>
          </c:extLst>
        </c:ser>
        <c:ser>
          <c:idx val="5"/>
          <c:order val="5"/>
          <c:tx>
            <c:strRef>
              <c:f>GRAFICO!$L$1</c:f>
              <c:strCache>
                <c:ptCount val="1"/>
                <c:pt idx="0">
                  <c:v>sem11</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GRAFICO!$L$2:$L$20</c:f>
              <c:numCache>
                <c:formatCode>0%</c:formatCode>
                <c:ptCount val="19"/>
                <c:pt idx="0">
                  <c:v>0.89245253192348895</c:v>
                </c:pt>
                <c:pt idx="1">
                  <c:v>0.91400418035234399</c:v>
                </c:pt>
                <c:pt idx="2">
                  <c:v>0.97957599283368169</c:v>
                </c:pt>
                <c:pt idx="3">
                  <c:v>0.81696028665273213</c:v>
                </c:pt>
                <c:pt idx="4">
                  <c:v>0.86816960286652733</c:v>
                </c:pt>
                <c:pt idx="5">
                  <c:v>0.66754255001493013</c:v>
                </c:pt>
                <c:pt idx="6">
                  <c:v>0.68742908330845021</c:v>
                </c:pt>
                <c:pt idx="7">
                  <c:v>0.63368169602866531</c:v>
                </c:pt>
                <c:pt idx="8">
                  <c:v>0.54365482233502693</c:v>
                </c:pt>
                <c:pt idx="9">
                  <c:v>0.4265750970438944</c:v>
                </c:pt>
                <c:pt idx="10">
                  <c:v>0.31818727490996424</c:v>
                </c:pt>
                <c:pt idx="11">
                  <c:v>0.61218274111675253</c:v>
                </c:pt>
                <c:pt idx="12">
                  <c:v>2.6873693639892504E-2</c:v>
                </c:pt>
                <c:pt idx="13">
                  <c:v>0.81343684681994954</c:v>
                </c:pt>
                <c:pt idx="14">
                  <c:v>0.29386383995222465</c:v>
                </c:pt>
                <c:pt idx="15">
                  <c:v>0.27411167512690354</c:v>
                </c:pt>
                <c:pt idx="16">
                  <c:v>0.16822932218572695</c:v>
                </c:pt>
                <c:pt idx="17">
                  <c:v>0.27411167512690354</c:v>
                </c:pt>
                <c:pt idx="18">
                  <c:v>4.9447596297402203E-2</c:v>
                </c:pt>
              </c:numCache>
            </c:numRef>
          </c:val>
          <c:smooth val="0"/>
          <c:extLst>
            <c:ext xmlns:c16="http://schemas.microsoft.com/office/drawing/2014/chart" uri="{C3380CC4-5D6E-409C-BE32-E72D297353CC}">
              <c16:uniqueId val="{00000005-BA41-4CFC-BAB9-037AEF46B3FB}"/>
            </c:ext>
          </c:extLst>
        </c:ser>
        <c:ser>
          <c:idx val="6"/>
          <c:order val="6"/>
          <c:tx>
            <c:strRef>
              <c:f>GRAFICO!$M$1</c:f>
              <c:strCache>
                <c:ptCount val="1"/>
                <c:pt idx="0">
                  <c:v>sem12</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val>
            <c:numRef>
              <c:f>GRAFICO!$M$2:$M$20</c:f>
              <c:numCache>
                <c:formatCode>0%</c:formatCode>
                <c:ptCount val="19"/>
                <c:pt idx="0">
                  <c:v>0.94087787399223644</c:v>
                </c:pt>
                <c:pt idx="1">
                  <c:v>0.91400418035234399</c:v>
                </c:pt>
                <c:pt idx="2">
                  <c:v>1</c:v>
                </c:pt>
                <c:pt idx="3">
                  <c:v>0.92206628844431182</c:v>
                </c:pt>
                <c:pt idx="4">
                  <c:v>0.86816960286652733</c:v>
                </c:pt>
                <c:pt idx="5">
                  <c:v>0.70677814272917383</c:v>
                </c:pt>
                <c:pt idx="6">
                  <c:v>0.73795162735144793</c:v>
                </c:pt>
                <c:pt idx="7">
                  <c:v>0.63959390862944165</c:v>
                </c:pt>
                <c:pt idx="8">
                  <c:v>0.58880262765004576</c:v>
                </c:pt>
                <c:pt idx="9">
                  <c:v>0.48202448492087291</c:v>
                </c:pt>
                <c:pt idx="10">
                  <c:v>0.36734693877551022</c:v>
                </c:pt>
                <c:pt idx="11">
                  <c:v>0.603045685279187</c:v>
                </c:pt>
                <c:pt idx="12">
                  <c:v>2.6873693639892504E-2</c:v>
                </c:pt>
                <c:pt idx="13">
                  <c:v>0.8225739026575134</c:v>
                </c:pt>
                <c:pt idx="14">
                  <c:v>0.3055538966855777</c:v>
                </c:pt>
                <c:pt idx="15">
                  <c:v>0.30304568527918813</c:v>
                </c:pt>
                <c:pt idx="16">
                  <c:v>0.18650343386085411</c:v>
                </c:pt>
                <c:pt idx="17">
                  <c:v>0.27411167512690354</c:v>
                </c:pt>
                <c:pt idx="18">
                  <c:v>5.6434756643774252E-2</c:v>
                </c:pt>
              </c:numCache>
            </c:numRef>
          </c:val>
          <c:smooth val="0"/>
          <c:extLst>
            <c:ext xmlns:c16="http://schemas.microsoft.com/office/drawing/2014/chart" uri="{C3380CC4-5D6E-409C-BE32-E72D297353CC}">
              <c16:uniqueId val="{00000006-BA41-4CFC-BAB9-037AEF46B3FB}"/>
            </c:ext>
          </c:extLst>
        </c:ser>
        <c:ser>
          <c:idx val="7"/>
          <c:order val="7"/>
          <c:tx>
            <c:strRef>
              <c:f>GRAFICO!$N$1</c:f>
              <c:strCache>
                <c:ptCount val="1"/>
                <c:pt idx="0">
                  <c:v>sem13</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val>
            <c:numRef>
              <c:f>GRAFICO!$N$2:$N$20</c:f>
              <c:numCache>
                <c:formatCode>0%</c:formatCode>
                <c:ptCount val="19"/>
                <c:pt idx="0">
                  <c:v>0.95700209017617199</c:v>
                </c:pt>
                <c:pt idx="1">
                  <c:v>1</c:v>
                </c:pt>
                <c:pt idx="2">
                  <c:v>1</c:v>
                </c:pt>
                <c:pt idx="3">
                  <c:v>0.94195282173783212</c:v>
                </c:pt>
                <c:pt idx="4">
                  <c:v>0.86816960286652733</c:v>
                </c:pt>
                <c:pt idx="5">
                  <c:v>0.72182741116751326</c:v>
                </c:pt>
                <c:pt idx="6">
                  <c:v>0.74305762914302598</c:v>
                </c:pt>
                <c:pt idx="7">
                  <c:v>0.69925350851000312</c:v>
                </c:pt>
                <c:pt idx="8">
                  <c:v>0.64322185727082815</c:v>
                </c:pt>
                <c:pt idx="9">
                  <c:v>0.5368468199462535</c:v>
                </c:pt>
                <c:pt idx="10">
                  <c:v>0.45918367346938777</c:v>
                </c:pt>
                <c:pt idx="11">
                  <c:v>0.58934010152284266</c:v>
                </c:pt>
                <c:pt idx="12">
                  <c:v>2.6873693639892504E-2</c:v>
                </c:pt>
                <c:pt idx="13">
                  <c:v>0.83171095849507692</c:v>
                </c:pt>
                <c:pt idx="14">
                  <c:v>0.31831890116452699</c:v>
                </c:pt>
                <c:pt idx="15">
                  <c:v>0.32741116751269056</c:v>
                </c:pt>
                <c:pt idx="16">
                  <c:v>0.25959988056136146</c:v>
                </c:pt>
                <c:pt idx="17">
                  <c:v>0.36091370558375663</c:v>
                </c:pt>
                <c:pt idx="18">
                  <c:v>0.23917587339504329</c:v>
                </c:pt>
              </c:numCache>
            </c:numRef>
          </c:val>
          <c:smooth val="0"/>
          <c:extLst>
            <c:ext xmlns:c16="http://schemas.microsoft.com/office/drawing/2014/chart" uri="{C3380CC4-5D6E-409C-BE32-E72D297353CC}">
              <c16:uniqueId val="{00000007-BA41-4CFC-BAB9-037AEF46B3FB}"/>
            </c:ext>
          </c:extLst>
        </c:ser>
        <c:ser>
          <c:idx val="8"/>
          <c:order val="8"/>
          <c:tx>
            <c:strRef>
              <c:f>GRAFICO!$O$1</c:f>
              <c:strCache>
                <c:ptCount val="1"/>
                <c:pt idx="0">
                  <c:v>sem14</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val>
            <c:numRef>
              <c:f>GRAFICO!$O$2:$O$20</c:f>
              <c:numCache>
                <c:formatCode>0%</c:formatCode>
                <c:ptCount val="19"/>
                <c:pt idx="0">
                  <c:v>0.95700209017617199</c:v>
                </c:pt>
                <c:pt idx="1">
                  <c:v>1</c:v>
                </c:pt>
                <c:pt idx="2">
                  <c:v>1</c:v>
                </c:pt>
                <c:pt idx="3">
                  <c:v>0.97312630636010755</c:v>
                </c:pt>
                <c:pt idx="4">
                  <c:v>0.89778335938734999</c:v>
                </c:pt>
                <c:pt idx="5">
                  <c:v>0.81430804630003806</c:v>
                </c:pt>
                <c:pt idx="6">
                  <c:v>0.74305762914302598</c:v>
                </c:pt>
                <c:pt idx="7">
                  <c:v>0.80836070468796684</c:v>
                </c:pt>
                <c:pt idx="8">
                  <c:v>0.67856076440728641</c:v>
                </c:pt>
                <c:pt idx="9">
                  <c:v>0.56067482830695847</c:v>
                </c:pt>
                <c:pt idx="10">
                  <c:v>0.43487394957983178</c:v>
                </c:pt>
                <c:pt idx="11">
                  <c:v>0.63051657211107814</c:v>
                </c:pt>
                <c:pt idx="12">
                  <c:v>2.6873693639892504E-2</c:v>
                </c:pt>
                <c:pt idx="13">
                  <c:v>0.83171095849507692</c:v>
                </c:pt>
                <c:pt idx="14">
                  <c:v>0.3266497461928935</c:v>
                </c:pt>
                <c:pt idx="15">
                  <c:v>0.33744401313825045</c:v>
                </c:pt>
                <c:pt idx="16">
                  <c:v>0.28217378321887099</c:v>
                </c:pt>
                <c:pt idx="17">
                  <c:v>0.36091370558375663</c:v>
                </c:pt>
                <c:pt idx="18">
                  <c:v>0.26766198865332935</c:v>
                </c:pt>
              </c:numCache>
            </c:numRef>
          </c:val>
          <c:smooth val="0"/>
          <c:extLst>
            <c:ext xmlns:c16="http://schemas.microsoft.com/office/drawing/2014/chart" uri="{C3380CC4-5D6E-409C-BE32-E72D297353CC}">
              <c16:uniqueId val="{00000008-BA41-4CFC-BAB9-037AEF46B3FB}"/>
            </c:ext>
          </c:extLst>
        </c:ser>
        <c:ser>
          <c:idx val="9"/>
          <c:order val="9"/>
          <c:tx>
            <c:strRef>
              <c:f>GRAFICO!$P$1</c:f>
              <c:strCache>
                <c:ptCount val="1"/>
                <c:pt idx="0">
                  <c:v>sem15</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val>
            <c:numRef>
              <c:f>GRAFICO!$P$2:$P$20</c:f>
              <c:numCache>
                <c:formatCode>0%</c:formatCode>
                <c:ptCount val="19"/>
                <c:pt idx="0">
                  <c:v>1</c:v>
                </c:pt>
                <c:pt idx="1">
                  <c:v>1</c:v>
                </c:pt>
                <c:pt idx="2">
                  <c:v>1</c:v>
                </c:pt>
                <c:pt idx="3">
                  <c:v>1</c:v>
                </c:pt>
                <c:pt idx="4">
                  <c:v>0.96288444311734966</c:v>
                </c:pt>
                <c:pt idx="5">
                  <c:v>0.89408427449809524</c:v>
                </c:pt>
                <c:pt idx="6">
                  <c:v>0.83938664746280767</c:v>
                </c:pt>
                <c:pt idx="7">
                  <c:v>0.90052342226828042</c:v>
                </c:pt>
                <c:pt idx="8">
                  <c:v>0.75246342191699034</c:v>
                </c:pt>
                <c:pt idx="9">
                  <c:v>0.6493580173186041</c:v>
                </c:pt>
                <c:pt idx="10">
                  <c:v>0.48781512605041977</c:v>
                </c:pt>
                <c:pt idx="11">
                  <c:v>0.70316512391758867</c:v>
                </c:pt>
                <c:pt idx="12">
                  <c:v>2.6873693639892504E-2</c:v>
                </c:pt>
                <c:pt idx="13">
                  <c:v>0.82553000895790085</c:v>
                </c:pt>
                <c:pt idx="14">
                  <c:v>0.35822633621976663</c:v>
                </c:pt>
                <c:pt idx="15">
                  <c:v>0.41725888324873189</c:v>
                </c:pt>
                <c:pt idx="16">
                  <c:v>0.34720812182741134</c:v>
                </c:pt>
                <c:pt idx="17">
                  <c:v>0.43857868020304541</c:v>
                </c:pt>
                <c:pt idx="18">
                  <c:v>0.24025082114063925</c:v>
                </c:pt>
              </c:numCache>
            </c:numRef>
          </c:val>
          <c:smooth val="0"/>
          <c:extLst>
            <c:ext xmlns:c16="http://schemas.microsoft.com/office/drawing/2014/chart" uri="{C3380CC4-5D6E-409C-BE32-E72D297353CC}">
              <c16:uniqueId val="{00000009-BA41-4CFC-BAB9-037AEF46B3FB}"/>
            </c:ext>
          </c:extLst>
        </c:ser>
        <c:ser>
          <c:idx val="10"/>
          <c:order val="10"/>
          <c:tx>
            <c:strRef>
              <c:f>GRAFICO!$Q$1</c:f>
              <c:strCache>
                <c:ptCount val="1"/>
                <c:pt idx="0">
                  <c:v>sem16</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val>
            <c:numRef>
              <c:f>GRAFICO!$Q$2:$Q$20</c:f>
              <c:numCache>
                <c:formatCode>0%</c:formatCode>
                <c:ptCount val="19"/>
                <c:pt idx="0">
                  <c:v>1</c:v>
                </c:pt>
                <c:pt idx="1">
                  <c:v>1</c:v>
                </c:pt>
                <c:pt idx="2">
                  <c:v>1</c:v>
                </c:pt>
                <c:pt idx="3">
                  <c:v>1</c:v>
                </c:pt>
                <c:pt idx="4">
                  <c:v>0.97363392057330689</c:v>
                </c:pt>
                <c:pt idx="5">
                  <c:v>0.93224491946674271</c:v>
                </c:pt>
                <c:pt idx="6">
                  <c:v>0.86332531220908659</c:v>
                </c:pt>
                <c:pt idx="7">
                  <c:v>0.91346495002898154</c:v>
                </c:pt>
                <c:pt idx="8">
                  <c:v>0.80878444838669994</c:v>
                </c:pt>
                <c:pt idx="9">
                  <c:v>0.66843833980292766</c:v>
                </c:pt>
                <c:pt idx="10">
                  <c:v>0.54129651860744288</c:v>
                </c:pt>
                <c:pt idx="11">
                  <c:v>0.75583756345177744</c:v>
                </c:pt>
                <c:pt idx="12">
                  <c:v>2.6873693639892504E-2</c:v>
                </c:pt>
                <c:pt idx="13">
                  <c:v>0.82714243057629444</c:v>
                </c:pt>
                <c:pt idx="14">
                  <c:v>0.35822633621976663</c:v>
                </c:pt>
                <c:pt idx="15">
                  <c:v>0.43660794266945435</c:v>
                </c:pt>
                <c:pt idx="16">
                  <c:v>0.34720812182741134</c:v>
                </c:pt>
                <c:pt idx="17">
                  <c:v>0.45577784413257688</c:v>
                </c:pt>
                <c:pt idx="18">
                  <c:v>0.27303672738130835</c:v>
                </c:pt>
              </c:numCache>
            </c:numRef>
          </c:val>
          <c:smooth val="0"/>
          <c:extLst>
            <c:ext xmlns:c16="http://schemas.microsoft.com/office/drawing/2014/chart" uri="{C3380CC4-5D6E-409C-BE32-E72D297353CC}">
              <c16:uniqueId val="{0000000A-BA41-4CFC-BAB9-037AEF46B3FB}"/>
            </c:ext>
          </c:extLst>
        </c:ser>
        <c:ser>
          <c:idx val="11"/>
          <c:order val="11"/>
          <c:tx>
            <c:strRef>
              <c:f>GRAFICO!$R$1</c:f>
              <c:strCache>
                <c:ptCount val="1"/>
                <c:pt idx="0">
                  <c:v>sem17</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val>
            <c:numRef>
              <c:f>GRAFICO!$R$2:$R$20</c:f>
              <c:numCache>
                <c:formatCode>0%</c:formatCode>
                <c:ptCount val="19"/>
                <c:pt idx="0">
                  <c:v>1</c:v>
                </c:pt>
                <c:pt idx="1">
                  <c:v>1</c:v>
                </c:pt>
                <c:pt idx="2">
                  <c:v>1</c:v>
                </c:pt>
                <c:pt idx="3">
                  <c:v>1</c:v>
                </c:pt>
                <c:pt idx="4">
                  <c:v>0.97470886831890258</c:v>
                </c:pt>
                <c:pt idx="5">
                  <c:v>0.96828904150492701</c:v>
                </c:pt>
                <c:pt idx="6">
                  <c:v>0.91231096200797446</c:v>
                </c:pt>
                <c:pt idx="7">
                  <c:v>0.91400418035234399</c:v>
                </c:pt>
                <c:pt idx="8">
                  <c:v>0.83585662094040392</c:v>
                </c:pt>
                <c:pt idx="9">
                  <c:v>0.70597193191997687</c:v>
                </c:pt>
                <c:pt idx="10">
                  <c:v>0.55102040816326525</c:v>
                </c:pt>
                <c:pt idx="11">
                  <c:v>0.80158256195879352</c:v>
                </c:pt>
                <c:pt idx="12">
                  <c:v>2.6873693639892504E-2</c:v>
                </c:pt>
                <c:pt idx="13">
                  <c:v>0.83009853687668234</c:v>
                </c:pt>
                <c:pt idx="14">
                  <c:v>0.39584950731561508</c:v>
                </c:pt>
                <c:pt idx="15">
                  <c:v>0.46930426993132407</c:v>
                </c:pt>
                <c:pt idx="16">
                  <c:v>0.34720812182741134</c:v>
                </c:pt>
                <c:pt idx="17">
                  <c:v>0.45685279187817257</c:v>
                </c:pt>
                <c:pt idx="18">
                  <c:v>0.24938787697820283</c:v>
                </c:pt>
              </c:numCache>
            </c:numRef>
          </c:val>
          <c:smooth val="0"/>
          <c:extLst>
            <c:ext xmlns:c16="http://schemas.microsoft.com/office/drawing/2014/chart" uri="{C3380CC4-5D6E-409C-BE32-E72D297353CC}">
              <c16:uniqueId val="{0000000B-BA41-4CFC-BAB9-037AEF46B3FB}"/>
            </c:ext>
          </c:extLst>
        </c:ser>
        <c:ser>
          <c:idx val="12"/>
          <c:order val="12"/>
          <c:tx>
            <c:strRef>
              <c:f>GRAFICO!$S$1</c:f>
              <c:strCache>
                <c:ptCount val="1"/>
                <c:pt idx="0">
                  <c:v>sem18</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val>
            <c:numRef>
              <c:f>GRAFICO!$S$2:$S$20</c:f>
              <c:numCache>
                <c:formatCode>0%</c:formatCode>
                <c:ptCount val="19"/>
                <c:pt idx="0">
                  <c:v>1</c:v>
                </c:pt>
                <c:pt idx="1">
                  <c:v>1</c:v>
                </c:pt>
                <c:pt idx="2">
                  <c:v>1</c:v>
                </c:pt>
                <c:pt idx="3">
                  <c:v>1</c:v>
                </c:pt>
                <c:pt idx="4">
                  <c:v>0.98708657544833467</c:v>
                </c:pt>
                <c:pt idx="5">
                  <c:v>0.98333830994326699</c:v>
                </c:pt>
                <c:pt idx="6">
                  <c:v>0.9494774559570025</c:v>
                </c:pt>
                <c:pt idx="7">
                  <c:v>0.99892505225440442</c:v>
                </c:pt>
                <c:pt idx="8">
                  <c:v>0.87016273514481901</c:v>
                </c:pt>
                <c:pt idx="9">
                  <c:v>0.72317109584950834</c:v>
                </c:pt>
                <c:pt idx="10">
                  <c:v>0.5888355342136854</c:v>
                </c:pt>
                <c:pt idx="11">
                  <c:v>0.81528814571513764</c:v>
                </c:pt>
                <c:pt idx="12">
                  <c:v>2.6873693639892504E-2</c:v>
                </c:pt>
                <c:pt idx="13">
                  <c:v>0.83009853687668234</c:v>
                </c:pt>
                <c:pt idx="14">
                  <c:v>0.42137951627351306</c:v>
                </c:pt>
                <c:pt idx="15">
                  <c:v>0.49080322484323807</c:v>
                </c:pt>
                <c:pt idx="16">
                  <c:v>0.37085697223051717</c:v>
                </c:pt>
                <c:pt idx="17">
                  <c:v>0.45685279187817257</c:v>
                </c:pt>
                <c:pt idx="18">
                  <c:v>0.32355927142430646</c:v>
                </c:pt>
              </c:numCache>
            </c:numRef>
          </c:val>
          <c:smooth val="0"/>
          <c:extLst>
            <c:ext xmlns:c16="http://schemas.microsoft.com/office/drawing/2014/chart" uri="{C3380CC4-5D6E-409C-BE32-E72D297353CC}">
              <c16:uniqueId val="{0000000C-BA41-4CFC-BAB9-037AEF46B3FB}"/>
            </c:ext>
          </c:extLst>
        </c:ser>
        <c:ser>
          <c:idx val="13"/>
          <c:order val="13"/>
          <c:tx>
            <c:strRef>
              <c:f>GRAFICO!$T$1</c:f>
              <c:strCache>
                <c:ptCount val="1"/>
                <c:pt idx="0">
                  <c:v>sem19</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GRAFICO!$T$2:$T$20</c:f>
              <c:numCache>
                <c:formatCode>0%</c:formatCode>
                <c:ptCount val="19"/>
                <c:pt idx="0">
                  <c:v>1</c:v>
                </c:pt>
                <c:pt idx="1">
                  <c:v>1</c:v>
                </c:pt>
                <c:pt idx="2">
                  <c:v>1</c:v>
                </c:pt>
                <c:pt idx="3">
                  <c:v>1</c:v>
                </c:pt>
                <c:pt idx="4">
                  <c:v>0.99140041803523482</c:v>
                </c:pt>
                <c:pt idx="5">
                  <c:v>0.99086294416243703</c:v>
                </c:pt>
                <c:pt idx="6">
                  <c:v>0.97850104508808611</c:v>
                </c:pt>
                <c:pt idx="7">
                  <c:v>0.99946252612720221</c:v>
                </c:pt>
                <c:pt idx="8">
                  <c:v>0.87703792176769046</c:v>
                </c:pt>
                <c:pt idx="9">
                  <c:v>0.78391559669553224</c:v>
                </c:pt>
                <c:pt idx="10">
                  <c:v>0.64948979591836731</c:v>
                </c:pt>
                <c:pt idx="11">
                  <c:v>0.87011048074051822</c:v>
                </c:pt>
                <c:pt idx="12">
                  <c:v>4.9985070170200062E-2</c:v>
                </c:pt>
                <c:pt idx="13">
                  <c:v>0.83171095849507592</c:v>
                </c:pt>
                <c:pt idx="14">
                  <c:v>0.51268289041504889</c:v>
                </c:pt>
                <c:pt idx="15">
                  <c:v>0.56192893401015409</c:v>
                </c:pt>
                <c:pt idx="16">
                  <c:v>0.43320394147506758</c:v>
                </c:pt>
                <c:pt idx="17">
                  <c:v>0.54822335025380708</c:v>
                </c:pt>
                <c:pt idx="18">
                  <c:v>0.32355927142430646</c:v>
                </c:pt>
              </c:numCache>
            </c:numRef>
          </c:val>
          <c:smooth val="0"/>
          <c:extLst>
            <c:ext xmlns:c16="http://schemas.microsoft.com/office/drawing/2014/chart" uri="{C3380CC4-5D6E-409C-BE32-E72D297353CC}">
              <c16:uniqueId val="{00000000-7741-4C63-9695-80F7F053118C}"/>
            </c:ext>
          </c:extLst>
        </c:ser>
        <c:ser>
          <c:idx val="14"/>
          <c:order val="14"/>
          <c:tx>
            <c:strRef>
              <c:f>GRAFICO!$U$1</c:f>
              <c:strCache>
                <c:ptCount val="1"/>
                <c:pt idx="0">
                  <c:v>sem20</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val>
            <c:numRef>
              <c:f>GRAFICO!$U$2:$U$20</c:f>
              <c:numCache>
                <c:formatCode>0%</c:formatCode>
                <c:ptCount val="19"/>
                <c:pt idx="0">
                  <c:v>1</c:v>
                </c:pt>
                <c:pt idx="1">
                  <c:v>1</c:v>
                </c:pt>
                <c:pt idx="2">
                  <c:v>1</c:v>
                </c:pt>
                <c:pt idx="3">
                  <c:v>1</c:v>
                </c:pt>
                <c:pt idx="4">
                  <c:v>0.99140041803523482</c:v>
                </c:pt>
                <c:pt idx="5">
                  <c:v>0.99140041803523482</c:v>
                </c:pt>
                <c:pt idx="6">
                  <c:v>0.99570020901761702</c:v>
                </c:pt>
                <c:pt idx="7">
                  <c:v>1</c:v>
                </c:pt>
                <c:pt idx="8">
                  <c:v>0.92433562257390212</c:v>
                </c:pt>
                <c:pt idx="9">
                  <c:v>0.79001692047377425</c:v>
                </c:pt>
                <c:pt idx="10">
                  <c:v>0.69334129590922666</c:v>
                </c:pt>
                <c:pt idx="11">
                  <c:v>0.9050462824723815</c:v>
                </c:pt>
                <c:pt idx="12">
                  <c:v>4.9985070170200062E-2</c:v>
                </c:pt>
                <c:pt idx="13">
                  <c:v>0.83171095849507592</c:v>
                </c:pt>
                <c:pt idx="14">
                  <c:v>0.54372200656912506</c:v>
                </c:pt>
                <c:pt idx="15">
                  <c:v>0.58181546730367451</c:v>
                </c:pt>
                <c:pt idx="16">
                  <c:v>0.45228426395939114</c:v>
                </c:pt>
                <c:pt idx="17">
                  <c:v>0.57563451776649721</c:v>
                </c:pt>
                <c:pt idx="18">
                  <c:v>0.35553896685577779</c:v>
                </c:pt>
              </c:numCache>
            </c:numRef>
          </c:val>
          <c:smooth val="0"/>
          <c:extLst>
            <c:ext xmlns:c16="http://schemas.microsoft.com/office/drawing/2014/chart" uri="{C3380CC4-5D6E-409C-BE32-E72D297353CC}">
              <c16:uniqueId val="{00000000-5AAE-443F-9A02-59355CD67B5B}"/>
            </c:ext>
          </c:extLst>
        </c:ser>
        <c:ser>
          <c:idx val="15"/>
          <c:order val="15"/>
          <c:tx>
            <c:strRef>
              <c:f>GRAFICO!$V$1</c:f>
              <c:strCache>
                <c:ptCount val="1"/>
                <c:pt idx="0">
                  <c:v>sem21</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val>
            <c:numRef>
              <c:f>GRAFICO!$V$2:$V$20</c:f>
              <c:numCache>
                <c:formatCode>0%</c:formatCode>
                <c:ptCount val="19"/>
                <c:pt idx="0">
                  <c:v>1</c:v>
                </c:pt>
                <c:pt idx="1">
                  <c:v>1</c:v>
                </c:pt>
                <c:pt idx="2">
                  <c:v>1</c:v>
                </c:pt>
                <c:pt idx="3">
                  <c:v>1</c:v>
                </c:pt>
                <c:pt idx="4">
                  <c:v>0.99140041803523482</c:v>
                </c:pt>
                <c:pt idx="5">
                  <c:v>0.99140041803523482</c:v>
                </c:pt>
                <c:pt idx="6">
                  <c:v>0.99570020901761702</c:v>
                </c:pt>
                <c:pt idx="7">
                  <c:v>1</c:v>
                </c:pt>
                <c:pt idx="8">
                  <c:v>0.92433562257390212</c:v>
                </c:pt>
                <c:pt idx="9">
                  <c:v>0.81976445997927505</c:v>
                </c:pt>
                <c:pt idx="10">
                  <c:v>0.69334129590922666</c:v>
                </c:pt>
                <c:pt idx="11">
                  <c:v>0.93063601074947966</c:v>
                </c:pt>
                <c:pt idx="12">
                  <c:v>8.0621080919677512E-2</c:v>
                </c:pt>
                <c:pt idx="13">
                  <c:v>0.84541654225142182</c:v>
                </c:pt>
                <c:pt idx="14">
                  <c:v>0.56333980292624508</c:v>
                </c:pt>
                <c:pt idx="15">
                  <c:v>0.61289937294714969</c:v>
                </c:pt>
                <c:pt idx="16">
                  <c:v>0.50764407285757018</c:v>
                </c:pt>
                <c:pt idx="17">
                  <c:v>0.63959390862944165</c:v>
                </c:pt>
                <c:pt idx="18">
                  <c:v>0.42863541355628615</c:v>
                </c:pt>
              </c:numCache>
            </c:numRef>
          </c:val>
          <c:smooth val="0"/>
          <c:extLst>
            <c:ext xmlns:c16="http://schemas.microsoft.com/office/drawing/2014/chart" uri="{C3380CC4-5D6E-409C-BE32-E72D297353CC}">
              <c16:uniqueId val="{00000000-755D-48EA-9B09-CA0FA23E4A00}"/>
            </c:ext>
          </c:extLst>
        </c:ser>
        <c:ser>
          <c:idx val="16"/>
          <c:order val="16"/>
          <c:tx>
            <c:strRef>
              <c:f>GRAFICO!$W$1</c:f>
              <c:strCache>
                <c:ptCount val="1"/>
                <c:pt idx="0">
                  <c:v>sem22</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val>
            <c:numRef>
              <c:f>GRAFICO!$W$2:$W$20</c:f>
              <c:numCache>
                <c:formatCode>0%</c:formatCode>
                <c:ptCount val="19"/>
                <c:pt idx="0">
                  <c:v>1</c:v>
                </c:pt>
                <c:pt idx="1">
                  <c:v>1</c:v>
                </c:pt>
                <c:pt idx="2">
                  <c:v>1</c:v>
                </c:pt>
                <c:pt idx="3">
                  <c:v>1</c:v>
                </c:pt>
                <c:pt idx="4">
                  <c:v>0.99516273514481957</c:v>
                </c:pt>
                <c:pt idx="5">
                  <c:v>0.99140041803523482</c:v>
                </c:pt>
                <c:pt idx="6">
                  <c:v>1</c:v>
                </c:pt>
                <c:pt idx="7">
                  <c:v>1</c:v>
                </c:pt>
                <c:pt idx="8">
                  <c:v>0.95255300089578876</c:v>
                </c:pt>
                <c:pt idx="9">
                  <c:v>0.86691783909741893</c:v>
                </c:pt>
                <c:pt idx="10">
                  <c:v>0.69334129590922666</c:v>
                </c:pt>
                <c:pt idx="11">
                  <c:v>0.93923559271424362</c:v>
                </c:pt>
                <c:pt idx="12">
                  <c:v>0.16071171376881596</c:v>
                </c:pt>
                <c:pt idx="13">
                  <c:v>0.86825918184532858</c:v>
                </c:pt>
                <c:pt idx="14">
                  <c:v>0.59835025380710649</c:v>
                </c:pt>
                <c:pt idx="15">
                  <c:v>0.62400716631830488</c:v>
                </c:pt>
                <c:pt idx="16">
                  <c:v>0.54311734846222881</c:v>
                </c:pt>
                <c:pt idx="17">
                  <c:v>0.64873096446700451</c:v>
                </c:pt>
                <c:pt idx="18">
                  <c:v>0.43320394147506791</c:v>
                </c:pt>
              </c:numCache>
            </c:numRef>
          </c:val>
          <c:smooth val="0"/>
          <c:extLst>
            <c:ext xmlns:c16="http://schemas.microsoft.com/office/drawing/2014/chart" uri="{C3380CC4-5D6E-409C-BE32-E72D297353CC}">
              <c16:uniqueId val="{00000000-3C0F-4176-8ACB-C3DAEAC3D4E4}"/>
            </c:ext>
          </c:extLst>
        </c:ser>
        <c:ser>
          <c:idx val="17"/>
          <c:order val="17"/>
          <c:tx>
            <c:strRef>
              <c:f>GRAFICO!$X$1</c:f>
              <c:strCache>
                <c:ptCount val="1"/>
                <c:pt idx="0">
                  <c:v>sem23</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val>
            <c:numRef>
              <c:f>GRAFICO!$X$2:$X$20</c:f>
              <c:numCache>
                <c:formatCode>0%</c:formatCode>
                <c:ptCount val="19"/>
                <c:pt idx="0">
                  <c:v>1</c:v>
                </c:pt>
                <c:pt idx="1">
                  <c:v>1</c:v>
                </c:pt>
                <c:pt idx="2">
                  <c:v>1</c:v>
                </c:pt>
                <c:pt idx="3">
                  <c:v>1</c:v>
                </c:pt>
                <c:pt idx="4">
                  <c:v>1</c:v>
                </c:pt>
                <c:pt idx="5">
                  <c:v>0.99838757838160652</c:v>
                </c:pt>
                <c:pt idx="6">
                  <c:v>1</c:v>
                </c:pt>
                <c:pt idx="7">
                  <c:v>1</c:v>
                </c:pt>
                <c:pt idx="8">
                  <c:v>0.9544341594505813</c:v>
                </c:pt>
                <c:pt idx="9">
                  <c:v>0.88147208121827236</c:v>
                </c:pt>
                <c:pt idx="10">
                  <c:v>0.83150194087787344</c:v>
                </c:pt>
                <c:pt idx="11">
                  <c:v>0.95241863242758884</c:v>
                </c:pt>
                <c:pt idx="12">
                  <c:v>0.22762721093214855</c:v>
                </c:pt>
                <c:pt idx="13">
                  <c:v>0.86825918184532858</c:v>
                </c:pt>
                <c:pt idx="14">
                  <c:v>0.60352343983278534</c:v>
                </c:pt>
                <c:pt idx="15">
                  <c:v>0.65661391460137453</c:v>
                </c:pt>
                <c:pt idx="16">
                  <c:v>0.55171693042699455</c:v>
                </c:pt>
                <c:pt idx="17">
                  <c:v>0.73096446700507611</c:v>
                </c:pt>
                <c:pt idx="18">
                  <c:v>0.43320394147506791</c:v>
                </c:pt>
              </c:numCache>
            </c:numRef>
          </c:val>
          <c:smooth val="0"/>
          <c:extLst>
            <c:ext xmlns:c16="http://schemas.microsoft.com/office/drawing/2014/chart" uri="{C3380CC4-5D6E-409C-BE32-E72D297353CC}">
              <c16:uniqueId val="{00000000-A8DA-47AA-B87E-AAA892D5330C}"/>
            </c:ext>
          </c:extLst>
        </c:ser>
        <c:ser>
          <c:idx val="18"/>
          <c:order val="18"/>
          <c:tx>
            <c:strRef>
              <c:f>GRAFICO!$Y$1</c:f>
              <c:strCache>
                <c:ptCount val="1"/>
                <c:pt idx="0">
                  <c:v>sem24</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val>
            <c:numRef>
              <c:f>GRAFICO!$Y$2:$Y$20</c:f>
              <c:numCache>
                <c:formatCode>0%</c:formatCode>
                <c:ptCount val="19"/>
                <c:pt idx="0">
                  <c:v>1</c:v>
                </c:pt>
                <c:pt idx="1">
                  <c:v>1</c:v>
                </c:pt>
                <c:pt idx="2">
                  <c:v>1</c:v>
                </c:pt>
                <c:pt idx="3">
                  <c:v>1</c:v>
                </c:pt>
                <c:pt idx="4">
                  <c:v>1</c:v>
                </c:pt>
                <c:pt idx="5">
                  <c:v>1</c:v>
                </c:pt>
                <c:pt idx="6">
                  <c:v>1</c:v>
                </c:pt>
                <c:pt idx="7">
                  <c:v>1</c:v>
                </c:pt>
                <c:pt idx="8">
                  <c:v>0.9544341594505813</c:v>
                </c:pt>
                <c:pt idx="9">
                  <c:v>0.89365482233502358</c:v>
                </c:pt>
                <c:pt idx="10">
                  <c:v>0.88191997611227146</c:v>
                </c:pt>
                <c:pt idx="11">
                  <c:v>0.95241863242758884</c:v>
                </c:pt>
                <c:pt idx="12">
                  <c:v>0.37167020884197244</c:v>
                </c:pt>
                <c:pt idx="13">
                  <c:v>0.86825918184532858</c:v>
                </c:pt>
                <c:pt idx="14">
                  <c:v>0.60574051955807628</c:v>
                </c:pt>
                <c:pt idx="15">
                  <c:v>0.75684283865830793</c:v>
                </c:pt>
                <c:pt idx="16">
                  <c:v>0.65141833383099623</c:v>
                </c:pt>
                <c:pt idx="17">
                  <c:v>0.73096446700507611</c:v>
                </c:pt>
                <c:pt idx="18">
                  <c:v>0.4788892206628852</c:v>
                </c:pt>
              </c:numCache>
            </c:numRef>
          </c:val>
          <c:smooth val="0"/>
          <c:extLst>
            <c:ext xmlns:c16="http://schemas.microsoft.com/office/drawing/2014/chart" uri="{C3380CC4-5D6E-409C-BE32-E72D297353CC}">
              <c16:uniqueId val="{00000000-FA91-4923-8A1A-8AF8B5AB1E7A}"/>
            </c:ext>
          </c:extLst>
        </c:ser>
        <c:ser>
          <c:idx val="19"/>
          <c:order val="19"/>
          <c:tx>
            <c:strRef>
              <c:f>GRAFICO!$Z$1</c:f>
              <c:strCache>
                <c:ptCount val="1"/>
                <c:pt idx="0">
                  <c:v>sem25</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val>
            <c:numRef>
              <c:f>GRAFICO!$Z$2:$Z$20</c:f>
              <c:numCache>
                <c:formatCode>0%</c:formatCode>
                <c:ptCount val="19"/>
                <c:pt idx="0">
                  <c:v>1</c:v>
                </c:pt>
                <c:pt idx="1">
                  <c:v>1</c:v>
                </c:pt>
                <c:pt idx="2">
                  <c:v>1</c:v>
                </c:pt>
                <c:pt idx="3">
                  <c:v>1</c:v>
                </c:pt>
                <c:pt idx="4">
                  <c:v>1</c:v>
                </c:pt>
                <c:pt idx="5">
                  <c:v>1</c:v>
                </c:pt>
                <c:pt idx="6">
                  <c:v>1</c:v>
                </c:pt>
                <c:pt idx="7">
                  <c:v>1</c:v>
                </c:pt>
                <c:pt idx="8">
                  <c:v>0.9544341594505813</c:v>
                </c:pt>
                <c:pt idx="9">
                  <c:v>0.91157061809495232</c:v>
                </c:pt>
                <c:pt idx="10">
                  <c:v>0.88191997611227146</c:v>
                </c:pt>
                <c:pt idx="11">
                  <c:v>0.95241863242758884</c:v>
                </c:pt>
                <c:pt idx="12">
                  <c:v>0.59230323362548809</c:v>
                </c:pt>
                <c:pt idx="13">
                  <c:v>0.86825918184532858</c:v>
                </c:pt>
                <c:pt idx="14">
                  <c:v>0.60574051955807628</c:v>
                </c:pt>
                <c:pt idx="15">
                  <c:v>0.7854185328953931</c:v>
                </c:pt>
                <c:pt idx="16">
                  <c:v>0.67614213197969697</c:v>
                </c:pt>
                <c:pt idx="17">
                  <c:v>0.82233502538071068</c:v>
                </c:pt>
                <c:pt idx="18">
                  <c:v>0.61137653030755545</c:v>
                </c:pt>
              </c:numCache>
            </c:numRef>
          </c:val>
          <c:smooth val="0"/>
          <c:extLst>
            <c:ext xmlns:c16="http://schemas.microsoft.com/office/drawing/2014/chart" uri="{C3380CC4-5D6E-409C-BE32-E72D297353CC}">
              <c16:uniqueId val="{00000000-E688-4315-A3CF-E8A997D2B987}"/>
            </c:ext>
          </c:extLst>
        </c:ser>
        <c:ser>
          <c:idx val="20"/>
          <c:order val="20"/>
          <c:tx>
            <c:strRef>
              <c:f>GRAFICO!$AA$1</c:f>
              <c:strCache>
                <c:ptCount val="1"/>
                <c:pt idx="0">
                  <c:v>sem26</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val>
            <c:numRef>
              <c:f>GRAFICO!$AA$2:$AA$20</c:f>
              <c:numCache>
                <c:formatCode>0%</c:formatCode>
                <c:ptCount val="19"/>
                <c:pt idx="0">
                  <c:v>1</c:v>
                </c:pt>
                <c:pt idx="1">
                  <c:v>1</c:v>
                </c:pt>
                <c:pt idx="2">
                  <c:v>1</c:v>
                </c:pt>
                <c:pt idx="3">
                  <c:v>1</c:v>
                </c:pt>
                <c:pt idx="4">
                  <c:v>1</c:v>
                </c:pt>
                <c:pt idx="5">
                  <c:v>1</c:v>
                </c:pt>
                <c:pt idx="6">
                  <c:v>1</c:v>
                </c:pt>
                <c:pt idx="7">
                  <c:v>1</c:v>
                </c:pt>
                <c:pt idx="8">
                  <c:v>0.9544341594505813</c:v>
                </c:pt>
                <c:pt idx="9">
                  <c:v>0.93978799641683919</c:v>
                </c:pt>
                <c:pt idx="10">
                  <c:v>0.91963272618692027</c:v>
                </c:pt>
                <c:pt idx="11">
                  <c:v>0.95241863242758884</c:v>
                </c:pt>
                <c:pt idx="12">
                  <c:v>0.6855927142430559</c:v>
                </c:pt>
                <c:pt idx="13">
                  <c:v>0.86825918184532858</c:v>
                </c:pt>
                <c:pt idx="14">
                  <c:v>0.60869662585846496</c:v>
                </c:pt>
                <c:pt idx="15">
                  <c:v>0.82062307156365355</c:v>
                </c:pt>
                <c:pt idx="16">
                  <c:v>0.72182741116751425</c:v>
                </c:pt>
                <c:pt idx="17">
                  <c:v>0.82233502538071068</c:v>
                </c:pt>
                <c:pt idx="18">
                  <c:v>0.61137653030755545</c:v>
                </c:pt>
              </c:numCache>
            </c:numRef>
          </c:val>
          <c:smooth val="0"/>
          <c:extLst>
            <c:ext xmlns:c16="http://schemas.microsoft.com/office/drawing/2014/chart" uri="{C3380CC4-5D6E-409C-BE32-E72D297353CC}">
              <c16:uniqueId val="{00000000-3E27-4737-8F0A-49CE97CFEA01}"/>
            </c:ext>
          </c:extLst>
        </c:ser>
        <c:ser>
          <c:idx val="21"/>
          <c:order val="21"/>
          <c:tx>
            <c:strRef>
              <c:f>GRAFICO!$AB$1</c:f>
              <c:strCache>
                <c:ptCount val="1"/>
                <c:pt idx="0">
                  <c:v>sem27</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val>
            <c:numRef>
              <c:f>GRAFICO!$AB$2:$AB$20</c:f>
              <c:numCache>
                <c:formatCode>0%</c:formatCode>
                <c:ptCount val="19"/>
                <c:pt idx="0">
                  <c:v>1</c:v>
                </c:pt>
                <c:pt idx="1">
                  <c:v>1</c:v>
                </c:pt>
                <c:pt idx="2">
                  <c:v>1</c:v>
                </c:pt>
                <c:pt idx="3">
                  <c:v>1</c:v>
                </c:pt>
                <c:pt idx="4">
                  <c:v>1</c:v>
                </c:pt>
                <c:pt idx="5">
                  <c:v>1</c:v>
                </c:pt>
                <c:pt idx="6">
                  <c:v>1</c:v>
                </c:pt>
                <c:pt idx="7">
                  <c:v>1</c:v>
                </c:pt>
                <c:pt idx="8">
                  <c:v>0.9544341594505813</c:v>
                </c:pt>
                <c:pt idx="9">
                  <c:v>0.93934010152284164</c:v>
                </c:pt>
                <c:pt idx="10">
                  <c:v>0.97499253508509809</c:v>
                </c:pt>
                <c:pt idx="11">
                  <c:v>0.95241863242758884</c:v>
                </c:pt>
                <c:pt idx="12">
                  <c:v>0.92093162137951523</c:v>
                </c:pt>
                <c:pt idx="13">
                  <c:v>0.92845625559868694</c:v>
                </c:pt>
                <c:pt idx="14">
                  <c:v>0.62886023922856638</c:v>
                </c:pt>
                <c:pt idx="15">
                  <c:v>0.8617395300909263</c:v>
                </c:pt>
                <c:pt idx="16">
                  <c:v>0.7492385786802056</c:v>
                </c:pt>
                <c:pt idx="17">
                  <c:v>1</c:v>
                </c:pt>
                <c:pt idx="18">
                  <c:v>0.62965064198268261</c:v>
                </c:pt>
              </c:numCache>
            </c:numRef>
          </c:val>
          <c:smooth val="0"/>
          <c:extLst>
            <c:ext xmlns:c16="http://schemas.microsoft.com/office/drawing/2014/chart" uri="{C3380CC4-5D6E-409C-BE32-E72D297353CC}">
              <c16:uniqueId val="{00000000-D81F-4246-B4A2-5B4C02F8D64F}"/>
            </c:ext>
          </c:extLst>
        </c:ser>
        <c:dLbls>
          <c:showLegendKey val="0"/>
          <c:showVal val="0"/>
          <c:showCatName val="0"/>
          <c:showSerName val="0"/>
          <c:showPercent val="0"/>
          <c:showBubbleSize val="0"/>
        </c:dLbls>
        <c:marker val="1"/>
        <c:smooth val="0"/>
        <c:axId val="915899903"/>
        <c:axId val="380186527"/>
      </c:lineChart>
      <c:catAx>
        <c:axId val="91589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380186527"/>
        <c:crosses val="autoZero"/>
        <c:auto val="1"/>
        <c:lblAlgn val="ctr"/>
        <c:lblOffset val="100"/>
        <c:noMultiLvlLbl val="0"/>
      </c:catAx>
      <c:valAx>
        <c:axId val="3801865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15899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[CONTROL FASES SAN FRNACISCO_v1.xlsx]DINAMICA!TablaDinámica6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s-CL"/>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DINAMICA!$A$47</c:f>
              <c:strCache>
                <c:ptCount val="1"/>
                <c:pt idx="0">
                  <c:v>Máx. de PISO 1</c:v>
                </c:pt>
              </c:strCache>
            </c:strRef>
          </c:tx>
          <c:spPr>
            <a:solidFill>
              <a:schemeClr val="accent2">
                <a:shade val="44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DINAMICA!$A$48</c:f>
              <c:strCache>
                <c:ptCount val="1"/>
                <c:pt idx="0">
                  <c:v>Total</c:v>
                </c:pt>
              </c:strCache>
            </c:strRef>
          </c:cat>
          <c:val>
            <c:numRef>
              <c:f>DINAMICA!$A$48</c:f>
              <c:numCache>
                <c:formatCode>0%</c:formatCode>
                <c:ptCount val="1"/>
                <c:pt idx="0">
                  <c:v>6.0156250000000001E-2</c:v>
                </c:pt>
              </c:numCache>
            </c:numRef>
          </c:val>
          <c:extLst>
            <c:ext xmlns:c16="http://schemas.microsoft.com/office/drawing/2014/chart" uri="{C3380CC4-5D6E-409C-BE32-E72D297353CC}">
              <c16:uniqueId val="{00000000-ECD6-402E-8D8B-1DCDB481166E}"/>
            </c:ext>
          </c:extLst>
        </c:ser>
        <c:ser>
          <c:idx val="1"/>
          <c:order val="1"/>
          <c:tx>
            <c:strRef>
              <c:f>DINAMICA!$B$47</c:f>
              <c:strCache>
                <c:ptCount val="1"/>
                <c:pt idx="0">
                  <c:v>Máx. de PISO 2</c:v>
                </c:pt>
              </c:strCache>
            </c:strRef>
          </c:tx>
          <c:spPr>
            <a:solidFill>
              <a:schemeClr val="accent2">
                <a:shade val="58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DINAMICA!$A$48</c:f>
              <c:strCache>
                <c:ptCount val="1"/>
                <c:pt idx="0">
                  <c:v>Total</c:v>
                </c:pt>
              </c:strCache>
            </c:strRef>
          </c:cat>
          <c:val>
            <c:numRef>
              <c:f>DINAMICA!$B$48</c:f>
              <c:numCache>
                <c:formatCode>0%</c:formatCode>
                <c:ptCount val="1"/>
                <c:pt idx="0">
                  <c:v>2.9244186046511633E-2</c:v>
                </c:pt>
              </c:numCache>
            </c:numRef>
          </c:val>
          <c:extLst>
            <c:ext xmlns:c16="http://schemas.microsoft.com/office/drawing/2014/chart" uri="{C3380CC4-5D6E-409C-BE32-E72D297353CC}">
              <c16:uniqueId val="{00000001-ECD6-402E-8D8B-1DCDB481166E}"/>
            </c:ext>
          </c:extLst>
        </c:ser>
        <c:ser>
          <c:idx val="2"/>
          <c:order val="2"/>
          <c:tx>
            <c:strRef>
              <c:f>DINAMICA!$C$47</c:f>
              <c:strCache>
                <c:ptCount val="1"/>
                <c:pt idx="0">
                  <c:v>Máx. de PISO 3</c:v>
                </c:pt>
              </c:strCache>
            </c:strRef>
          </c:tx>
          <c:spPr>
            <a:solidFill>
              <a:schemeClr val="accent2">
                <a:shade val="72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DINAMICA!$A$48</c:f>
              <c:strCache>
                <c:ptCount val="1"/>
                <c:pt idx="0">
                  <c:v>Total</c:v>
                </c:pt>
              </c:strCache>
            </c:strRef>
          </c:cat>
          <c:val>
            <c:numRef>
              <c:f>DINAMICA!$C$48</c:f>
              <c:numCache>
                <c:formatCode>0%</c:formatCode>
                <c:ptCount val="1"/>
                <c:pt idx="0">
                  <c:v>2.2727272727272726E-3</c:v>
                </c:pt>
              </c:numCache>
            </c:numRef>
          </c:val>
          <c:extLst>
            <c:ext xmlns:c16="http://schemas.microsoft.com/office/drawing/2014/chart" uri="{C3380CC4-5D6E-409C-BE32-E72D297353CC}">
              <c16:uniqueId val="{00000002-ECD6-402E-8D8B-1DCDB481166E}"/>
            </c:ext>
          </c:extLst>
        </c:ser>
        <c:ser>
          <c:idx val="3"/>
          <c:order val="3"/>
          <c:tx>
            <c:strRef>
              <c:f>DINAMICA!$D$47</c:f>
              <c:strCache>
                <c:ptCount val="1"/>
                <c:pt idx="0">
                  <c:v>Máx. de PISO 4</c:v>
                </c:pt>
              </c:strCache>
            </c:strRef>
          </c:tx>
          <c:spPr>
            <a:solidFill>
              <a:schemeClr val="accent2">
                <a:shade val="86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DINAMICA!$A$48</c:f>
              <c:strCache>
                <c:ptCount val="1"/>
                <c:pt idx="0">
                  <c:v>Total</c:v>
                </c:pt>
              </c:strCache>
            </c:strRef>
          </c:cat>
          <c:val>
            <c:numRef>
              <c:f>DINAMICA!$D$48</c:f>
              <c:numCache>
                <c:formatCode>0%</c:formatCode>
                <c:ptCount val="1"/>
                <c:pt idx="0">
                  <c:v>0</c:v>
                </c:pt>
              </c:numCache>
            </c:numRef>
          </c:val>
          <c:extLst>
            <c:ext xmlns:c16="http://schemas.microsoft.com/office/drawing/2014/chart" uri="{C3380CC4-5D6E-409C-BE32-E72D297353CC}">
              <c16:uniqueId val="{00000003-ECD6-402E-8D8B-1DCDB481166E}"/>
            </c:ext>
          </c:extLst>
        </c:ser>
        <c:ser>
          <c:idx val="4"/>
          <c:order val="4"/>
          <c:tx>
            <c:strRef>
              <c:f>DINAMICA!$E$47</c:f>
              <c:strCache>
                <c:ptCount val="1"/>
                <c:pt idx="0">
                  <c:v>Máx. de PISO 5</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DINAMICA!$A$48</c:f>
              <c:strCache>
                <c:ptCount val="1"/>
                <c:pt idx="0">
                  <c:v>Total</c:v>
                </c:pt>
              </c:strCache>
            </c:strRef>
          </c:cat>
          <c:val>
            <c:numRef>
              <c:f>DINAMICA!$E$48</c:f>
              <c:numCache>
                <c:formatCode>0%</c:formatCode>
                <c:ptCount val="1"/>
                <c:pt idx="0">
                  <c:v>0</c:v>
                </c:pt>
              </c:numCache>
            </c:numRef>
          </c:val>
          <c:extLst>
            <c:ext xmlns:c16="http://schemas.microsoft.com/office/drawing/2014/chart" uri="{C3380CC4-5D6E-409C-BE32-E72D297353CC}">
              <c16:uniqueId val="{00000004-ECD6-402E-8D8B-1DCDB481166E}"/>
            </c:ext>
          </c:extLst>
        </c:ser>
        <c:ser>
          <c:idx val="5"/>
          <c:order val="5"/>
          <c:tx>
            <c:strRef>
              <c:f>DINAMICA!$F$47</c:f>
              <c:strCache>
                <c:ptCount val="1"/>
                <c:pt idx="0">
                  <c:v>Máx. de PISO 6</c:v>
                </c:pt>
              </c:strCache>
            </c:strRef>
          </c:tx>
          <c:spPr>
            <a:solidFill>
              <a:schemeClr val="accent2">
                <a:tint val="86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DINAMICA!$A$48</c:f>
              <c:strCache>
                <c:ptCount val="1"/>
                <c:pt idx="0">
                  <c:v>Total</c:v>
                </c:pt>
              </c:strCache>
            </c:strRef>
          </c:cat>
          <c:val>
            <c:numRef>
              <c:f>DINAMICA!$F$48</c:f>
              <c:numCache>
                <c:formatCode>0%</c:formatCode>
                <c:ptCount val="1"/>
                <c:pt idx="0">
                  <c:v>0</c:v>
                </c:pt>
              </c:numCache>
            </c:numRef>
          </c:val>
          <c:extLst>
            <c:ext xmlns:c16="http://schemas.microsoft.com/office/drawing/2014/chart" uri="{C3380CC4-5D6E-409C-BE32-E72D297353CC}">
              <c16:uniqueId val="{00000005-ECD6-402E-8D8B-1DCDB481166E}"/>
            </c:ext>
          </c:extLst>
        </c:ser>
        <c:ser>
          <c:idx val="6"/>
          <c:order val="6"/>
          <c:tx>
            <c:strRef>
              <c:f>DINAMICA!$G$47</c:f>
              <c:strCache>
                <c:ptCount val="1"/>
                <c:pt idx="0">
                  <c:v>Máx. de PISO 7</c:v>
                </c:pt>
              </c:strCache>
            </c:strRef>
          </c:tx>
          <c:spPr>
            <a:solidFill>
              <a:schemeClr val="accent2">
                <a:tint val="72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DINAMICA!$A$48</c:f>
              <c:strCache>
                <c:ptCount val="1"/>
                <c:pt idx="0">
                  <c:v>Total</c:v>
                </c:pt>
              </c:strCache>
            </c:strRef>
          </c:cat>
          <c:val>
            <c:numRef>
              <c:f>DINAMICA!$G$48</c:f>
              <c:numCache>
                <c:formatCode>0%</c:formatCode>
                <c:ptCount val="1"/>
                <c:pt idx="0">
                  <c:v>0</c:v>
                </c:pt>
              </c:numCache>
            </c:numRef>
          </c:val>
          <c:extLst>
            <c:ext xmlns:c16="http://schemas.microsoft.com/office/drawing/2014/chart" uri="{C3380CC4-5D6E-409C-BE32-E72D297353CC}">
              <c16:uniqueId val="{00000006-ECD6-402E-8D8B-1DCDB481166E}"/>
            </c:ext>
          </c:extLst>
        </c:ser>
        <c:ser>
          <c:idx val="7"/>
          <c:order val="7"/>
          <c:tx>
            <c:strRef>
              <c:f>DINAMICA!$H$47</c:f>
              <c:strCache>
                <c:ptCount val="1"/>
                <c:pt idx="0">
                  <c:v>Máx. de PISO 8</c:v>
                </c:pt>
              </c:strCache>
            </c:strRef>
          </c:tx>
          <c:spPr>
            <a:solidFill>
              <a:schemeClr val="accent2">
                <a:tint val="58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DINAMICA!$A$48</c:f>
              <c:strCache>
                <c:ptCount val="1"/>
                <c:pt idx="0">
                  <c:v>Total</c:v>
                </c:pt>
              </c:strCache>
            </c:strRef>
          </c:cat>
          <c:val>
            <c:numRef>
              <c:f>DINAMICA!$H$48</c:f>
              <c:numCache>
                <c:formatCode>0%</c:formatCode>
                <c:ptCount val="1"/>
                <c:pt idx="0">
                  <c:v>0</c:v>
                </c:pt>
              </c:numCache>
            </c:numRef>
          </c:val>
          <c:extLst>
            <c:ext xmlns:c16="http://schemas.microsoft.com/office/drawing/2014/chart" uri="{C3380CC4-5D6E-409C-BE32-E72D297353CC}">
              <c16:uniqueId val="{00000007-ECD6-402E-8D8B-1DCDB481166E}"/>
            </c:ext>
          </c:extLst>
        </c:ser>
        <c:ser>
          <c:idx val="8"/>
          <c:order val="8"/>
          <c:tx>
            <c:strRef>
              <c:f>DINAMICA!$I$47</c:f>
              <c:strCache>
                <c:ptCount val="1"/>
                <c:pt idx="0">
                  <c:v>Máx. de PISO 9</c:v>
                </c:pt>
              </c:strCache>
            </c:strRef>
          </c:tx>
          <c:spPr>
            <a:solidFill>
              <a:schemeClr val="accent2">
                <a:tint val="44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DINAMICA!$A$48</c:f>
              <c:strCache>
                <c:ptCount val="1"/>
                <c:pt idx="0">
                  <c:v>Total</c:v>
                </c:pt>
              </c:strCache>
            </c:strRef>
          </c:cat>
          <c:val>
            <c:numRef>
              <c:f>DINAMICA!$I$48</c:f>
              <c:numCache>
                <c:formatCode>0%</c:formatCode>
                <c:ptCount val="1"/>
                <c:pt idx="0">
                  <c:v>0</c:v>
                </c:pt>
              </c:numCache>
            </c:numRef>
          </c:val>
          <c:extLst>
            <c:ext xmlns:c16="http://schemas.microsoft.com/office/drawing/2014/chart" uri="{C3380CC4-5D6E-409C-BE32-E72D297353CC}">
              <c16:uniqueId val="{00000008-ECD6-402E-8D8B-1DCDB481166E}"/>
            </c:ext>
          </c:extLst>
        </c:ser>
        <c:dLbls>
          <c:dLblPos val="outEnd"/>
          <c:showLegendKey val="0"/>
          <c:showVal val="1"/>
          <c:showCatName val="0"/>
          <c:showSerName val="0"/>
          <c:showPercent val="0"/>
          <c:showBubbleSize val="0"/>
        </c:dLbls>
        <c:gapWidth val="219"/>
        <c:overlap val="-27"/>
        <c:axId val="852930656"/>
        <c:axId val="852948896"/>
      </c:barChart>
      <c:catAx>
        <c:axId val="85293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crossAx val="852948896"/>
        <c:crosses val="autoZero"/>
        <c:auto val="1"/>
        <c:lblAlgn val="ctr"/>
        <c:lblOffset val="100"/>
        <c:noMultiLvlLbl val="0"/>
      </c:catAx>
      <c:valAx>
        <c:axId val="8529488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crossAx val="85293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[CONTROL FASES SAN FRNACISCO_v1.xlsx]DINAMICA!TablaDinámica9</c:name>
    <c:fmtId val="34"/>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s-CL"/>
              <a:t>grafico</a:t>
            </a:r>
            <a:r>
              <a:rPr lang="es-CL" baseline="0"/>
              <a:t> avance general por faso</a:t>
            </a:r>
            <a:endParaRPr lang="es-CL"/>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s-CL"/>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DINAMICA!$B$4</c:f>
              <c:strCache>
                <c:ptCount val="1"/>
                <c:pt idx="0">
                  <c:v>Máx. de PISO 1</c:v>
                </c:pt>
              </c:strCache>
            </c:strRef>
          </c:tx>
          <c:spPr>
            <a:solidFill>
              <a:schemeClr val="accent2">
                <a:shade val="44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DINAMICA!$A$5:$A$6</c:f>
              <c:strCache>
                <c:ptCount val="1"/>
                <c:pt idx="0">
                  <c:v>FASE 1</c:v>
                </c:pt>
              </c:strCache>
            </c:strRef>
          </c:cat>
          <c:val>
            <c:numRef>
              <c:f>DINAMICA!$B$5:$B$6</c:f>
              <c:numCache>
                <c:formatCode>0%</c:formatCode>
                <c:ptCount val="1"/>
                <c:pt idx="0">
                  <c:v>0.24062500000000001</c:v>
                </c:pt>
              </c:numCache>
            </c:numRef>
          </c:val>
          <c:extLst>
            <c:ext xmlns:c16="http://schemas.microsoft.com/office/drawing/2014/chart" uri="{C3380CC4-5D6E-409C-BE32-E72D297353CC}">
              <c16:uniqueId val="{00000000-E8BF-49E7-8D0E-364FB1964356}"/>
            </c:ext>
          </c:extLst>
        </c:ser>
        <c:ser>
          <c:idx val="1"/>
          <c:order val="1"/>
          <c:tx>
            <c:strRef>
              <c:f>DINAMICA!$C$4</c:f>
              <c:strCache>
                <c:ptCount val="1"/>
                <c:pt idx="0">
                  <c:v>Máx. de PISO 2</c:v>
                </c:pt>
              </c:strCache>
            </c:strRef>
          </c:tx>
          <c:spPr>
            <a:solidFill>
              <a:schemeClr val="accent2">
                <a:shade val="58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DINAMICA!$A$5:$A$6</c:f>
              <c:strCache>
                <c:ptCount val="1"/>
                <c:pt idx="0">
                  <c:v>FASE 1</c:v>
                </c:pt>
              </c:strCache>
            </c:strRef>
          </c:cat>
          <c:val>
            <c:numRef>
              <c:f>DINAMICA!$C$5:$C$6</c:f>
              <c:numCache>
                <c:formatCode>0%</c:formatCode>
                <c:ptCount val="1"/>
                <c:pt idx="0">
                  <c:v>0.11697674418604653</c:v>
                </c:pt>
              </c:numCache>
            </c:numRef>
          </c:val>
          <c:extLst>
            <c:ext xmlns:c16="http://schemas.microsoft.com/office/drawing/2014/chart" uri="{C3380CC4-5D6E-409C-BE32-E72D297353CC}">
              <c16:uniqueId val="{00000001-E8BF-49E7-8D0E-364FB1964356}"/>
            </c:ext>
          </c:extLst>
        </c:ser>
        <c:ser>
          <c:idx val="2"/>
          <c:order val="2"/>
          <c:tx>
            <c:strRef>
              <c:f>DINAMICA!$D$4</c:f>
              <c:strCache>
                <c:ptCount val="1"/>
                <c:pt idx="0">
                  <c:v>Máx. de PISO 3</c:v>
                </c:pt>
              </c:strCache>
            </c:strRef>
          </c:tx>
          <c:spPr>
            <a:solidFill>
              <a:schemeClr val="accent2">
                <a:shade val="72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DINAMICA!$A$5:$A$6</c:f>
              <c:strCache>
                <c:ptCount val="1"/>
                <c:pt idx="0">
                  <c:v>FASE 1</c:v>
                </c:pt>
              </c:strCache>
            </c:strRef>
          </c:cat>
          <c:val>
            <c:numRef>
              <c:f>DINAMICA!$D$5:$D$6</c:f>
              <c:numCache>
                <c:formatCode>0%</c:formatCode>
                <c:ptCount val="1"/>
                <c:pt idx="0">
                  <c:v>9.0909090909090905E-3</c:v>
                </c:pt>
              </c:numCache>
            </c:numRef>
          </c:val>
          <c:extLst>
            <c:ext xmlns:c16="http://schemas.microsoft.com/office/drawing/2014/chart" uri="{C3380CC4-5D6E-409C-BE32-E72D297353CC}">
              <c16:uniqueId val="{00000002-E8BF-49E7-8D0E-364FB1964356}"/>
            </c:ext>
          </c:extLst>
        </c:ser>
        <c:ser>
          <c:idx val="3"/>
          <c:order val="3"/>
          <c:tx>
            <c:strRef>
              <c:f>DINAMICA!$E$4</c:f>
              <c:strCache>
                <c:ptCount val="1"/>
                <c:pt idx="0">
                  <c:v>Máx. de PISO 4</c:v>
                </c:pt>
              </c:strCache>
            </c:strRef>
          </c:tx>
          <c:spPr>
            <a:solidFill>
              <a:schemeClr val="accent2">
                <a:shade val="86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DINAMICA!$A$5:$A$6</c:f>
              <c:strCache>
                <c:ptCount val="1"/>
                <c:pt idx="0">
                  <c:v>FASE 1</c:v>
                </c:pt>
              </c:strCache>
            </c:strRef>
          </c:cat>
          <c:val>
            <c:numRef>
              <c:f>DINAMICA!$E$5:$E$6</c:f>
              <c:numCache>
                <c:formatCode>0%</c:formatCode>
                <c:ptCount val="1"/>
                <c:pt idx="0">
                  <c:v>0</c:v>
                </c:pt>
              </c:numCache>
            </c:numRef>
          </c:val>
          <c:extLst>
            <c:ext xmlns:c16="http://schemas.microsoft.com/office/drawing/2014/chart" uri="{C3380CC4-5D6E-409C-BE32-E72D297353CC}">
              <c16:uniqueId val="{00000003-E8BF-49E7-8D0E-364FB1964356}"/>
            </c:ext>
          </c:extLst>
        </c:ser>
        <c:ser>
          <c:idx val="4"/>
          <c:order val="4"/>
          <c:tx>
            <c:strRef>
              <c:f>DINAMICA!$F$4</c:f>
              <c:strCache>
                <c:ptCount val="1"/>
                <c:pt idx="0">
                  <c:v>Máx. de PISO 5</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DINAMICA!$A$5:$A$6</c:f>
              <c:strCache>
                <c:ptCount val="1"/>
                <c:pt idx="0">
                  <c:v>FASE 1</c:v>
                </c:pt>
              </c:strCache>
            </c:strRef>
          </c:cat>
          <c:val>
            <c:numRef>
              <c:f>DINAMICA!$F$5:$F$6</c:f>
              <c:numCache>
                <c:formatCode>0%</c:formatCode>
                <c:ptCount val="1"/>
                <c:pt idx="0">
                  <c:v>0</c:v>
                </c:pt>
              </c:numCache>
            </c:numRef>
          </c:val>
          <c:extLst>
            <c:ext xmlns:c16="http://schemas.microsoft.com/office/drawing/2014/chart" uri="{C3380CC4-5D6E-409C-BE32-E72D297353CC}">
              <c16:uniqueId val="{00000004-E8BF-49E7-8D0E-364FB1964356}"/>
            </c:ext>
          </c:extLst>
        </c:ser>
        <c:ser>
          <c:idx val="5"/>
          <c:order val="5"/>
          <c:tx>
            <c:strRef>
              <c:f>DINAMICA!$G$4</c:f>
              <c:strCache>
                <c:ptCount val="1"/>
                <c:pt idx="0">
                  <c:v>Máx. de PISO 6</c:v>
                </c:pt>
              </c:strCache>
            </c:strRef>
          </c:tx>
          <c:spPr>
            <a:solidFill>
              <a:schemeClr val="accent2">
                <a:tint val="86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DINAMICA!$A$5:$A$6</c:f>
              <c:strCache>
                <c:ptCount val="1"/>
                <c:pt idx="0">
                  <c:v>FASE 1</c:v>
                </c:pt>
              </c:strCache>
            </c:strRef>
          </c:cat>
          <c:val>
            <c:numRef>
              <c:f>DINAMICA!$G$5:$G$6</c:f>
              <c:numCache>
                <c:formatCode>0%</c:formatCode>
                <c:ptCount val="1"/>
                <c:pt idx="0">
                  <c:v>0</c:v>
                </c:pt>
              </c:numCache>
            </c:numRef>
          </c:val>
          <c:extLst>
            <c:ext xmlns:c16="http://schemas.microsoft.com/office/drawing/2014/chart" uri="{C3380CC4-5D6E-409C-BE32-E72D297353CC}">
              <c16:uniqueId val="{00000005-E8BF-49E7-8D0E-364FB1964356}"/>
            </c:ext>
          </c:extLst>
        </c:ser>
        <c:ser>
          <c:idx val="6"/>
          <c:order val="6"/>
          <c:tx>
            <c:strRef>
              <c:f>DINAMICA!$H$4</c:f>
              <c:strCache>
                <c:ptCount val="1"/>
                <c:pt idx="0">
                  <c:v>Máx. de PISO 7</c:v>
                </c:pt>
              </c:strCache>
            </c:strRef>
          </c:tx>
          <c:spPr>
            <a:solidFill>
              <a:schemeClr val="accent2">
                <a:tint val="72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DINAMICA!$A$5:$A$6</c:f>
              <c:strCache>
                <c:ptCount val="1"/>
                <c:pt idx="0">
                  <c:v>FASE 1</c:v>
                </c:pt>
              </c:strCache>
            </c:strRef>
          </c:cat>
          <c:val>
            <c:numRef>
              <c:f>DINAMICA!$H$5:$H$6</c:f>
              <c:numCache>
                <c:formatCode>0%</c:formatCode>
                <c:ptCount val="1"/>
                <c:pt idx="0">
                  <c:v>0</c:v>
                </c:pt>
              </c:numCache>
            </c:numRef>
          </c:val>
          <c:extLst>
            <c:ext xmlns:c16="http://schemas.microsoft.com/office/drawing/2014/chart" uri="{C3380CC4-5D6E-409C-BE32-E72D297353CC}">
              <c16:uniqueId val="{00000006-E8BF-49E7-8D0E-364FB1964356}"/>
            </c:ext>
          </c:extLst>
        </c:ser>
        <c:ser>
          <c:idx val="7"/>
          <c:order val="7"/>
          <c:tx>
            <c:strRef>
              <c:f>DINAMICA!$I$4</c:f>
              <c:strCache>
                <c:ptCount val="1"/>
                <c:pt idx="0">
                  <c:v>Máx. de PISO 8</c:v>
                </c:pt>
              </c:strCache>
            </c:strRef>
          </c:tx>
          <c:spPr>
            <a:solidFill>
              <a:schemeClr val="accent2">
                <a:tint val="58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DINAMICA!$A$5:$A$6</c:f>
              <c:strCache>
                <c:ptCount val="1"/>
                <c:pt idx="0">
                  <c:v>FASE 1</c:v>
                </c:pt>
              </c:strCache>
            </c:strRef>
          </c:cat>
          <c:val>
            <c:numRef>
              <c:f>DINAMICA!$I$5:$I$6</c:f>
              <c:numCache>
                <c:formatCode>0%</c:formatCode>
                <c:ptCount val="1"/>
                <c:pt idx="0">
                  <c:v>0</c:v>
                </c:pt>
              </c:numCache>
            </c:numRef>
          </c:val>
          <c:extLst>
            <c:ext xmlns:c16="http://schemas.microsoft.com/office/drawing/2014/chart" uri="{C3380CC4-5D6E-409C-BE32-E72D297353CC}">
              <c16:uniqueId val="{00000007-E8BF-49E7-8D0E-364FB1964356}"/>
            </c:ext>
          </c:extLst>
        </c:ser>
        <c:ser>
          <c:idx val="8"/>
          <c:order val="8"/>
          <c:tx>
            <c:strRef>
              <c:f>DINAMICA!$J$4</c:f>
              <c:strCache>
                <c:ptCount val="1"/>
                <c:pt idx="0">
                  <c:v>Máx. de PISO 9</c:v>
                </c:pt>
              </c:strCache>
            </c:strRef>
          </c:tx>
          <c:spPr>
            <a:solidFill>
              <a:schemeClr val="accent2">
                <a:tint val="44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DINAMICA!$A$5:$A$6</c:f>
              <c:strCache>
                <c:ptCount val="1"/>
                <c:pt idx="0">
                  <c:v>FASE 1</c:v>
                </c:pt>
              </c:strCache>
            </c:strRef>
          </c:cat>
          <c:val>
            <c:numRef>
              <c:f>DINAMICA!$J$5:$J$6</c:f>
              <c:numCache>
                <c:formatCode>0%</c:formatCode>
                <c:ptCount val="1"/>
                <c:pt idx="0">
                  <c:v>0</c:v>
                </c:pt>
              </c:numCache>
            </c:numRef>
          </c:val>
          <c:extLst>
            <c:ext xmlns:c16="http://schemas.microsoft.com/office/drawing/2014/chart" uri="{C3380CC4-5D6E-409C-BE32-E72D297353CC}">
              <c16:uniqueId val="{00000008-E8BF-49E7-8D0E-364FB1964356}"/>
            </c:ext>
          </c:extLst>
        </c:ser>
        <c:dLbls>
          <c:dLblPos val="outEnd"/>
          <c:showLegendKey val="0"/>
          <c:showVal val="1"/>
          <c:showCatName val="0"/>
          <c:showSerName val="0"/>
          <c:showPercent val="0"/>
          <c:showBubbleSize val="0"/>
        </c:dLbls>
        <c:gapWidth val="219"/>
        <c:overlap val="-27"/>
        <c:axId val="758160896"/>
        <c:axId val="758148416"/>
      </c:barChart>
      <c:catAx>
        <c:axId val="75816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crossAx val="758148416"/>
        <c:crosses val="autoZero"/>
        <c:auto val="1"/>
        <c:lblAlgn val="ctr"/>
        <c:lblOffset val="100"/>
        <c:noMultiLvlLbl val="0"/>
      </c:catAx>
      <c:valAx>
        <c:axId val="758148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crossAx val="75816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[CONTROL FASES SAN FRNACISCO_v1.xlsx]DINAMICA!TablaDinámica8</c:name>
    <c:fmtId val="32"/>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s-CL"/>
              <a:t>grafico</a:t>
            </a:r>
            <a:r>
              <a:rPr lang="es-CL" baseline="0"/>
              <a:t> avance general por fase</a:t>
            </a:r>
            <a:endParaRPr lang="es-CL"/>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s-CL"/>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DINAMICA!$B$9</c:f>
              <c:strCache>
                <c:ptCount val="1"/>
                <c:pt idx="0">
                  <c:v>Máx. de PISO 1</c:v>
                </c:pt>
              </c:strCache>
            </c:strRef>
          </c:tx>
          <c:spPr>
            <a:solidFill>
              <a:schemeClr val="accent2">
                <a:shade val="44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DINAMICA!$A$10:$A$11</c:f>
              <c:strCache>
                <c:ptCount val="1"/>
                <c:pt idx="0">
                  <c:v>FASE 2</c:v>
                </c:pt>
              </c:strCache>
            </c:strRef>
          </c:cat>
          <c:val>
            <c:numRef>
              <c:f>DINAMICA!$B$10:$B$11</c:f>
              <c:numCache>
                <c:formatCode>0%</c:formatCode>
                <c:ptCount val="1"/>
                <c:pt idx="0">
                  <c:v>0</c:v>
                </c:pt>
              </c:numCache>
            </c:numRef>
          </c:val>
          <c:extLst>
            <c:ext xmlns:c16="http://schemas.microsoft.com/office/drawing/2014/chart" uri="{C3380CC4-5D6E-409C-BE32-E72D297353CC}">
              <c16:uniqueId val="{00000000-4C92-4F2F-AE3C-B31E3A54F8CA}"/>
            </c:ext>
          </c:extLst>
        </c:ser>
        <c:ser>
          <c:idx val="1"/>
          <c:order val="1"/>
          <c:tx>
            <c:strRef>
              <c:f>DINAMICA!$C$9</c:f>
              <c:strCache>
                <c:ptCount val="1"/>
                <c:pt idx="0">
                  <c:v>Máx. de PISO 2</c:v>
                </c:pt>
              </c:strCache>
            </c:strRef>
          </c:tx>
          <c:spPr>
            <a:solidFill>
              <a:schemeClr val="accent2">
                <a:shade val="58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DINAMICA!$A$10:$A$11</c:f>
              <c:strCache>
                <c:ptCount val="1"/>
                <c:pt idx="0">
                  <c:v>FASE 2</c:v>
                </c:pt>
              </c:strCache>
            </c:strRef>
          </c:cat>
          <c:val>
            <c:numRef>
              <c:f>DINAMICA!$C$10:$C$11</c:f>
              <c:numCache>
                <c:formatCode>0%</c:formatCode>
                <c:ptCount val="1"/>
                <c:pt idx="0">
                  <c:v>0</c:v>
                </c:pt>
              </c:numCache>
            </c:numRef>
          </c:val>
          <c:extLst>
            <c:ext xmlns:c16="http://schemas.microsoft.com/office/drawing/2014/chart" uri="{C3380CC4-5D6E-409C-BE32-E72D297353CC}">
              <c16:uniqueId val="{00000001-4C92-4F2F-AE3C-B31E3A54F8CA}"/>
            </c:ext>
          </c:extLst>
        </c:ser>
        <c:ser>
          <c:idx val="2"/>
          <c:order val="2"/>
          <c:tx>
            <c:strRef>
              <c:f>DINAMICA!$D$9</c:f>
              <c:strCache>
                <c:ptCount val="1"/>
                <c:pt idx="0">
                  <c:v>Máx. de PISO 3</c:v>
                </c:pt>
              </c:strCache>
            </c:strRef>
          </c:tx>
          <c:spPr>
            <a:solidFill>
              <a:schemeClr val="accent2">
                <a:shade val="72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DINAMICA!$A$10:$A$11</c:f>
              <c:strCache>
                <c:ptCount val="1"/>
                <c:pt idx="0">
                  <c:v>FASE 2</c:v>
                </c:pt>
              </c:strCache>
            </c:strRef>
          </c:cat>
          <c:val>
            <c:numRef>
              <c:f>DINAMICA!$D$10:$D$11</c:f>
              <c:numCache>
                <c:formatCode>0%</c:formatCode>
                <c:ptCount val="1"/>
                <c:pt idx="0">
                  <c:v>0</c:v>
                </c:pt>
              </c:numCache>
            </c:numRef>
          </c:val>
          <c:extLst>
            <c:ext xmlns:c16="http://schemas.microsoft.com/office/drawing/2014/chart" uri="{C3380CC4-5D6E-409C-BE32-E72D297353CC}">
              <c16:uniqueId val="{00000002-4C92-4F2F-AE3C-B31E3A54F8CA}"/>
            </c:ext>
          </c:extLst>
        </c:ser>
        <c:ser>
          <c:idx val="3"/>
          <c:order val="3"/>
          <c:tx>
            <c:strRef>
              <c:f>DINAMICA!$E$9</c:f>
              <c:strCache>
                <c:ptCount val="1"/>
                <c:pt idx="0">
                  <c:v>Máx. de PISO 4</c:v>
                </c:pt>
              </c:strCache>
            </c:strRef>
          </c:tx>
          <c:spPr>
            <a:solidFill>
              <a:schemeClr val="accent2">
                <a:shade val="86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DINAMICA!$A$10:$A$11</c:f>
              <c:strCache>
                <c:ptCount val="1"/>
                <c:pt idx="0">
                  <c:v>FASE 2</c:v>
                </c:pt>
              </c:strCache>
            </c:strRef>
          </c:cat>
          <c:val>
            <c:numRef>
              <c:f>DINAMICA!$E$10:$E$11</c:f>
              <c:numCache>
                <c:formatCode>0%</c:formatCode>
                <c:ptCount val="1"/>
                <c:pt idx="0">
                  <c:v>0</c:v>
                </c:pt>
              </c:numCache>
            </c:numRef>
          </c:val>
          <c:extLst>
            <c:ext xmlns:c16="http://schemas.microsoft.com/office/drawing/2014/chart" uri="{C3380CC4-5D6E-409C-BE32-E72D297353CC}">
              <c16:uniqueId val="{00000003-4C92-4F2F-AE3C-B31E3A54F8CA}"/>
            </c:ext>
          </c:extLst>
        </c:ser>
        <c:ser>
          <c:idx val="4"/>
          <c:order val="4"/>
          <c:tx>
            <c:strRef>
              <c:f>DINAMICA!$F$9</c:f>
              <c:strCache>
                <c:ptCount val="1"/>
                <c:pt idx="0">
                  <c:v>Máx. de PISO 5</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DINAMICA!$A$10:$A$11</c:f>
              <c:strCache>
                <c:ptCount val="1"/>
                <c:pt idx="0">
                  <c:v>FASE 2</c:v>
                </c:pt>
              </c:strCache>
            </c:strRef>
          </c:cat>
          <c:val>
            <c:numRef>
              <c:f>DINAMICA!$F$10:$F$11</c:f>
              <c:numCache>
                <c:formatCode>0%</c:formatCode>
                <c:ptCount val="1"/>
                <c:pt idx="0">
                  <c:v>0</c:v>
                </c:pt>
              </c:numCache>
            </c:numRef>
          </c:val>
          <c:extLst>
            <c:ext xmlns:c16="http://schemas.microsoft.com/office/drawing/2014/chart" uri="{C3380CC4-5D6E-409C-BE32-E72D297353CC}">
              <c16:uniqueId val="{00000004-4C92-4F2F-AE3C-B31E3A54F8CA}"/>
            </c:ext>
          </c:extLst>
        </c:ser>
        <c:ser>
          <c:idx val="5"/>
          <c:order val="5"/>
          <c:tx>
            <c:strRef>
              <c:f>DINAMICA!$G$9</c:f>
              <c:strCache>
                <c:ptCount val="1"/>
                <c:pt idx="0">
                  <c:v>Máx. de PISO 6</c:v>
                </c:pt>
              </c:strCache>
            </c:strRef>
          </c:tx>
          <c:spPr>
            <a:solidFill>
              <a:schemeClr val="accent2">
                <a:tint val="86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DINAMICA!$A$10:$A$11</c:f>
              <c:strCache>
                <c:ptCount val="1"/>
                <c:pt idx="0">
                  <c:v>FASE 2</c:v>
                </c:pt>
              </c:strCache>
            </c:strRef>
          </c:cat>
          <c:val>
            <c:numRef>
              <c:f>DINAMICA!$G$10:$G$11</c:f>
              <c:numCache>
                <c:formatCode>0%</c:formatCode>
                <c:ptCount val="1"/>
                <c:pt idx="0">
                  <c:v>0</c:v>
                </c:pt>
              </c:numCache>
            </c:numRef>
          </c:val>
          <c:extLst>
            <c:ext xmlns:c16="http://schemas.microsoft.com/office/drawing/2014/chart" uri="{C3380CC4-5D6E-409C-BE32-E72D297353CC}">
              <c16:uniqueId val="{00000005-4C92-4F2F-AE3C-B31E3A54F8CA}"/>
            </c:ext>
          </c:extLst>
        </c:ser>
        <c:ser>
          <c:idx val="6"/>
          <c:order val="6"/>
          <c:tx>
            <c:strRef>
              <c:f>DINAMICA!$H$9</c:f>
              <c:strCache>
                <c:ptCount val="1"/>
                <c:pt idx="0">
                  <c:v>Máx. de PISO 7</c:v>
                </c:pt>
              </c:strCache>
            </c:strRef>
          </c:tx>
          <c:spPr>
            <a:solidFill>
              <a:schemeClr val="accent2">
                <a:tint val="72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DINAMICA!$A$10:$A$11</c:f>
              <c:strCache>
                <c:ptCount val="1"/>
                <c:pt idx="0">
                  <c:v>FASE 2</c:v>
                </c:pt>
              </c:strCache>
            </c:strRef>
          </c:cat>
          <c:val>
            <c:numRef>
              <c:f>DINAMICA!$H$10:$H$11</c:f>
              <c:numCache>
                <c:formatCode>0%</c:formatCode>
                <c:ptCount val="1"/>
                <c:pt idx="0">
                  <c:v>0</c:v>
                </c:pt>
              </c:numCache>
            </c:numRef>
          </c:val>
          <c:extLst>
            <c:ext xmlns:c16="http://schemas.microsoft.com/office/drawing/2014/chart" uri="{C3380CC4-5D6E-409C-BE32-E72D297353CC}">
              <c16:uniqueId val="{00000006-4C92-4F2F-AE3C-B31E3A54F8CA}"/>
            </c:ext>
          </c:extLst>
        </c:ser>
        <c:ser>
          <c:idx val="7"/>
          <c:order val="7"/>
          <c:tx>
            <c:strRef>
              <c:f>DINAMICA!$I$9</c:f>
              <c:strCache>
                <c:ptCount val="1"/>
                <c:pt idx="0">
                  <c:v>Máx. de PISO 8</c:v>
                </c:pt>
              </c:strCache>
            </c:strRef>
          </c:tx>
          <c:spPr>
            <a:solidFill>
              <a:schemeClr val="accent2">
                <a:tint val="58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DINAMICA!$A$10:$A$11</c:f>
              <c:strCache>
                <c:ptCount val="1"/>
                <c:pt idx="0">
                  <c:v>FASE 2</c:v>
                </c:pt>
              </c:strCache>
            </c:strRef>
          </c:cat>
          <c:val>
            <c:numRef>
              <c:f>DINAMICA!$I$10:$I$11</c:f>
              <c:numCache>
                <c:formatCode>0%</c:formatCode>
                <c:ptCount val="1"/>
                <c:pt idx="0">
                  <c:v>0</c:v>
                </c:pt>
              </c:numCache>
            </c:numRef>
          </c:val>
          <c:extLst>
            <c:ext xmlns:c16="http://schemas.microsoft.com/office/drawing/2014/chart" uri="{C3380CC4-5D6E-409C-BE32-E72D297353CC}">
              <c16:uniqueId val="{00000007-4C92-4F2F-AE3C-B31E3A54F8CA}"/>
            </c:ext>
          </c:extLst>
        </c:ser>
        <c:ser>
          <c:idx val="8"/>
          <c:order val="8"/>
          <c:tx>
            <c:strRef>
              <c:f>DINAMICA!$J$9</c:f>
              <c:strCache>
                <c:ptCount val="1"/>
                <c:pt idx="0">
                  <c:v>Máx. de PISO 9</c:v>
                </c:pt>
              </c:strCache>
            </c:strRef>
          </c:tx>
          <c:spPr>
            <a:solidFill>
              <a:schemeClr val="accent2">
                <a:tint val="44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DINAMICA!$A$10:$A$11</c:f>
              <c:strCache>
                <c:ptCount val="1"/>
                <c:pt idx="0">
                  <c:v>FASE 2</c:v>
                </c:pt>
              </c:strCache>
            </c:strRef>
          </c:cat>
          <c:val>
            <c:numRef>
              <c:f>DINAMICA!$J$10:$J$11</c:f>
              <c:numCache>
                <c:formatCode>0%</c:formatCode>
                <c:ptCount val="1"/>
                <c:pt idx="0">
                  <c:v>0</c:v>
                </c:pt>
              </c:numCache>
            </c:numRef>
          </c:val>
          <c:extLst>
            <c:ext xmlns:c16="http://schemas.microsoft.com/office/drawing/2014/chart" uri="{C3380CC4-5D6E-409C-BE32-E72D297353CC}">
              <c16:uniqueId val="{00000008-4C92-4F2F-AE3C-B31E3A54F8CA}"/>
            </c:ext>
          </c:extLst>
        </c:ser>
        <c:dLbls>
          <c:dLblPos val="outEnd"/>
          <c:showLegendKey val="0"/>
          <c:showVal val="1"/>
          <c:showCatName val="0"/>
          <c:showSerName val="0"/>
          <c:showPercent val="0"/>
          <c:showBubbleSize val="0"/>
        </c:dLbls>
        <c:gapWidth val="219"/>
        <c:overlap val="-27"/>
        <c:axId val="758144576"/>
        <c:axId val="758153696"/>
      </c:barChart>
      <c:catAx>
        <c:axId val="75814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crossAx val="758153696"/>
        <c:crosses val="autoZero"/>
        <c:auto val="1"/>
        <c:lblAlgn val="ctr"/>
        <c:lblOffset val="100"/>
        <c:noMultiLvlLbl val="0"/>
      </c:catAx>
      <c:valAx>
        <c:axId val="758153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crossAx val="75814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[CONTROL FASES SAN FRNACISCO_v1.xlsx]DINAMICA!TablaDinámica7</c:name>
    <c:fmtId val="32"/>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s-CL"/>
              <a:t>grafico</a:t>
            </a:r>
            <a:r>
              <a:rPr lang="es-CL" baseline="0"/>
              <a:t> de avancel general por fase</a:t>
            </a:r>
            <a:endParaRPr lang="es-CL"/>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s-CL"/>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DINAMICA!$B$13</c:f>
              <c:strCache>
                <c:ptCount val="1"/>
                <c:pt idx="0">
                  <c:v>Máx. de PISO 1</c:v>
                </c:pt>
              </c:strCache>
            </c:strRef>
          </c:tx>
          <c:spPr>
            <a:solidFill>
              <a:schemeClr val="accent2">
                <a:shade val="44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DINAMICA!$A$14:$A$15</c:f>
              <c:strCache>
                <c:ptCount val="1"/>
                <c:pt idx="0">
                  <c:v>FASE 3</c:v>
                </c:pt>
              </c:strCache>
            </c:strRef>
          </c:cat>
          <c:val>
            <c:numRef>
              <c:f>DINAMICA!$B$14:$B$15</c:f>
              <c:numCache>
                <c:formatCode>0%</c:formatCode>
                <c:ptCount val="1"/>
                <c:pt idx="0">
                  <c:v>0</c:v>
                </c:pt>
              </c:numCache>
            </c:numRef>
          </c:val>
          <c:extLst>
            <c:ext xmlns:c16="http://schemas.microsoft.com/office/drawing/2014/chart" uri="{C3380CC4-5D6E-409C-BE32-E72D297353CC}">
              <c16:uniqueId val="{00000000-EDF0-40DE-A8F2-9E4CA463BDFD}"/>
            </c:ext>
          </c:extLst>
        </c:ser>
        <c:ser>
          <c:idx val="1"/>
          <c:order val="1"/>
          <c:tx>
            <c:strRef>
              <c:f>DINAMICA!$C$13</c:f>
              <c:strCache>
                <c:ptCount val="1"/>
                <c:pt idx="0">
                  <c:v>Máx. de PISO 2</c:v>
                </c:pt>
              </c:strCache>
            </c:strRef>
          </c:tx>
          <c:spPr>
            <a:solidFill>
              <a:schemeClr val="accent2">
                <a:shade val="58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DINAMICA!$A$14:$A$15</c:f>
              <c:strCache>
                <c:ptCount val="1"/>
                <c:pt idx="0">
                  <c:v>FASE 3</c:v>
                </c:pt>
              </c:strCache>
            </c:strRef>
          </c:cat>
          <c:val>
            <c:numRef>
              <c:f>DINAMICA!$C$14:$C$15</c:f>
              <c:numCache>
                <c:formatCode>0%</c:formatCode>
                <c:ptCount val="1"/>
                <c:pt idx="0">
                  <c:v>0</c:v>
                </c:pt>
              </c:numCache>
            </c:numRef>
          </c:val>
          <c:extLst>
            <c:ext xmlns:c16="http://schemas.microsoft.com/office/drawing/2014/chart" uri="{C3380CC4-5D6E-409C-BE32-E72D297353CC}">
              <c16:uniqueId val="{00000001-EDF0-40DE-A8F2-9E4CA463BDFD}"/>
            </c:ext>
          </c:extLst>
        </c:ser>
        <c:ser>
          <c:idx val="2"/>
          <c:order val="2"/>
          <c:tx>
            <c:strRef>
              <c:f>DINAMICA!$D$13</c:f>
              <c:strCache>
                <c:ptCount val="1"/>
                <c:pt idx="0">
                  <c:v>Máx. de PISO 3</c:v>
                </c:pt>
              </c:strCache>
            </c:strRef>
          </c:tx>
          <c:spPr>
            <a:solidFill>
              <a:schemeClr val="accent2">
                <a:shade val="72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DINAMICA!$A$14:$A$15</c:f>
              <c:strCache>
                <c:ptCount val="1"/>
                <c:pt idx="0">
                  <c:v>FASE 3</c:v>
                </c:pt>
              </c:strCache>
            </c:strRef>
          </c:cat>
          <c:val>
            <c:numRef>
              <c:f>DINAMICA!$D$14:$D$15</c:f>
              <c:numCache>
                <c:formatCode>0%</c:formatCode>
                <c:ptCount val="1"/>
                <c:pt idx="0">
                  <c:v>0</c:v>
                </c:pt>
              </c:numCache>
            </c:numRef>
          </c:val>
          <c:extLst>
            <c:ext xmlns:c16="http://schemas.microsoft.com/office/drawing/2014/chart" uri="{C3380CC4-5D6E-409C-BE32-E72D297353CC}">
              <c16:uniqueId val="{00000002-EDF0-40DE-A8F2-9E4CA463BDFD}"/>
            </c:ext>
          </c:extLst>
        </c:ser>
        <c:ser>
          <c:idx val="3"/>
          <c:order val="3"/>
          <c:tx>
            <c:strRef>
              <c:f>DINAMICA!$E$13</c:f>
              <c:strCache>
                <c:ptCount val="1"/>
                <c:pt idx="0">
                  <c:v>Máx. de PISO 4</c:v>
                </c:pt>
              </c:strCache>
            </c:strRef>
          </c:tx>
          <c:spPr>
            <a:solidFill>
              <a:schemeClr val="accent2">
                <a:shade val="86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DINAMICA!$A$14:$A$15</c:f>
              <c:strCache>
                <c:ptCount val="1"/>
                <c:pt idx="0">
                  <c:v>FASE 3</c:v>
                </c:pt>
              </c:strCache>
            </c:strRef>
          </c:cat>
          <c:val>
            <c:numRef>
              <c:f>DINAMICA!$E$14:$E$15</c:f>
              <c:numCache>
                <c:formatCode>0%</c:formatCode>
                <c:ptCount val="1"/>
                <c:pt idx="0">
                  <c:v>0</c:v>
                </c:pt>
              </c:numCache>
            </c:numRef>
          </c:val>
          <c:extLst>
            <c:ext xmlns:c16="http://schemas.microsoft.com/office/drawing/2014/chart" uri="{C3380CC4-5D6E-409C-BE32-E72D297353CC}">
              <c16:uniqueId val="{00000003-EDF0-40DE-A8F2-9E4CA463BDFD}"/>
            </c:ext>
          </c:extLst>
        </c:ser>
        <c:ser>
          <c:idx val="4"/>
          <c:order val="4"/>
          <c:tx>
            <c:strRef>
              <c:f>DINAMICA!$F$13</c:f>
              <c:strCache>
                <c:ptCount val="1"/>
                <c:pt idx="0">
                  <c:v>Máx. de PISO 5</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DINAMICA!$A$14:$A$15</c:f>
              <c:strCache>
                <c:ptCount val="1"/>
                <c:pt idx="0">
                  <c:v>FASE 3</c:v>
                </c:pt>
              </c:strCache>
            </c:strRef>
          </c:cat>
          <c:val>
            <c:numRef>
              <c:f>DINAMICA!$F$14:$F$15</c:f>
              <c:numCache>
                <c:formatCode>0%</c:formatCode>
                <c:ptCount val="1"/>
                <c:pt idx="0">
                  <c:v>0</c:v>
                </c:pt>
              </c:numCache>
            </c:numRef>
          </c:val>
          <c:extLst>
            <c:ext xmlns:c16="http://schemas.microsoft.com/office/drawing/2014/chart" uri="{C3380CC4-5D6E-409C-BE32-E72D297353CC}">
              <c16:uniqueId val="{00000004-EDF0-40DE-A8F2-9E4CA463BDFD}"/>
            </c:ext>
          </c:extLst>
        </c:ser>
        <c:ser>
          <c:idx val="5"/>
          <c:order val="5"/>
          <c:tx>
            <c:strRef>
              <c:f>DINAMICA!$G$13</c:f>
              <c:strCache>
                <c:ptCount val="1"/>
                <c:pt idx="0">
                  <c:v>Máx. de PISO 6</c:v>
                </c:pt>
              </c:strCache>
            </c:strRef>
          </c:tx>
          <c:spPr>
            <a:solidFill>
              <a:schemeClr val="accent2">
                <a:tint val="86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DINAMICA!$A$14:$A$15</c:f>
              <c:strCache>
                <c:ptCount val="1"/>
                <c:pt idx="0">
                  <c:v>FASE 3</c:v>
                </c:pt>
              </c:strCache>
            </c:strRef>
          </c:cat>
          <c:val>
            <c:numRef>
              <c:f>DINAMICA!$G$14:$G$15</c:f>
              <c:numCache>
                <c:formatCode>0%</c:formatCode>
                <c:ptCount val="1"/>
                <c:pt idx="0">
                  <c:v>0</c:v>
                </c:pt>
              </c:numCache>
            </c:numRef>
          </c:val>
          <c:extLst>
            <c:ext xmlns:c16="http://schemas.microsoft.com/office/drawing/2014/chart" uri="{C3380CC4-5D6E-409C-BE32-E72D297353CC}">
              <c16:uniqueId val="{00000005-EDF0-40DE-A8F2-9E4CA463BDFD}"/>
            </c:ext>
          </c:extLst>
        </c:ser>
        <c:ser>
          <c:idx val="6"/>
          <c:order val="6"/>
          <c:tx>
            <c:strRef>
              <c:f>DINAMICA!$H$13</c:f>
              <c:strCache>
                <c:ptCount val="1"/>
                <c:pt idx="0">
                  <c:v>Máx. de PISO 7</c:v>
                </c:pt>
              </c:strCache>
            </c:strRef>
          </c:tx>
          <c:spPr>
            <a:solidFill>
              <a:schemeClr val="accent2">
                <a:tint val="72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DINAMICA!$A$14:$A$15</c:f>
              <c:strCache>
                <c:ptCount val="1"/>
                <c:pt idx="0">
                  <c:v>FASE 3</c:v>
                </c:pt>
              </c:strCache>
            </c:strRef>
          </c:cat>
          <c:val>
            <c:numRef>
              <c:f>DINAMICA!$H$14:$H$15</c:f>
              <c:numCache>
                <c:formatCode>0%</c:formatCode>
                <c:ptCount val="1"/>
                <c:pt idx="0">
                  <c:v>0</c:v>
                </c:pt>
              </c:numCache>
            </c:numRef>
          </c:val>
          <c:extLst>
            <c:ext xmlns:c16="http://schemas.microsoft.com/office/drawing/2014/chart" uri="{C3380CC4-5D6E-409C-BE32-E72D297353CC}">
              <c16:uniqueId val="{00000006-EDF0-40DE-A8F2-9E4CA463BDFD}"/>
            </c:ext>
          </c:extLst>
        </c:ser>
        <c:ser>
          <c:idx val="7"/>
          <c:order val="7"/>
          <c:tx>
            <c:strRef>
              <c:f>DINAMICA!$I$13</c:f>
              <c:strCache>
                <c:ptCount val="1"/>
                <c:pt idx="0">
                  <c:v>Máx. de PISO 8</c:v>
                </c:pt>
              </c:strCache>
            </c:strRef>
          </c:tx>
          <c:spPr>
            <a:solidFill>
              <a:schemeClr val="accent2">
                <a:tint val="58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DINAMICA!$A$14:$A$15</c:f>
              <c:strCache>
                <c:ptCount val="1"/>
                <c:pt idx="0">
                  <c:v>FASE 3</c:v>
                </c:pt>
              </c:strCache>
            </c:strRef>
          </c:cat>
          <c:val>
            <c:numRef>
              <c:f>DINAMICA!$I$14:$I$15</c:f>
              <c:numCache>
                <c:formatCode>0%</c:formatCode>
                <c:ptCount val="1"/>
                <c:pt idx="0">
                  <c:v>0</c:v>
                </c:pt>
              </c:numCache>
            </c:numRef>
          </c:val>
          <c:extLst>
            <c:ext xmlns:c16="http://schemas.microsoft.com/office/drawing/2014/chart" uri="{C3380CC4-5D6E-409C-BE32-E72D297353CC}">
              <c16:uniqueId val="{00000007-EDF0-40DE-A8F2-9E4CA463BDFD}"/>
            </c:ext>
          </c:extLst>
        </c:ser>
        <c:ser>
          <c:idx val="8"/>
          <c:order val="8"/>
          <c:tx>
            <c:strRef>
              <c:f>DINAMICA!$J$13</c:f>
              <c:strCache>
                <c:ptCount val="1"/>
                <c:pt idx="0">
                  <c:v>Máx. de PISO 9</c:v>
                </c:pt>
              </c:strCache>
            </c:strRef>
          </c:tx>
          <c:spPr>
            <a:solidFill>
              <a:schemeClr val="accent2">
                <a:tint val="44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DINAMICA!$A$14:$A$15</c:f>
              <c:strCache>
                <c:ptCount val="1"/>
                <c:pt idx="0">
                  <c:v>FASE 3</c:v>
                </c:pt>
              </c:strCache>
            </c:strRef>
          </c:cat>
          <c:val>
            <c:numRef>
              <c:f>DINAMICA!$J$14:$J$15</c:f>
              <c:numCache>
                <c:formatCode>0%</c:formatCode>
                <c:ptCount val="1"/>
                <c:pt idx="0">
                  <c:v>0</c:v>
                </c:pt>
              </c:numCache>
            </c:numRef>
          </c:val>
          <c:extLst>
            <c:ext xmlns:c16="http://schemas.microsoft.com/office/drawing/2014/chart" uri="{C3380CC4-5D6E-409C-BE32-E72D297353CC}">
              <c16:uniqueId val="{00000008-EDF0-40DE-A8F2-9E4CA463BDFD}"/>
            </c:ext>
          </c:extLst>
        </c:ser>
        <c:dLbls>
          <c:dLblPos val="outEnd"/>
          <c:showLegendKey val="0"/>
          <c:showVal val="1"/>
          <c:showCatName val="0"/>
          <c:showSerName val="0"/>
          <c:showPercent val="0"/>
          <c:showBubbleSize val="0"/>
        </c:dLbls>
        <c:gapWidth val="219"/>
        <c:overlap val="-27"/>
        <c:axId val="758198336"/>
        <c:axId val="758185376"/>
      </c:barChart>
      <c:catAx>
        <c:axId val="75819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crossAx val="758185376"/>
        <c:crosses val="autoZero"/>
        <c:auto val="1"/>
        <c:lblAlgn val="ctr"/>
        <c:lblOffset val="100"/>
        <c:noMultiLvlLbl val="0"/>
      </c:catAx>
      <c:valAx>
        <c:axId val="758185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crossAx val="75819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[CONTROL FASES SAN FRNACISCO_v1.xlsx]DINAMICA!TablaDinámica5</c:name>
    <c:fmtId val="32"/>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s-CL"/>
              <a:t>grafico</a:t>
            </a:r>
            <a:r>
              <a:rPr lang="es-CL" baseline="0"/>
              <a:t> de avance general por fase</a:t>
            </a:r>
            <a:endParaRPr lang="es-CL"/>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s-CL"/>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DINAMICA!$B$17</c:f>
              <c:strCache>
                <c:ptCount val="1"/>
                <c:pt idx="0">
                  <c:v>Máx. de PISO 1</c:v>
                </c:pt>
              </c:strCache>
            </c:strRef>
          </c:tx>
          <c:spPr>
            <a:solidFill>
              <a:schemeClr val="accent2">
                <a:shade val="44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DINAMICA!$A$18:$A$19</c:f>
              <c:strCache>
                <c:ptCount val="1"/>
                <c:pt idx="0">
                  <c:v>FASE 4</c:v>
                </c:pt>
              </c:strCache>
            </c:strRef>
          </c:cat>
          <c:val>
            <c:numRef>
              <c:f>DINAMICA!$B$18:$B$19</c:f>
              <c:numCache>
                <c:formatCode>0%</c:formatCode>
                <c:ptCount val="1"/>
                <c:pt idx="0">
                  <c:v>0</c:v>
                </c:pt>
              </c:numCache>
            </c:numRef>
          </c:val>
          <c:extLst>
            <c:ext xmlns:c16="http://schemas.microsoft.com/office/drawing/2014/chart" uri="{C3380CC4-5D6E-409C-BE32-E72D297353CC}">
              <c16:uniqueId val="{00000000-F402-494C-B488-9B4BF2ED4A13}"/>
            </c:ext>
          </c:extLst>
        </c:ser>
        <c:ser>
          <c:idx val="1"/>
          <c:order val="1"/>
          <c:tx>
            <c:strRef>
              <c:f>DINAMICA!$C$17</c:f>
              <c:strCache>
                <c:ptCount val="1"/>
                <c:pt idx="0">
                  <c:v>Máx. de PISO 2</c:v>
                </c:pt>
              </c:strCache>
            </c:strRef>
          </c:tx>
          <c:spPr>
            <a:solidFill>
              <a:schemeClr val="accent2">
                <a:shade val="58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DINAMICA!$A$18:$A$19</c:f>
              <c:strCache>
                <c:ptCount val="1"/>
                <c:pt idx="0">
                  <c:v>FASE 4</c:v>
                </c:pt>
              </c:strCache>
            </c:strRef>
          </c:cat>
          <c:val>
            <c:numRef>
              <c:f>DINAMICA!$C$18:$C$19</c:f>
              <c:numCache>
                <c:formatCode>0%</c:formatCode>
                <c:ptCount val="1"/>
                <c:pt idx="0">
                  <c:v>0</c:v>
                </c:pt>
              </c:numCache>
            </c:numRef>
          </c:val>
          <c:extLst>
            <c:ext xmlns:c16="http://schemas.microsoft.com/office/drawing/2014/chart" uri="{C3380CC4-5D6E-409C-BE32-E72D297353CC}">
              <c16:uniqueId val="{00000001-F402-494C-B488-9B4BF2ED4A13}"/>
            </c:ext>
          </c:extLst>
        </c:ser>
        <c:ser>
          <c:idx val="2"/>
          <c:order val="2"/>
          <c:tx>
            <c:strRef>
              <c:f>DINAMICA!$D$17</c:f>
              <c:strCache>
                <c:ptCount val="1"/>
                <c:pt idx="0">
                  <c:v>Máx. de PISO 3</c:v>
                </c:pt>
              </c:strCache>
            </c:strRef>
          </c:tx>
          <c:spPr>
            <a:solidFill>
              <a:schemeClr val="accent2">
                <a:shade val="72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DINAMICA!$A$18:$A$19</c:f>
              <c:strCache>
                <c:ptCount val="1"/>
                <c:pt idx="0">
                  <c:v>FASE 4</c:v>
                </c:pt>
              </c:strCache>
            </c:strRef>
          </c:cat>
          <c:val>
            <c:numRef>
              <c:f>DINAMICA!$D$18:$D$19</c:f>
              <c:numCache>
                <c:formatCode>0%</c:formatCode>
                <c:ptCount val="1"/>
                <c:pt idx="0">
                  <c:v>0</c:v>
                </c:pt>
              </c:numCache>
            </c:numRef>
          </c:val>
          <c:extLst>
            <c:ext xmlns:c16="http://schemas.microsoft.com/office/drawing/2014/chart" uri="{C3380CC4-5D6E-409C-BE32-E72D297353CC}">
              <c16:uniqueId val="{00000002-F402-494C-B488-9B4BF2ED4A13}"/>
            </c:ext>
          </c:extLst>
        </c:ser>
        <c:ser>
          <c:idx val="3"/>
          <c:order val="3"/>
          <c:tx>
            <c:strRef>
              <c:f>DINAMICA!$E$17</c:f>
              <c:strCache>
                <c:ptCount val="1"/>
                <c:pt idx="0">
                  <c:v>Máx. de PISO 4</c:v>
                </c:pt>
              </c:strCache>
            </c:strRef>
          </c:tx>
          <c:spPr>
            <a:solidFill>
              <a:schemeClr val="accent2">
                <a:shade val="86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DINAMICA!$A$18:$A$19</c:f>
              <c:strCache>
                <c:ptCount val="1"/>
                <c:pt idx="0">
                  <c:v>FASE 4</c:v>
                </c:pt>
              </c:strCache>
            </c:strRef>
          </c:cat>
          <c:val>
            <c:numRef>
              <c:f>DINAMICA!$E$18:$E$19</c:f>
              <c:numCache>
                <c:formatCode>0%</c:formatCode>
                <c:ptCount val="1"/>
                <c:pt idx="0">
                  <c:v>0</c:v>
                </c:pt>
              </c:numCache>
            </c:numRef>
          </c:val>
          <c:extLst>
            <c:ext xmlns:c16="http://schemas.microsoft.com/office/drawing/2014/chart" uri="{C3380CC4-5D6E-409C-BE32-E72D297353CC}">
              <c16:uniqueId val="{00000003-F402-494C-B488-9B4BF2ED4A13}"/>
            </c:ext>
          </c:extLst>
        </c:ser>
        <c:ser>
          <c:idx val="4"/>
          <c:order val="4"/>
          <c:tx>
            <c:strRef>
              <c:f>DINAMICA!$F$17</c:f>
              <c:strCache>
                <c:ptCount val="1"/>
                <c:pt idx="0">
                  <c:v>Máx. de PISO 5</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DINAMICA!$A$18:$A$19</c:f>
              <c:strCache>
                <c:ptCount val="1"/>
                <c:pt idx="0">
                  <c:v>FASE 4</c:v>
                </c:pt>
              </c:strCache>
            </c:strRef>
          </c:cat>
          <c:val>
            <c:numRef>
              <c:f>DINAMICA!$F$18:$F$19</c:f>
              <c:numCache>
                <c:formatCode>0%</c:formatCode>
                <c:ptCount val="1"/>
                <c:pt idx="0">
                  <c:v>0</c:v>
                </c:pt>
              </c:numCache>
            </c:numRef>
          </c:val>
          <c:extLst>
            <c:ext xmlns:c16="http://schemas.microsoft.com/office/drawing/2014/chart" uri="{C3380CC4-5D6E-409C-BE32-E72D297353CC}">
              <c16:uniqueId val="{00000004-F402-494C-B488-9B4BF2ED4A13}"/>
            </c:ext>
          </c:extLst>
        </c:ser>
        <c:ser>
          <c:idx val="5"/>
          <c:order val="5"/>
          <c:tx>
            <c:strRef>
              <c:f>DINAMICA!$G$17</c:f>
              <c:strCache>
                <c:ptCount val="1"/>
                <c:pt idx="0">
                  <c:v>Máx. de PISO 6</c:v>
                </c:pt>
              </c:strCache>
            </c:strRef>
          </c:tx>
          <c:spPr>
            <a:solidFill>
              <a:schemeClr val="accent2">
                <a:tint val="86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DINAMICA!$A$18:$A$19</c:f>
              <c:strCache>
                <c:ptCount val="1"/>
                <c:pt idx="0">
                  <c:v>FASE 4</c:v>
                </c:pt>
              </c:strCache>
            </c:strRef>
          </c:cat>
          <c:val>
            <c:numRef>
              <c:f>DINAMICA!$G$18:$G$19</c:f>
              <c:numCache>
                <c:formatCode>0%</c:formatCode>
                <c:ptCount val="1"/>
                <c:pt idx="0">
                  <c:v>0</c:v>
                </c:pt>
              </c:numCache>
            </c:numRef>
          </c:val>
          <c:extLst>
            <c:ext xmlns:c16="http://schemas.microsoft.com/office/drawing/2014/chart" uri="{C3380CC4-5D6E-409C-BE32-E72D297353CC}">
              <c16:uniqueId val="{00000005-F402-494C-B488-9B4BF2ED4A13}"/>
            </c:ext>
          </c:extLst>
        </c:ser>
        <c:ser>
          <c:idx val="6"/>
          <c:order val="6"/>
          <c:tx>
            <c:strRef>
              <c:f>DINAMICA!$H$17</c:f>
              <c:strCache>
                <c:ptCount val="1"/>
                <c:pt idx="0">
                  <c:v>Máx. de PISO 7</c:v>
                </c:pt>
              </c:strCache>
            </c:strRef>
          </c:tx>
          <c:spPr>
            <a:solidFill>
              <a:schemeClr val="accent2">
                <a:tint val="72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DINAMICA!$A$18:$A$19</c:f>
              <c:strCache>
                <c:ptCount val="1"/>
                <c:pt idx="0">
                  <c:v>FASE 4</c:v>
                </c:pt>
              </c:strCache>
            </c:strRef>
          </c:cat>
          <c:val>
            <c:numRef>
              <c:f>DINAMICA!$H$18:$H$19</c:f>
              <c:numCache>
                <c:formatCode>0%</c:formatCode>
                <c:ptCount val="1"/>
                <c:pt idx="0">
                  <c:v>0</c:v>
                </c:pt>
              </c:numCache>
            </c:numRef>
          </c:val>
          <c:extLst>
            <c:ext xmlns:c16="http://schemas.microsoft.com/office/drawing/2014/chart" uri="{C3380CC4-5D6E-409C-BE32-E72D297353CC}">
              <c16:uniqueId val="{00000006-F402-494C-B488-9B4BF2ED4A13}"/>
            </c:ext>
          </c:extLst>
        </c:ser>
        <c:ser>
          <c:idx val="7"/>
          <c:order val="7"/>
          <c:tx>
            <c:strRef>
              <c:f>DINAMICA!$I$17</c:f>
              <c:strCache>
                <c:ptCount val="1"/>
                <c:pt idx="0">
                  <c:v>Máx. de PISO 8</c:v>
                </c:pt>
              </c:strCache>
            </c:strRef>
          </c:tx>
          <c:spPr>
            <a:solidFill>
              <a:schemeClr val="accent2">
                <a:tint val="58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DINAMICA!$A$18:$A$19</c:f>
              <c:strCache>
                <c:ptCount val="1"/>
                <c:pt idx="0">
                  <c:v>FASE 4</c:v>
                </c:pt>
              </c:strCache>
            </c:strRef>
          </c:cat>
          <c:val>
            <c:numRef>
              <c:f>DINAMICA!$I$18:$I$19</c:f>
              <c:numCache>
                <c:formatCode>0%</c:formatCode>
                <c:ptCount val="1"/>
                <c:pt idx="0">
                  <c:v>0</c:v>
                </c:pt>
              </c:numCache>
            </c:numRef>
          </c:val>
          <c:extLst>
            <c:ext xmlns:c16="http://schemas.microsoft.com/office/drawing/2014/chart" uri="{C3380CC4-5D6E-409C-BE32-E72D297353CC}">
              <c16:uniqueId val="{00000007-F402-494C-B488-9B4BF2ED4A13}"/>
            </c:ext>
          </c:extLst>
        </c:ser>
        <c:ser>
          <c:idx val="8"/>
          <c:order val="8"/>
          <c:tx>
            <c:strRef>
              <c:f>DINAMICA!$J$17</c:f>
              <c:strCache>
                <c:ptCount val="1"/>
                <c:pt idx="0">
                  <c:v>Máx. de PISO 9</c:v>
                </c:pt>
              </c:strCache>
            </c:strRef>
          </c:tx>
          <c:spPr>
            <a:solidFill>
              <a:schemeClr val="accent2">
                <a:tint val="44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DINAMICA!$A$18:$A$19</c:f>
              <c:strCache>
                <c:ptCount val="1"/>
                <c:pt idx="0">
                  <c:v>FASE 4</c:v>
                </c:pt>
              </c:strCache>
            </c:strRef>
          </c:cat>
          <c:val>
            <c:numRef>
              <c:f>DINAMICA!$J$18:$J$19</c:f>
              <c:numCache>
                <c:formatCode>0%</c:formatCode>
                <c:ptCount val="1"/>
                <c:pt idx="0">
                  <c:v>0</c:v>
                </c:pt>
              </c:numCache>
            </c:numRef>
          </c:val>
          <c:extLst>
            <c:ext xmlns:c16="http://schemas.microsoft.com/office/drawing/2014/chart" uri="{C3380CC4-5D6E-409C-BE32-E72D297353CC}">
              <c16:uniqueId val="{00000008-F402-494C-B488-9B4BF2ED4A13}"/>
            </c:ext>
          </c:extLst>
        </c:ser>
        <c:dLbls>
          <c:dLblPos val="outEnd"/>
          <c:showLegendKey val="0"/>
          <c:showVal val="1"/>
          <c:showCatName val="0"/>
          <c:showSerName val="0"/>
          <c:showPercent val="0"/>
          <c:showBubbleSize val="0"/>
        </c:dLbls>
        <c:gapWidth val="219"/>
        <c:overlap val="-27"/>
        <c:axId val="758241536"/>
        <c:axId val="758240096"/>
      </c:barChart>
      <c:catAx>
        <c:axId val="75824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crossAx val="758240096"/>
        <c:crosses val="autoZero"/>
        <c:auto val="1"/>
        <c:lblAlgn val="ctr"/>
        <c:lblOffset val="100"/>
        <c:noMultiLvlLbl val="0"/>
      </c:catAx>
      <c:valAx>
        <c:axId val="758240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crossAx val="75824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4000" b="1" i="0" u="sng" strike="noStrike" kern="1200" cap="none" spc="20" baseline="0">
                <a:solidFill>
                  <a:schemeClr val="tx1">
                    <a:lumMod val="50000"/>
                    <a:lumOff val="50000"/>
                  </a:schemeClr>
                </a:solidFill>
                <a:latin typeface="+mn-lt"/>
                <a:ea typeface="+mn-ea"/>
                <a:cs typeface="+mn-cs"/>
              </a:defRPr>
            </a:pPr>
            <a:r>
              <a:rPr lang="es-CL" sz="4000" b="1" i="0" u="sng" strike="noStrike" kern="1200" cap="none" spc="20" baseline="0">
                <a:solidFill>
                  <a:sysClr val="windowText" lastClr="000000">
                    <a:lumMod val="50000"/>
                    <a:lumOff val="50000"/>
                  </a:sysClr>
                </a:solidFill>
                <a:latin typeface="+mn-lt"/>
                <a:ea typeface="+mn-ea"/>
                <a:cs typeface="+mn-cs"/>
              </a:rPr>
              <a:t>GRAFICO DE </a:t>
            </a:r>
            <a:r>
              <a:rPr lang="es-CL" sz="4000" b="1" u="sng" baseline="0"/>
              <a:t>AVANCE </a:t>
            </a:r>
            <a:endParaRPr lang="es-CL" sz="4000" b="1" u="sng"/>
          </a:p>
        </c:rich>
      </c:tx>
      <c:overlay val="0"/>
      <c:spPr>
        <a:noFill/>
        <a:ln>
          <a:noFill/>
        </a:ln>
        <a:effectLst/>
      </c:spPr>
      <c:txPr>
        <a:bodyPr rot="0" spcFirstLastPara="1" vertOverflow="ellipsis" vert="horz" wrap="square" anchor="ctr" anchorCtr="1"/>
        <a:lstStyle/>
        <a:p>
          <a:pPr>
            <a:defRPr sz="4000" b="1" i="0" u="sng" strike="noStrike" kern="1200" cap="none" spc="20" baseline="0">
              <a:solidFill>
                <a:schemeClr val="tx1">
                  <a:lumMod val="50000"/>
                  <a:lumOff val="50000"/>
                </a:schemeClr>
              </a:solidFill>
              <a:latin typeface="+mn-lt"/>
              <a:ea typeface="+mn-ea"/>
              <a:cs typeface="+mn-cs"/>
            </a:defRPr>
          </a:pPr>
          <a:endParaRPr lang="es-CL"/>
        </a:p>
      </c:txPr>
    </c:title>
    <c:autoTitleDeleted val="0"/>
    <c:plotArea>
      <c:layout/>
      <c:barChart>
        <c:barDir val="col"/>
        <c:grouping val="clustered"/>
        <c:varyColors val="0"/>
        <c:ser>
          <c:idx val="0"/>
          <c:order val="0"/>
          <c:tx>
            <c:v>PARTIDAS </c:v>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Lbls>
            <c:delete val="1"/>
          </c:dLbls>
          <c:val>
            <c:numRef>
              <c:f>'FASE 4'!#REF!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'FASE 4'!#REF!</c15:sqref>
                        </c15:formulaRef>
                      </c:ext>
                    </c:extLst>
                  </c:multiLvlStrRef>
                </c15:cat>
              </c15:filteredCategoryTitle>
            </c:ext>
            <c:ext xmlns:c16="http://schemas.microsoft.com/office/drawing/2014/chart" uri="{C3380CC4-5D6E-409C-BE32-E72D297353CC}">
              <c16:uniqueId val="{00000000-96F7-42C0-B70D-FFA574B3702D}"/>
            </c:ext>
          </c:extLst>
        </c:ser>
        <c:ser>
          <c:idx val="1"/>
          <c:order val="1"/>
          <c:tx>
            <c:v>SERIE 1</c:v>
          </c:tx>
          <c:spPr>
            <a:solidFill>
              <a:srgbClr val="FF0000"/>
            </a:solidFill>
            <a:ln w="9525" cap="flat" cmpd="sng" algn="ctr">
              <a:solidFill>
                <a:schemeClr val="tx1"/>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1" u="none" strike="noStrike" kern="1200" baseline="0">
                    <a:solidFill>
                      <a:srgbClr val="0070C0"/>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63500" cap="rnd">
                <a:solidFill>
                  <a:srgbClr val="FF0000"/>
                </a:solidFill>
              </a:ln>
              <a:effectLst/>
            </c:spPr>
            <c:trendlineType val="movingAvg"/>
            <c:period val="2"/>
            <c:dispRSqr val="0"/>
            <c:dispEq val="0"/>
          </c:trendline>
          <c:val>
            <c:numRef>
              <c:f>'FASE 4'!#REF!</c:f>
              <c:numCache>
                <c:formatCode>General</c:formatCode>
                <c:ptCount val="1"/>
                <c:pt idx="0">
                  <c:v>1</c:v>
                </c:pt>
              </c:numCache>
            </c:numRef>
          </c:val>
          <c:extLst>
            <c:ext xmlns:c16="http://schemas.microsoft.com/office/drawing/2014/chart" uri="{C3380CC4-5D6E-409C-BE32-E72D297353CC}">
              <c16:uniqueId val="{00000002-96F7-42C0-B70D-FFA574B3702D}"/>
            </c:ext>
          </c:extLst>
        </c:ser>
        <c:ser>
          <c:idx val="2"/>
          <c:order val="2"/>
          <c:tx>
            <c:v>SERIE 2</c:v>
          </c:tx>
          <c:spPr>
            <a:solidFill>
              <a:srgbClr val="FFFF00"/>
            </a:solidFill>
            <a:ln w="9525" cap="flat" cmpd="sng" algn="ctr">
              <a:solidFill>
                <a:schemeClr val="tx1"/>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0070C0"/>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63500" cap="rnd">
                <a:solidFill>
                  <a:srgbClr val="FFFF00"/>
                </a:solidFill>
              </a:ln>
              <a:effectLst/>
            </c:spPr>
            <c:trendlineType val="movingAvg"/>
            <c:period val="2"/>
            <c:dispRSqr val="0"/>
            <c:dispEq val="0"/>
          </c:trendline>
          <c:val>
            <c:numRef>
              <c:f>'FASE 4'!#REF!</c:f>
              <c:numCache>
                <c:formatCode>General</c:formatCode>
                <c:ptCount val="1"/>
                <c:pt idx="0">
                  <c:v>1</c:v>
                </c:pt>
              </c:numCache>
            </c:numRef>
          </c:val>
          <c:extLst>
            <c:ext xmlns:c16="http://schemas.microsoft.com/office/drawing/2014/chart" uri="{C3380CC4-5D6E-409C-BE32-E72D297353CC}">
              <c16:uniqueId val="{00000004-96F7-42C0-B70D-FFA574B3702D}"/>
            </c:ext>
          </c:extLst>
        </c:ser>
        <c:ser>
          <c:idx val="3"/>
          <c:order val="3"/>
          <c:tx>
            <c:v>SERIE 3 </c:v>
          </c:tx>
          <c:spPr>
            <a:solidFill>
              <a:srgbClr val="A0D565"/>
            </a:solidFill>
            <a:ln w="9525" cap="flat" cmpd="sng" algn="ctr">
              <a:solidFill>
                <a:schemeClr val="tx1"/>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rgbClr val="0070C0"/>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63500" cap="rnd">
                <a:solidFill>
                  <a:schemeClr val="accent3">
                    <a:lumMod val="60000"/>
                    <a:lumOff val="40000"/>
                  </a:schemeClr>
                </a:solidFill>
              </a:ln>
              <a:effectLst/>
            </c:spPr>
            <c:trendlineType val="movingAvg"/>
            <c:period val="2"/>
            <c:dispRSqr val="0"/>
            <c:dispEq val="0"/>
          </c:trendline>
          <c:val>
            <c:numRef>
              <c:f>'FASE 4'!#REF!</c:f>
              <c:numCache>
                <c:formatCode>General</c:formatCode>
                <c:ptCount val="1"/>
                <c:pt idx="0">
                  <c:v>1</c:v>
                </c:pt>
              </c:numCache>
            </c:numRef>
          </c:val>
          <c:extLst>
            <c:ext xmlns:c16="http://schemas.microsoft.com/office/drawing/2014/chart" uri="{C3380CC4-5D6E-409C-BE32-E72D297353CC}">
              <c16:uniqueId val="{00000006-96F7-42C0-B70D-FFA574B3702D}"/>
            </c:ext>
          </c:extLst>
        </c:ser>
        <c:dLbls>
          <c:dLblPos val="outEnd"/>
          <c:showLegendKey val="0"/>
          <c:showVal val="1"/>
          <c:showCatName val="0"/>
          <c:showSerName val="0"/>
          <c:showPercent val="0"/>
          <c:showBubbleSize val="0"/>
        </c:dLbls>
        <c:gapWidth val="100"/>
        <c:overlap val="100"/>
        <c:axId val="1352296128"/>
        <c:axId val="1138480032"/>
      </c:barChart>
      <c:lineChart>
        <c:grouping val="standard"/>
        <c:varyColors val="0"/>
        <c:ser>
          <c:idx val="4"/>
          <c:order val="4"/>
          <c:tx>
            <c:v>SERIE ROJA</c:v>
          </c:tx>
          <c:spPr>
            <a:ln w="63500" cap="rnd">
              <a:solidFill>
                <a:srgbClr val="FF0000"/>
              </a:solidFill>
              <a:round/>
            </a:ln>
            <a:effectLst>
              <a:outerShdw blurRad="40000" dist="20000" dir="5400000" rotWithShape="0">
                <a:srgbClr val="000000">
                  <a:alpha val="38000"/>
                </a:srgbClr>
              </a:outerShdw>
            </a:effectLst>
          </c:spPr>
          <c:marker>
            <c:symbol val="none"/>
          </c:marker>
          <c:dLbls>
            <c:delete val="1"/>
          </c:dLbls>
          <c:val>
            <c:numRef>
              <c:f>'FASE 4'!#REF!</c:f>
              <c:numCache>
                <c:formatCode>General</c:formatCode>
                <c:ptCount val="1"/>
                <c:pt idx="0">
                  <c:v>1</c:v>
                </c:pt>
              </c:numCache>
            </c:numRef>
          </c:val>
          <c:smooth val="0"/>
          <c:extLst>
            <c:ext xmlns:c16="http://schemas.microsoft.com/office/drawing/2014/chart" uri="{C3380CC4-5D6E-409C-BE32-E72D297353CC}">
              <c16:uniqueId val="{00000007-96F7-42C0-B70D-FFA574B3702D}"/>
            </c:ext>
          </c:extLst>
        </c:ser>
        <c:ser>
          <c:idx val="5"/>
          <c:order val="5"/>
          <c:tx>
            <c:v>SERIE AZUL</c:v>
          </c:tx>
          <c:spPr>
            <a:ln w="63500" cap="rnd">
              <a:solidFill>
                <a:srgbClr val="0070C0"/>
              </a:solidFill>
              <a:round/>
            </a:ln>
            <a:effectLst>
              <a:outerShdw blurRad="40000" dist="20000" dir="5400000" rotWithShape="0">
                <a:srgbClr val="000000">
                  <a:alpha val="38000"/>
                </a:srgbClr>
              </a:outerShdw>
            </a:effectLst>
          </c:spPr>
          <c:marker>
            <c:symbol val="none"/>
          </c:marker>
          <c:dLbls>
            <c:delete val="1"/>
          </c:dLbls>
          <c:val>
            <c:numRef>
              <c:f>'FASE 4'!#REF!</c:f>
              <c:numCache>
                <c:formatCode>General</c:formatCode>
                <c:ptCount val="1"/>
                <c:pt idx="0">
                  <c:v>1</c:v>
                </c:pt>
              </c:numCache>
            </c:numRef>
          </c:val>
          <c:smooth val="0"/>
          <c:extLst>
            <c:ext xmlns:c16="http://schemas.microsoft.com/office/drawing/2014/chart" uri="{C3380CC4-5D6E-409C-BE32-E72D297353CC}">
              <c16:uniqueId val="{00000008-96F7-42C0-B70D-FFA574B3702D}"/>
            </c:ext>
          </c:extLst>
        </c:ser>
        <c:dLbls>
          <c:showLegendKey val="0"/>
          <c:showVal val="1"/>
          <c:showCatName val="0"/>
          <c:showSerName val="0"/>
          <c:showPercent val="0"/>
          <c:showBubbleSize val="0"/>
        </c:dLbls>
        <c:marker val="1"/>
        <c:smooth val="0"/>
        <c:axId val="1352296128"/>
        <c:axId val="1138480032"/>
      </c:lineChart>
      <c:catAx>
        <c:axId val="135229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1" u="none" strike="noStrike" kern="1200" baseline="0">
                <a:solidFill>
                  <a:schemeClr val="tx1">
                    <a:lumMod val="50000"/>
                    <a:lumOff val="50000"/>
                  </a:schemeClr>
                </a:solidFill>
                <a:latin typeface="+mn-lt"/>
                <a:ea typeface="+mn-ea"/>
                <a:cs typeface="+mn-cs"/>
              </a:defRPr>
            </a:pPr>
            <a:endParaRPr lang="es-CL"/>
          </a:p>
        </c:txPr>
        <c:crossAx val="1138480032"/>
        <c:crosses val="autoZero"/>
        <c:auto val="1"/>
        <c:lblAlgn val="ctr"/>
        <c:lblOffset val="100"/>
        <c:noMultiLvlLbl val="0"/>
      </c:catAx>
      <c:valAx>
        <c:axId val="1138480032"/>
        <c:scaling>
          <c:orientation val="minMax"/>
          <c:max val="22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1" u="none" strike="noStrike" kern="1200" baseline="0">
                <a:solidFill>
                  <a:schemeClr val="tx1">
                    <a:lumMod val="50000"/>
                    <a:lumOff val="50000"/>
                  </a:schemeClr>
                </a:solidFill>
                <a:latin typeface="+mn-lt"/>
                <a:ea typeface="+mn-ea"/>
                <a:cs typeface="+mn-cs"/>
              </a:defRPr>
            </a:pPr>
            <a:endParaRPr lang="es-CL"/>
          </a:p>
        </c:txPr>
        <c:crossAx val="1352296128"/>
        <c:crosses val="autoZero"/>
        <c:crossBetween val="between"/>
        <c:majorUnit val="20"/>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[CONTROL FASES SAN FRNACISCO_v1.xlsx]Hoja2!TablaDinámica1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Gráfico Avance por Piso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209113444152811"/>
          <c:y val="0.21650687308154276"/>
          <c:w val="0.8162298046077574"/>
          <c:h val="0.66153449886560789"/>
        </c:manualLayout>
      </c:layout>
      <c:bar3DChart>
        <c:barDir val="col"/>
        <c:grouping val="clustered"/>
        <c:varyColors val="0"/>
        <c:ser>
          <c:idx val="0"/>
          <c:order val="0"/>
          <c:tx>
            <c:strRef>
              <c:f>Hoja2!$B$3</c:f>
              <c:strCache>
                <c:ptCount val="1"/>
                <c:pt idx="0">
                  <c:v>Total</c:v>
                </c:pt>
              </c:strCache>
            </c:strRef>
          </c:tx>
          <c:spPr>
            <a:solidFill>
              <a:schemeClr val="accent1"/>
            </a:solidFill>
            <a:ln>
              <a:noFill/>
            </a:ln>
            <a:effectLst/>
            <a:sp3d/>
          </c:spPr>
          <c:invertIfNegative val="0"/>
          <c:cat>
            <c:strRef>
              <c:f>Hoja2!$A$4:$A$15</c:f>
              <c:strCache>
                <c:ptCount val="11"/>
                <c:pt idx="0">
                  <c:v>PISO 2</c:v>
                </c:pt>
                <c:pt idx="1">
                  <c:v>PISO 3</c:v>
                </c:pt>
                <c:pt idx="2">
                  <c:v>PISO 4</c:v>
                </c:pt>
                <c:pt idx="3">
                  <c:v>PISO 5</c:v>
                </c:pt>
                <c:pt idx="4">
                  <c:v>PISO 6</c:v>
                </c:pt>
                <c:pt idx="5">
                  <c:v>PISO 7</c:v>
                </c:pt>
                <c:pt idx="6">
                  <c:v>PISO 8</c:v>
                </c:pt>
                <c:pt idx="7">
                  <c:v>PISO 9</c:v>
                </c:pt>
                <c:pt idx="8">
                  <c:v>PISO 10</c:v>
                </c:pt>
                <c:pt idx="9">
                  <c:v>PISO 11</c:v>
                </c:pt>
                <c:pt idx="10">
                  <c:v>PISO 12</c:v>
                </c:pt>
              </c:strCache>
            </c:strRef>
          </c:cat>
          <c:val>
            <c:numRef>
              <c:f>Hoja2!$B$4:$B$15</c:f>
              <c:numCache>
                <c:formatCode>0.00%</c:formatCode>
                <c:ptCount val="11"/>
                <c:pt idx="0">
                  <c:v>1</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B137-49BF-8AFD-ED258EE20266}"/>
            </c:ext>
          </c:extLst>
        </c:ser>
        <c:dLbls>
          <c:showLegendKey val="0"/>
          <c:showVal val="0"/>
          <c:showCatName val="0"/>
          <c:showSerName val="0"/>
          <c:showPercent val="0"/>
          <c:showBubbleSize val="0"/>
        </c:dLbls>
        <c:gapWidth val="150"/>
        <c:shape val="box"/>
        <c:axId val="307414895"/>
        <c:axId val="475980415"/>
        <c:axId val="0"/>
      </c:bar3DChart>
      <c:catAx>
        <c:axId val="307414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75980415"/>
        <c:crosses val="autoZero"/>
        <c:auto val="1"/>
        <c:lblAlgn val="ctr"/>
        <c:lblOffset val="100"/>
        <c:noMultiLvlLbl val="0"/>
      </c:catAx>
      <c:valAx>
        <c:axId val="4759804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30741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[CONTROL FASES SAN FRNACISCO_v1.xlsx]Hoja2!TablaDinámica2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Gráfico</a:t>
            </a:r>
            <a:r>
              <a:rPr lang="es-CL" baseline="0"/>
              <a:t> de Avance por Departamento</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Hoja2!$B$18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Hoja2!$A$19:$A$36</c:f>
              <c:strCache>
                <c:ptCount val="17"/>
                <c:pt idx="0">
                  <c:v>201</c:v>
                </c:pt>
                <c:pt idx="1">
                  <c:v>202</c:v>
                </c:pt>
                <c:pt idx="2">
                  <c:v>203</c:v>
                </c:pt>
                <c:pt idx="3">
                  <c:v>204</c:v>
                </c:pt>
                <c:pt idx="4">
                  <c:v>205</c:v>
                </c:pt>
                <c:pt idx="5">
                  <c:v>206</c:v>
                </c:pt>
                <c:pt idx="6">
                  <c:v>207</c:v>
                </c:pt>
                <c:pt idx="7">
                  <c:v>208</c:v>
                </c:pt>
                <c:pt idx="8">
                  <c:v>209</c:v>
                </c:pt>
                <c:pt idx="9">
                  <c:v>210</c:v>
                </c:pt>
                <c:pt idx="10">
                  <c:v>211</c:v>
                </c:pt>
                <c:pt idx="11">
                  <c:v>212</c:v>
                </c:pt>
                <c:pt idx="12">
                  <c:v>213</c:v>
                </c:pt>
                <c:pt idx="13">
                  <c:v>214</c:v>
                </c:pt>
                <c:pt idx="14">
                  <c:v>215</c:v>
                </c:pt>
                <c:pt idx="15">
                  <c:v>216</c:v>
                </c:pt>
                <c:pt idx="16">
                  <c:v>217</c:v>
                </c:pt>
              </c:strCache>
            </c:strRef>
          </c:cat>
          <c:val>
            <c:numRef>
              <c:f>Hoja2!$B$19:$B$36</c:f>
              <c:numCache>
                <c:formatCode>0.00%</c:formatCode>
                <c:ptCount val="17"/>
                <c:pt idx="0">
                  <c:v>5.0483803113167865E-2</c:v>
                </c:pt>
                <c:pt idx="1">
                  <c:v>5.0483803113167865E-2</c:v>
                </c:pt>
                <c:pt idx="2">
                  <c:v>5.0483803113167865E-2</c:v>
                </c:pt>
                <c:pt idx="3">
                  <c:v>5.0483803113167865E-2</c:v>
                </c:pt>
                <c:pt idx="4">
                  <c:v>5.0483803113167865E-2</c:v>
                </c:pt>
                <c:pt idx="5">
                  <c:v>5.0483803113167865E-2</c:v>
                </c:pt>
                <c:pt idx="6">
                  <c:v>5.0483803113167865E-2</c:v>
                </c:pt>
                <c:pt idx="7">
                  <c:v>5.0483803113167865E-2</c:v>
                </c:pt>
                <c:pt idx="8">
                  <c:v>5.0483803113167865E-2</c:v>
                </c:pt>
                <c:pt idx="9">
                  <c:v>5.0483803113167865E-2</c:v>
                </c:pt>
                <c:pt idx="10">
                  <c:v>8.166222596176323E-2</c:v>
                </c:pt>
                <c:pt idx="11">
                  <c:v>8.2410134156032364E-2</c:v>
                </c:pt>
                <c:pt idx="12">
                  <c:v>9.0029448885149341E-2</c:v>
                </c:pt>
                <c:pt idx="13">
                  <c:v>8.9889216098723898E-2</c:v>
                </c:pt>
                <c:pt idx="14">
                  <c:v>5.5812648997335582E-2</c:v>
                </c:pt>
                <c:pt idx="15">
                  <c:v>4.7679147384658539E-2</c:v>
                </c:pt>
                <c:pt idx="16">
                  <c:v>4.7679147384658539E-2</c:v>
                </c:pt>
              </c:numCache>
            </c:numRef>
          </c:val>
          <c:smooth val="0"/>
          <c:extLst>
            <c:ext xmlns:c16="http://schemas.microsoft.com/office/drawing/2014/chart" uri="{C3380CC4-5D6E-409C-BE32-E72D297353CC}">
              <c16:uniqueId val="{00000000-AE00-4E7D-AE48-BADFB19C094D}"/>
            </c:ext>
          </c:extLst>
        </c:ser>
        <c:dLbls>
          <c:showLegendKey val="0"/>
          <c:showVal val="0"/>
          <c:showCatName val="0"/>
          <c:showSerName val="0"/>
          <c:showPercent val="0"/>
          <c:showBubbleSize val="0"/>
        </c:dLbls>
        <c:marker val="1"/>
        <c:smooth val="0"/>
        <c:axId val="583135823"/>
        <c:axId val="312594735"/>
      </c:lineChart>
      <c:catAx>
        <c:axId val="58313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312594735"/>
        <c:crosses val="autoZero"/>
        <c:auto val="1"/>
        <c:lblAlgn val="ctr"/>
        <c:lblOffset val="100"/>
        <c:noMultiLvlLbl val="0"/>
      </c:catAx>
      <c:valAx>
        <c:axId val="312594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8313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2800"/>
              <a:t>GRAFICO</a:t>
            </a:r>
            <a:r>
              <a:rPr lang="es-CL" sz="2800" baseline="0"/>
              <a:t> DE AVANCE POR PISO</a:t>
            </a:r>
          </a:p>
        </c:rich>
      </c:tx>
      <c:layout>
        <c:manualLayout>
          <c:xMode val="edge"/>
          <c:yMode val="edge"/>
          <c:x val="0.23840415288237785"/>
          <c:y val="5.54592821880360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15"/>
      <c:rotY val="4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4153294045562942E-2"/>
          <c:y val="0.15710038076098773"/>
          <c:w val="0.88626325592852573"/>
          <c:h val="0.70930518482901372"/>
        </c:manualLayout>
      </c:layout>
      <c:bar3DChart>
        <c:barDir val="col"/>
        <c:grouping val="standard"/>
        <c:varyColors val="0"/>
        <c:ser>
          <c:idx val="0"/>
          <c:order val="0"/>
          <c:tx>
            <c:strRef>
              <c:f>'SEGUIMIENTO R.CRITICA'!$B$23</c:f>
              <c:strCache>
                <c:ptCount val="1"/>
                <c:pt idx="0">
                  <c:v>PISO 2</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20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'SEGUIMIENTO R.CRITICA'!$C$23:$V$23</c15:sqref>
                  </c15:fullRef>
                </c:ext>
              </c:extLst>
              <c:f>'SEGUIMIENTO R.CRITICA'!$V$23</c:f>
              <c:numCache>
                <c:formatCode>0%</c:formatCode>
                <c:ptCount val="1"/>
                <c:pt idx="0">
                  <c:v>0</c:v>
                </c:pt>
              </c:numCache>
            </c:numRef>
          </c:val>
          <c:extLst>
            <c:ext xmlns:c16="http://schemas.microsoft.com/office/drawing/2014/chart" uri="{C3380CC4-5D6E-409C-BE32-E72D297353CC}">
              <c16:uniqueId val="{00000000-DBEC-4077-875F-0B32695C1D3C}"/>
            </c:ext>
          </c:extLst>
        </c:ser>
        <c:ser>
          <c:idx val="1"/>
          <c:order val="1"/>
          <c:tx>
            <c:strRef>
              <c:f>'SEGUIMIENTO R.CRITICA'!$B$41</c:f>
              <c:strCache>
                <c:ptCount val="1"/>
                <c:pt idx="0">
                  <c:v>PISO 3</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20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'SEGUIMIENTO R.CRITICA'!$C$41:$V$41</c15:sqref>
                  </c15:fullRef>
                </c:ext>
              </c:extLst>
              <c:f>'SEGUIMIENTO R.CRITICA'!$V$41</c:f>
              <c:numCache>
                <c:formatCode>0%</c:formatCode>
                <c:ptCount val="1"/>
                <c:pt idx="0">
                  <c:v>0</c:v>
                </c:pt>
              </c:numCache>
            </c:numRef>
          </c:val>
          <c:extLst>
            <c:ext xmlns:c16="http://schemas.microsoft.com/office/drawing/2014/chart" uri="{C3380CC4-5D6E-409C-BE32-E72D297353CC}">
              <c16:uniqueId val="{00000001-DBEC-4077-875F-0B32695C1D3C}"/>
            </c:ext>
          </c:extLst>
        </c:ser>
        <c:ser>
          <c:idx val="2"/>
          <c:order val="2"/>
          <c:tx>
            <c:strRef>
              <c:f>'SEGUIMIENTO R.CRITICA'!$B$89</c:f>
              <c:strCache>
                <c:ptCount val="1"/>
                <c:pt idx="0">
                  <c:v>PISO 4</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20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'SEGUIMIENTO R.CRITICA'!$C$89:$V$89</c15:sqref>
                  </c15:fullRef>
                </c:ext>
              </c:extLst>
              <c:f>'SEGUIMIENTO R.CRITICA'!$V$89</c:f>
              <c:numCache>
                <c:formatCode>0%</c:formatCode>
                <c:ptCount val="1"/>
                <c:pt idx="0">
                  <c:v>0</c:v>
                </c:pt>
              </c:numCache>
            </c:numRef>
          </c:val>
          <c:extLst>
            <c:ext xmlns:c16="http://schemas.microsoft.com/office/drawing/2014/chart" uri="{C3380CC4-5D6E-409C-BE32-E72D297353CC}">
              <c16:uniqueId val="{00000002-DBEC-4077-875F-0B32695C1D3C}"/>
            </c:ext>
          </c:extLst>
        </c:ser>
        <c:ser>
          <c:idx val="3"/>
          <c:order val="3"/>
          <c:tx>
            <c:strRef>
              <c:f>'SEGUIMIENTO R.CRITICA'!$B$107</c:f>
              <c:strCache>
                <c:ptCount val="1"/>
                <c:pt idx="0">
                  <c:v>PISO 5</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20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'SEGUIMIENTO R.CRITICA'!$C$107:$V$107</c15:sqref>
                  </c15:fullRef>
                </c:ext>
              </c:extLst>
              <c:f>'SEGUIMIENTO R.CRITICA'!$V$107</c:f>
              <c:numCache>
                <c:formatCode>0%</c:formatCode>
                <c:ptCount val="1"/>
                <c:pt idx="0">
                  <c:v>0</c:v>
                </c:pt>
              </c:numCache>
            </c:numRef>
          </c:val>
          <c:extLst>
            <c:ext xmlns:c16="http://schemas.microsoft.com/office/drawing/2014/chart" uri="{C3380CC4-5D6E-409C-BE32-E72D297353CC}">
              <c16:uniqueId val="{00000003-DBEC-4077-875F-0B32695C1D3C}"/>
            </c:ext>
          </c:extLst>
        </c:ser>
        <c:ser>
          <c:idx val="4"/>
          <c:order val="4"/>
          <c:tx>
            <c:strRef>
              <c:f>'SEGUIMIENTO R.CRITICA'!$B$125</c:f>
              <c:strCache>
                <c:ptCount val="1"/>
                <c:pt idx="0">
                  <c:v>PISO 6</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20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'SEGUIMIENTO R.CRITICA'!$C$125:$V$125</c15:sqref>
                  </c15:fullRef>
                </c:ext>
              </c:extLst>
              <c:f>'SEGUIMIENTO R.CRITICA'!$V$125</c:f>
              <c:numCache>
                <c:formatCode>0%</c:formatCode>
                <c:ptCount val="1"/>
                <c:pt idx="0">
                  <c:v>0</c:v>
                </c:pt>
              </c:numCache>
            </c:numRef>
          </c:val>
          <c:extLst>
            <c:ext xmlns:c16="http://schemas.microsoft.com/office/drawing/2014/chart" uri="{C3380CC4-5D6E-409C-BE32-E72D297353CC}">
              <c16:uniqueId val="{00000004-DBEC-4077-875F-0B32695C1D3C}"/>
            </c:ext>
          </c:extLst>
        </c:ser>
        <c:ser>
          <c:idx val="5"/>
          <c:order val="5"/>
          <c:tx>
            <c:strRef>
              <c:f>'SEGUIMIENTO R.CRITICA'!$B$143</c:f>
              <c:strCache>
                <c:ptCount val="1"/>
                <c:pt idx="0">
                  <c:v>PISO 7</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20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'SEGUIMIENTO R.CRITICA'!$C$143:$V$143</c15:sqref>
                  </c15:fullRef>
                </c:ext>
              </c:extLst>
              <c:f>'SEGUIMIENTO R.CRITICA'!$V$143</c:f>
              <c:numCache>
                <c:formatCode>0%</c:formatCode>
                <c:ptCount val="1"/>
                <c:pt idx="0">
                  <c:v>0</c:v>
                </c:pt>
              </c:numCache>
            </c:numRef>
          </c:val>
          <c:extLst>
            <c:ext xmlns:c16="http://schemas.microsoft.com/office/drawing/2014/chart" uri="{C3380CC4-5D6E-409C-BE32-E72D297353CC}">
              <c16:uniqueId val="{00000005-DBEC-4077-875F-0B32695C1D3C}"/>
            </c:ext>
          </c:extLst>
        </c:ser>
        <c:ser>
          <c:idx val="6"/>
          <c:order val="6"/>
          <c:tx>
            <c:strRef>
              <c:f>'SEGUIMIENTO R.CRITICA'!$B$161</c:f>
              <c:strCache>
                <c:ptCount val="1"/>
                <c:pt idx="0">
                  <c:v>PISO 8</c:v>
                </c:pt>
              </c:strCache>
            </c:strRef>
          </c:tx>
          <c:spPr>
            <a:solidFill>
              <a:schemeClr val="accent1">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20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'SEGUIMIENTO R.CRITICA'!$C$161:$V$161</c15:sqref>
                  </c15:fullRef>
                </c:ext>
              </c:extLst>
              <c:f>'SEGUIMIENTO R.CRITICA'!$V$161</c:f>
              <c:numCache>
                <c:formatCode>0%</c:formatCode>
                <c:ptCount val="1"/>
                <c:pt idx="0">
                  <c:v>0</c:v>
                </c:pt>
              </c:numCache>
            </c:numRef>
          </c:val>
          <c:extLst>
            <c:ext xmlns:c16="http://schemas.microsoft.com/office/drawing/2014/chart" uri="{C3380CC4-5D6E-409C-BE32-E72D297353CC}">
              <c16:uniqueId val="{00000006-DBEC-4077-875F-0B32695C1D3C}"/>
            </c:ext>
          </c:extLst>
        </c:ser>
        <c:ser>
          <c:idx val="7"/>
          <c:order val="7"/>
          <c:tx>
            <c:strRef>
              <c:f>'SEGUIMIENTO R.CRITICA'!$B$179</c:f>
              <c:strCache>
                <c:ptCount val="1"/>
                <c:pt idx="0">
                  <c:v>PISO 9</c:v>
                </c:pt>
              </c:strCache>
            </c:strRef>
          </c:tx>
          <c:spPr>
            <a:solidFill>
              <a:schemeClr val="accent2">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20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'SEGUIMIENTO R.CRITICA'!$C$179:$V$179</c15:sqref>
                  </c15:fullRef>
                </c:ext>
              </c:extLst>
              <c:f>'SEGUIMIENTO R.CRITICA'!$V$179</c:f>
              <c:numCache>
                <c:formatCode>0%</c:formatCode>
                <c:ptCount val="1"/>
                <c:pt idx="0">
                  <c:v>0</c:v>
                </c:pt>
              </c:numCache>
            </c:numRef>
          </c:val>
          <c:extLst>
            <c:ext xmlns:c16="http://schemas.microsoft.com/office/drawing/2014/chart" uri="{C3380CC4-5D6E-409C-BE32-E72D297353CC}">
              <c16:uniqueId val="{00000007-DBEC-4077-875F-0B32695C1D3C}"/>
            </c:ext>
          </c:extLst>
        </c:ser>
        <c:ser>
          <c:idx val="8"/>
          <c:order val="8"/>
          <c:tx>
            <c:strRef>
              <c:f>'SEGUIMIENTO R.CRITICA'!$B$197</c:f>
              <c:strCache>
                <c:ptCount val="1"/>
                <c:pt idx="0">
                  <c:v>PISO 10</c:v>
                </c:pt>
              </c:strCache>
            </c:strRef>
          </c:tx>
          <c:spPr>
            <a:solidFill>
              <a:schemeClr val="accent3">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20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'SEGUIMIENTO R.CRITICA'!$C$197:$V$197</c15:sqref>
                  </c15:fullRef>
                </c:ext>
              </c:extLst>
              <c:f>'SEGUIMIENTO R.CRITICA'!$V$197</c:f>
              <c:numCache>
                <c:formatCode>0%</c:formatCode>
                <c:ptCount val="1"/>
                <c:pt idx="0">
                  <c:v>0</c:v>
                </c:pt>
              </c:numCache>
            </c:numRef>
          </c:val>
          <c:extLst>
            <c:ext xmlns:c16="http://schemas.microsoft.com/office/drawing/2014/chart" uri="{C3380CC4-5D6E-409C-BE32-E72D297353CC}">
              <c16:uniqueId val="{00000008-DBEC-4077-875F-0B32695C1D3C}"/>
            </c:ext>
          </c:extLst>
        </c:ser>
        <c:ser>
          <c:idx val="9"/>
          <c:order val="9"/>
          <c:tx>
            <c:strRef>
              <c:f>'SEGUIMIENTO R.CRITICA'!$B$215</c:f>
              <c:strCache>
                <c:ptCount val="1"/>
                <c:pt idx="0">
                  <c:v>PISO 11</c:v>
                </c:pt>
              </c:strCache>
            </c:strRef>
          </c:tx>
          <c:spPr>
            <a:solidFill>
              <a:schemeClr val="accent4">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20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'SEGUIMIENTO R.CRITICA'!$C$215:$V$215</c15:sqref>
                  </c15:fullRef>
                </c:ext>
              </c:extLst>
              <c:f>'SEGUIMIENTO R.CRITICA'!$V$215</c:f>
              <c:numCache>
                <c:formatCode>0%</c:formatCode>
                <c:ptCount val="1"/>
                <c:pt idx="0">
                  <c:v>0</c:v>
                </c:pt>
              </c:numCache>
            </c:numRef>
          </c:val>
          <c:extLst>
            <c:ext xmlns:c16="http://schemas.microsoft.com/office/drawing/2014/chart" uri="{C3380CC4-5D6E-409C-BE32-E72D297353CC}">
              <c16:uniqueId val="{00000009-DBEC-4077-875F-0B32695C1D3C}"/>
            </c:ext>
          </c:extLst>
        </c:ser>
        <c:ser>
          <c:idx val="10"/>
          <c:order val="10"/>
          <c:tx>
            <c:strRef>
              <c:f>'SEGUIMIENTO R.CRITICA'!$B$232</c:f>
              <c:strCache>
                <c:ptCount val="1"/>
                <c:pt idx="0">
                  <c:v>PISO 12</c:v>
                </c:pt>
              </c:strCache>
            </c:strRef>
          </c:tx>
          <c:spPr>
            <a:solidFill>
              <a:schemeClr val="accent5">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20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'SEGUIMIENTO R.CRITICA'!$C$232:$V$232</c15:sqref>
                  </c15:fullRef>
                </c:ext>
              </c:extLst>
              <c:f>'SEGUIMIENTO R.CRITICA'!$V$232</c:f>
              <c:numCache>
                <c:formatCode>0%</c:formatCode>
                <c:ptCount val="1"/>
                <c:pt idx="0">
                  <c:v>0</c:v>
                </c:pt>
              </c:numCache>
            </c:numRef>
          </c:val>
          <c:extLst>
            <c:ext xmlns:c16="http://schemas.microsoft.com/office/drawing/2014/chart" uri="{C3380CC4-5D6E-409C-BE32-E72D297353CC}">
              <c16:uniqueId val="{0000000A-DBEC-4077-875F-0B32695C1D3C}"/>
            </c:ext>
          </c:extLst>
        </c:ser>
        <c:dLbls>
          <c:showLegendKey val="0"/>
          <c:showVal val="1"/>
          <c:showCatName val="0"/>
          <c:showSerName val="0"/>
          <c:showPercent val="0"/>
          <c:showBubbleSize val="0"/>
        </c:dLbls>
        <c:gapWidth val="219"/>
        <c:shape val="box"/>
        <c:axId val="183868783"/>
        <c:axId val="591821327"/>
        <c:axId val="338403487"/>
      </c:bar3DChart>
      <c:catAx>
        <c:axId val="18386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91821327"/>
        <c:crosses val="autoZero"/>
        <c:auto val="1"/>
        <c:lblAlgn val="ctr"/>
        <c:lblOffset val="100"/>
        <c:noMultiLvlLbl val="0"/>
      </c:catAx>
      <c:valAx>
        <c:axId val="5918213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3868783"/>
        <c:crosses val="autoZero"/>
        <c:crossBetween val="between"/>
      </c:valAx>
      <c:serAx>
        <c:axId val="338403487"/>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91821327"/>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GRAFICO!$G$1</c:f>
              <c:strCache>
                <c:ptCount val="1"/>
                <c:pt idx="0">
                  <c:v>sem6</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GRAFICO!$G$2:$G$20</c:f>
              <c:numCache>
                <c:formatCode>0%</c:formatCode>
                <c:ptCount val="19"/>
                <c:pt idx="0">
                  <c:v>0.62078232308151693</c:v>
                </c:pt>
                <c:pt idx="1">
                  <c:v>0.8196476560167214</c:v>
                </c:pt>
                <c:pt idx="2">
                  <c:v>0.67506718423409962</c:v>
                </c:pt>
                <c:pt idx="3">
                  <c:v>0.58584652134965653</c:v>
                </c:pt>
                <c:pt idx="4">
                  <c:v>0.69871603463720544</c:v>
                </c:pt>
                <c:pt idx="5">
                  <c:v>0.50630038817557566</c:v>
                </c:pt>
                <c:pt idx="6">
                  <c:v>0.54446103314422245</c:v>
                </c:pt>
                <c:pt idx="7">
                  <c:v>0.45685279187817257</c:v>
                </c:pt>
                <c:pt idx="8">
                  <c:v>0.26443714541654245</c:v>
                </c:pt>
                <c:pt idx="9">
                  <c:v>0.2502657509704389</c:v>
                </c:pt>
                <c:pt idx="10">
                  <c:v>0.13073229291716684</c:v>
                </c:pt>
                <c:pt idx="11">
                  <c:v>0.31522842639593934</c:v>
                </c:pt>
                <c:pt idx="12">
                  <c:v>2.6873693639892504E-2</c:v>
                </c:pt>
                <c:pt idx="13">
                  <c:v>0.44368468199462568</c:v>
                </c:pt>
                <c:pt idx="14">
                  <c:v>0.13893699611824448</c:v>
                </c:pt>
                <c:pt idx="15">
                  <c:v>7.9725291131681031E-2</c:v>
                </c:pt>
                <c:pt idx="16">
                  <c:v>2.0424007166318304E-2</c:v>
                </c:pt>
                <c:pt idx="17">
                  <c:v>2.1498954911914003E-2</c:v>
                </c:pt>
                <c:pt idx="18">
                  <c:v>1.2899372947148402E-2</c:v>
                </c:pt>
              </c:numCache>
            </c:numRef>
          </c:val>
          <c:smooth val="0"/>
          <c:extLst>
            <c:ext xmlns:c16="http://schemas.microsoft.com/office/drawing/2014/chart" uri="{C3380CC4-5D6E-409C-BE32-E72D297353CC}">
              <c16:uniqueId val="{00000000-BBC3-4133-A02C-B1FC483AC05D}"/>
            </c:ext>
          </c:extLst>
        </c:ser>
        <c:ser>
          <c:idx val="1"/>
          <c:order val="1"/>
          <c:tx>
            <c:strRef>
              <c:f>GRAFICO!$H$1</c:f>
              <c:strCache>
                <c:ptCount val="1"/>
                <c:pt idx="0">
                  <c:v>sem7</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GRAFICO!$H$2:$H$20</c:f>
              <c:numCache>
                <c:formatCode>0%</c:formatCode>
                <c:ptCount val="19"/>
                <c:pt idx="0">
                  <c:v>0.67184234099731255</c:v>
                </c:pt>
                <c:pt idx="1">
                  <c:v>0.8196476560167214</c:v>
                </c:pt>
                <c:pt idx="2">
                  <c:v>0.73096446700507611</c:v>
                </c:pt>
                <c:pt idx="3">
                  <c:v>0.64389369961182441</c:v>
                </c:pt>
                <c:pt idx="4">
                  <c:v>0.75515079128097928</c:v>
                </c:pt>
                <c:pt idx="5">
                  <c:v>0.52994923857867993</c:v>
                </c:pt>
                <c:pt idx="6">
                  <c:v>0.58638399522245443</c:v>
                </c:pt>
                <c:pt idx="7">
                  <c:v>0.52188713048671243</c:v>
                </c:pt>
                <c:pt idx="8">
                  <c:v>0.29512690355329918</c:v>
                </c:pt>
                <c:pt idx="9">
                  <c:v>0.29989250522544064</c:v>
                </c:pt>
                <c:pt idx="10">
                  <c:v>0.16206482593037208</c:v>
                </c:pt>
                <c:pt idx="11">
                  <c:v>0.43857868020304674</c:v>
                </c:pt>
                <c:pt idx="12">
                  <c:v>2.6873693639892504E-2</c:v>
                </c:pt>
                <c:pt idx="13">
                  <c:v>0.46357121528814632</c:v>
                </c:pt>
                <c:pt idx="14">
                  <c:v>0.1520379217676921</c:v>
                </c:pt>
                <c:pt idx="15">
                  <c:v>0.1326664676022693</c:v>
                </c:pt>
                <c:pt idx="16">
                  <c:v>2.0424007166318304E-2</c:v>
                </c:pt>
                <c:pt idx="17">
                  <c:v>2.1498954911914003E-2</c:v>
                </c:pt>
                <c:pt idx="18">
                  <c:v>1.2899372947148402E-2</c:v>
                </c:pt>
              </c:numCache>
            </c:numRef>
          </c:val>
          <c:smooth val="0"/>
          <c:extLst>
            <c:ext xmlns:c16="http://schemas.microsoft.com/office/drawing/2014/chart" uri="{C3380CC4-5D6E-409C-BE32-E72D297353CC}">
              <c16:uniqueId val="{00000001-BBC3-4133-A02C-B1FC483AC05D}"/>
            </c:ext>
          </c:extLst>
        </c:ser>
        <c:ser>
          <c:idx val="2"/>
          <c:order val="2"/>
          <c:tx>
            <c:strRef>
              <c:f>GRAFICO!$I$1</c:f>
              <c:strCache>
                <c:ptCount val="1"/>
                <c:pt idx="0">
                  <c:v>sem8</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GRAFICO!$I$2:$I$20</c:f>
              <c:numCache>
                <c:formatCode>0%</c:formatCode>
                <c:ptCount val="19"/>
                <c:pt idx="0">
                  <c:v>0.74440131382502239</c:v>
                </c:pt>
                <c:pt idx="1">
                  <c:v>0.91400418035234399</c:v>
                </c:pt>
                <c:pt idx="2">
                  <c:v>0.77503732457449992</c:v>
                </c:pt>
                <c:pt idx="3">
                  <c:v>0.72558972827709767</c:v>
                </c:pt>
                <c:pt idx="4">
                  <c:v>0.75515079128097928</c:v>
                </c:pt>
                <c:pt idx="5">
                  <c:v>0.56918483129292385</c:v>
                </c:pt>
                <c:pt idx="6">
                  <c:v>0.62561958793669703</c:v>
                </c:pt>
                <c:pt idx="7">
                  <c:v>0.5471484025082114</c:v>
                </c:pt>
                <c:pt idx="8">
                  <c:v>0.35303971334726786</c:v>
                </c:pt>
                <c:pt idx="9">
                  <c:v>0.33509704389370004</c:v>
                </c:pt>
                <c:pt idx="10">
                  <c:v>0.23013205282112861</c:v>
                </c:pt>
                <c:pt idx="11">
                  <c:v>0.43857868020304674</c:v>
                </c:pt>
                <c:pt idx="12">
                  <c:v>2.6873693639892504E-2</c:v>
                </c:pt>
                <c:pt idx="13">
                  <c:v>0.60761421319796993</c:v>
                </c:pt>
                <c:pt idx="14">
                  <c:v>0.19409525231412375</c:v>
                </c:pt>
                <c:pt idx="15">
                  <c:v>0.15837563451776659</c:v>
                </c:pt>
                <c:pt idx="16">
                  <c:v>6.2346969244550597E-2</c:v>
                </c:pt>
                <c:pt idx="17">
                  <c:v>9.1370558375634514E-2</c:v>
                </c:pt>
                <c:pt idx="18">
                  <c:v>1.2899372947148402E-2</c:v>
                </c:pt>
              </c:numCache>
            </c:numRef>
          </c:val>
          <c:smooth val="0"/>
          <c:extLst>
            <c:ext xmlns:c16="http://schemas.microsoft.com/office/drawing/2014/chart" uri="{C3380CC4-5D6E-409C-BE32-E72D297353CC}">
              <c16:uniqueId val="{00000002-BBC3-4133-A02C-B1FC483AC05D}"/>
            </c:ext>
          </c:extLst>
        </c:ser>
        <c:ser>
          <c:idx val="3"/>
          <c:order val="3"/>
          <c:tx>
            <c:strRef>
              <c:f>GRAFICO!$J$1</c:f>
              <c:strCache>
                <c:ptCount val="1"/>
                <c:pt idx="0">
                  <c:v>sem9</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GRAFICO!$J$2:$J$20</c:f>
              <c:numCache>
                <c:formatCode>0%</c:formatCode>
                <c:ptCount val="19"/>
                <c:pt idx="0">
                  <c:v>0.79008659301283968</c:v>
                </c:pt>
                <c:pt idx="1">
                  <c:v>0.91400418035234399</c:v>
                </c:pt>
                <c:pt idx="2">
                  <c:v>0.85255651379691921</c:v>
                </c:pt>
                <c:pt idx="3">
                  <c:v>0.73096446700507611</c:v>
                </c:pt>
                <c:pt idx="4">
                  <c:v>0.82240528340329855</c:v>
                </c:pt>
                <c:pt idx="5">
                  <c:v>0.59337115556882647</c:v>
                </c:pt>
                <c:pt idx="6">
                  <c:v>0.6675425500149299</c:v>
                </c:pt>
                <c:pt idx="7">
                  <c:v>0.54822335025380708</c:v>
                </c:pt>
                <c:pt idx="8">
                  <c:v>0.43057031949835767</c:v>
                </c:pt>
                <c:pt idx="9">
                  <c:v>0.36161242161839396</c:v>
                </c:pt>
                <c:pt idx="10">
                  <c:v>0.29387755102040841</c:v>
                </c:pt>
                <c:pt idx="11">
                  <c:v>0.43857868020304674</c:v>
                </c:pt>
                <c:pt idx="12">
                  <c:v>2.6873693639892504E-2</c:v>
                </c:pt>
                <c:pt idx="13">
                  <c:v>0.726545237384294</c:v>
                </c:pt>
                <c:pt idx="14">
                  <c:v>0.26403404001194442</c:v>
                </c:pt>
                <c:pt idx="15">
                  <c:v>0.21928934010152304</c:v>
                </c:pt>
                <c:pt idx="16">
                  <c:v>0.1015825619587936</c:v>
                </c:pt>
                <c:pt idx="17">
                  <c:v>0.21015228426395913</c:v>
                </c:pt>
                <c:pt idx="18">
                  <c:v>1.2899372947148402E-2</c:v>
                </c:pt>
              </c:numCache>
            </c:numRef>
          </c:val>
          <c:smooth val="0"/>
          <c:extLst>
            <c:ext xmlns:c16="http://schemas.microsoft.com/office/drawing/2014/chart" uri="{C3380CC4-5D6E-409C-BE32-E72D297353CC}">
              <c16:uniqueId val="{00000003-BBC3-4133-A02C-B1FC483AC05D}"/>
            </c:ext>
          </c:extLst>
        </c:ser>
        <c:ser>
          <c:idx val="4"/>
          <c:order val="4"/>
          <c:tx>
            <c:strRef>
              <c:f>GRAFICO!$K$1</c:f>
              <c:strCache>
                <c:ptCount val="1"/>
                <c:pt idx="0">
                  <c:v>sem10</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GRAFICO!$K$2:$K$20</c:f>
              <c:numCache>
                <c:formatCode>0%</c:formatCode>
                <c:ptCount val="19"/>
                <c:pt idx="0">
                  <c:v>0.84393936732650654</c:v>
                </c:pt>
                <c:pt idx="1">
                  <c:v>0.91400418035234399</c:v>
                </c:pt>
                <c:pt idx="2">
                  <c:v>0.91983559622714417</c:v>
                </c:pt>
                <c:pt idx="3">
                  <c:v>0.80997312630636009</c:v>
                </c:pt>
                <c:pt idx="4">
                  <c:v>0.81970913178648597</c:v>
                </c:pt>
                <c:pt idx="5">
                  <c:v>0.63260674828307017</c:v>
                </c:pt>
                <c:pt idx="6">
                  <c:v>0.68527918781725883</c:v>
                </c:pt>
                <c:pt idx="7">
                  <c:v>0.63368169602866531</c:v>
                </c:pt>
                <c:pt idx="8">
                  <c:v>0.4705583756345183</c:v>
                </c:pt>
                <c:pt idx="9">
                  <c:v>0.36996118244252058</c:v>
                </c:pt>
                <c:pt idx="10">
                  <c:v>0.31008403361344561</c:v>
                </c:pt>
                <c:pt idx="11">
                  <c:v>0.53451776649746374</c:v>
                </c:pt>
                <c:pt idx="12">
                  <c:v>2.6873693639892504E-2</c:v>
                </c:pt>
                <c:pt idx="13">
                  <c:v>0.81343684681994954</c:v>
                </c:pt>
                <c:pt idx="14">
                  <c:v>0.26537772469393905</c:v>
                </c:pt>
                <c:pt idx="15">
                  <c:v>0.24105703194983555</c:v>
                </c:pt>
                <c:pt idx="16">
                  <c:v>0.1209316213795163</c:v>
                </c:pt>
                <c:pt idx="17">
                  <c:v>0.27411167512690354</c:v>
                </c:pt>
                <c:pt idx="18">
                  <c:v>1.2899372947148402E-2</c:v>
                </c:pt>
              </c:numCache>
            </c:numRef>
          </c:val>
          <c:smooth val="0"/>
          <c:extLst>
            <c:ext xmlns:c16="http://schemas.microsoft.com/office/drawing/2014/chart" uri="{C3380CC4-5D6E-409C-BE32-E72D297353CC}">
              <c16:uniqueId val="{00000004-BBC3-4133-A02C-B1FC483AC05D}"/>
            </c:ext>
          </c:extLst>
        </c:ser>
        <c:ser>
          <c:idx val="5"/>
          <c:order val="5"/>
          <c:tx>
            <c:strRef>
              <c:f>GRAFICO!$L$1</c:f>
              <c:strCache>
                <c:ptCount val="1"/>
                <c:pt idx="0">
                  <c:v>sem11</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GRAFICO!$L$2:$L$20</c:f>
              <c:numCache>
                <c:formatCode>0%</c:formatCode>
                <c:ptCount val="19"/>
                <c:pt idx="0">
                  <c:v>0.89245253192348895</c:v>
                </c:pt>
                <c:pt idx="1">
                  <c:v>0.91400418035234399</c:v>
                </c:pt>
                <c:pt idx="2">
                  <c:v>0.97957599283368169</c:v>
                </c:pt>
                <c:pt idx="3">
                  <c:v>0.81696028665273213</c:v>
                </c:pt>
                <c:pt idx="4">
                  <c:v>0.86816960286652733</c:v>
                </c:pt>
                <c:pt idx="5">
                  <c:v>0.66754255001493013</c:v>
                </c:pt>
                <c:pt idx="6">
                  <c:v>0.68742908330845021</c:v>
                </c:pt>
                <c:pt idx="7">
                  <c:v>0.63368169602866531</c:v>
                </c:pt>
                <c:pt idx="8">
                  <c:v>0.54365482233502693</c:v>
                </c:pt>
                <c:pt idx="9">
                  <c:v>0.4265750970438944</c:v>
                </c:pt>
                <c:pt idx="10">
                  <c:v>0.31818727490996424</c:v>
                </c:pt>
                <c:pt idx="11">
                  <c:v>0.61218274111675253</c:v>
                </c:pt>
                <c:pt idx="12">
                  <c:v>2.6873693639892504E-2</c:v>
                </c:pt>
                <c:pt idx="13">
                  <c:v>0.81343684681994954</c:v>
                </c:pt>
                <c:pt idx="14">
                  <c:v>0.29386383995222465</c:v>
                </c:pt>
                <c:pt idx="15">
                  <c:v>0.27411167512690354</c:v>
                </c:pt>
                <c:pt idx="16">
                  <c:v>0.16822932218572695</c:v>
                </c:pt>
                <c:pt idx="17">
                  <c:v>0.27411167512690354</c:v>
                </c:pt>
                <c:pt idx="18">
                  <c:v>4.9447596297402203E-2</c:v>
                </c:pt>
              </c:numCache>
            </c:numRef>
          </c:val>
          <c:smooth val="0"/>
          <c:extLst>
            <c:ext xmlns:c16="http://schemas.microsoft.com/office/drawing/2014/chart" uri="{C3380CC4-5D6E-409C-BE32-E72D297353CC}">
              <c16:uniqueId val="{00000005-BBC3-4133-A02C-B1FC483AC05D}"/>
            </c:ext>
          </c:extLst>
        </c:ser>
        <c:ser>
          <c:idx val="6"/>
          <c:order val="6"/>
          <c:tx>
            <c:strRef>
              <c:f>GRAFICO!$M$1</c:f>
              <c:strCache>
                <c:ptCount val="1"/>
                <c:pt idx="0">
                  <c:v>sem12</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val>
            <c:numRef>
              <c:f>GRAFICO!$M$2:$M$20</c:f>
              <c:numCache>
                <c:formatCode>0%</c:formatCode>
                <c:ptCount val="19"/>
                <c:pt idx="0">
                  <c:v>0.94087787399223644</c:v>
                </c:pt>
                <c:pt idx="1">
                  <c:v>0.91400418035234399</c:v>
                </c:pt>
                <c:pt idx="2">
                  <c:v>1</c:v>
                </c:pt>
                <c:pt idx="3">
                  <c:v>0.92206628844431182</c:v>
                </c:pt>
                <c:pt idx="4">
                  <c:v>0.86816960286652733</c:v>
                </c:pt>
                <c:pt idx="5">
                  <c:v>0.70677814272917383</c:v>
                </c:pt>
                <c:pt idx="6">
                  <c:v>0.73795162735144793</c:v>
                </c:pt>
                <c:pt idx="7">
                  <c:v>0.63959390862944165</c:v>
                </c:pt>
                <c:pt idx="8">
                  <c:v>0.58880262765004576</c:v>
                </c:pt>
                <c:pt idx="9">
                  <c:v>0.48202448492087291</c:v>
                </c:pt>
                <c:pt idx="10">
                  <c:v>0.36734693877551022</c:v>
                </c:pt>
                <c:pt idx="11">
                  <c:v>0.603045685279187</c:v>
                </c:pt>
                <c:pt idx="12">
                  <c:v>2.6873693639892504E-2</c:v>
                </c:pt>
                <c:pt idx="13">
                  <c:v>0.8225739026575134</c:v>
                </c:pt>
                <c:pt idx="14">
                  <c:v>0.3055538966855777</c:v>
                </c:pt>
                <c:pt idx="15">
                  <c:v>0.30304568527918813</c:v>
                </c:pt>
                <c:pt idx="16">
                  <c:v>0.18650343386085411</c:v>
                </c:pt>
                <c:pt idx="17">
                  <c:v>0.27411167512690354</c:v>
                </c:pt>
                <c:pt idx="18">
                  <c:v>5.6434756643774252E-2</c:v>
                </c:pt>
              </c:numCache>
            </c:numRef>
          </c:val>
          <c:smooth val="0"/>
          <c:extLst>
            <c:ext xmlns:c16="http://schemas.microsoft.com/office/drawing/2014/chart" uri="{C3380CC4-5D6E-409C-BE32-E72D297353CC}">
              <c16:uniqueId val="{00000006-BBC3-4133-A02C-B1FC483AC05D}"/>
            </c:ext>
          </c:extLst>
        </c:ser>
        <c:ser>
          <c:idx val="7"/>
          <c:order val="7"/>
          <c:tx>
            <c:strRef>
              <c:f>GRAFICO!$N$1</c:f>
              <c:strCache>
                <c:ptCount val="1"/>
                <c:pt idx="0">
                  <c:v>sem13</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val>
            <c:numRef>
              <c:f>GRAFICO!$N$2:$N$20</c:f>
              <c:numCache>
                <c:formatCode>0%</c:formatCode>
                <c:ptCount val="19"/>
                <c:pt idx="0">
                  <c:v>0.95700209017617199</c:v>
                </c:pt>
                <c:pt idx="1">
                  <c:v>1</c:v>
                </c:pt>
                <c:pt idx="2">
                  <c:v>1</c:v>
                </c:pt>
                <c:pt idx="3">
                  <c:v>0.94195282173783212</c:v>
                </c:pt>
                <c:pt idx="4">
                  <c:v>0.86816960286652733</c:v>
                </c:pt>
                <c:pt idx="5">
                  <c:v>0.72182741116751326</c:v>
                </c:pt>
                <c:pt idx="6">
                  <c:v>0.74305762914302598</c:v>
                </c:pt>
                <c:pt idx="7">
                  <c:v>0.69925350851000312</c:v>
                </c:pt>
                <c:pt idx="8">
                  <c:v>0.64322185727082815</c:v>
                </c:pt>
                <c:pt idx="9">
                  <c:v>0.5368468199462535</c:v>
                </c:pt>
                <c:pt idx="10">
                  <c:v>0.45918367346938777</c:v>
                </c:pt>
                <c:pt idx="11">
                  <c:v>0.58934010152284266</c:v>
                </c:pt>
                <c:pt idx="12">
                  <c:v>2.6873693639892504E-2</c:v>
                </c:pt>
                <c:pt idx="13">
                  <c:v>0.83171095849507692</c:v>
                </c:pt>
                <c:pt idx="14">
                  <c:v>0.31831890116452699</c:v>
                </c:pt>
                <c:pt idx="15">
                  <c:v>0.32741116751269056</c:v>
                </c:pt>
                <c:pt idx="16">
                  <c:v>0.25959988056136146</c:v>
                </c:pt>
                <c:pt idx="17">
                  <c:v>0.36091370558375663</c:v>
                </c:pt>
                <c:pt idx="18">
                  <c:v>0.23917587339504329</c:v>
                </c:pt>
              </c:numCache>
            </c:numRef>
          </c:val>
          <c:smooth val="0"/>
          <c:extLst>
            <c:ext xmlns:c16="http://schemas.microsoft.com/office/drawing/2014/chart" uri="{C3380CC4-5D6E-409C-BE32-E72D297353CC}">
              <c16:uniqueId val="{00000007-BBC3-4133-A02C-B1FC483AC05D}"/>
            </c:ext>
          </c:extLst>
        </c:ser>
        <c:ser>
          <c:idx val="8"/>
          <c:order val="8"/>
          <c:tx>
            <c:strRef>
              <c:f>GRAFICO!$O$1</c:f>
              <c:strCache>
                <c:ptCount val="1"/>
                <c:pt idx="0">
                  <c:v>sem14</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val>
            <c:numRef>
              <c:f>GRAFICO!$O$2:$O$20</c:f>
              <c:numCache>
                <c:formatCode>0%</c:formatCode>
                <c:ptCount val="19"/>
                <c:pt idx="0">
                  <c:v>0.95700209017617199</c:v>
                </c:pt>
                <c:pt idx="1">
                  <c:v>1</c:v>
                </c:pt>
                <c:pt idx="2">
                  <c:v>1</c:v>
                </c:pt>
                <c:pt idx="3">
                  <c:v>0.97312630636010755</c:v>
                </c:pt>
                <c:pt idx="4">
                  <c:v>0.89778335938734999</c:v>
                </c:pt>
                <c:pt idx="5">
                  <c:v>0.81430804630003806</c:v>
                </c:pt>
                <c:pt idx="6">
                  <c:v>0.74305762914302598</c:v>
                </c:pt>
                <c:pt idx="7">
                  <c:v>0.80836070468796684</c:v>
                </c:pt>
                <c:pt idx="8">
                  <c:v>0.67856076440728641</c:v>
                </c:pt>
                <c:pt idx="9">
                  <c:v>0.56067482830695847</c:v>
                </c:pt>
                <c:pt idx="10">
                  <c:v>0.43487394957983178</c:v>
                </c:pt>
                <c:pt idx="11">
                  <c:v>0.63051657211107814</c:v>
                </c:pt>
                <c:pt idx="12">
                  <c:v>2.6873693639892504E-2</c:v>
                </c:pt>
                <c:pt idx="13">
                  <c:v>0.83171095849507692</c:v>
                </c:pt>
                <c:pt idx="14">
                  <c:v>0.3266497461928935</c:v>
                </c:pt>
                <c:pt idx="15">
                  <c:v>0.33744401313825045</c:v>
                </c:pt>
                <c:pt idx="16">
                  <c:v>0.28217378321887099</c:v>
                </c:pt>
                <c:pt idx="17">
                  <c:v>0.36091370558375663</c:v>
                </c:pt>
                <c:pt idx="18">
                  <c:v>0.26766198865332935</c:v>
                </c:pt>
              </c:numCache>
            </c:numRef>
          </c:val>
          <c:smooth val="0"/>
          <c:extLst>
            <c:ext xmlns:c16="http://schemas.microsoft.com/office/drawing/2014/chart" uri="{C3380CC4-5D6E-409C-BE32-E72D297353CC}">
              <c16:uniqueId val="{00000008-BBC3-4133-A02C-B1FC483AC05D}"/>
            </c:ext>
          </c:extLst>
        </c:ser>
        <c:ser>
          <c:idx val="9"/>
          <c:order val="9"/>
          <c:tx>
            <c:strRef>
              <c:f>GRAFICO!$P$1</c:f>
              <c:strCache>
                <c:ptCount val="1"/>
                <c:pt idx="0">
                  <c:v>sem15</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val>
            <c:numRef>
              <c:f>GRAFICO!$P$2:$P$20</c:f>
              <c:numCache>
                <c:formatCode>0%</c:formatCode>
                <c:ptCount val="19"/>
                <c:pt idx="0">
                  <c:v>1</c:v>
                </c:pt>
                <c:pt idx="1">
                  <c:v>1</c:v>
                </c:pt>
                <c:pt idx="2">
                  <c:v>1</c:v>
                </c:pt>
                <c:pt idx="3">
                  <c:v>1</c:v>
                </c:pt>
                <c:pt idx="4">
                  <c:v>0.96288444311734966</c:v>
                </c:pt>
                <c:pt idx="5">
                  <c:v>0.89408427449809524</c:v>
                </c:pt>
                <c:pt idx="6">
                  <c:v>0.83938664746280767</c:v>
                </c:pt>
                <c:pt idx="7">
                  <c:v>0.90052342226828042</c:v>
                </c:pt>
                <c:pt idx="8">
                  <c:v>0.75246342191699034</c:v>
                </c:pt>
                <c:pt idx="9">
                  <c:v>0.6493580173186041</c:v>
                </c:pt>
                <c:pt idx="10">
                  <c:v>0.48781512605041977</c:v>
                </c:pt>
                <c:pt idx="11">
                  <c:v>0.70316512391758867</c:v>
                </c:pt>
                <c:pt idx="12">
                  <c:v>2.6873693639892504E-2</c:v>
                </c:pt>
                <c:pt idx="13">
                  <c:v>0.82553000895790085</c:v>
                </c:pt>
                <c:pt idx="14">
                  <c:v>0.35822633621976663</c:v>
                </c:pt>
                <c:pt idx="15">
                  <c:v>0.41725888324873189</c:v>
                </c:pt>
                <c:pt idx="16">
                  <c:v>0.34720812182741134</c:v>
                </c:pt>
                <c:pt idx="17">
                  <c:v>0.43857868020304541</c:v>
                </c:pt>
                <c:pt idx="18">
                  <c:v>0.24025082114063925</c:v>
                </c:pt>
              </c:numCache>
            </c:numRef>
          </c:val>
          <c:smooth val="0"/>
          <c:extLst>
            <c:ext xmlns:c16="http://schemas.microsoft.com/office/drawing/2014/chart" uri="{C3380CC4-5D6E-409C-BE32-E72D297353CC}">
              <c16:uniqueId val="{00000009-BBC3-4133-A02C-B1FC483AC05D}"/>
            </c:ext>
          </c:extLst>
        </c:ser>
        <c:ser>
          <c:idx val="10"/>
          <c:order val="10"/>
          <c:tx>
            <c:strRef>
              <c:f>GRAFICO!$Q$1</c:f>
              <c:strCache>
                <c:ptCount val="1"/>
                <c:pt idx="0">
                  <c:v>sem16</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val>
            <c:numRef>
              <c:f>GRAFICO!$Q$2:$Q$20</c:f>
              <c:numCache>
                <c:formatCode>0%</c:formatCode>
                <c:ptCount val="19"/>
                <c:pt idx="0">
                  <c:v>1</c:v>
                </c:pt>
                <c:pt idx="1">
                  <c:v>1</c:v>
                </c:pt>
                <c:pt idx="2">
                  <c:v>1</c:v>
                </c:pt>
                <c:pt idx="3">
                  <c:v>1</c:v>
                </c:pt>
                <c:pt idx="4">
                  <c:v>0.97363392057330689</c:v>
                </c:pt>
                <c:pt idx="5">
                  <c:v>0.93224491946674271</c:v>
                </c:pt>
                <c:pt idx="6">
                  <c:v>0.86332531220908659</c:v>
                </c:pt>
                <c:pt idx="7">
                  <c:v>0.91346495002898154</c:v>
                </c:pt>
                <c:pt idx="8">
                  <c:v>0.80878444838669994</c:v>
                </c:pt>
                <c:pt idx="9">
                  <c:v>0.66843833980292766</c:v>
                </c:pt>
                <c:pt idx="10">
                  <c:v>0.54129651860744288</c:v>
                </c:pt>
                <c:pt idx="11">
                  <c:v>0.75583756345177744</c:v>
                </c:pt>
                <c:pt idx="12">
                  <c:v>2.6873693639892504E-2</c:v>
                </c:pt>
                <c:pt idx="13">
                  <c:v>0.82714243057629444</c:v>
                </c:pt>
                <c:pt idx="14">
                  <c:v>0.35822633621976663</c:v>
                </c:pt>
                <c:pt idx="15">
                  <c:v>0.43660794266945435</c:v>
                </c:pt>
                <c:pt idx="16">
                  <c:v>0.34720812182741134</c:v>
                </c:pt>
                <c:pt idx="17">
                  <c:v>0.45577784413257688</c:v>
                </c:pt>
                <c:pt idx="18">
                  <c:v>0.27303672738130835</c:v>
                </c:pt>
              </c:numCache>
            </c:numRef>
          </c:val>
          <c:smooth val="0"/>
          <c:extLst>
            <c:ext xmlns:c16="http://schemas.microsoft.com/office/drawing/2014/chart" uri="{C3380CC4-5D6E-409C-BE32-E72D297353CC}">
              <c16:uniqueId val="{0000000A-BBC3-4133-A02C-B1FC483AC05D}"/>
            </c:ext>
          </c:extLst>
        </c:ser>
        <c:ser>
          <c:idx val="11"/>
          <c:order val="11"/>
          <c:tx>
            <c:strRef>
              <c:f>GRAFICO!$R$1</c:f>
              <c:strCache>
                <c:ptCount val="1"/>
                <c:pt idx="0">
                  <c:v>sem17</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val>
            <c:numRef>
              <c:f>GRAFICO!$R$2:$R$20</c:f>
              <c:numCache>
                <c:formatCode>0%</c:formatCode>
                <c:ptCount val="19"/>
                <c:pt idx="0">
                  <c:v>1</c:v>
                </c:pt>
                <c:pt idx="1">
                  <c:v>1</c:v>
                </c:pt>
                <c:pt idx="2">
                  <c:v>1</c:v>
                </c:pt>
                <c:pt idx="3">
                  <c:v>1</c:v>
                </c:pt>
                <c:pt idx="4">
                  <c:v>0.97470886831890258</c:v>
                </c:pt>
                <c:pt idx="5">
                  <c:v>0.96828904150492701</c:v>
                </c:pt>
                <c:pt idx="6">
                  <c:v>0.91231096200797446</c:v>
                </c:pt>
                <c:pt idx="7">
                  <c:v>0.91400418035234399</c:v>
                </c:pt>
                <c:pt idx="8">
                  <c:v>0.83585662094040392</c:v>
                </c:pt>
                <c:pt idx="9">
                  <c:v>0.70597193191997687</c:v>
                </c:pt>
                <c:pt idx="10">
                  <c:v>0.55102040816326525</c:v>
                </c:pt>
                <c:pt idx="11">
                  <c:v>0.80158256195879352</c:v>
                </c:pt>
                <c:pt idx="12">
                  <c:v>2.6873693639892504E-2</c:v>
                </c:pt>
                <c:pt idx="13">
                  <c:v>0.83009853687668234</c:v>
                </c:pt>
                <c:pt idx="14">
                  <c:v>0.39584950731561508</c:v>
                </c:pt>
                <c:pt idx="15">
                  <c:v>0.46930426993132407</c:v>
                </c:pt>
                <c:pt idx="16">
                  <c:v>0.34720812182741134</c:v>
                </c:pt>
                <c:pt idx="17">
                  <c:v>0.45685279187817257</c:v>
                </c:pt>
                <c:pt idx="18">
                  <c:v>0.24938787697820283</c:v>
                </c:pt>
              </c:numCache>
            </c:numRef>
          </c:val>
          <c:smooth val="0"/>
          <c:extLst>
            <c:ext xmlns:c16="http://schemas.microsoft.com/office/drawing/2014/chart" uri="{C3380CC4-5D6E-409C-BE32-E72D297353CC}">
              <c16:uniqueId val="{0000000B-BBC3-4133-A02C-B1FC483AC05D}"/>
            </c:ext>
          </c:extLst>
        </c:ser>
        <c:ser>
          <c:idx val="12"/>
          <c:order val="12"/>
          <c:tx>
            <c:strRef>
              <c:f>GRAFICO!$S$1</c:f>
              <c:strCache>
                <c:ptCount val="1"/>
                <c:pt idx="0">
                  <c:v>sem18</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val>
            <c:numRef>
              <c:f>GRAFICO!$S$2:$S$20</c:f>
              <c:numCache>
                <c:formatCode>0%</c:formatCode>
                <c:ptCount val="19"/>
                <c:pt idx="0">
                  <c:v>1</c:v>
                </c:pt>
                <c:pt idx="1">
                  <c:v>1</c:v>
                </c:pt>
                <c:pt idx="2">
                  <c:v>1</c:v>
                </c:pt>
                <c:pt idx="3">
                  <c:v>1</c:v>
                </c:pt>
                <c:pt idx="4">
                  <c:v>0.98708657544833467</c:v>
                </c:pt>
                <c:pt idx="5">
                  <c:v>0.98333830994326699</c:v>
                </c:pt>
                <c:pt idx="6">
                  <c:v>0.9494774559570025</c:v>
                </c:pt>
                <c:pt idx="7">
                  <c:v>0.99892505225440442</c:v>
                </c:pt>
                <c:pt idx="8">
                  <c:v>0.87016273514481901</c:v>
                </c:pt>
                <c:pt idx="9">
                  <c:v>0.72317109584950834</c:v>
                </c:pt>
                <c:pt idx="10">
                  <c:v>0.5888355342136854</c:v>
                </c:pt>
                <c:pt idx="11">
                  <c:v>0.81528814571513764</c:v>
                </c:pt>
                <c:pt idx="12">
                  <c:v>2.6873693639892504E-2</c:v>
                </c:pt>
                <c:pt idx="13">
                  <c:v>0.83009853687668234</c:v>
                </c:pt>
                <c:pt idx="14">
                  <c:v>0.42137951627351306</c:v>
                </c:pt>
                <c:pt idx="15">
                  <c:v>0.49080322484323807</c:v>
                </c:pt>
                <c:pt idx="16">
                  <c:v>0.37085697223051717</c:v>
                </c:pt>
                <c:pt idx="17">
                  <c:v>0.45685279187817257</c:v>
                </c:pt>
                <c:pt idx="18">
                  <c:v>0.32355927142430646</c:v>
                </c:pt>
              </c:numCache>
            </c:numRef>
          </c:val>
          <c:smooth val="0"/>
          <c:extLst>
            <c:ext xmlns:c16="http://schemas.microsoft.com/office/drawing/2014/chart" uri="{C3380CC4-5D6E-409C-BE32-E72D297353CC}">
              <c16:uniqueId val="{0000000C-BBC3-4133-A02C-B1FC483AC05D}"/>
            </c:ext>
          </c:extLst>
        </c:ser>
        <c:ser>
          <c:idx val="13"/>
          <c:order val="13"/>
          <c:tx>
            <c:strRef>
              <c:f>GRAFICO!$T$1</c:f>
              <c:strCache>
                <c:ptCount val="1"/>
                <c:pt idx="0">
                  <c:v>sem19</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GRAFICO!$T$2:$T$20</c:f>
              <c:numCache>
                <c:formatCode>0%</c:formatCode>
                <c:ptCount val="19"/>
                <c:pt idx="0">
                  <c:v>1</c:v>
                </c:pt>
                <c:pt idx="1">
                  <c:v>1</c:v>
                </c:pt>
                <c:pt idx="2">
                  <c:v>1</c:v>
                </c:pt>
                <c:pt idx="3">
                  <c:v>1</c:v>
                </c:pt>
                <c:pt idx="4">
                  <c:v>0.99140041803523482</c:v>
                </c:pt>
                <c:pt idx="5">
                  <c:v>0.99086294416243703</c:v>
                </c:pt>
                <c:pt idx="6">
                  <c:v>0.97850104508808611</c:v>
                </c:pt>
                <c:pt idx="7">
                  <c:v>0.99946252612720221</c:v>
                </c:pt>
                <c:pt idx="8">
                  <c:v>0.87703792176769046</c:v>
                </c:pt>
                <c:pt idx="9">
                  <c:v>0.78391559669553224</c:v>
                </c:pt>
                <c:pt idx="10">
                  <c:v>0.64948979591836731</c:v>
                </c:pt>
                <c:pt idx="11">
                  <c:v>0.87011048074051822</c:v>
                </c:pt>
                <c:pt idx="12">
                  <c:v>4.9985070170200062E-2</c:v>
                </c:pt>
                <c:pt idx="13">
                  <c:v>0.83171095849507592</c:v>
                </c:pt>
                <c:pt idx="14">
                  <c:v>0.51268289041504889</c:v>
                </c:pt>
                <c:pt idx="15">
                  <c:v>0.56192893401015409</c:v>
                </c:pt>
                <c:pt idx="16">
                  <c:v>0.43320394147506758</c:v>
                </c:pt>
                <c:pt idx="17">
                  <c:v>0.54822335025380708</c:v>
                </c:pt>
                <c:pt idx="18">
                  <c:v>0.32355927142430646</c:v>
                </c:pt>
              </c:numCache>
            </c:numRef>
          </c:val>
          <c:smooth val="0"/>
          <c:extLst>
            <c:ext xmlns:c16="http://schemas.microsoft.com/office/drawing/2014/chart" uri="{C3380CC4-5D6E-409C-BE32-E72D297353CC}">
              <c16:uniqueId val="{0000000D-BBC3-4133-A02C-B1FC483AC05D}"/>
            </c:ext>
          </c:extLst>
        </c:ser>
        <c:ser>
          <c:idx val="14"/>
          <c:order val="14"/>
          <c:tx>
            <c:strRef>
              <c:f>GRAFICO!$U$1</c:f>
              <c:strCache>
                <c:ptCount val="1"/>
                <c:pt idx="0">
                  <c:v>sem20</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val>
            <c:numRef>
              <c:f>GRAFICO!$U$2:$U$20</c:f>
              <c:numCache>
                <c:formatCode>0%</c:formatCode>
                <c:ptCount val="19"/>
                <c:pt idx="0">
                  <c:v>1</c:v>
                </c:pt>
                <c:pt idx="1">
                  <c:v>1</c:v>
                </c:pt>
                <c:pt idx="2">
                  <c:v>1</c:v>
                </c:pt>
                <c:pt idx="3">
                  <c:v>1</c:v>
                </c:pt>
                <c:pt idx="4">
                  <c:v>0.99140041803523482</c:v>
                </c:pt>
                <c:pt idx="5">
                  <c:v>0.99140041803523482</c:v>
                </c:pt>
                <c:pt idx="6">
                  <c:v>0.99570020901761702</c:v>
                </c:pt>
                <c:pt idx="7">
                  <c:v>1</c:v>
                </c:pt>
                <c:pt idx="8">
                  <c:v>0.92433562257390212</c:v>
                </c:pt>
                <c:pt idx="9">
                  <c:v>0.79001692047377425</c:v>
                </c:pt>
                <c:pt idx="10">
                  <c:v>0.69334129590922666</c:v>
                </c:pt>
                <c:pt idx="11">
                  <c:v>0.9050462824723815</c:v>
                </c:pt>
                <c:pt idx="12">
                  <c:v>4.9985070170200062E-2</c:v>
                </c:pt>
                <c:pt idx="13">
                  <c:v>0.83171095849507592</c:v>
                </c:pt>
                <c:pt idx="14">
                  <c:v>0.54372200656912506</c:v>
                </c:pt>
                <c:pt idx="15">
                  <c:v>0.58181546730367451</c:v>
                </c:pt>
                <c:pt idx="16">
                  <c:v>0.45228426395939114</c:v>
                </c:pt>
                <c:pt idx="17">
                  <c:v>0.57563451776649721</c:v>
                </c:pt>
                <c:pt idx="18">
                  <c:v>0.35553896685577779</c:v>
                </c:pt>
              </c:numCache>
            </c:numRef>
          </c:val>
          <c:smooth val="0"/>
          <c:extLst>
            <c:ext xmlns:c16="http://schemas.microsoft.com/office/drawing/2014/chart" uri="{C3380CC4-5D6E-409C-BE32-E72D297353CC}">
              <c16:uniqueId val="{0000000E-BBC3-4133-A02C-B1FC483AC05D}"/>
            </c:ext>
          </c:extLst>
        </c:ser>
        <c:ser>
          <c:idx val="15"/>
          <c:order val="15"/>
          <c:tx>
            <c:strRef>
              <c:f>GRAFICO!$V$1</c:f>
              <c:strCache>
                <c:ptCount val="1"/>
                <c:pt idx="0">
                  <c:v>sem21</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val>
            <c:numRef>
              <c:f>GRAFICO!$V$2:$V$20</c:f>
              <c:numCache>
                <c:formatCode>0%</c:formatCode>
                <c:ptCount val="19"/>
                <c:pt idx="0">
                  <c:v>1</c:v>
                </c:pt>
                <c:pt idx="1">
                  <c:v>1</c:v>
                </c:pt>
                <c:pt idx="2">
                  <c:v>1</c:v>
                </c:pt>
                <c:pt idx="3">
                  <c:v>1</c:v>
                </c:pt>
                <c:pt idx="4">
                  <c:v>0.99140041803523482</c:v>
                </c:pt>
                <c:pt idx="5">
                  <c:v>0.99140041803523482</c:v>
                </c:pt>
                <c:pt idx="6">
                  <c:v>0.99570020901761702</c:v>
                </c:pt>
                <c:pt idx="7">
                  <c:v>1</c:v>
                </c:pt>
                <c:pt idx="8">
                  <c:v>0.92433562257390212</c:v>
                </c:pt>
                <c:pt idx="9">
                  <c:v>0.81976445997927505</c:v>
                </c:pt>
                <c:pt idx="10">
                  <c:v>0.69334129590922666</c:v>
                </c:pt>
                <c:pt idx="11">
                  <c:v>0.93063601074947966</c:v>
                </c:pt>
                <c:pt idx="12">
                  <c:v>8.0621080919677512E-2</c:v>
                </c:pt>
                <c:pt idx="13">
                  <c:v>0.84541654225142182</c:v>
                </c:pt>
                <c:pt idx="14">
                  <c:v>0.56333980292624508</c:v>
                </c:pt>
                <c:pt idx="15">
                  <c:v>0.61289937294714969</c:v>
                </c:pt>
                <c:pt idx="16">
                  <c:v>0.50764407285757018</c:v>
                </c:pt>
                <c:pt idx="17">
                  <c:v>0.63959390862944165</c:v>
                </c:pt>
                <c:pt idx="18">
                  <c:v>0.42863541355628615</c:v>
                </c:pt>
              </c:numCache>
            </c:numRef>
          </c:val>
          <c:smooth val="0"/>
          <c:extLst>
            <c:ext xmlns:c16="http://schemas.microsoft.com/office/drawing/2014/chart" uri="{C3380CC4-5D6E-409C-BE32-E72D297353CC}">
              <c16:uniqueId val="{0000000F-BBC3-4133-A02C-B1FC483AC05D}"/>
            </c:ext>
          </c:extLst>
        </c:ser>
        <c:ser>
          <c:idx val="16"/>
          <c:order val="16"/>
          <c:tx>
            <c:strRef>
              <c:f>GRAFICO!$W$1</c:f>
              <c:strCache>
                <c:ptCount val="1"/>
                <c:pt idx="0">
                  <c:v>sem22</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val>
            <c:numRef>
              <c:f>GRAFICO!$W$2:$W$20</c:f>
              <c:numCache>
                <c:formatCode>0%</c:formatCode>
                <c:ptCount val="19"/>
                <c:pt idx="0">
                  <c:v>1</c:v>
                </c:pt>
                <c:pt idx="1">
                  <c:v>1</c:v>
                </c:pt>
                <c:pt idx="2">
                  <c:v>1</c:v>
                </c:pt>
                <c:pt idx="3">
                  <c:v>1</c:v>
                </c:pt>
                <c:pt idx="4">
                  <c:v>0.99516273514481957</c:v>
                </c:pt>
                <c:pt idx="5">
                  <c:v>0.99140041803523482</c:v>
                </c:pt>
                <c:pt idx="6">
                  <c:v>1</c:v>
                </c:pt>
                <c:pt idx="7">
                  <c:v>1</c:v>
                </c:pt>
                <c:pt idx="8">
                  <c:v>0.95255300089578876</c:v>
                </c:pt>
                <c:pt idx="9">
                  <c:v>0.86691783909741893</c:v>
                </c:pt>
                <c:pt idx="10">
                  <c:v>0.69334129590922666</c:v>
                </c:pt>
                <c:pt idx="11">
                  <c:v>0.93923559271424362</c:v>
                </c:pt>
                <c:pt idx="12">
                  <c:v>0.16071171376881596</c:v>
                </c:pt>
                <c:pt idx="13">
                  <c:v>0.86825918184532858</c:v>
                </c:pt>
                <c:pt idx="14">
                  <c:v>0.59835025380710649</c:v>
                </c:pt>
                <c:pt idx="15">
                  <c:v>0.62400716631830488</c:v>
                </c:pt>
                <c:pt idx="16">
                  <c:v>0.54311734846222881</c:v>
                </c:pt>
                <c:pt idx="17">
                  <c:v>0.64873096446700451</c:v>
                </c:pt>
                <c:pt idx="18">
                  <c:v>0.43320394147506791</c:v>
                </c:pt>
              </c:numCache>
            </c:numRef>
          </c:val>
          <c:smooth val="0"/>
          <c:extLst>
            <c:ext xmlns:c16="http://schemas.microsoft.com/office/drawing/2014/chart" uri="{C3380CC4-5D6E-409C-BE32-E72D297353CC}">
              <c16:uniqueId val="{00000010-BBC3-4133-A02C-B1FC483AC05D}"/>
            </c:ext>
          </c:extLst>
        </c:ser>
        <c:ser>
          <c:idx val="17"/>
          <c:order val="17"/>
          <c:tx>
            <c:strRef>
              <c:f>GRAFICO!$X$1</c:f>
              <c:strCache>
                <c:ptCount val="1"/>
                <c:pt idx="0">
                  <c:v>sem23</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val>
            <c:numRef>
              <c:f>GRAFICO!$X$2:$X$20</c:f>
              <c:numCache>
                <c:formatCode>0%</c:formatCode>
                <c:ptCount val="19"/>
                <c:pt idx="0">
                  <c:v>1</c:v>
                </c:pt>
                <c:pt idx="1">
                  <c:v>1</c:v>
                </c:pt>
                <c:pt idx="2">
                  <c:v>1</c:v>
                </c:pt>
                <c:pt idx="3">
                  <c:v>1</c:v>
                </c:pt>
                <c:pt idx="4">
                  <c:v>1</c:v>
                </c:pt>
                <c:pt idx="5">
                  <c:v>0.99838757838160652</c:v>
                </c:pt>
                <c:pt idx="6">
                  <c:v>1</c:v>
                </c:pt>
                <c:pt idx="7">
                  <c:v>1</c:v>
                </c:pt>
                <c:pt idx="8">
                  <c:v>0.9544341594505813</c:v>
                </c:pt>
                <c:pt idx="9">
                  <c:v>0.88147208121827236</c:v>
                </c:pt>
                <c:pt idx="10">
                  <c:v>0.83150194087787344</c:v>
                </c:pt>
                <c:pt idx="11">
                  <c:v>0.95241863242758884</c:v>
                </c:pt>
                <c:pt idx="12">
                  <c:v>0.22762721093214855</c:v>
                </c:pt>
                <c:pt idx="13">
                  <c:v>0.86825918184532858</c:v>
                </c:pt>
                <c:pt idx="14">
                  <c:v>0.60352343983278534</c:v>
                </c:pt>
                <c:pt idx="15">
                  <c:v>0.65661391460137453</c:v>
                </c:pt>
                <c:pt idx="16">
                  <c:v>0.55171693042699455</c:v>
                </c:pt>
                <c:pt idx="17">
                  <c:v>0.73096446700507611</c:v>
                </c:pt>
                <c:pt idx="18">
                  <c:v>0.43320394147506791</c:v>
                </c:pt>
              </c:numCache>
            </c:numRef>
          </c:val>
          <c:smooth val="0"/>
          <c:extLst>
            <c:ext xmlns:c16="http://schemas.microsoft.com/office/drawing/2014/chart" uri="{C3380CC4-5D6E-409C-BE32-E72D297353CC}">
              <c16:uniqueId val="{00000011-BBC3-4133-A02C-B1FC483AC05D}"/>
            </c:ext>
          </c:extLst>
        </c:ser>
        <c:dLbls>
          <c:showLegendKey val="0"/>
          <c:showVal val="0"/>
          <c:showCatName val="0"/>
          <c:showSerName val="0"/>
          <c:showPercent val="0"/>
          <c:showBubbleSize val="0"/>
        </c:dLbls>
        <c:marker val="1"/>
        <c:smooth val="0"/>
        <c:axId val="915899903"/>
        <c:axId val="380186527"/>
      </c:lineChart>
      <c:catAx>
        <c:axId val="91589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380186527"/>
        <c:crosses val="autoZero"/>
        <c:auto val="1"/>
        <c:lblAlgn val="ctr"/>
        <c:lblOffset val="100"/>
        <c:noMultiLvlLbl val="0"/>
      </c:catAx>
      <c:valAx>
        <c:axId val="3801865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15899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[CONTROL FASES SAN FRNACISCO_v1.xlsx]DINAMICA!TablaDinámica6</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s-CL"/>
              <a:t>AVANCE</a:t>
            </a:r>
            <a:r>
              <a:rPr lang="es-CL" baseline="0"/>
              <a:t> GENERAL TERMINACIONES POR PISO</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s-C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DINAMICA!$A$47</c:f>
              <c:strCache>
                <c:ptCount val="1"/>
                <c:pt idx="0">
                  <c:v>Máx. de PISO 1</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DINAMICA!$A$48</c:f>
              <c:strCache>
                <c:ptCount val="1"/>
                <c:pt idx="0">
                  <c:v>Total</c:v>
                </c:pt>
              </c:strCache>
            </c:strRef>
          </c:cat>
          <c:val>
            <c:numRef>
              <c:f>DINAMICA!$A$48</c:f>
              <c:numCache>
                <c:formatCode>0%</c:formatCode>
                <c:ptCount val="1"/>
                <c:pt idx="0">
                  <c:v>6.0156250000000001E-2</c:v>
                </c:pt>
              </c:numCache>
            </c:numRef>
          </c:val>
          <c:extLst>
            <c:ext xmlns:c16="http://schemas.microsoft.com/office/drawing/2014/chart" uri="{C3380CC4-5D6E-409C-BE32-E72D297353CC}">
              <c16:uniqueId val="{00000000-680B-418E-A554-85F895E9759E}"/>
            </c:ext>
          </c:extLst>
        </c:ser>
        <c:ser>
          <c:idx val="1"/>
          <c:order val="1"/>
          <c:tx>
            <c:strRef>
              <c:f>DINAMICA!$B$47</c:f>
              <c:strCache>
                <c:ptCount val="1"/>
                <c:pt idx="0">
                  <c:v>Máx. de PISO 2</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DINAMICA!$A$48</c:f>
              <c:strCache>
                <c:ptCount val="1"/>
                <c:pt idx="0">
                  <c:v>Total</c:v>
                </c:pt>
              </c:strCache>
            </c:strRef>
          </c:cat>
          <c:val>
            <c:numRef>
              <c:f>DINAMICA!$B$48</c:f>
              <c:numCache>
                <c:formatCode>0%</c:formatCode>
                <c:ptCount val="1"/>
                <c:pt idx="0">
                  <c:v>2.9244186046511633E-2</c:v>
                </c:pt>
              </c:numCache>
            </c:numRef>
          </c:val>
          <c:extLst>
            <c:ext xmlns:c16="http://schemas.microsoft.com/office/drawing/2014/chart" uri="{C3380CC4-5D6E-409C-BE32-E72D297353CC}">
              <c16:uniqueId val="{00000001-680B-418E-A554-85F895E9759E}"/>
            </c:ext>
          </c:extLst>
        </c:ser>
        <c:ser>
          <c:idx val="2"/>
          <c:order val="2"/>
          <c:tx>
            <c:strRef>
              <c:f>DINAMICA!$C$47</c:f>
              <c:strCache>
                <c:ptCount val="1"/>
                <c:pt idx="0">
                  <c:v>Máx. de PISO 3</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DINAMICA!$A$48</c:f>
              <c:strCache>
                <c:ptCount val="1"/>
                <c:pt idx="0">
                  <c:v>Total</c:v>
                </c:pt>
              </c:strCache>
            </c:strRef>
          </c:cat>
          <c:val>
            <c:numRef>
              <c:f>DINAMICA!$C$48</c:f>
              <c:numCache>
                <c:formatCode>0%</c:formatCode>
                <c:ptCount val="1"/>
                <c:pt idx="0">
                  <c:v>2.2727272727272726E-3</c:v>
                </c:pt>
              </c:numCache>
            </c:numRef>
          </c:val>
          <c:extLst>
            <c:ext xmlns:c16="http://schemas.microsoft.com/office/drawing/2014/chart" uri="{C3380CC4-5D6E-409C-BE32-E72D297353CC}">
              <c16:uniqueId val="{00000002-680B-418E-A554-85F895E9759E}"/>
            </c:ext>
          </c:extLst>
        </c:ser>
        <c:ser>
          <c:idx val="3"/>
          <c:order val="3"/>
          <c:tx>
            <c:strRef>
              <c:f>DINAMICA!$D$47</c:f>
              <c:strCache>
                <c:ptCount val="1"/>
                <c:pt idx="0">
                  <c:v>Máx. de PISO 4</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DINAMICA!$A$48</c:f>
              <c:strCache>
                <c:ptCount val="1"/>
                <c:pt idx="0">
                  <c:v>Total</c:v>
                </c:pt>
              </c:strCache>
            </c:strRef>
          </c:cat>
          <c:val>
            <c:numRef>
              <c:f>DINAMICA!$D$48</c:f>
              <c:numCache>
                <c:formatCode>0%</c:formatCode>
                <c:ptCount val="1"/>
                <c:pt idx="0">
                  <c:v>0</c:v>
                </c:pt>
              </c:numCache>
            </c:numRef>
          </c:val>
          <c:extLst>
            <c:ext xmlns:c16="http://schemas.microsoft.com/office/drawing/2014/chart" uri="{C3380CC4-5D6E-409C-BE32-E72D297353CC}">
              <c16:uniqueId val="{00000003-680B-418E-A554-85F895E9759E}"/>
            </c:ext>
          </c:extLst>
        </c:ser>
        <c:ser>
          <c:idx val="4"/>
          <c:order val="4"/>
          <c:tx>
            <c:strRef>
              <c:f>DINAMICA!$E$47</c:f>
              <c:strCache>
                <c:ptCount val="1"/>
                <c:pt idx="0">
                  <c:v>Máx. de PISO 5</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DINAMICA!$A$48</c:f>
              <c:strCache>
                <c:ptCount val="1"/>
                <c:pt idx="0">
                  <c:v>Total</c:v>
                </c:pt>
              </c:strCache>
            </c:strRef>
          </c:cat>
          <c:val>
            <c:numRef>
              <c:f>DINAMICA!$E$48</c:f>
              <c:numCache>
                <c:formatCode>0%</c:formatCode>
                <c:ptCount val="1"/>
                <c:pt idx="0">
                  <c:v>0</c:v>
                </c:pt>
              </c:numCache>
            </c:numRef>
          </c:val>
          <c:extLst>
            <c:ext xmlns:c16="http://schemas.microsoft.com/office/drawing/2014/chart" uri="{C3380CC4-5D6E-409C-BE32-E72D297353CC}">
              <c16:uniqueId val="{00000004-680B-418E-A554-85F895E9759E}"/>
            </c:ext>
          </c:extLst>
        </c:ser>
        <c:ser>
          <c:idx val="5"/>
          <c:order val="5"/>
          <c:tx>
            <c:strRef>
              <c:f>DINAMICA!$F$47</c:f>
              <c:strCache>
                <c:ptCount val="1"/>
                <c:pt idx="0">
                  <c:v>Máx. de PISO 6</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DINAMICA!$A$48</c:f>
              <c:strCache>
                <c:ptCount val="1"/>
                <c:pt idx="0">
                  <c:v>Total</c:v>
                </c:pt>
              </c:strCache>
            </c:strRef>
          </c:cat>
          <c:val>
            <c:numRef>
              <c:f>DINAMICA!$F$48</c:f>
              <c:numCache>
                <c:formatCode>0%</c:formatCode>
                <c:ptCount val="1"/>
                <c:pt idx="0">
                  <c:v>0</c:v>
                </c:pt>
              </c:numCache>
            </c:numRef>
          </c:val>
          <c:extLst>
            <c:ext xmlns:c16="http://schemas.microsoft.com/office/drawing/2014/chart" uri="{C3380CC4-5D6E-409C-BE32-E72D297353CC}">
              <c16:uniqueId val="{00000005-680B-418E-A554-85F895E9759E}"/>
            </c:ext>
          </c:extLst>
        </c:ser>
        <c:ser>
          <c:idx val="6"/>
          <c:order val="6"/>
          <c:tx>
            <c:strRef>
              <c:f>DINAMICA!$G$47</c:f>
              <c:strCache>
                <c:ptCount val="1"/>
                <c:pt idx="0">
                  <c:v>Máx. de PISO 7</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DINAMICA!$A$48</c:f>
              <c:strCache>
                <c:ptCount val="1"/>
                <c:pt idx="0">
                  <c:v>Total</c:v>
                </c:pt>
              </c:strCache>
            </c:strRef>
          </c:cat>
          <c:val>
            <c:numRef>
              <c:f>DINAMICA!$G$48</c:f>
              <c:numCache>
                <c:formatCode>0%</c:formatCode>
                <c:ptCount val="1"/>
                <c:pt idx="0">
                  <c:v>0</c:v>
                </c:pt>
              </c:numCache>
            </c:numRef>
          </c:val>
          <c:extLst>
            <c:ext xmlns:c16="http://schemas.microsoft.com/office/drawing/2014/chart" uri="{C3380CC4-5D6E-409C-BE32-E72D297353CC}">
              <c16:uniqueId val="{00000006-680B-418E-A554-85F895E9759E}"/>
            </c:ext>
          </c:extLst>
        </c:ser>
        <c:ser>
          <c:idx val="7"/>
          <c:order val="7"/>
          <c:tx>
            <c:strRef>
              <c:f>DINAMICA!$H$47</c:f>
              <c:strCache>
                <c:ptCount val="1"/>
                <c:pt idx="0">
                  <c:v>Máx. de PISO 8</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DINAMICA!$A$48</c:f>
              <c:strCache>
                <c:ptCount val="1"/>
                <c:pt idx="0">
                  <c:v>Total</c:v>
                </c:pt>
              </c:strCache>
            </c:strRef>
          </c:cat>
          <c:val>
            <c:numRef>
              <c:f>DINAMICA!$H$48</c:f>
              <c:numCache>
                <c:formatCode>0%</c:formatCode>
                <c:ptCount val="1"/>
                <c:pt idx="0">
                  <c:v>0</c:v>
                </c:pt>
              </c:numCache>
            </c:numRef>
          </c:val>
          <c:extLst>
            <c:ext xmlns:c16="http://schemas.microsoft.com/office/drawing/2014/chart" uri="{C3380CC4-5D6E-409C-BE32-E72D297353CC}">
              <c16:uniqueId val="{00000007-680B-418E-A554-85F895E9759E}"/>
            </c:ext>
          </c:extLst>
        </c:ser>
        <c:ser>
          <c:idx val="8"/>
          <c:order val="8"/>
          <c:tx>
            <c:strRef>
              <c:f>DINAMICA!$I$47</c:f>
              <c:strCache>
                <c:ptCount val="1"/>
                <c:pt idx="0">
                  <c:v>Máx. de PISO 9</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DINAMICA!$A$48</c:f>
              <c:strCache>
                <c:ptCount val="1"/>
                <c:pt idx="0">
                  <c:v>Total</c:v>
                </c:pt>
              </c:strCache>
            </c:strRef>
          </c:cat>
          <c:val>
            <c:numRef>
              <c:f>DINAMICA!$I$48</c:f>
              <c:numCache>
                <c:formatCode>0%</c:formatCode>
                <c:ptCount val="1"/>
                <c:pt idx="0">
                  <c:v>0</c:v>
                </c:pt>
              </c:numCache>
            </c:numRef>
          </c:val>
          <c:extLst>
            <c:ext xmlns:c16="http://schemas.microsoft.com/office/drawing/2014/chart" uri="{C3380CC4-5D6E-409C-BE32-E72D297353CC}">
              <c16:uniqueId val="{00000008-680B-418E-A554-85F895E9759E}"/>
            </c:ext>
          </c:extLst>
        </c:ser>
        <c:dLbls>
          <c:dLblPos val="outEnd"/>
          <c:showLegendKey val="0"/>
          <c:showVal val="1"/>
          <c:showCatName val="0"/>
          <c:showSerName val="0"/>
          <c:showPercent val="0"/>
          <c:showBubbleSize val="0"/>
        </c:dLbls>
        <c:gapWidth val="219"/>
        <c:overlap val="-27"/>
        <c:axId val="852930656"/>
        <c:axId val="852948896"/>
      </c:barChart>
      <c:catAx>
        <c:axId val="85293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crossAx val="852948896"/>
        <c:crosses val="autoZero"/>
        <c:auto val="1"/>
        <c:lblAlgn val="ctr"/>
        <c:lblOffset val="100"/>
        <c:noMultiLvlLbl val="0"/>
      </c:catAx>
      <c:valAx>
        <c:axId val="8529488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crossAx val="85293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[CONTROL FASES SAN FRNACISCO_v1.xlsx]DINAMICA!TablaDinámica9</c:name>
    <c:fmtId val="38"/>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s-CL"/>
              <a:t>GRAFICO</a:t>
            </a:r>
            <a:r>
              <a:rPr lang="es-CL" baseline="0"/>
              <a:t> DE AVANCE GENERAL POR FASE</a:t>
            </a:r>
            <a:endParaRPr lang="es-CL"/>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s-CL"/>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DINAMICA!$B$4</c:f>
              <c:strCache>
                <c:ptCount val="1"/>
                <c:pt idx="0">
                  <c:v>Máx. de PISO 1</c:v>
                </c:pt>
              </c:strCache>
            </c:strRef>
          </c:tx>
          <c:spPr>
            <a:solidFill>
              <a:schemeClr val="accent2">
                <a:shade val="44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DINAMICA!$A$5:$A$6</c:f>
              <c:strCache>
                <c:ptCount val="1"/>
                <c:pt idx="0">
                  <c:v>FASE 1</c:v>
                </c:pt>
              </c:strCache>
            </c:strRef>
          </c:cat>
          <c:val>
            <c:numRef>
              <c:f>DINAMICA!$B$5:$B$6</c:f>
              <c:numCache>
                <c:formatCode>0%</c:formatCode>
                <c:ptCount val="1"/>
                <c:pt idx="0">
                  <c:v>0.24062500000000001</c:v>
                </c:pt>
              </c:numCache>
            </c:numRef>
          </c:val>
          <c:extLst>
            <c:ext xmlns:c16="http://schemas.microsoft.com/office/drawing/2014/chart" uri="{C3380CC4-5D6E-409C-BE32-E72D297353CC}">
              <c16:uniqueId val="{00000000-B302-4DAB-AD48-613F6195D8CF}"/>
            </c:ext>
          </c:extLst>
        </c:ser>
        <c:ser>
          <c:idx val="1"/>
          <c:order val="1"/>
          <c:tx>
            <c:strRef>
              <c:f>DINAMICA!$C$4</c:f>
              <c:strCache>
                <c:ptCount val="1"/>
                <c:pt idx="0">
                  <c:v>Máx. de PISO 2</c:v>
                </c:pt>
              </c:strCache>
            </c:strRef>
          </c:tx>
          <c:spPr>
            <a:solidFill>
              <a:schemeClr val="accent2">
                <a:shade val="58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DINAMICA!$A$5:$A$6</c:f>
              <c:strCache>
                <c:ptCount val="1"/>
                <c:pt idx="0">
                  <c:v>FASE 1</c:v>
                </c:pt>
              </c:strCache>
            </c:strRef>
          </c:cat>
          <c:val>
            <c:numRef>
              <c:f>DINAMICA!$C$5:$C$6</c:f>
              <c:numCache>
                <c:formatCode>0%</c:formatCode>
                <c:ptCount val="1"/>
                <c:pt idx="0">
                  <c:v>0.11697674418604653</c:v>
                </c:pt>
              </c:numCache>
            </c:numRef>
          </c:val>
          <c:extLst>
            <c:ext xmlns:c16="http://schemas.microsoft.com/office/drawing/2014/chart" uri="{C3380CC4-5D6E-409C-BE32-E72D297353CC}">
              <c16:uniqueId val="{00000001-B302-4DAB-AD48-613F6195D8CF}"/>
            </c:ext>
          </c:extLst>
        </c:ser>
        <c:ser>
          <c:idx val="2"/>
          <c:order val="2"/>
          <c:tx>
            <c:strRef>
              <c:f>DINAMICA!$D$4</c:f>
              <c:strCache>
                <c:ptCount val="1"/>
                <c:pt idx="0">
                  <c:v>Máx. de PISO 3</c:v>
                </c:pt>
              </c:strCache>
            </c:strRef>
          </c:tx>
          <c:spPr>
            <a:solidFill>
              <a:schemeClr val="accent2">
                <a:shade val="72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DINAMICA!$A$5:$A$6</c:f>
              <c:strCache>
                <c:ptCount val="1"/>
                <c:pt idx="0">
                  <c:v>FASE 1</c:v>
                </c:pt>
              </c:strCache>
            </c:strRef>
          </c:cat>
          <c:val>
            <c:numRef>
              <c:f>DINAMICA!$D$5:$D$6</c:f>
              <c:numCache>
                <c:formatCode>0%</c:formatCode>
                <c:ptCount val="1"/>
                <c:pt idx="0">
                  <c:v>9.0909090909090905E-3</c:v>
                </c:pt>
              </c:numCache>
            </c:numRef>
          </c:val>
          <c:extLst>
            <c:ext xmlns:c16="http://schemas.microsoft.com/office/drawing/2014/chart" uri="{C3380CC4-5D6E-409C-BE32-E72D297353CC}">
              <c16:uniqueId val="{00000002-B302-4DAB-AD48-613F6195D8CF}"/>
            </c:ext>
          </c:extLst>
        </c:ser>
        <c:ser>
          <c:idx val="3"/>
          <c:order val="3"/>
          <c:tx>
            <c:strRef>
              <c:f>DINAMICA!$E$4</c:f>
              <c:strCache>
                <c:ptCount val="1"/>
                <c:pt idx="0">
                  <c:v>Máx. de PISO 4</c:v>
                </c:pt>
              </c:strCache>
            </c:strRef>
          </c:tx>
          <c:spPr>
            <a:solidFill>
              <a:schemeClr val="accent2">
                <a:shade val="86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DINAMICA!$A$5:$A$6</c:f>
              <c:strCache>
                <c:ptCount val="1"/>
                <c:pt idx="0">
                  <c:v>FASE 1</c:v>
                </c:pt>
              </c:strCache>
            </c:strRef>
          </c:cat>
          <c:val>
            <c:numRef>
              <c:f>DINAMICA!$E$5:$E$6</c:f>
              <c:numCache>
                <c:formatCode>0%</c:formatCode>
                <c:ptCount val="1"/>
                <c:pt idx="0">
                  <c:v>0</c:v>
                </c:pt>
              </c:numCache>
            </c:numRef>
          </c:val>
          <c:extLst>
            <c:ext xmlns:c16="http://schemas.microsoft.com/office/drawing/2014/chart" uri="{C3380CC4-5D6E-409C-BE32-E72D297353CC}">
              <c16:uniqueId val="{00000003-B302-4DAB-AD48-613F6195D8CF}"/>
            </c:ext>
          </c:extLst>
        </c:ser>
        <c:ser>
          <c:idx val="4"/>
          <c:order val="4"/>
          <c:tx>
            <c:strRef>
              <c:f>DINAMICA!$F$4</c:f>
              <c:strCache>
                <c:ptCount val="1"/>
                <c:pt idx="0">
                  <c:v>Máx. de PISO 5</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DINAMICA!$A$5:$A$6</c:f>
              <c:strCache>
                <c:ptCount val="1"/>
                <c:pt idx="0">
                  <c:v>FASE 1</c:v>
                </c:pt>
              </c:strCache>
            </c:strRef>
          </c:cat>
          <c:val>
            <c:numRef>
              <c:f>DINAMICA!$F$5:$F$6</c:f>
              <c:numCache>
                <c:formatCode>0%</c:formatCode>
                <c:ptCount val="1"/>
                <c:pt idx="0">
                  <c:v>0</c:v>
                </c:pt>
              </c:numCache>
            </c:numRef>
          </c:val>
          <c:extLst>
            <c:ext xmlns:c16="http://schemas.microsoft.com/office/drawing/2014/chart" uri="{C3380CC4-5D6E-409C-BE32-E72D297353CC}">
              <c16:uniqueId val="{00000004-B302-4DAB-AD48-613F6195D8CF}"/>
            </c:ext>
          </c:extLst>
        </c:ser>
        <c:ser>
          <c:idx val="5"/>
          <c:order val="5"/>
          <c:tx>
            <c:strRef>
              <c:f>DINAMICA!$G$4</c:f>
              <c:strCache>
                <c:ptCount val="1"/>
                <c:pt idx="0">
                  <c:v>Máx. de PISO 6</c:v>
                </c:pt>
              </c:strCache>
            </c:strRef>
          </c:tx>
          <c:spPr>
            <a:solidFill>
              <a:schemeClr val="accent2">
                <a:tint val="86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DINAMICA!$A$5:$A$6</c:f>
              <c:strCache>
                <c:ptCount val="1"/>
                <c:pt idx="0">
                  <c:v>FASE 1</c:v>
                </c:pt>
              </c:strCache>
            </c:strRef>
          </c:cat>
          <c:val>
            <c:numRef>
              <c:f>DINAMICA!$G$5:$G$6</c:f>
              <c:numCache>
                <c:formatCode>0%</c:formatCode>
                <c:ptCount val="1"/>
                <c:pt idx="0">
                  <c:v>0</c:v>
                </c:pt>
              </c:numCache>
            </c:numRef>
          </c:val>
          <c:extLst>
            <c:ext xmlns:c16="http://schemas.microsoft.com/office/drawing/2014/chart" uri="{C3380CC4-5D6E-409C-BE32-E72D297353CC}">
              <c16:uniqueId val="{00000005-B302-4DAB-AD48-613F6195D8CF}"/>
            </c:ext>
          </c:extLst>
        </c:ser>
        <c:ser>
          <c:idx val="6"/>
          <c:order val="6"/>
          <c:tx>
            <c:strRef>
              <c:f>DINAMICA!$H$4</c:f>
              <c:strCache>
                <c:ptCount val="1"/>
                <c:pt idx="0">
                  <c:v>Máx. de PISO 7</c:v>
                </c:pt>
              </c:strCache>
            </c:strRef>
          </c:tx>
          <c:spPr>
            <a:solidFill>
              <a:schemeClr val="accent2">
                <a:tint val="72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DINAMICA!$A$5:$A$6</c:f>
              <c:strCache>
                <c:ptCount val="1"/>
                <c:pt idx="0">
                  <c:v>FASE 1</c:v>
                </c:pt>
              </c:strCache>
            </c:strRef>
          </c:cat>
          <c:val>
            <c:numRef>
              <c:f>DINAMICA!$H$5:$H$6</c:f>
              <c:numCache>
                <c:formatCode>0%</c:formatCode>
                <c:ptCount val="1"/>
                <c:pt idx="0">
                  <c:v>0</c:v>
                </c:pt>
              </c:numCache>
            </c:numRef>
          </c:val>
          <c:extLst>
            <c:ext xmlns:c16="http://schemas.microsoft.com/office/drawing/2014/chart" uri="{C3380CC4-5D6E-409C-BE32-E72D297353CC}">
              <c16:uniqueId val="{00000006-B302-4DAB-AD48-613F6195D8CF}"/>
            </c:ext>
          </c:extLst>
        </c:ser>
        <c:ser>
          <c:idx val="7"/>
          <c:order val="7"/>
          <c:tx>
            <c:strRef>
              <c:f>DINAMICA!$I$4</c:f>
              <c:strCache>
                <c:ptCount val="1"/>
                <c:pt idx="0">
                  <c:v>Máx. de PISO 8</c:v>
                </c:pt>
              </c:strCache>
            </c:strRef>
          </c:tx>
          <c:spPr>
            <a:solidFill>
              <a:schemeClr val="accent2">
                <a:tint val="58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DINAMICA!$A$5:$A$6</c:f>
              <c:strCache>
                <c:ptCount val="1"/>
                <c:pt idx="0">
                  <c:v>FASE 1</c:v>
                </c:pt>
              </c:strCache>
            </c:strRef>
          </c:cat>
          <c:val>
            <c:numRef>
              <c:f>DINAMICA!$I$5:$I$6</c:f>
              <c:numCache>
                <c:formatCode>0%</c:formatCode>
                <c:ptCount val="1"/>
                <c:pt idx="0">
                  <c:v>0</c:v>
                </c:pt>
              </c:numCache>
            </c:numRef>
          </c:val>
          <c:extLst>
            <c:ext xmlns:c16="http://schemas.microsoft.com/office/drawing/2014/chart" uri="{C3380CC4-5D6E-409C-BE32-E72D297353CC}">
              <c16:uniqueId val="{00000007-B302-4DAB-AD48-613F6195D8CF}"/>
            </c:ext>
          </c:extLst>
        </c:ser>
        <c:ser>
          <c:idx val="8"/>
          <c:order val="8"/>
          <c:tx>
            <c:strRef>
              <c:f>DINAMICA!$J$4</c:f>
              <c:strCache>
                <c:ptCount val="1"/>
                <c:pt idx="0">
                  <c:v>Máx. de PISO 9</c:v>
                </c:pt>
              </c:strCache>
            </c:strRef>
          </c:tx>
          <c:spPr>
            <a:solidFill>
              <a:schemeClr val="accent2">
                <a:tint val="44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DINAMICA!$A$5:$A$6</c:f>
              <c:strCache>
                <c:ptCount val="1"/>
                <c:pt idx="0">
                  <c:v>FASE 1</c:v>
                </c:pt>
              </c:strCache>
            </c:strRef>
          </c:cat>
          <c:val>
            <c:numRef>
              <c:f>DINAMICA!$J$5:$J$6</c:f>
              <c:numCache>
                <c:formatCode>0%</c:formatCode>
                <c:ptCount val="1"/>
                <c:pt idx="0">
                  <c:v>0</c:v>
                </c:pt>
              </c:numCache>
            </c:numRef>
          </c:val>
          <c:extLst>
            <c:ext xmlns:c16="http://schemas.microsoft.com/office/drawing/2014/chart" uri="{C3380CC4-5D6E-409C-BE32-E72D297353CC}">
              <c16:uniqueId val="{00000008-B302-4DAB-AD48-613F6195D8CF}"/>
            </c:ext>
          </c:extLst>
        </c:ser>
        <c:dLbls>
          <c:dLblPos val="outEnd"/>
          <c:showLegendKey val="0"/>
          <c:showVal val="1"/>
          <c:showCatName val="0"/>
          <c:showSerName val="0"/>
          <c:showPercent val="0"/>
          <c:showBubbleSize val="0"/>
        </c:dLbls>
        <c:gapWidth val="219"/>
        <c:overlap val="-27"/>
        <c:axId val="758160896"/>
        <c:axId val="758148416"/>
      </c:barChart>
      <c:catAx>
        <c:axId val="75816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crossAx val="758148416"/>
        <c:crosses val="autoZero"/>
        <c:auto val="1"/>
        <c:lblAlgn val="ctr"/>
        <c:lblOffset val="100"/>
        <c:noMultiLvlLbl val="0"/>
      </c:catAx>
      <c:valAx>
        <c:axId val="758148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crossAx val="75816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[CONTROL FASES SAN FRNACISCO_v1.xlsx]DINAMICA!TablaDinámica8</c:name>
    <c:fmtId val="37"/>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s-CL" sz="1200" b="0" i="0" u="none" strike="noStrike" kern="1200" spc="0" baseline="0">
                <a:solidFill>
                  <a:sysClr val="window" lastClr="FFFFFF"/>
                </a:solidFill>
              </a:rPr>
              <a:t>GRAFICO DE AVANCE GENERAL POR FASE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s-CL"/>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DINAMICA!$B$9</c:f>
              <c:strCache>
                <c:ptCount val="1"/>
                <c:pt idx="0">
                  <c:v>Máx. de PISO 1</c:v>
                </c:pt>
              </c:strCache>
            </c:strRef>
          </c:tx>
          <c:spPr>
            <a:solidFill>
              <a:schemeClr val="accent2">
                <a:shade val="44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DINAMICA!$A$10:$A$11</c:f>
              <c:strCache>
                <c:ptCount val="1"/>
                <c:pt idx="0">
                  <c:v>FASE 2</c:v>
                </c:pt>
              </c:strCache>
            </c:strRef>
          </c:cat>
          <c:val>
            <c:numRef>
              <c:f>DINAMICA!$B$10:$B$11</c:f>
              <c:numCache>
                <c:formatCode>0%</c:formatCode>
                <c:ptCount val="1"/>
                <c:pt idx="0">
                  <c:v>0</c:v>
                </c:pt>
              </c:numCache>
            </c:numRef>
          </c:val>
          <c:extLst>
            <c:ext xmlns:c16="http://schemas.microsoft.com/office/drawing/2014/chart" uri="{C3380CC4-5D6E-409C-BE32-E72D297353CC}">
              <c16:uniqueId val="{00000000-5C1A-418C-8571-86BEBC4501B7}"/>
            </c:ext>
          </c:extLst>
        </c:ser>
        <c:ser>
          <c:idx val="1"/>
          <c:order val="1"/>
          <c:tx>
            <c:strRef>
              <c:f>DINAMICA!$C$9</c:f>
              <c:strCache>
                <c:ptCount val="1"/>
                <c:pt idx="0">
                  <c:v>Máx. de PISO 2</c:v>
                </c:pt>
              </c:strCache>
            </c:strRef>
          </c:tx>
          <c:spPr>
            <a:solidFill>
              <a:schemeClr val="accent2">
                <a:shade val="58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DINAMICA!$A$10:$A$11</c:f>
              <c:strCache>
                <c:ptCount val="1"/>
                <c:pt idx="0">
                  <c:v>FASE 2</c:v>
                </c:pt>
              </c:strCache>
            </c:strRef>
          </c:cat>
          <c:val>
            <c:numRef>
              <c:f>DINAMICA!$C$10:$C$11</c:f>
              <c:numCache>
                <c:formatCode>0%</c:formatCode>
                <c:ptCount val="1"/>
                <c:pt idx="0">
                  <c:v>0</c:v>
                </c:pt>
              </c:numCache>
            </c:numRef>
          </c:val>
          <c:extLst>
            <c:ext xmlns:c16="http://schemas.microsoft.com/office/drawing/2014/chart" uri="{C3380CC4-5D6E-409C-BE32-E72D297353CC}">
              <c16:uniqueId val="{00000001-5C1A-418C-8571-86BEBC4501B7}"/>
            </c:ext>
          </c:extLst>
        </c:ser>
        <c:ser>
          <c:idx val="2"/>
          <c:order val="2"/>
          <c:tx>
            <c:strRef>
              <c:f>DINAMICA!$D$9</c:f>
              <c:strCache>
                <c:ptCount val="1"/>
                <c:pt idx="0">
                  <c:v>Máx. de PISO 3</c:v>
                </c:pt>
              </c:strCache>
            </c:strRef>
          </c:tx>
          <c:spPr>
            <a:solidFill>
              <a:schemeClr val="accent2">
                <a:shade val="72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DINAMICA!$A$10:$A$11</c:f>
              <c:strCache>
                <c:ptCount val="1"/>
                <c:pt idx="0">
                  <c:v>FASE 2</c:v>
                </c:pt>
              </c:strCache>
            </c:strRef>
          </c:cat>
          <c:val>
            <c:numRef>
              <c:f>DINAMICA!$D$10:$D$11</c:f>
              <c:numCache>
                <c:formatCode>0%</c:formatCode>
                <c:ptCount val="1"/>
                <c:pt idx="0">
                  <c:v>0</c:v>
                </c:pt>
              </c:numCache>
            </c:numRef>
          </c:val>
          <c:extLst>
            <c:ext xmlns:c16="http://schemas.microsoft.com/office/drawing/2014/chart" uri="{C3380CC4-5D6E-409C-BE32-E72D297353CC}">
              <c16:uniqueId val="{00000002-5C1A-418C-8571-86BEBC4501B7}"/>
            </c:ext>
          </c:extLst>
        </c:ser>
        <c:ser>
          <c:idx val="3"/>
          <c:order val="3"/>
          <c:tx>
            <c:strRef>
              <c:f>DINAMICA!$E$9</c:f>
              <c:strCache>
                <c:ptCount val="1"/>
                <c:pt idx="0">
                  <c:v>Máx. de PISO 4</c:v>
                </c:pt>
              </c:strCache>
            </c:strRef>
          </c:tx>
          <c:spPr>
            <a:solidFill>
              <a:schemeClr val="accent2">
                <a:shade val="86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DINAMICA!$A$10:$A$11</c:f>
              <c:strCache>
                <c:ptCount val="1"/>
                <c:pt idx="0">
                  <c:v>FASE 2</c:v>
                </c:pt>
              </c:strCache>
            </c:strRef>
          </c:cat>
          <c:val>
            <c:numRef>
              <c:f>DINAMICA!$E$10:$E$11</c:f>
              <c:numCache>
                <c:formatCode>0%</c:formatCode>
                <c:ptCount val="1"/>
                <c:pt idx="0">
                  <c:v>0</c:v>
                </c:pt>
              </c:numCache>
            </c:numRef>
          </c:val>
          <c:extLst>
            <c:ext xmlns:c16="http://schemas.microsoft.com/office/drawing/2014/chart" uri="{C3380CC4-5D6E-409C-BE32-E72D297353CC}">
              <c16:uniqueId val="{00000003-5C1A-418C-8571-86BEBC4501B7}"/>
            </c:ext>
          </c:extLst>
        </c:ser>
        <c:ser>
          <c:idx val="4"/>
          <c:order val="4"/>
          <c:tx>
            <c:strRef>
              <c:f>DINAMICA!$F$9</c:f>
              <c:strCache>
                <c:ptCount val="1"/>
                <c:pt idx="0">
                  <c:v>Máx. de PISO 5</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DINAMICA!$A$10:$A$11</c:f>
              <c:strCache>
                <c:ptCount val="1"/>
                <c:pt idx="0">
                  <c:v>FASE 2</c:v>
                </c:pt>
              </c:strCache>
            </c:strRef>
          </c:cat>
          <c:val>
            <c:numRef>
              <c:f>DINAMICA!$F$10:$F$11</c:f>
              <c:numCache>
                <c:formatCode>0%</c:formatCode>
                <c:ptCount val="1"/>
                <c:pt idx="0">
                  <c:v>0</c:v>
                </c:pt>
              </c:numCache>
            </c:numRef>
          </c:val>
          <c:extLst>
            <c:ext xmlns:c16="http://schemas.microsoft.com/office/drawing/2014/chart" uri="{C3380CC4-5D6E-409C-BE32-E72D297353CC}">
              <c16:uniqueId val="{00000004-5C1A-418C-8571-86BEBC4501B7}"/>
            </c:ext>
          </c:extLst>
        </c:ser>
        <c:ser>
          <c:idx val="5"/>
          <c:order val="5"/>
          <c:tx>
            <c:strRef>
              <c:f>DINAMICA!$G$9</c:f>
              <c:strCache>
                <c:ptCount val="1"/>
                <c:pt idx="0">
                  <c:v>Máx. de PISO 6</c:v>
                </c:pt>
              </c:strCache>
            </c:strRef>
          </c:tx>
          <c:spPr>
            <a:solidFill>
              <a:schemeClr val="accent2">
                <a:tint val="86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DINAMICA!$A$10:$A$11</c:f>
              <c:strCache>
                <c:ptCount val="1"/>
                <c:pt idx="0">
                  <c:v>FASE 2</c:v>
                </c:pt>
              </c:strCache>
            </c:strRef>
          </c:cat>
          <c:val>
            <c:numRef>
              <c:f>DINAMICA!$G$10:$G$11</c:f>
              <c:numCache>
                <c:formatCode>0%</c:formatCode>
                <c:ptCount val="1"/>
                <c:pt idx="0">
                  <c:v>0</c:v>
                </c:pt>
              </c:numCache>
            </c:numRef>
          </c:val>
          <c:extLst>
            <c:ext xmlns:c16="http://schemas.microsoft.com/office/drawing/2014/chart" uri="{C3380CC4-5D6E-409C-BE32-E72D297353CC}">
              <c16:uniqueId val="{00000005-5C1A-418C-8571-86BEBC4501B7}"/>
            </c:ext>
          </c:extLst>
        </c:ser>
        <c:ser>
          <c:idx val="6"/>
          <c:order val="6"/>
          <c:tx>
            <c:strRef>
              <c:f>DINAMICA!$H$9</c:f>
              <c:strCache>
                <c:ptCount val="1"/>
                <c:pt idx="0">
                  <c:v>Máx. de PISO 7</c:v>
                </c:pt>
              </c:strCache>
            </c:strRef>
          </c:tx>
          <c:spPr>
            <a:solidFill>
              <a:schemeClr val="accent2">
                <a:tint val="72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DINAMICA!$A$10:$A$11</c:f>
              <c:strCache>
                <c:ptCount val="1"/>
                <c:pt idx="0">
                  <c:v>FASE 2</c:v>
                </c:pt>
              </c:strCache>
            </c:strRef>
          </c:cat>
          <c:val>
            <c:numRef>
              <c:f>DINAMICA!$H$10:$H$11</c:f>
              <c:numCache>
                <c:formatCode>0%</c:formatCode>
                <c:ptCount val="1"/>
                <c:pt idx="0">
                  <c:v>0</c:v>
                </c:pt>
              </c:numCache>
            </c:numRef>
          </c:val>
          <c:extLst>
            <c:ext xmlns:c16="http://schemas.microsoft.com/office/drawing/2014/chart" uri="{C3380CC4-5D6E-409C-BE32-E72D297353CC}">
              <c16:uniqueId val="{00000006-5C1A-418C-8571-86BEBC4501B7}"/>
            </c:ext>
          </c:extLst>
        </c:ser>
        <c:ser>
          <c:idx val="7"/>
          <c:order val="7"/>
          <c:tx>
            <c:strRef>
              <c:f>DINAMICA!$I$9</c:f>
              <c:strCache>
                <c:ptCount val="1"/>
                <c:pt idx="0">
                  <c:v>Máx. de PISO 8</c:v>
                </c:pt>
              </c:strCache>
            </c:strRef>
          </c:tx>
          <c:spPr>
            <a:solidFill>
              <a:schemeClr val="accent2">
                <a:tint val="58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DINAMICA!$A$10:$A$11</c:f>
              <c:strCache>
                <c:ptCount val="1"/>
                <c:pt idx="0">
                  <c:v>FASE 2</c:v>
                </c:pt>
              </c:strCache>
            </c:strRef>
          </c:cat>
          <c:val>
            <c:numRef>
              <c:f>DINAMICA!$I$10:$I$11</c:f>
              <c:numCache>
                <c:formatCode>0%</c:formatCode>
                <c:ptCount val="1"/>
                <c:pt idx="0">
                  <c:v>0</c:v>
                </c:pt>
              </c:numCache>
            </c:numRef>
          </c:val>
          <c:extLst>
            <c:ext xmlns:c16="http://schemas.microsoft.com/office/drawing/2014/chart" uri="{C3380CC4-5D6E-409C-BE32-E72D297353CC}">
              <c16:uniqueId val="{00000007-5C1A-418C-8571-86BEBC4501B7}"/>
            </c:ext>
          </c:extLst>
        </c:ser>
        <c:ser>
          <c:idx val="8"/>
          <c:order val="8"/>
          <c:tx>
            <c:strRef>
              <c:f>DINAMICA!$J$9</c:f>
              <c:strCache>
                <c:ptCount val="1"/>
                <c:pt idx="0">
                  <c:v>Máx. de PISO 9</c:v>
                </c:pt>
              </c:strCache>
            </c:strRef>
          </c:tx>
          <c:spPr>
            <a:solidFill>
              <a:schemeClr val="accent2">
                <a:tint val="44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DINAMICA!$A$10:$A$11</c:f>
              <c:strCache>
                <c:ptCount val="1"/>
                <c:pt idx="0">
                  <c:v>FASE 2</c:v>
                </c:pt>
              </c:strCache>
            </c:strRef>
          </c:cat>
          <c:val>
            <c:numRef>
              <c:f>DINAMICA!$J$10:$J$11</c:f>
              <c:numCache>
                <c:formatCode>0%</c:formatCode>
                <c:ptCount val="1"/>
                <c:pt idx="0">
                  <c:v>0</c:v>
                </c:pt>
              </c:numCache>
            </c:numRef>
          </c:val>
          <c:extLst>
            <c:ext xmlns:c16="http://schemas.microsoft.com/office/drawing/2014/chart" uri="{C3380CC4-5D6E-409C-BE32-E72D297353CC}">
              <c16:uniqueId val="{00000008-5C1A-418C-8571-86BEBC4501B7}"/>
            </c:ext>
          </c:extLst>
        </c:ser>
        <c:dLbls>
          <c:dLblPos val="outEnd"/>
          <c:showLegendKey val="0"/>
          <c:showVal val="1"/>
          <c:showCatName val="0"/>
          <c:showSerName val="0"/>
          <c:showPercent val="0"/>
          <c:showBubbleSize val="0"/>
        </c:dLbls>
        <c:gapWidth val="219"/>
        <c:overlap val="-27"/>
        <c:axId val="758144576"/>
        <c:axId val="758153696"/>
      </c:barChart>
      <c:catAx>
        <c:axId val="75814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crossAx val="758153696"/>
        <c:crosses val="autoZero"/>
        <c:auto val="1"/>
        <c:lblAlgn val="ctr"/>
        <c:lblOffset val="100"/>
        <c:noMultiLvlLbl val="0"/>
      </c:catAx>
      <c:valAx>
        <c:axId val="758153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crossAx val="75814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[CONTROL FASES SAN FRNACISCO_v1.xlsx]DINAMICA!TablaDinámica7</c:name>
    <c:fmtId val="37"/>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s-CL" sz="1200" b="0" i="0" u="none" strike="noStrike" kern="1200" spc="0" baseline="0">
                <a:solidFill>
                  <a:sysClr val="window" lastClr="FFFFFF"/>
                </a:solidFill>
              </a:rPr>
              <a:t>GRAFICO DE AVANCE GENERAL POR FASE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s-CL"/>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DINAMICA!$B$13</c:f>
              <c:strCache>
                <c:ptCount val="1"/>
                <c:pt idx="0">
                  <c:v>Máx. de PISO 1</c:v>
                </c:pt>
              </c:strCache>
            </c:strRef>
          </c:tx>
          <c:spPr>
            <a:solidFill>
              <a:schemeClr val="accent2">
                <a:shade val="44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DINAMICA!$A$14:$A$15</c:f>
              <c:strCache>
                <c:ptCount val="1"/>
                <c:pt idx="0">
                  <c:v>FASE 3</c:v>
                </c:pt>
              </c:strCache>
            </c:strRef>
          </c:cat>
          <c:val>
            <c:numRef>
              <c:f>DINAMICA!$B$14:$B$15</c:f>
              <c:numCache>
                <c:formatCode>0%</c:formatCode>
                <c:ptCount val="1"/>
                <c:pt idx="0">
                  <c:v>0</c:v>
                </c:pt>
              </c:numCache>
            </c:numRef>
          </c:val>
          <c:extLst>
            <c:ext xmlns:c16="http://schemas.microsoft.com/office/drawing/2014/chart" uri="{C3380CC4-5D6E-409C-BE32-E72D297353CC}">
              <c16:uniqueId val="{00000000-DD75-4471-BE1B-C6B0F19567C9}"/>
            </c:ext>
          </c:extLst>
        </c:ser>
        <c:ser>
          <c:idx val="1"/>
          <c:order val="1"/>
          <c:tx>
            <c:strRef>
              <c:f>DINAMICA!$C$13</c:f>
              <c:strCache>
                <c:ptCount val="1"/>
                <c:pt idx="0">
                  <c:v>Máx. de PISO 2</c:v>
                </c:pt>
              </c:strCache>
            </c:strRef>
          </c:tx>
          <c:spPr>
            <a:solidFill>
              <a:schemeClr val="accent2">
                <a:shade val="58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DINAMICA!$A$14:$A$15</c:f>
              <c:strCache>
                <c:ptCount val="1"/>
                <c:pt idx="0">
                  <c:v>FASE 3</c:v>
                </c:pt>
              </c:strCache>
            </c:strRef>
          </c:cat>
          <c:val>
            <c:numRef>
              <c:f>DINAMICA!$C$14:$C$15</c:f>
              <c:numCache>
                <c:formatCode>0%</c:formatCode>
                <c:ptCount val="1"/>
                <c:pt idx="0">
                  <c:v>0</c:v>
                </c:pt>
              </c:numCache>
            </c:numRef>
          </c:val>
          <c:extLst>
            <c:ext xmlns:c16="http://schemas.microsoft.com/office/drawing/2014/chart" uri="{C3380CC4-5D6E-409C-BE32-E72D297353CC}">
              <c16:uniqueId val="{00000001-DD75-4471-BE1B-C6B0F19567C9}"/>
            </c:ext>
          </c:extLst>
        </c:ser>
        <c:ser>
          <c:idx val="2"/>
          <c:order val="2"/>
          <c:tx>
            <c:strRef>
              <c:f>DINAMICA!$D$13</c:f>
              <c:strCache>
                <c:ptCount val="1"/>
                <c:pt idx="0">
                  <c:v>Máx. de PISO 3</c:v>
                </c:pt>
              </c:strCache>
            </c:strRef>
          </c:tx>
          <c:spPr>
            <a:solidFill>
              <a:schemeClr val="accent2">
                <a:shade val="72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DINAMICA!$A$14:$A$15</c:f>
              <c:strCache>
                <c:ptCount val="1"/>
                <c:pt idx="0">
                  <c:v>FASE 3</c:v>
                </c:pt>
              </c:strCache>
            </c:strRef>
          </c:cat>
          <c:val>
            <c:numRef>
              <c:f>DINAMICA!$D$14:$D$15</c:f>
              <c:numCache>
                <c:formatCode>0%</c:formatCode>
                <c:ptCount val="1"/>
                <c:pt idx="0">
                  <c:v>0</c:v>
                </c:pt>
              </c:numCache>
            </c:numRef>
          </c:val>
          <c:extLst>
            <c:ext xmlns:c16="http://schemas.microsoft.com/office/drawing/2014/chart" uri="{C3380CC4-5D6E-409C-BE32-E72D297353CC}">
              <c16:uniqueId val="{00000002-DD75-4471-BE1B-C6B0F19567C9}"/>
            </c:ext>
          </c:extLst>
        </c:ser>
        <c:ser>
          <c:idx val="3"/>
          <c:order val="3"/>
          <c:tx>
            <c:strRef>
              <c:f>DINAMICA!$E$13</c:f>
              <c:strCache>
                <c:ptCount val="1"/>
                <c:pt idx="0">
                  <c:v>Máx. de PISO 4</c:v>
                </c:pt>
              </c:strCache>
            </c:strRef>
          </c:tx>
          <c:spPr>
            <a:solidFill>
              <a:schemeClr val="accent2">
                <a:shade val="86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DINAMICA!$A$14:$A$15</c:f>
              <c:strCache>
                <c:ptCount val="1"/>
                <c:pt idx="0">
                  <c:v>FASE 3</c:v>
                </c:pt>
              </c:strCache>
            </c:strRef>
          </c:cat>
          <c:val>
            <c:numRef>
              <c:f>DINAMICA!$E$14:$E$15</c:f>
              <c:numCache>
                <c:formatCode>0%</c:formatCode>
                <c:ptCount val="1"/>
                <c:pt idx="0">
                  <c:v>0</c:v>
                </c:pt>
              </c:numCache>
            </c:numRef>
          </c:val>
          <c:extLst>
            <c:ext xmlns:c16="http://schemas.microsoft.com/office/drawing/2014/chart" uri="{C3380CC4-5D6E-409C-BE32-E72D297353CC}">
              <c16:uniqueId val="{00000003-DD75-4471-BE1B-C6B0F19567C9}"/>
            </c:ext>
          </c:extLst>
        </c:ser>
        <c:ser>
          <c:idx val="4"/>
          <c:order val="4"/>
          <c:tx>
            <c:strRef>
              <c:f>DINAMICA!$F$13</c:f>
              <c:strCache>
                <c:ptCount val="1"/>
                <c:pt idx="0">
                  <c:v>Máx. de PISO 5</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DINAMICA!$A$14:$A$15</c:f>
              <c:strCache>
                <c:ptCount val="1"/>
                <c:pt idx="0">
                  <c:v>FASE 3</c:v>
                </c:pt>
              </c:strCache>
            </c:strRef>
          </c:cat>
          <c:val>
            <c:numRef>
              <c:f>DINAMICA!$F$14:$F$15</c:f>
              <c:numCache>
                <c:formatCode>0%</c:formatCode>
                <c:ptCount val="1"/>
                <c:pt idx="0">
                  <c:v>0</c:v>
                </c:pt>
              </c:numCache>
            </c:numRef>
          </c:val>
          <c:extLst>
            <c:ext xmlns:c16="http://schemas.microsoft.com/office/drawing/2014/chart" uri="{C3380CC4-5D6E-409C-BE32-E72D297353CC}">
              <c16:uniqueId val="{00000004-DD75-4471-BE1B-C6B0F19567C9}"/>
            </c:ext>
          </c:extLst>
        </c:ser>
        <c:ser>
          <c:idx val="5"/>
          <c:order val="5"/>
          <c:tx>
            <c:strRef>
              <c:f>DINAMICA!$G$13</c:f>
              <c:strCache>
                <c:ptCount val="1"/>
                <c:pt idx="0">
                  <c:v>Máx. de PISO 6</c:v>
                </c:pt>
              </c:strCache>
            </c:strRef>
          </c:tx>
          <c:spPr>
            <a:solidFill>
              <a:schemeClr val="accent2">
                <a:tint val="86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DINAMICA!$A$14:$A$15</c:f>
              <c:strCache>
                <c:ptCount val="1"/>
                <c:pt idx="0">
                  <c:v>FASE 3</c:v>
                </c:pt>
              </c:strCache>
            </c:strRef>
          </c:cat>
          <c:val>
            <c:numRef>
              <c:f>DINAMICA!$G$14:$G$15</c:f>
              <c:numCache>
                <c:formatCode>0%</c:formatCode>
                <c:ptCount val="1"/>
                <c:pt idx="0">
                  <c:v>0</c:v>
                </c:pt>
              </c:numCache>
            </c:numRef>
          </c:val>
          <c:extLst>
            <c:ext xmlns:c16="http://schemas.microsoft.com/office/drawing/2014/chart" uri="{C3380CC4-5D6E-409C-BE32-E72D297353CC}">
              <c16:uniqueId val="{00000005-DD75-4471-BE1B-C6B0F19567C9}"/>
            </c:ext>
          </c:extLst>
        </c:ser>
        <c:ser>
          <c:idx val="6"/>
          <c:order val="6"/>
          <c:tx>
            <c:strRef>
              <c:f>DINAMICA!$H$13</c:f>
              <c:strCache>
                <c:ptCount val="1"/>
                <c:pt idx="0">
                  <c:v>Máx. de PISO 7</c:v>
                </c:pt>
              </c:strCache>
            </c:strRef>
          </c:tx>
          <c:spPr>
            <a:solidFill>
              <a:schemeClr val="accent2">
                <a:tint val="72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DINAMICA!$A$14:$A$15</c:f>
              <c:strCache>
                <c:ptCount val="1"/>
                <c:pt idx="0">
                  <c:v>FASE 3</c:v>
                </c:pt>
              </c:strCache>
            </c:strRef>
          </c:cat>
          <c:val>
            <c:numRef>
              <c:f>DINAMICA!$H$14:$H$15</c:f>
              <c:numCache>
                <c:formatCode>0%</c:formatCode>
                <c:ptCount val="1"/>
                <c:pt idx="0">
                  <c:v>0</c:v>
                </c:pt>
              </c:numCache>
            </c:numRef>
          </c:val>
          <c:extLst>
            <c:ext xmlns:c16="http://schemas.microsoft.com/office/drawing/2014/chart" uri="{C3380CC4-5D6E-409C-BE32-E72D297353CC}">
              <c16:uniqueId val="{00000006-DD75-4471-BE1B-C6B0F19567C9}"/>
            </c:ext>
          </c:extLst>
        </c:ser>
        <c:ser>
          <c:idx val="7"/>
          <c:order val="7"/>
          <c:tx>
            <c:strRef>
              <c:f>DINAMICA!$I$13</c:f>
              <c:strCache>
                <c:ptCount val="1"/>
                <c:pt idx="0">
                  <c:v>Máx. de PISO 8</c:v>
                </c:pt>
              </c:strCache>
            </c:strRef>
          </c:tx>
          <c:spPr>
            <a:solidFill>
              <a:schemeClr val="accent2">
                <a:tint val="58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DINAMICA!$A$14:$A$15</c:f>
              <c:strCache>
                <c:ptCount val="1"/>
                <c:pt idx="0">
                  <c:v>FASE 3</c:v>
                </c:pt>
              </c:strCache>
            </c:strRef>
          </c:cat>
          <c:val>
            <c:numRef>
              <c:f>DINAMICA!$I$14:$I$15</c:f>
              <c:numCache>
                <c:formatCode>0%</c:formatCode>
                <c:ptCount val="1"/>
                <c:pt idx="0">
                  <c:v>0</c:v>
                </c:pt>
              </c:numCache>
            </c:numRef>
          </c:val>
          <c:extLst>
            <c:ext xmlns:c16="http://schemas.microsoft.com/office/drawing/2014/chart" uri="{C3380CC4-5D6E-409C-BE32-E72D297353CC}">
              <c16:uniqueId val="{00000007-DD75-4471-BE1B-C6B0F19567C9}"/>
            </c:ext>
          </c:extLst>
        </c:ser>
        <c:ser>
          <c:idx val="8"/>
          <c:order val="8"/>
          <c:tx>
            <c:strRef>
              <c:f>DINAMICA!$J$13</c:f>
              <c:strCache>
                <c:ptCount val="1"/>
                <c:pt idx="0">
                  <c:v>Máx. de PISO 9</c:v>
                </c:pt>
              </c:strCache>
            </c:strRef>
          </c:tx>
          <c:spPr>
            <a:solidFill>
              <a:schemeClr val="accent2">
                <a:tint val="44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DINAMICA!$A$14:$A$15</c:f>
              <c:strCache>
                <c:ptCount val="1"/>
                <c:pt idx="0">
                  <c:v>FASE 3</c:v>
                </c:pt>
              </c:strCache>
            </c:strRef>
          </c:cat>
          <c:val>
            <c:numRef>
              <c:f>DINAMICA!$J$14:$J$15</c:f>
              <c:numCache>
                <c:formatCode>0%</c:formatCode>
                <c:ptCount val="1"/>
                <c:pt idx="0">
                  <c:v>0</c:v>
                </c:pt>
              </c:numCache>
            </c:numRef>
          </c:val>
          <c:extLst>
            <c:ext xmlns:c16="http://schemas.microsoft.com/office/drawing/2014/chart" uri="{C3380CC4-5D6E-409C-BE32-E72D297353CC}">
              <c16:uniqueId val="{00000008-DD75-4471-BE1B-C6B0F19567C9}"/>
            </c:ext>
          </c:extLst>
        </c:ser>
        <c:dLbls>
          <c:dLblPos val="outEnd"/>
          <c:showLegendKey val="0"/>
          <c:showVal val="1"/>
          <c:showCatName val="0"/>
          <c:showSerName val="0"/>
          <c:showPercent val="0"/>
          <c:showBubbleSize val="0"/>
        </c:dLbls>
        <c:gapWidth val="219"/>
        <c:overlap val="-27"/>
        <c:axId val="758198336"/>
        <c:axId val="758185376"/>
      </c:barChart>
      <c:catAx>
        <c:axId val="75819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crossAx val="758185376"/>
        <c:crosses val="autoZero"/>
        <c:auto val="1"/>
        <c:lblAlgn val="ctr"/>
        <c:lblOffset val="100"/>
        <c:noMultiLvlLbl val="0"/>
      </c:catAx>
      <c:valAx>
        <c:axId val="758185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crossAx val="75819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[CONTROL FASES SAN FRNACISCO_v1.xlsx]DINAMICA!TablaDinámica5</c:name>
    <c:fmtId val="42"/>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s-CL" sz="1200" b="0" i="0" u="none" strike="noStrike" kern="1200" spc="0" baseline="0">
                <a:solidFill>
                  <a:sysClr val="window" lastClr="FFFFFF"/>
                </a:solidFill>
              </a:rPr>
              <a:t>GRAFICO DE AVANCE GENERAL POR FASE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s-CL"/>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DINAMICA!$B$17</c:f>
              <c:strCache>
                <c:ptCount val="1"/>
                <c:pt idx="0">
                  <c:v>Máx. de PISO 1</c:v>
                </c:pt>
              </c:strCache>
            </c:strRef>
          </c:tx>
          <c:spPr>
            <a:solidFill>
              <a:schemeClr val="accent2">
                <a:shade val="44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DINAMICA!$A$18:$A$19</c:f>
              <c:strCache>
                <c:ptCount val="1"/>
                <c:pt idx="0">
                  <c:v>FASE 4</c:v>
                </c:pt>
              </c:strCache>
            </c:strRef>
          </c:cat>
          <c:val>
            <c:numRef>
              <c:f>DINAMICA!$B$18:$B$19</c:f>
              <c:numCache>
                <c:formatCode>0%</c:formatCode>
                <c:ptCount val="1"/>
                <c:pt idx="0">
                  <c:v>0</c:v>
                </c:pt>
              </c:numCache>
            </c:numRef>
          </c:val>
          <c:extLst>
            <c:ext xmlns:c16="http://schemas.microsoft.com/office/drawing/2014/chart" uri="{C3380CC4-5D6E-409C-BE32-E72D297353CC}">
              <c16:uniqueId val="{00000000-B9E4-47DC-8328-A616611B30BD}"/>
            </c:ext>
          </c:extLst>
        </c:ser>
        <c:ser>
          <c:idx val="1"/>
          <c:order val="1"/>
          <c:tx>
            <c:strRef>
              <c:f>DINAMICA!$C$17</c:f>
              <c:strCache>
                <c:ptCount val="1"/>
                <c:pt idx="0">
                  <c:v>Máx. de PISO 2</c:v>
                </c:pt>
              </c:strCache>
            </c:strRef>
          </c:tx>
          <c:spPr>
            <a:solidFill>
              <a:schemeClr val="accent2">
                <a:shade val="58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DINAMICA!$A$18:$A$19</c:f>
              <c:strCache>
                <c:ptCount val="1"/>
                <c:pt idx="0">
                  <c:v>FASE 4</c:v>
                </c:pt>
              </c:strCache>
            </c:strRef>
          </c:cat>
          <c:val>
            <c:numRef>
              <c:f>DINAMICA!$C$18:$C$19</c:f>
              <c:numCache>
                <c:formatCode>0%</c:formatCode>
                <c:ptCount val="1"/>
                <c:pt idx="0">
                  <c:v>0</c:v>
                </c:pt>
              </c:numCache>
            </c:numRef>
          </c:val>
          <c:extLst>
            <c:ext xmlns:c16="http://schemas.microsoft.com/office/drawing/2014/chart" uri="{C3380CC4-5D6E-409C-BE32-E72D297353CC}">
              <c16:uniqueId val="{00000001-B9E4-47DC-8328-A616611B30BD}"/>
            </c:ext>
          </c:extLst>
        </c:ser>
        <c:ser>
          <c:idx val="2"/>
          <c:order val="2"/>
          <c:tx>
            <c:strRef>
              <c:f>DINAMICA!$D$17</c:f>
              <c:strCache>
                <c:ptCount val="1"/>
                <c:pt idx="0">
                  <c:v>Máx. de PISO 3</c:v>
                </c:pt>
              </c:strCache>
            </c:strRef>
          </c:tx>
          <c:spPr>
            <a:solidFill>
              <a:schemeClr val="accent2">
                <a:shade val="72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DINAMICA!$A$18:$A$19</c:f>
              <c:strCache>
                <c:ptCount val="1"/>
                <c:pt idx="0">
                  <c:v>FASE 4</c:v>
                </c:pt>
              </c:strCache>
            </c:strRef>
          </c:cat>
          <c:val>
            <c:numRef>
              <c:f>DINAMICA!$D$18:$D$19</c:f>
              <c:numCache>
                <c:formatCode>0%</c:formatCode>
                <c:ptCount val="1"/>
                <c:pt idx="0">
                  <c:v>0</c:v>
                </c:pt>
              </c:numCache>
            </c:numRef>
          </c:val>
          <c:extLst>
            <c:ext xmlns:c16="http://schemas.microsoft.com/office/drawing/2014/chart" uri="{C3380CC4-5D6E-409C-BE32-E72D297353CC}">
              <c16:uniqueId val="{00000002-B9E4-47DC-8328-A616611B30BD}"/>
            </c:ext>
          </c:extLst>
        </c:ser>
        <c:ser>
          <c:idx val="3"/>
          <c:order val="3"/>
          <c:tx>
            <c:strRef>
              <c:f>DINAMICA!$E$17</c:f>
              <c:strCache>
                <c:ptCount val="1"/>
                <c:pt idx="0">
                  <c:v>Máx. de PISO 4</c:v>
                </c:pt>
              </c:strCache>
            </c:strRef>
          </c:tx>
          <c:spPr>
            <a:solidFill>
              <a:schemeClr val="accent2">
                <a:shade val="86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DINAMICA!$A$18:$A$19</c:f>
              <c:strCache>
                <c:ptCount val="1"/>
                <c:pt idx="0">
                  <c:v>FASE 4</c:v>
                </c:pt>
              </c:strCache>
            </c:strRef>
          </c:cat>
          <c:val>
            <c:numRef>
              <c:f>DINAMICA!$E$18:$E$19</c:f>
              <c:numCache>
                <c:formatCode>0%</c:formatCode>
                <c:ptCount val="1"/>
                <c:pt idx="0">
                  <c:v>0</c:v>
                </c:pt>
              </c:numCache>
            </c:numRef>
          </c:val>
          <c:extLst>
            <c:ext xmlns:c16="http://schemas.microsoft.com/office/drawing/2014/chart" uri="{C3380CC4-5D6E-409C-BE32-E72D297353CC}">
              <c16:uniqueId val="{00000003-B9E4-47DC-8328-A616611B30BD}"/>
            </c:ext>
          </c:extLst>
        </c:ser>
        <c:ser>
          <c:idx val="4"/>
          <c:order val="4"/>
          <c:tx>
            <c:strRef>
              <c:f>DINAMICA!$F$17</c:f>
              <c:strCache>
                <c:ptCount val="1"/>
                <c:pt idx="0">
                  <c:v>Máx. de PISO 5</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DINAMICA!$A$18:$A$19</c:f>
              <c:strCache>
                <c:ptCount val="1"/>
                <c:pt idx="0">
                  <c:v>FASE 4</c:v>
                </c:pt>
              </c:strCache>
            </c:strRef>
          </c:cat>
          <c:val>
            <c:numRef>
              <c:f>DINAMICA!$F$18:$F$19</c:f>
              <c:numCache>
                <c:formatCode>0%</c:formatCode>
                <c:ptCount val="1"/>
                <c:pt idx="0">
                  <c:v>0</c:v>
                </c:pt>
              </c:numCache>
            </c:numRef>
          </c:val>
          <c:extLst>
            <c:ext xmlns:c16="http://schemas.microsoft.com/office/drawing/2014/chart" uri="{C3380CC4-5D6E-409C-BE32-E72D297353CC}">
              <c16:uniqueId val="{00000004-B9E4-47DC-8328-A616611B30BD}"/>
            </c:ext>
          </c:extLst>
        </c:ser>
        <c:ser>
          <c:idx val="5"/>
          <c:order val="5"/>
          <c:tx>
            <c:strRef>
              <c:f>DINAMICA!$G$17</c:f>
              <c:strCache>
                <c:ptCount val="1"/>
                <c:pt idx="0">
                  <c:v>Máx. de PISO 6</c:v>
                </c:pt>
              </c:strCache>
            </c:strRef>
          </c:tx>
          <c:spPr>
            <a:solidFill>
              <a:schemeClr val="accent2">
                <a:tint val="86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DINAMICA!$A$18:$A$19</c:f>
              <c:strCache>
                <c:ptCount val="1"/>
                <c:pt idx="0">
                  <c:v>FASE 4</c:v>
                </c:pt>
              </c:strCache>
            </c:strRef>
          </c:cat>
          <c:val>
            <c:numRef>
              <c:f>DINAMICA!$G$18:$G$19</c:f>
              <c:numCache>
                <c:formatCode>0%</c:formatCode>
                <c:ptCount val="1"/>
                <c:pt idx="0">
                  <c:v>0</c:v>
                </c:pt>
              </c:numCache>
            </c:numRef>
          </c:val>
          <c:extLst>
            <c:ext xmlns:c16="http://schemas.microsoft.com/office/drawing/2014/chart" uri="{C3380CC4-5D6E-409C-BE32-E72D297353CC}">
              <c16:uniqueId val="{00000005-B9E4-47DC-8328-A616611B30BD}"/>
            </c:ext>
          </c:extLst>
        </c:ser>
        <c:ser>
          <c:idx val="6"/>
          <c:order val="6"/>
          <c:tx>
            <c:strRef>
              <c:f>DINAMICA!$H$17</c:f>
              <c:strCache>
                <c:ptCount val="1"/>
                <c:pt idx="0">
                  <c:v>Máx. de PISO 7</c:v>
                </c:pt>
              </c:strCache>
            </c:strRef>
          </c:tx>
          <c:spPr>
            <a:solidFill>
              <a:schemeClr val="accent2">
                <a:tint val="72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DINAMICA!$A$18:$A$19</c:f>
              <c:strCache>
                <c:ptCount val="1"/>
                <c:pt idx="0">
                  <c:v>FASE 4</c:v>
                </c:pt>
              </c:strCache>
            </c:strRef>
          </c:cat>
          <c:val>
            <c:numRef>
              <c:f>DINAMICA!$H$18:$H$19</c:f>
              <c:numCache>
                <c:formatCode>0%</c:formatCode>
                <c:ptCount val="1"/>
                <c:pt idx="0">
                  <c:v>0</c:v>
                </c:pt>
              </c:numCache>
            </c:numRef>
          </c:val>
          <c:extLst>
            <c:ext xmlns:c16="http://schemas.microsoft.com/office/drawing/2014/chart" uri="{C3380CC4-5D6E-409C-BE32-E72D297353CC}">
              <c16:uniqueId val="{00000006-B9E4-47DC-8328-A616611B30BD}"/>
            </c:ext>
          </c:extLst>
        </c:ser>
        <c:ser>
          <c:idx val="7"/>
          <c:order val="7"/>
          <c:tx>
            <c:strRef>
              <c:f>DINAMICA!$I$17</c:f>
              <c:strCache>
                <c:ptCount val="1"/>
                <c:pt idx="0">
                  <c:v>Máx. de PISO 8</c:v>
                </c:pt>
              </c:strCache>
            </c:strRef>
          </c:tx>
          <c:spPr>
            <a:solidFill>
              <a:schemeClr val="accent2">
                <a:tint val="58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DINAMICA!$A$18:$A$19</c:f>
              <c:strCache>
                <c:ptCount val="1"/>
                <c:pt idx="0">
                  <c:v>FASE 4</c:v>
                </c:pt>
              </c:strCache>
            </c:strRef>
          </c:cat>
          <c:val>
            <c:numRef>
              <c:f>DINAMICA!$I$18:$I$19</c:f>
              <c:numCache>
                <c:formatCode>0%</c:formatCode>
                <c:ptCount val="1"/>
                <c:pt idx="0">
                  <c:v>0</c:v>
                </c:pt>
              </c:numCache>
            </c:numRef>
          </c:val>
          <c:extLst>
            <c:ext xmlns:c16="http://schemas.microsoft.com/office/drawing/2014/chart" uri="{C3380CC4-5D6E-409C-BE32-E72D297353CC}">
              <c16:uniqueId val="{00000007-B9E4-47DC-8328-A616611B30BD}"/>
            </c:ext>
          </c:extLst>
        </c:ser>
        <c:ser>
          <c:idx val="8"/>
          <c:order val="8"/>
          <c:tx>
            <c:strRef>
              <c:f>DINAMICA!$J$17</c:f>
              <c:strCache>
                <c:ptCount val="1"/>
                <c:pt idx="0">
                  <c:v>Máx. de PISO 9</c:v>
                </c:pt>
              </c:strCache>
            </c:strRef>
          </c:tx>
          <c:spPr>
            <a:solidFill>
              <a:schemeClr val="accent2">
                <a:tint val="44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DINAMICA!$A$18:$A$19</c:f>
              <c:strCache>
                <c:ptCount val="1"/>
                <c:pt idx="0">
                  <c:v>FASE 4</c:v>
                </c:pt>
              </c:strCache>
            </c:strRef>
          </c:cat>
          <c:val>
            <c:numRef>
              <c:f>DINAMICA!$J$18:$J$19</c:f>
              <c:numCache>
                <c:formatCode>0%</c:formatCode>
                <c:ptCount val="1"/>
                <c:pt idx="0">
                  <c:v>0</c:v>
                </c:pt>
              </c:numCache>
            </c:numRef>
          </c:val>
          <c:extLst>
            <c:ext xmlns:c16="http://schemas.microsoft.com/office/drawing/2014/chart" uri="{C3380CC4-5D6E-409C-BE32-E72D297353CC}">
              <c16:uniqueId val="{00000008-B9E4-47DC-8328-A616611B30BD}"/>
            </c:ext>
          </c:extLst>
        </c:ser>
        <c:dLbls>
          <c:dLblPos val="outEnd"/>
          <c:showLegendKey val="0"/>
          <c:showVal val="1"/>
          <c:showCatName val="0"/>
          <c:showSerName val="0"/>
          <c:showPercent val="0"/>
          <c:showBubbleSize val="0"/>
        </c:dLbls>
        <c:gapWidth val="219"/>
        <c:overlap val="-27"/>
        <c:axId val="758241536"/>
        <c:axId val="758240096"/>
      </c:barChart>
      <c:catAx>
        <c:axId val="75824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crossAx val="758240096"/>
        <c:crosses val="autoZero"/>
        <c:auto val="1"/>
        <c:lblAlgn val="ctr"/>
        <c:lblOffset val="100"/>
        <c:noMultiLvlLbl val="0"/>
      </c:catAx>
      <c:valAx>
        <c:axId val="758240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crossAx val="75824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[CONTROL FASES SAN FRNACISCO_v1.xlsx]Hoja2!TablaDinámica1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Gráfico Avance por Piso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209113444152811"/>
          <c:y val="0.21650687308154276"/>
          <c:w val="0.8162298046077574"/>
          <c:h val="0.66153449886560789"/>
        </c:manualLayout>
      </c:layout>
      <c:bar3DChart>
        <c:barDir val="col"/>
        <c:grouping val="clustered"/>
        <c:varyColors val="0"/>
        <c:ser>
          <c:idx val="0"/>
          <c:order val="0"/>
          <c:tx>
            <c:strRef>
              <c:f>Hoja2!$B$3</c:f>
              <c:strCache>
                <c:ptCount val="1"/>
                <c:pt idx="0">
                  <c:v>Total</c:v>
                </c:pt>
              </c:strCache>
            </c:strRef>
          </c:tx>
          <c:spPr>
            <a:solidFill>
              <a:schemeClr val="accent1"/>
            </a:solidFill>
            <a:ln>
              <a:noFill/>
            </a:ln>
            <a:effectLst/>
            <a:sp3d/>
          </c:spPr>
          <c:invertIfNegative val="0"/>
          <c:cat>
            <c:strRef>
              <c:f>Hoja2!$A$4:$A$15</c:f>
              <c:strCache>
                <c:ptCount val="11"/>
                <c:pt idx="0">
                  <c:v>PISO 2</c:v>
                </c:pt>
                <c:pt idx="1">
                  <c:v>PISO 3</c:v>
                </c:pt>
                <c:pt idx="2">
                  <c:v>PISO 4</c:v>
                </c:pt>
                <c:pt idx="3">
                  <c:v>PISO 5</c:v>
                </c:pt>
                <c:pt idx="4">
                  <c:v>PISO 6</c:v>
                </c:pt>
                <c:pt idx="5">
                  <c:v>PISO 7</c:v>
                </c:pt>
                <c:pt idx="6">
                  <c:v>PISO 8</c:v>
                </c:pt>
                <c:pt idx="7">
                  <c:v>PISO 9</c:v>
                </c:pt>
                <c:pt idx="8">
                  <c:v>PISO 10</c:v>
                </c:pt>
                <c:pt idx="9">
                  <c:v>PISO 11</c:v>
                </c:pt>
                <c:pt idx="10">
                  <c:v>PISO 12</c:v>
                </c:pt>
              </c:strCache>
            </c:strRef>
          </c:cat>
          <c:val>
            <c:numRef>
              <c:f>Hoja2!$B$4:$B$15</c:f>
              <c:numCache>
                <c:formatCode>0.00%</c:formatCode>
                <c:ptCount val="11"/>
                <c:pt idx="0">
                  <c:v>1</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FDFD-4757-817B-2EB4A13762BF}"/>
            </c:ext>
          </c:extLst>
        </c:ser>
        <c:dLbls>
          <c:showLegendKey val="0"/>
          <c:showVal val="0"/>
          <c:showCatName val="0"/>
          <c:showSerName val="0"/>
          <c:showPercent val="0"/>
          <c:showBubbleSize val="0"/>
        </c:dLbls>
        <c:gapWidth val="150"/>
        <c:shape val="box"/>
        <c:axId val="307414895"/>
        <c:axId val="475980415"/>
        <c:axId val="0"/>
      </c:bar3DChart>
      <c:catAx>
        <c:axId val="307414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75980415"/>
        <c:crosses val="autoZero"/>
        <c:auto val="1"/>
        <c:lblAlgn val="ctr"/>
        <c:lblOffset val="100"/>
        <c:noMultiLvlLbl val="0"/>
      </c:catAx>
      <c:valAx>
        <c:axId val="4759804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30741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[CONTROL FASES SAN FRNACISCO_v1.xlsx]Hoja2!TablaDinámica2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Gráfico</a:t>
            </a:r>
            <a:r>
              <a:rPr lang="es-CL" baseline="0"/>
              <a:t> de Avance por Departamento</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Hoja2!$B$18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Hoja2!$A$19:$A$36</c:f>
              <c:strCache>
                <c:ptCount val="17"/>
                <c:pt idx="0">
                  <c:v>201</c:v>
                </c:pt>
                <c:pt idx="1">
                  <c:v>202</c:v>
                </c:pt>
                <c:pt idx="2">
                  <c:v>203</c:v>
                </c:pt>
                <c:pt idx="3">
                  <c:v>204</c:v>
                </c:pt>
                <c:pt idx="4">
                  <c:v>205</c:v>
                </c:pt>
                <c:pt idx="5">
                  <c:v>206</c:v>
                </c:pt>
                <c:pt idx="6">
                  <c:v>207</c:v>
                </c:pt>
                <c:pt idx="7">
                  <c:v>208</c:v>
                </c:pt>
                <c:pt idx="8">
                  <c:v>209</c:v>
                </c:pt>
                <c:pt idx="9">
                  <c:v>210</c:v>
                </c:pt>
                <c:pt idx="10">
                  <c:v>211</c:v>
                </c:pt>
                <c:pt idx="11">
                  <c:v>212</c:v>
                </c:pt>
                <c:pt idx="12">
                  <c:v>213</c:v>
                </c:pt>
                <c:pt idx="13">
                  <c:v>214</c:v>
                </c:pt>
                <c:pt idx="14">
                  <c:v>215</c:v>
                </c:pt>
                <c:pt idx="15">
                  <c:v>216</c:v>
                </c:pt>
                <c:pt idx="16">
                  <c:v>217</c:v>
                </c:pt>
              </c:strCache>
            </c:strRef>
          </c:cat>
          <c:val>
            <c:numRef>
              <c:f>Hoja2!$B$19:$B$36</c:f>
              <c:numCache>
                <c:formatCode>0.00%</c:formatCode>
                <c:ptCount val="17"/>
                <c:pt idx="0">
                  <c:v>5.0483803113167865E-2</c:v>
                </c:pt>
                <c:pt idx="1">
                  <c:v>5.0483803113167865E-2</c:v>
                </c:pt>
                <c:pt idx="2">
                  <c:v>5.0483803113167865E-2</c:v>
                </c:pt>
                <c:pt idx="3">
                  <c:v>5.0483803113167865E-2</c:v>
                </c:pt>
                <c:pt idx="4">
                  <c:v>5.0483803113167865E-2</c:v>
                </c:pt>
                <c:pt idx="5">
                  <c:v>5.0483803113167865E-2</c:v>
                </c:pt>
                <c:pt idx="6">
                  <c:v>5.0483803113167865E-2</c:v>
                </c:pt>
                <c:pt idx="7">
                  <c:v>5.0483803113167865E-2</c:v>
                </c:pt>
                <c:pt idx="8">
                  <c:v>5.0483803113167865E-2</c:v>
                </c:pt>
                <c:pt idx="9">
                  <c:v>5.0483803113167865E-2</c:v>
                </c:pt>
                <c:pt idx="10">
                  <c:v>8.166222596176323E-2</c:v>
                </c:pt>
                <c:pt idx="11">
                  <c:v>8.2410134156032364E-2</c:v>
                </c:pt>
                <c:pt idx="12">
                  <c:v>9.0029448885149341E-2</c:v>
                </c:pt>
                <c:pt idx="13">
                  <c:v>8.9889216098723898E-2</c:v>
                </c:pt>
                <c:pt idx="14">
                  <c:v>5.5812648997335582E-2</c:v>
                </c:pt>
                <c:pt idx="15">
                  <c:v>4.7679147384658539E-2</c:v>
                </c:pt>
                <c:pt idx="16">
                  <c:v>4.7679147384658539E-2</c:v>
                </c:pt>
              </c:numCache>
            </c:numRef>
          </c:val>
          <c:smooth val="0"/>
          <c:extLst>
            <c:ext xmlns:c16="http://schemas.microsoft.com/office/drawing/2014/chart" uri="{C3380CC4-5D6E-409C-BE32-E72D297353CC}">
              <c16:uniqueId val="{00000000-6DB8-45EA-9C15-B1D16CA1FDEF}"/>
            </c:ext>
          </c:extLst>
        </c:ser>
        <c:dLbls>
          <c:showLegendKey val="0"/>
          <c:showVal val="0"/>
          <c:showCatName val="0"/>
          <c:showSerName val="0"/>
          <c:showPercent val="0"/>
          <c:showBubbleSize val="0"/>
        </c:dLbls>
        <c:marker val="1"/>
        <c:smooth val="0"/>
        <c:axId val="583135823"/>
        <c:axId val="312594735"/>
      </c:lineChart>
      <c:catAx>
        <c:axId val="58313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312594735"/>
        <c:crosses val="autoZero"/>
        <c:auto val="1"/>
        <c:lblAlgn val="ctr"/>
        <c:lblOffset val="100"/>
        <c:noMultiLvlLbl val="0"/>
      </c:catAx>
      <c:valAx>
        <c:axId val="312594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8313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[CONTROL FASES SAN FRNACISCO_v1.xlsx]Hoja2!TablaDinámica1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Gráfico Avance por Piso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Hoja2!$B$3</c:f>
              <c:strCache>
                <c:ptCount val="1"/>
                <c:pt idx="0">
                  <c:v>Total</c:v>
                </c:pt>
              </c:strCache>
            </c:strRef>
          </c:tx>
          <c:spPr>
            <a:solidFill>
              <a:schemeClr val="accent1"/>
            </a:solidFill>
            <a:ln>
              <a:noFill/>
            </a:ln>
            <a:effectLst/>
            <a:sp3d/>
          </c:spPr>
          <c:invertIfNegative val="0"/>
          <c:cat>
            <c:strRef>
              <c:f>Hoja2!$A$4:$A$15</c:f>
              <c:strCache>
                <c:ptCount val="11"/>
                <c:pt idx="0">
                  <c:v>PISO 2</c:v>
                </c:pt>
                <c:pt idx="1">
                  <c:v>PISO 3</c:v>
                </c:pt>
                <c:pt idx="2">
                  <c:v>PISO 4</c:v>
                </c:pt>
                <c:pt idx="3">
                  <c:v>PISO 5</c:v>
                </c:pt>
                <c:pt idx="4">
                  <c:v>PISO 6</c:v>
                </c:pt>
                <c:pt idx="5">
                  <c:v>PISO 7</c:v>
                </c:pt>
                <c:pt idx="6">
                  <c:v>PISO 8</c:v>
                </c:pt>
                <c:pt idx="7">
                  <c:v>PISO 9</c:v>
                </c:pt>
                <c:pt idx="8">
                  <c:v>PISO 10</c:v>
                </c:pt>
                <c:pt idx="9">
                  <c:v>PISO 11</c:v>
                </c:pt>
                <c:pt idx="10">
                  <c:v>PISO 12</c:v>
                </c:pt>
              </c:strCache>
            </c:strRef>
          </c:cat>
          <c:val>
            <c:numRef>
              <c:f>Hoja2!$B$4:$B$15</c:f>
              <c:numCache>
                <c:formatCode>0.00%</c:formatCode>
                <c:ptCount val="11"/>
                <c:pt idx="0">
                  <c:v>1</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11CD-4B6F-91DE-7AC71B3BEC34}"/>
            </c:ext>
          </c:extLst>
        </c:ser>
        <c:dLbls>
          <c:showLegendKey val="0"/>
          <c:showVal val="0"/>
          <c:showCatName val="0"/>
          <c:showSerName val="0"/>
          <c:showPercent val="0"/>
          <c:showBubbleSize val="0"/>
        </c:dLbls>
        <c:gapWidth val="150"/>
        <c:shape val="box"/>
        <c:axId val="307414895"/>
        <c:axId val="475980415"/>
        <c:axId val="0"/>
      </c:bar3DChart>
      <c:catAx>
        <c:axId val="307414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75980415"/>
        <c:crosses val="autoZero"/>
        <c:auto val="1"/>
        <c:lblAlgn val="ctr"/>
        <c:lblOffset val="100"/>
        <c:noMultiLvlLbl val="0"/>
      </c:catAx>
      <c:valAx>
        <c:axId val="4759804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30741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[CONTROL FASES SAN FRNACISCO_v1.xlsx]Hoja2!TablaDinámica2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Gráfico</a:t>
            </a:r>
            <a:r>
              <a:rPr lang="es-CL" baseline="0"/>
              <a:t> de Avance por Departamento</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Hoja2!$B$18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Hoja2!$A$19:$A$36</c:f>
              <c:strCache>
                <c:ptCount val="17"/>
                <c:pt idx="0">
                  <c:v>201</c:v>
                </c:pt>
                <c:pt idx="1">
                  <c:v>202</c:v>
                </c:pt>
                <c:pt idx="2">
                  <c:v>203</c:v>
                </c:pt>
                <c:pt idx="3">
                  <c:v>204</c:v>
                </c:pt>
                <c:pt idx="4">
                  <c:v>205</c:v>
                </c:pt>
                <c:pt idx="5">
                  <c:v>206</c:v>
                </c:pt>
                <c:pt idx="6">
                  <c:v>207</c:v>
                </c:pt>
                <c:pt idx="7">
                  <c:v>208</c:v>
                </c:pt>
                <c:pt idx="8">
                  <c:v>209</c:v>
                </c:pt>
                <c:pt idx="9">
                  <c:v>210</c:v>
                </c:pt>
                <c:pt idx="10">
                  <c:v>211</c:v>
                </c:pt>
                <c:pt idx="11">
                  <c:v>212</c:v>
                </c:pt>
                <c:pt idx="12">
                  <c:v>213</c:v>
                </c:pt>
                <c:pt idx="13">
                  <c:v>214</c:v>
                </c:pt>
                <c:pt idx="14">
                  <c:v>215</c:v>
                </c:pt>
                <c:pt idx="15">
                  <c:v>216</c:v>
                </c:pt>
                <c:pt idx="16">
                  <c:v>217</c:v>
                </c:pt>
              </c:strCache>
            </c:strRef>
          </c:cat>
          <c:val>
            <c:numRef>
              <c:f>Hoja2!$B$19:$B$36</c:f>
              <c:numCache>
                <c:formatCode>0.00%</c:formatCode>
                <c:ptCount val="17"/>
                <c:pt idx="0">
                  <c:v>5.0483803113167865E-2</c:v>
                </c:pt>
                <c:pt idx="1">
                  <c:v>5.0483803113167865E-2</c:v>
                </c:pt>
                <c:pt idx="2">
                  <c:v>5.0483803113167865E-2</c:v>
                </c:pt>
                <c:pt idx="3">
                  <c:v>5.0483803113167865E-2</c:v>
                </c:pt>
                <c:pt idx="4">
                  <c:v>5.0483803113167865E-2</c:v>
                </c:pt>
                <c:pt idx="5">
                  <c:v>5.0483803113167865E-2</c:v>
                </c:pt>
                <c:pt idx="6">
                  <c:v>5.0483803113167865E-2</c:v>
                </c:pt>
                <c:pt idx="7">
                  <c:v>5.0483803113167865E-2</c:v>
                </c:pt>
                <c:pt idx="8">
                  <c:v>5.0483803113167865E-2</c:v>
                </c:pt>
                <c:pt idx="9">
                  <c:v>5.0483803113167865E-2</c:v>
                </c:pt>
                <c:pt idx="10">
                  <c:v>8.166222596176323E-2</c:v>
                </c:pt>
                <c:pt idx="11">
                  <c:v>8.2410134156032364E-2</c:v>
                </c:pt>
                <c:pt idx="12">
                  <c:v>9.0029448885149341E-2</c:v>
                </c:pt>
                <c:pt idx="13">
                  <c:v>8.9889216098723898E-2</c:v>
                </c:pt>
                <c:pt idx="14">
                  <c:v>5.5812648997335582E-2</c:v>
                </c:pt>
                <c:pt idx="15">
                  <c:v>4.7679147384658539E-2</c:v>
                </c:pt>
                <c:pt idx="16">
                  <c:v>4.7679147384658539E-2</c:v>
                </c:pt>
              </c:numCache>
            </c:numRef>
          </c:val>
          <c:smooth val="0"/>
          <c:extLst>
            <c:ext xmlns:c16="http://schemas.microsoft.com/office/drawing/2014/chart" uri="{C3380CC4-5D6E-409C-BE32-E72D297353CC}">
              <c16:uniqueId val="{00000000-83E9-441F-80C6-500DC3FCA754}"/>
            </c:ext>
          </c:extLst>
        </c:ser>
        <c:dLbls>
          <c:showLegendKey val="0"/>
          <c:showVal val="0"/>
          <c:showCatName val="0"/>
          <c:showSerName val="0"/>
          <c:showPercent val="0"/>
          <c:showBubbleSize val="0"/>
        </c:dLbls>
        <c:marker val="1"/>
        <c:smooth val="0"/>
        <c:axId val="583135823"/>
        <c:axId val="312594735"/>
      </c:lineChart>
      <c:catAx>
        <c:axId val="58313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312594735"/>
        <c:crosses val="autoZero"/>
        <c:auto val="1"/>
        <c:lblAlgn val="ctr"/>
        <c:lblOffset val="100"/>
        <c:noMultiLvlLbl val="0"/>
      </c:catAx>
      <c:valAx>
        <c:axId val="312594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8313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png"/><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image" Target="../media/image3.png"/><Relationship Id="rId1" Type="http://schemas.openxmlformats.org/officeDocument/2006/relationships/image" Target="../media/image1.png"/><Relationship Id="rId4"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9</xdr:col>
      <xdr:colOff>304800</xdr:colOff>
      <xdr:row>45</xdr:row>
      <xdr:rowOff>66674</xdr:rowOff>
    </xdr:from>
    <xdr:to>
      <xdr:col>22</xdr:col>
      <xdr:colOff>38100</xdr:colOff>
      <xdr:row>72</xdr:row>
      <xdr:rowOff>28575</xdr:rowOff>
    </xdr:to>
    <xdr:graphicFrame macro="">
      <xdr:nvGraphicFramePr>
        <xdr:cNvPr id="3" name="Gráfico 2">
          <a:extLst>
            <a:ext uri="{FF2B5EF4-FFF2-40B4-BE49-F238E27FC236}">
              <a16:creationId xmlns:a16="http://schemas.microsoft.com/office/drawing/2014/main" id="{3D0CC846-7163-6A88-2FFD-2BA636566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49</xdr:row>
      <xdr:rowOff>9525</xdr:rowOff>
    </xdr:from>
    <xdr:to>
      <xdr:col>4</xdr:col>
      <xdr:colOff>571500</xdr:colOff>
      <xdr:row>66</xdr:row>
      <xdr:rowOff>0</xdr:rowOff>
    </xdr:to>
    <xdr:graphicFrame macro="">
      <xdr:nvGraphicFramePr>
        <xdr:cNvPr id="8" name="Gráfico 7">
          <a:extLst>
            <a:ext uri="{FF2B5EF4-FFF2-40B4-BE49-F238E27FC236}">
              <a16:creationId xmlns:a16="http://schemas.microsoft.com/office/drawing/2014/main" id="{941C9BE8-834E-0F46-5D56-BA7A22CEF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25</xdr:row>
      <xdr:rowOff>19050</xdr:rowOff>
    </xdr:from>
    <xdr:to>
      <xdr:col>4</xdr:col>
      <xdr:colOff>419100</xdr:colOff>
      <xdr:row>42</xdr:row>
      <xdr:rowOff>9525</xdr:rowOff>
    </xdr:to>
    <xdr:graphicFrame macro="">
      <xdr:nvGraphicFramePr>
        <xdr:cNvPr id="13" name="Gráfico 12">
          <a:extLst>
            <a:ext uri="{FF2B5EF4-FFF2-40B4-BE49-F238E27FC236}">
              <a16:creationId xmlns:a16="http://schemas.microsoft.com/office/drawing/2014/main" id="{11F8D37D-2ECF-52B3-F205-7C3F5E69F8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476250</xdr:colOff>
      <xdr:row>25</xdr:row>
      <xdr:rowOff>9525</xdr:rowOff>
    </xdr:from>
    <xdr:to>
      <xdr:col>9</xdr:col>
      <xdr:colOff>47625</xdr:colOff>
      <xdr:row>42</xdr:row>
      <xdr:rowOff>0</xdr:rowOff>
    </xdr:to>
    <xdr:graphicFrame macro="">
      <xdr:nvGraphicFramePr>
        <xdr:cNvPr id="14" name="Gráfico 13">
          <a:extLst>
            <a:ext uri="{FF2B5EF4-FFF2-40B4-BE49-F238E27FC236}">
              <a16:creationId xmlns:a16="http://schemas.microsoft.com/office/drawing/2014/main" id="{4906C984-2F10-7B46-A11A-9DFE969652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152400</xdr:colOff>
      <xdr:row>25</xdr:row>
      <xdr:rowOff>0</xdr:rowOff>
    </xdr:from>
    <xdr:to>
      <xdr:col>14</xdr:col>
      <xdr:colOff>561975</xdr:colOff>
      <xdr:row>41</xdr:row>
      <xdr:rowOff>152400</xdr:rowOff>
    </xdr:to>
    <xdr:graphicFrame macro="">
      <xdr:nvGraphicFramePr>
        <xdr:cNvPr id="15" name="Gráfico 14">
          <a:extLst>
            <a:ext uri="{FF2B5EF4-FFF2-40B4-BE49-F238E27FC236}">
              <a16:creationId xmlns:a16="http://schemas.microsoft.com/office/drawing/2014/main" id="{DD62D09B-448E-32C9-7E89-471A1B19E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676275</xdr:colOff>
      <xdr:row>25</xdr:row>
      <xdr:rowOff>19050</xdr:rowOff>
    </xdr:from>
    <xdr:to>
      <xdr:col>20</xdr:col>
      <xdr:colOff>676275</xdr:colOff>
      <xdr:row>42</xdr:row>
      <xdr:rowOff>9525</xdr:rowOff>
    </xdr:to>
    <xdr:graphicFrame macro="">
      <xdr:nvGraphicFramePr>
        <xdr:cNvPr id="16" name="Gráfico 15">
          <a:extLst>
            <a:ext uri="{FF2B5EF4-FFF2-40B4-BE49-F238E27FC236}">
              <a16:creationId xmlns:a16="http://schemas.microsoft.com/office/drawing/2014/main" id="{B64EB48D-AE17-578A-237A-E29A53AB7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225518</xdr:colOff>
      <xdr:row>420</xdr:row>
      <xdr:rowOff>190499</xdr:rowOff>
    </xdr:from>
    <xdr:to>
      <xdr:col>15</xdr:col>
      <xdr:colOff>0</xdr:colOff>
      <xdr:row>458</xdr:row>
      <xdr:rowOff>138544</xdr:rowOff>
    </xdr:to>
    <xdr:graphicFrame macro="">
      <xdr:nvGraphicFramePr>
        <xdr:cNvPr id="2" name="Gráfico 1">
          <a:extLst>
            <a:ext uri="{FF2B5EF4-FFF2-40B4-BE49-F238E27FC236}">
              <a16:creationId xmlns:a16="http://schemas.microsoft.com/office/drawing/2014/main" id="{7FF24B65-4250-4A55-AC2E-0A105B06B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217715</xdr:colOff>
      <xdr:row>1</xdr:row>
      <xdr:rowOff>13607</xdr:rowOff>
    </xdr:from>
    <xdr:ext cx="952500" cy="375580"/>
    <xdr:pic>
      <xdr:nvPicPr>
        <xdr:cNvPr id="3" name="13 Imagen" descr="cid:image001.png@01D0CDC6.86D9BE20">
          <a:extLst>
            <a:ext uri="{FF2B5EF4-FFF2-40B4-BE49-F238E27FC236}">
              <a16:creationId xmlns:a16="http://schemas.microsoft.com/office/drawing/2014/main" id="{9B8138F8-1B11-4434-8E4E-3C0E3BE3049E}"/>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17715" y="190500"/>
          <a:ext cx="952500" cy="375580"/>
        </a:xfrm>
        <a:prstGeom prst="rect">
          <a:avLst/>
        </a:prstGeom>
        <a:noFill/>
        <a:ln w="9525">
          <a:noFill/>
          <a:miter lim="800000"/>
          <a:headEnd/>
          <a:tailEnd/>
        </a:ln>
      </xdr:spPr>
    </xdr:pic>
    <xdr:clientData/>
  </xdr:oneCellAnchor>
  <xdr:twoCellAnchor editAs="oneCell">
    <xdr:from>
      <xdr:col>11</xdr:col>
      <xdr:colOff>449036</xdr:colOff>
      <xdr:row>0</xdr:row>
      <xdr:rowOff>122465</xdr:rowOff>
    </xdr:from>
    <xdr:to>
      <xdr:col>11</xdr:col>
      <xdr:colOff>1483179</xdr:colOff>
      <xdr:row>3</xdr:row>
      <xdr:rowOff>101006</xdr:rowOff>
    </xdr:to>
    <xdr:pic>
      <xdr:nvPicPr>
        <xdr:cNvPr id="4" name="Imagen 3">
          <a:extLst>
            <a:ext uri="{FF2B5EF4-FFF2-40B4-BE49-F238E27FC236}">
              <a16:creationId xmlns:a16="http://schemas.microsoft.com/office/drawing/2014/main" id="{2A03AAB9-8BE9-4D4E-9BF6-E79B230B0E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995072" y="122465"/>
          <a:ext cx="1034143" cy="5228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231321</xdr:colOff>
      <xdr:row>1</xdr:row>
      <xdr:rowOff>40820</xdr:rowOff>
    </xdr:from>
    <xdr:ext cx="952500" cy="375580"/>
    <xdr:pic>
      <xdr:nvPicPr>
        <xdr:cNvPr id="3" name="13 Imagen" descr="cid:image001.png@01D0CDC6.86D9BE20">
          <a:extLst>
            <a:ext uri="{FF2B5EF4-FFF2-40B4-BE49-F238E27FC236}">
              <a16:creationId xmlns:a16="http://schemas.microsoft.com/office/drawing/2014/main" id="{59107A07-5B54-44AE-8477-5F81E91A16F8}"/>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31321" y="217713"/>
          <a:ext cx="952500" cy="375580"/>
        </a:xfrm>
        <a:prstGeom prst="rect">
          <a:avLst/>
        </a:prstGeom>
        <a:noFill/>
        <a:ln w="9525">
          <a:noFill/>
          <a:miter lim="800000"/>
          <a:headEnd/>
          <a:tailEnd/>
        </a:ln>
      </xdr:spPr>
    </xdr:pic>
    <xdr:clientData/>
  </xdr:oneCellAnchor>
  <xdr:twoCellAnchor editAs="oneCell">
    <xdr:from>
      <xdr:col>20</xdr:col>
      <xdr:colOff>476250</xdr:colOff>
      <xdr:row>0</xdr:row>
      <xdr:rowOff>95250</xdr:rowOff>
    </xdr:from>
    <xdr:to>
      <xdr:col>20</xdr:col>
      <xdr:colOff>1510393</xdr:colOff>
      <xdr:row>3</xdr:row>
      <xdr:rowOff>73791</xdr:rowOff>
    </xdr:to>
    <xdr:pic>
      <xdr:nvPicPr>
        <xdr:cNvPr id="4" name="Imagen 3">
          <a:extLst>
            <a:ext uri="{FF2B5EF4-FFF2-40B4-BE49-F238E27FC236}">
              <a16:creationId xmlns:a16="http://schemas.microsoft.com/office/drawing/2014/main" id="{4EC0B812-8E58-4DA4-84D8-3B395D7A703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364214" y="95250"/>
          <a:ext cx="1034143" cy="52282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176893</xdr:colOff>
      <xdr:row>1</xdr:row>
      <xdr:rowOff>95249</xdr:rowOff>
    </xdr:from>
    <xdr:ext cx="952500" cy="375580"/>
    <xdr:pic>
      <xdr:nvPicPr>
        <xdr:cNvPr id="2" name="13 Imagen" descr="cid:image001.png@01D0CDC6.86D9BE20">
          <a:extLst>
            <a:ext uri="{FF2B5EF4-FFF2-40B4-BE49-F238E27FC236}">
              <a16:creationId xmlns:a16="http://schemas.microsoft.com/office/drawing/2014/main" id="{16F0E833-BDB5-4562-B18B-84E7421F4F0B}"/>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6893" y="272142"/>
          <a:ext cx="952500" cy="375580"/>
        </a:xfrm>
        <a:prstGeom prst="rect">
          <a:avLst/>
        </a:prstGeom>
        <a:noFill/>
        <a:ln w="9525">
          <a:noFill/>
          <a:miter lim="800000"/>
          <a:headEnd/>
          <a:tailEnd/>
        </a:ln>
      </xdr:spPr>
    </xdr:pic>
    <xdr:clientData/>
  </xdr:oneCellAnchor>
  <xdr:twoCellAnchor editAs="oneCell">
    <xdr:from>
      <xdr:col>14</xdr:col>
      <xdr:colOff>27216</xdr:colOff>
      <xdr:row>0</xdr:row>
      <xdr:rowOff>163286</xdr:rowOff>
    </xdr:from>
    <xdr:to>
      <xdr:col>14</xdr:col>
      <xdr:colOff>1006930</xdr:colOff>
      <xdr:row>3</xdr:row>
      <xdr:rowOff>141827</xdr:rowOff>
    </xdr:to>
    <xdr:pic>
      <xdr:nvPicPr>
        <xdr:cNvPr id="3" name="Imagen 2">
          <a:extLst>
            <a:ext uri="{FF2B5EF4-FFF2-40B4-BE49-F238E27FC236}">
              <a16:creationId xmlns:a16="http://schemas.microsoft.com/office/drawing/2014/main" id="{9DAD7D53-9C33-43F2-9214-B1D925C5CB1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151930" y="163286"/>
          <a:ext cx="979714" cy="52282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5</xdr:col>
      <xdr:colOff>0</xdr:colOff>
      <xdr:row>437</xdr:row>
      <xdr:rowOff>122463</xdr:rowOff>
    </xdr:from>
    <xdr:ext cx="952500" cy="375580"/>
    <xdr:pic>
      <xdr:nvPicPr>
        <xdr:cNvPr id="3" name="13 Imagen" descr="cid:image001.png@01D0CDC6.86D9BE20">
          <a:extLst>
            <a:ext uri="{FF2B5EF4-FFF2-40B4-BE49-F238E27FC236}">
              <a16:creationId xmlns:a16="http://schemas.microsoft.com/office/drawing/2014/main" id="{BEE88538-337E-4C0D-A866-941D5E19E2AE}"/>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959929" y="83751963"/>
          <a:ext cx="952500" cy="375580"/>
        </a:xfrm>
        <a:prstGeom prst="rect">
          <a:avLst/>
        </a:prstGeom>
        <a:noFill/>
        <a:ln w="9525">
          <a:noFill/>
          <a:miter lim="800000"/>
          <a:headEnd/>
          <a:tailEnd/>
        </a:ln>
      </xdr:spPr>
    </xdr:pic>
    <xdr:clientData/>
  </xdr:oneCellAnchor>
  <xdr:twoCellAnchor editAs="oneCell">
    <xdr:from>
      <xdr:col>26</xdr:col>
      <xdr:colOff>68036</xdr:colOff>
      <xdr:row>437</xdr:row>
      <xdr:rowOff>0</xdr:rowOff>
    </xdr:from>
    <xdr:to>
      <xdr:col>27</xdr:col>
      <xdr:colOff>381001</xdr:colOff>
      <xdr:row>439</xdr:row>
      <xdr:rowOff>5756</xdr:rowOff>
    </xdr:to>
    <xdr:pic>
      <xdr:nvPicPr>
        <xdr:cNvPr id="4" name="Imagen 3">
          <a:extLst>
            <a:ext uri="{FF2B5EF4-FFF2-40B4-BE49-F238E27FC236}">
              <a16:creationId xmlns:a16="http://schemas.microsoft.com/office/drawing/2014/main" id="{C48A3981-291E-4EA9-8AF1-F127BF89C6C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092822" y="83629500"/>
          <a:ext cx="1034143" cy="522827"/>
        </a:xfrm>
        <a:prstGeom prst="rect">
          <a:avLst/>
        </a:prstGeom>
      </xdr:spPr>
    </xdr:pic>
    <xdr:clientData/>
  </xdr:twoCellAnchor>
  <xdr:oneCellAnchor>
    <xdr:from>
      <xdr:col>0</xdr:col>
      <xdr:colOff>190500</xdr:colOff>
      <xdr:row>1</xdr:row>
      <xdr:rowOff>81642</xdr:rowOff>
    </xdr:from>
    <xdr:ext cx="952500" cy="375580"/>
    <xdr:pic>
      <xdr:nvPicPr>
        <xdr:cNvPr id="5" name="13 Imagen" descr="cid:image001.png@01D0CDC6.86D9BE20">
          <a:extLst>
            <a:ext uri="{FF2B5EF4-FFF2-40B4-BE49-F238E27FC236}">
              <a16:creationId xmlns:a16="http://schemas.microsoft.com/office/drawing/2014/main" id="{9B0162DB-07B4-4D7A-B9E0-A1A2C0A37E83}"/>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0" y="258535"/>
          <a:ext cx="952500" cy="375580"/>
        </a:xfrm>
        <a:prstGeom prst="rect">
          <a:avLst/>
        </a:prstGeom>
        <a:noFill/>
        <a:ln w="9525">
          <a:noFill/>
          <a:miter lim="800000"/>
          <a:headEnd/>
          <a:tailEnd/>
        </a:ln>
      </xdr:spPr>
    </xdr:pic>
    <xdr:clientData/>
  </xdr:oneCellAnchor>
  <xdr:twoCellAnchor editAs="oneCell">
    <xdr:from>
      <xdr:col>19</xdr:col>
      <xdr:colOff>190500</xdr:colOff>
      <xdr:row>1</xdr:row>
      <xdr:rowOff>1</xdr:rowOff>
    </xdr:from>
    <xdr:to>
      <xdr:col>19</xdr:col>
      <xdr:colOff>1224643</xdr:colOff>
      <xdr:row>4</xdr:row>
      <xdr:rowOff>5757</xdr:rowOff>
    </xdr:to>
    <xdr:pic>
      <xdr:nvPicPr>
        <xdr:cNvPr id="6" name="Imagen 5">
          <a:extLst>
            <a:ext uri="{FF2B5EF4-FFF2-40B4-BE49-F238E27FC236}">
              <a16:creationId xmlns:a16="http://schemas.microsoft.com/office/drawing/2014/main" id="{9359E71C-3096-44CB-B75B-ECADC3262D8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465893" y="176894"/>
          <a:ext cx="1034143" cy="52282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2</xdr:row>
      <xdr:rowOff>81641</xdr:rowOff>
    </xdr:from>
    <xdr:ext cx="952500" cy="375580"/>
    <xdr:pic>
      <xdr:nvPicPr>
        <xdr:cNvPr id="2" name="13 Imagen" descr="cid:image001.png@01D0CDC6.86D9BE20">
          <a:extLst>
            <a:ext uri="{FF2B5EF4-FFF2-40B4-BE49-F238E27FC236}">
              <a16:creationId xmlns:a16="http://schemas.microsoft.com/office/drawing/2014/main" id="{163BBC12-515F-406D-98C5-FD4B866D01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36724"/>
          <a:ext cx="952500" cy="375580"/>
        </a:xfrm>
        <a:prstGeom prst="rect">
          <a:avLst/>
        </a:prstGeom>
        <a:noFill/>
        <a:ln w="9525">
          <a:noFill/>
          <a:miter lim="800000"/>
          <a:headEnd/>
          <a:tailEnd/>
        </a:ln>
      </xdr:spPr>
    </xdr:pic>
    <xdr:clientData/>
  </xdr:oneCellAnchor>
  <xdr:twoCellAnchor editAs="oneCell">
    <xdr:from>
      <xdr:col>11</xdr:col>
      <xdr:colOff>49892</xdr:colOff>
      <xdr:row>2</xdr:row>
      <xdr:rowOff>84666</xdr:rowOff>
    </xdr:from>
    <xdr:to>
      <xdr:col>12</xdr:col>
      <xdr:colOff>25702</xdr:colOff>
      <xdr:row>4</xdr:row>
      <xdr:rowOff>14826</xdr:rowOff>
    </xdr:to>
    <xdr:pic>
      <xdr:nvPicPr>
        <xdr:cNvPr id="3" name="Imagen 2">
          <a:extLst>
            <a:ext uri="{FF2B5EF4-FFF2-40B4-BE49-F238E27FC236}">
              <a16:creationId xmlns:a16="http://schemas.microsoft.com/office/drawing/2014/main" id="{48E40038-BACD-4DCB-9383-B2070FD2C67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797392" y="539749"/>
          <a:ext cx="1034143" cy="52282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0</xdr:col>
      <xdr:colOff>127000</xdr:colOff>
      <xdr:row>0</xdr:row>
      <xdr:rowOff>127000</xdr:rowOff>
    </xdr:from>
    <xdr:ext cx="1905000" cy="751159"/>
    <xdr:pic>
      <xdr:nvPicPr>
        <xdr:cNvPr id="2" name="13 Imagen" descr="cid:image001.png@01D0CDC6.86D9BE20">
          <a:extLst>
            <a:ext uri="{FF2B5EF4-FFF2-40B4-BE49-F238E27FC236}">
              <a16:creationId xmlns:a16="http://schemas.microsoft.com/office/drawing/2014/main" id="{7D3506F9-0325-4E18-82B8-DF28D7F0384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7000" y="127000"/>
          <a:ext cx="1905000" cy="751159"/>
        </a:xfrm>
        <a:prstGeom prst="rect">
          <a:avLst/>
        </a:prstGeom>
        <a:noFill/>
        <a:ln w="9525">
          <a:noFill/>
          <a:miter lim="800000"/>
          <a:headEnd/>
          <a:tailEnd/>
        </a:ln>
      </xdr:spPr>
    </xdr:pic>
    <xdr:clientData/>
  </xdr:oneCellAnchor>
  <xdr:oneCellAnchor>
    <xdr:from>
      <xdr:col>28</xdr:col>
      <xdr:colOff>730250</xdr:colOff>
      <xdr:row>0</xdr:row>
      <xdr:rowOff>142876</xdr:rowOff>
    </xdr:from>
    <xdr:ext cx="1326771" cy="596900"/>
    <xdr:pic>
      <xdr:nvPicPr>
        <xdr:cNvPr id="3" name="Picture 2">
          <a:extLst>
            <a:ext uri="{FF2B5EF4-FFF2-40B4-BE49-F238E27FC236}">
              <a16:creationId xmlns:a16="http://schemas.microsoft.com/office/drawing/2014/main" id="{99E3EF57-352F-4FFF-819E-8946E035F0A2}"/>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1189950" y="142876"/>
          <a:ext cx="1326771" cy="596900"/>
        </a:xfrm>
        <a:prstGeom prst="rect">
          <a:avLst/>
        </a:prstGeom>
        <a:noFill/>
        <a:ln w="9525">
          <a:noFill/>
          <a:miter lim="800000"/>
          <a:headEnd/>
          <a:tailEnd/>
        </a:ln>
      </xdr:spPr>
    </xdr:pic>
    <xdr:clientData/>
  </xdr:oneCellAnchor>
  <xdr:twoCellAnchor>
    <xdr:from>
      <xdr:col>40</xdr:col>
      <xdr:colOff>174625</xdr:colOff>
      <xdr:row>8</xdr:row>
      <xdr:rowOff>47625</xdr:rowOff>
    </xdr:from>
    <xdr:to>
      <xdr:col>49</xdr:col>
      <xdr:colOff>174625</xdr:colOff>
      <xdr:row>27</xdr:row>
      <xdr:rowOff>174625</xdr:rowOff>
    </xdr:to>
    <xdr:graphicFrame macro="">
      <xdr:nvGraphicFramePr>
        <xdr:cNvPr id="4" name="Gráfico 3">
          <a:extLst>
            <a:ext uri="{FF2B5EF4-FFF2-40B4-BE49-F238E27FC236}">
              <a16:creationId xmlns:a16="http://schemas.microsoft.com/office/drawing/2014/main" id="{8BC9C8A5-02C0-46B2-A9CC-5F8BD96B5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50</xdr:col>
      <xdr:colOff>523874</xdr:colOff>
      <xdr:row>9</xdr:row>
      <xdr:rowOff>111125</xdr:rowOff>
    </xdr:from>
    <xdr:to>
      <xdr:col>59</xdr:col>
      <xdr:colOff>476249</xdr:colOff>
      <xdr:row>28</xdr:row>
      <xdr:rowOff>47625</xdr:rowOff>
    </xdr:to>
    <xdr:graphicFrame macro="">
      <xdr:nvGraphicFramePr>
        <xdr:cNvPr id="5" name="Gráfico 4">
          <a:extLst>
            <a:ext uri="{FF2B5EF4-FFF2-40B4-BE49-F238E27FC236}">
              <a16:creationId xmlns:a16="http://schemas.microsoft.com/office/drawing/2014/main" id="{0B588C84-7EF3-4888-A412-07882EC6A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63500</xdr:colOff>
      <xdr:row>6</xdr:row>
      <xdr:rowOff>28576</xdr:rowOff>
    </xdr:from>
    <xdr:to>
      <xdr:col>32</xdr:col>
      <xdr:colOff>99218</xdr:colOff>
      <xdr:row>27</xdr:row>
      <xdr:rowOff>159544</xdr:rowOff>
    </xdr:to>
    <xdr:graphicFrame macro="">
      <xdr:nvGraphicFramePr>
        <xdr:cNvPr id="6" name="Gráfico 5">
          <a:extLst>
            <a:ext uri="{FF2B5EF4-FFF2-40B4-BE49-F238E27FC236}">
              <a16:creationId xmlns:a16="http://schemas.microsoft.com/office/drawing/2014/main" id="{BA6622A0-EF16-53BD-5319-DAD76DF7C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588819</xdr:colOff>
      <xdr:row>247</xdr:row>
      <xdr:rowOff>138545</xdr:rowOff>
    </xdr:from>
    <xdr:to>
      <xdr:col>14</xdr:col>
      <xdr:colOff>447675</xdr:colOff>
      <xdr:row>270</xdr:row>
      <xdr:rowOff>90921</xdr:rowOff>
    </xdr:to>
    <xdr:graphicFrame macro="">
      <xdr:nvGraphicFramePr>
        <xdr:cNvPr id="7" name="Gráfico 6">
          <a:extLst>
            <a:ext uri="{FF2B5EF4-FFF2-40B4-BE49-F238E27FC236}">
              <a16:creationId xmlns:a16="http://schemas.microsoft.com/office/drawing/2014/main" id="{60CFF990-B047-4C47-800F-E481AA523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190499</xdr:colOff>
      <xdr:row>19</xdr:row>
      <xdr:rowOff>38100</xdr:rowOff>
    </xdr:from>
    <xdr:to>
      <xdr:col>13</xdr:col>
      <xdr:colOff>266700</xdr:colOff>
      <xdr:row>36</xdr:row>
      <xdr:rowOff>28575</xdr:rowOff>
    </xdr:to>
    <xdr:graphicFrame macro="">
      <xdr:nvGraphicFramePr>
        <xdr:cNvPr id="12" name="Gráfico 11">
          <a:extLst>
            <a:ext uri="{FF2B5EF4-FFF2-40B4-BE49-F238E27FC236}">
              <a16:creationId xmlns:a16="http://schemas.microsoft.com/office/drawing/2014/main" id="{DE543393-3C11-454A-8AF9-4CC9B6EFE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219075</xdr:colOff>
      <xdr:row>1</xdr:row>
      <xdr:rowOff>152400</xdr:rowOff>
    </xdr:from>
    <xdr:to>
      <xdr:col>6</xdr:col>
      <xdr:colOff>219075</xdr:colOff>
      <xdr:row>18</xdr:row>
      <xdr:rowOff>142875</xdr:rowOff>
    </xdr:to>
    <xdr:graphicFrame macro="">
      <xdr:nvGraphicFramePr>
        <xdr:cNvPr id="19" name="Gráfico 18">
          <a:extLst>
            <a:ext uri="{FF2B5EF4-FFF2-40B4-BE49-F238E27FC236}">
              <a16:creationId xmlns:a16="http://schemas.microsoft.com/office/drawing/2014/main" id="{8016573D-A5BF-4991-89D5-108B392DD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276225</xdr:colOff>
      <xdr:row>1</xdr:row>
      <xdr:rowOff>142875</xdr:rowOff>
    </xdr:from>
    <xdr:to>
      <xdr:col>12</xdr:col>
      <xdr:colOff>276225</xdr:colOff>
      <xdr:row>18</xdr:row>
      <xdr:rowOff>133350</xdr:rowOff>
    </xdr:to>
    <xdr:graphicFrame macro="">
      <xdr:nvGraphicFramePr>
        <xdr:cNvPr id="20" name="Gráfico 19">
          <a:extLst>
            <a:ext uri="{FF2B5EF4-FFF2-40B4-BE49-F238E27FC236}">
              <a16:creationId xmlns:a16="http://schemas.microsoft.com/office/drawing/2014/main" id="{A37049A6-6A85-4283-937C-7B181B9E0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381000</xdr:colOff>
      <xdr:row>1</xdr:row>
      <xdr:rowOff>133350</xdr:rowOff>
    </xdr:from>
    <xdr:to>
      <xdr:col>18</xdr:col>
      <xdr:colOff>381000</xdr:colOff>
      <xdr:row>18</xdr:row>
      <xdr:rowOff>123825</xdr:rowOff>
    </xdr:to>
    <xdr:graphicFrame macro="">
      <xdr:nvGraphicFramePr>
        <xdr:cNvPr id="21" name="Gráfico 20">
          <a:extLst>
            <a:ext uri="{FF2B5EF4-FFF2-40B4-BE49-F238E27FC236}">
              <a16:creationId xmlns:a16="http://schemas.microsoft.com/office/drawing/2014/main" id="{248F8692-F728-4DE4-8B54-EF08AB396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495300</xdr:colOff>
      <xdr:row>1</xdr:row>
      <xdr:rowOff>152400</xdr:rowOff>
    </xdr:from>
    <xdr:to>
      <xdr:col>24</xdr:col>
      <xdr:colOff>495300</xdr:colOff>
      <xdr:row>18</xdr:row>
      <xdr:rowOff>142875</xdr:rowOff>
    </xdr:to>
    <xdr:graphicFrame macro="">
      <xdr:nvGraphicFramePr>
        <xdr:cNvPr id="22" name="Gráfico 21">
          <a:extLst>
            <a:ext uri="{FF2B5EF4-FFF2-40B4-BE49-F238E27FC236}">
              <a16:creationId xmlns:a16="http://schemas.microsoft.com/office/drawing/2014/main" id="{93AEE47A-A70C-45E2-AEAC-023CC980A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0</xdr:col>
      <xdr:colOff>127000</xdr:colOff>
      <xdr:row>0</xdr:row>
      <xdr:rowOff>127000</xdr:rowOff>
    </xdr:from>
    <xdr:ext cx="1905000" cy="751159"/>
    <xdr:pic>
      <xdr:nvPicPr>
        <xdr:cNvPr id="2" name="13 Imagen" descr="cid:image001.png@01D0CDC6.86D9BE20">
          <a:extLst>
            <a:ext uri="{FF2B5EF4-FFF2-40B4-BE49-F238E27FC236}">
              <a16:creationId xmlns:a16="http://schemas.microsoft.com/office/drawing/2014/main" id="{DC258E9F-5EE2-45FA-9149-D3D863E49C11}"/>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7000" y="127000"/>
          <a:ext cx="1905000" cy="751159"/>
        </a:xfrm>
        <a:prstGeom prst="rect">
          <a:avLst/>
        </a:prstGeom>
        <a:noFill/>
        <a:ln w="9525">
          <a:noFill/>
          <a:miter lim="800000"/>
          <a:headEnd/>
          <a:tailEnd/>
        </a:ln>
      </xdr:spPr>
    </xdr:pic>
    <xdr:clientData/>
  </xdr:oneCellAnchor>
  <xdr:oneCellAnchor>
    <xdr:from>
      <xdr:col>28</xdr:col>
      <xdr:colOff>730250</xdr:colOff>
      <xdr:row>0</xdr:row>
      <xdr:rowOff>142876</xdr:rowOff>
    </xdr:from>
    <xdr:ext cx="1326771" cy="596900"/>
    <xdr:pic>
      <xdr:nvPicPr>
        <xdr:cNvPr id="3" name="Picture 2">
          <a:extLst>
            <a:ext uri="{FF2B5EF4-FFF2-40B4-BE49-F238E27FC236}">
              <a16:creationId xmlns:a16="http://schemas.microsoft.com/office/drawing/2014/main" id="{2DC8F5BB-1FD7-48C7-945D-8F7667D21F04}"/>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3009225" y="142876"/>
          <a:ext cx="1326771" cy="596900"/>
        </a:xfrm>
        <a:prstGeom prst="rect">
          <a:avLst/>
        </a:prstGeom>
        <a:noFill/>
        <a:ln w="9525">
          <a:noFill/>
          <a:miter lim="800000"/>
          <a:headEnd/>
          <a:tailEnd/>
        </a:ln>
      </xdr:spPr>
    </xdr:pic>
    <xdr:clientData/>
  </xdr:oneCellAnchor>
  <xdr:twoCellAnchor>
    <xdr:from>
      <xdr:col>40</xdr:col>
      <xdr:colOff>174625</xdr:colOff>
      <xdr:row>8</xdr:row>
      <xdr:rowOff>47625</xdr:rowOff>
    </xdr:from>
    <xdr:to>
      <xdr:col>49</xdr:col>
      <xdr:colOff>174625</xdr:colOff>
      <xdr:row>27</xdr:row>
      <xdr:rowOff>174625</xdr:rowOff>
    </xdr:to>
    <xdr:graphicFrame macro="">
      <xdr:nvGraphicFramePr>
        <xdr:cNvPr id="4" name="Gráfico 3">
          <a:extLst>
            <a:ext uri="{FF2B5EF4-FFF2-40B4-BE49-F238E27FC236}">
              <a16:creationId xmlns:a16="http://schemas.microsoft.com/office/drawing/2014/main" id="{5FC9D424-5FE3-4E0F-8F89-EB5DB332D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50</xdr:col>
      <xdr:colOff>523874</xdr:colOff>
      <xdr:row>9</xdr:row>
      <xdr:rowOff>111125</xdr:rowOff>
    </xdr:from>
    <xdr:to>
      <xdr:col>59</xdr:col>
      <xdr:colOff>476249</xdr:colOff>
      <xdr:row>28</xdr:row>
      <xdr:rowOff>47625</xdr:rowOff>
    </xdr:to>
    <xdr:graphicFrame macro="">
      <xdr:nvGraphicFramePr>
        <xdr:cNvPr id="5" name="Gráfico 4">
          <a:extLst>
            <a:ext uri="{FF2B5EF4-FFF2-40B4-BE49-F238E27FC236}">
              <a16:creationId xmlns:a16="http://schemas.microsoft.com/office/drawing/2014/main" id="{51887A03-926C-49EC-ABDF-8332AF3F2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9525</xdr:colOff>
      <xdr:row>1</xdr:row>
      <xdr:rowOff>152400</xdr:rowOff>
    </xdr:from>
    <xdr:to>
      <xdr:col>5</xdr:col>
      <xdr:colOff>295275</xdr:colOff>
      <xdr:row>15</xdr:row>
      <xdr:rowOff>0</xdr:rowOff>
    </xdr:to>
    <xdr:graphicFrame macro="">
      <xdr:nvGraphicFramePr>
        <xdr:cNvPr id="2" name="Gráfico 1">
          <a:extLst>
            <a:ext uri="{FF2B5EF4-FFF2-40B4-BE49-F238E27FC236}">
              <a16:creationId xmlns:a16="http://schemas.microsoft.com/office/drawing/2014/main" id="{AB2663AA-9A61-A7AA-2387-50B0B05AA6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1257300</xdr:colOff>
      <xdr:row>18</xdr:row>
      <xdr:rowOff>114300</xdr:rowOff>
    </xdr:from>
    <xdr:to>
      <xdr:col>5</xdr:col>
      <xdr:colOff>542925</xdr:colOff>
      <xdr:row>33</xdr:row>
      <xdr:rowOff>38100</xdr:rowOff>
    </xdr:to>
    <xdr:graphicFrame macro="">
      <xdr:nvGraphicFramePr>
        <xdr:cNvPr id="4" name="Gráfico 3">
          <a:extLst>
            <a:ext uri="{FF2B5EF4-FFF2-40B4-BE49-F238E27FC236}">
              <a16:creationId xmlns:a16="http://schemas.microsoft.com/office/drawing/2014/main" id="{C73D98E3-27A3-1BF7-B59B-CEA8917BB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0</xdr:col>
      <xdr:colOff>2250065</xdr:colOff>
      <xdr:row>5</xdr:row>
      <xdr:rowOff>180975</xdr:rowOff>
    </xdr:to>
    <xdr:pic>
      <xdr:nvPicPr>
        <xdr:cNvPr id="2" name="1 Imagen">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2250065"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pazcorpcl-my.sharepoint.com/Users/FRANCISCO/AppData/Local/Microsoft/Windows/INetCache/Content.Outlook/IEYH55R6/Copia%20de%20CONTROL_FASES%20FINAL%2015al%2019%20enr.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ME ANDRES TAPIA GARCIA" refreshedDate="45310.718925462963" createdVersion="8" refreshedVersion="8" minRefreshableVersion="3" recordCount="197" xr:uid="{1C59689A-38CF-4827-A30B-369FB3FFA8D7}">
  <cacheSource type="worksheet">
    <worksheetSource ref="B5:U202" sheet="SEGUIMIENTO R.CRITICA base" r:id="rId2"/>
  </cacheSource>
  <cacheFields count="20">
    <cacheField name="Departamento" numFmtId="0">
      <sharedItems containsMixedTypes="1" containsNumber="1" containsInteger="1" minValue="201" maxValue="1216" count="197">
        <n v="201"/>
        <n v="202"/>
        <n v="203"/>
        <n v="204"/>
        <n v="205"/>
        <n v="206"/>
        <n v="207"/>
        <n v="208"/>
        <n v="209"/>
        <n v="210"/>
        <n v="211"/>
        <n v="212"/>
        <n v="213"/>
        <n v="214"/>
        <n v="215"/>
        <n v="216"/>
        <n v="217"/>
        <s v="PISO 2"/>
        <n v="301"/>
        <n v="302"/>
        <n v="303"/>
        <n v="304"/>
        <n v="305"/>
        <n v="306"/>
        <n v="307"/>
        <n v="308"/>
        <n v="309"/>
        <n v="310"/>
        <n v="311"/>
        <n v="312"/>
        <n v="313"/>
        <n v="314"/>
        <n v="315"/>
        <n v="316"/>
        <n v="317"/>
        <s v="PISO 3"/>
        <n v="401"/>
        <n v="402"/>
        <n v="403"/>
        <n v="404"/>
        <n v="405"/>
        <n v="406"/>
        <n v="407"/>
        <n v="408"/>
        <n v="409"/>
        <n v="410"/>
        <n v="411"/>
        <n v="412"/>
        <n v="413"/>
        <n v="414"/>
        <n v="415"/>
        <n v="416"/>
        <n v="417"/>
        <s v="PISO 4"/>
        <n v="501"/>
        <n v="502"/>
        <n v="503"/>
        <n v="504"/>
        <n v="505"/>
        <n v="506"/>
        <n v="507"/>
        <n v="508"/>
        <n v="509"/>
        <n v="510"/>
        <n v="511"/>
        <n v="512"/>
        <n v="513"/>
        <n v="514"/>
        <n v="515"/>
        <n v="516"/>
        <n v="517"/>
        <s v="PISO 5"/>
        <n v="601"/>
        <n v="602"/>
        <n v="603"/>
        <n v="604"/>
        <n v="605"/>
        <n v="606"/>
        <n v="607"/>
        <n v="608"/>
        <n v="609"/>
        <n v="610"/>
        <n v="611"/>
        <n v="612"/>
        <n v="613"/>
        <n v="614"/>
        <n v="615"/>
        <n v="616"/>
        <n v="617"/>
        <s v="PISO 6"/>
        <n v="701"/>
        <n v="702"/>
        <n v="703"/>
        <n v="704"/>
        <n v="705"/>
        <n v="706"/>
        <n v="707"/>
        <n v="708"/>
        <n v="709"/>
        <n v="710"/>
        <n v="711"/>
        <n v="712"/>
        <n v="713"/>
        <n v="714"/>
        <n v="715"/>
        <n v="716"/>
        <n v="717"/>
        <s v="PISO 7"/>
        <n v="801"/>
        <n v="802"/>
        <n v="803"/>
        <n v="804"/>
        <n v="805"/>
        <n v="806"/>
        <n v="807"/>
        <n v="808"/>
        <n v="809"/>
        <n v="810"/>
        <n v="811"/>
        <n v="812"/>
        <n v="813"/>
        <n v="814"/>
        <n v="815"/>
        <n v="816"/>
        <n v="817"/>
        <s v="PISO 8"/>
        <n v="901"/>
        <n v="902"/>
        <n v="903"/>
        <n v="904"/>
        <n v="905"/>
        <n v="906"/>
        <n v="907"/>
        <n v="908"/>
        <n v="909"/>
        <n v="910"/>
        <n v="911"/>
        <n v="912"/>
        <n v="913"/>
        <n v="914"/>
        <n v="915"/>
        <n v="916"/>
        <n v="917"/>
        <s v="PISO 9"/>
        <n v="1001"/>
        <n v="1002"/>
        <n v="1003"/>
        <n v="1004"/>
        <n v="1005"/>
        <n v="1006"/>
        <n v="1007"/>
        <n v="1008"/>
        <n v="1009"/>
        <n v="1010"/>
        <n v="1011"/>
        <n v="1012"/>
        <n v="1013"/>
        <n v="1014"/>
        <n v="1015"/>
        <n v="1016"/>
        <n v="1017"/>
        <s v="PISO 10"/>
        <n v="1101"/>
        <n v="1102"/>
        <n v="1103"/>
        <n v="1104"/>
        <n v="1105"/>
        <n v="1106"/>
        <n v="1107"/>
        <n v="1108"/>
        <n v="1109"/>
        <n v="1110"/>
        <n v="1111"/>
        <n v="1112"/>
        <n v="1113"/>
        <n v="1114"/>
        <n v="1115"/>
        <n v="1116"/>
        <n v="1117"/>
        <s v="PISO 11"/>
        <n v="1201"/>
        <n v="1202"/>
        <n v="1203"/>
        <n v="1204"/>
        <n v="1205"/>
        <n v="1206"/>
        <n v="1207"/>
        <n v="1208"/>
        <n v="1209"/>
        <n v="1210"/>
        <n v="1211"/>
        <n v="1212"/>
        <n v="1213"/>
        <n v="1214"/>
        <n v="1215"/>
        <n v="1216"/>
        <s v="PISO 12"/>
      </sharedItems>
    </cacheField>
    <cacheField name="Trazado" numFmtId="9">
      <sharedItems containsSemiMixedTypes="0" containsString="0" containsNumber="1" containsInteger="1" minValue="0" maxValue="1"/>
    </cacheField>
    <cacheField name="Yeso Cielo" numFmtId="9">
      <sharedItems containsSemiMixedTypes="0" containsString="0" containsNumber="1" containsInteger="1" minValue="0" maxValue="1"/>
    </cacheField>
    <cacheField name="Yeso Muro" numFmtId="9">
      <sharedItems containsSemiMixedTypes="0" containsString="0" containsNumber="1" containsInteger="1" minValue="0" maxValue="1"/>
    </cacheField>
    <cacheField name="Tabique 1° Cara" numFmtId="9">
      <sharedItems containsSemiMixedTypes="0" containsString="0" containsNumber="1" containsInteger="1" minValue="0" maxValue="1"/>
    </cacheField>
    <cacheField name="I. Sanitaria" numFmtId="9">
      <sharedItems containsSemiMixedTypes="0" containsString="0" containsNumber="1" containsInteger="1" minValue="0" maxValue="1"/>
    </cacheField>
    <cacheField name="I. Eléctrica" numFmtId="9">
      <sharedItems containsSemiMixedTypes="0" containsString="0" containsNumber="1" minValue="0" maxValue="0.95"/>
    </cacheField>
    <cacheField name="Extracción" numFmtId="9">
      <sharedItems containsSemiMixedTypes="0" containsString="0" containsNumber="1" containsInteger="1" minValue="0" maxValue="1"/>
    </cacheField>
    <cacheField name="Tabique 2° Cara" numFmtId="9">
      <sharedItems containsSemiMixedTypes="0" containsString="0" containsNumber="1" containsInteger="1" minValue="0" maxValue="1"/>
    </cacheField>
    <cacheField name="Puertas" numFmtId="9">
      <sharedItems containsSemiMixedTypes="0" containsString="0" containsNumber="1" containsInteger="1" minValue="0" maxValue="1"/>
    </cacheField>
    <cacheField name="Cerámicos" numFmtId="9">
      <sharedItems containsSemiMixedTypes="0" containsString="0" containsNumber="1" minValue="0" maxValue="1"/>
    </cacheField>
    <cacheField name="Ventanas" numFmtId="9">
      <sharedItems containsSemiMixedTypes="0" containsString="0" containsNumber="1" minValue="0" maxValue="1"/>
    </cacheField>
    <cacheField name="Baranda Cristal" numFmtId="9">
      <sharedItems containsSemiMixedTypes="0" containsString="0" containsNumber="1" minValue="0" maxValue="1"/>
    </cacheField>
    <cacheField name="Pasta" numFmtId="9">
      <sharedItems containsSemiMixedTypes="0" containsString="0" containsNumber="1" minValue="0" maxValue="1"/>
    </cacheField>
    <cacheField name="Pintura" numFmtId="9">
      <sharedItems containsSemiMixedTypes="0" containsString="0" containsNumber="1" minValue="0" maxValue="0.7"/>
    </cacheField>
    <cacheField name="Muebles C/B" numFmtId="9">
      <sharedItems containsSemiMixedTypes="0" containsString="0" containsNumber="1" minValue="0" maxValue="0.70000000000000007"/>
    </cacheField>
    <cacheField name="Muebles Closet" numFmtId="9">
      <sharedItems containsSemiMixedTypes="0" containsString="0" containsNumber="1" minValue="0" maxValue="0.9"/>
    </cacheField>
    <cacheField name="Cubiertas" numFmtId="9">
      <sharedItems containsSemiMixedTypes="0" containsString="0" containsNumber="1" minValue="0" maxValue="0.9"/>
    </cacheField>
    <cacheField name="Retropintado" numFmtId="9">
      <sharedItems containsSemiMixedTypes="0" containsString="0" containsNumber="1" containsInteger="1" minValue="0" maxValue="0"/>
    </cacheField>
    <cacheField name="Av. Depto/Piso" numFmtId="9">
      <sharedItems containsSemiMixedTypes="0" containsString="0" containsNumber="1" minValue="0" maxValue="0.891666666666666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ME ANDRES TAPIA GARCIA" refreshedDate="46212.635741666665" createdVersion="8" refreshedVersion="8" minRefreshableVersion="3" recordCount="1" xr:uid="{87159F80-4E05-44A1-A14C-4613C3D61042}">
  <cacheSource type="worksheet">
    <worksheetSource ref="C100:K101" sheet="AVANCE SEMANAL"/>
  </cacheSource>
  <cacheFields count="9">
    <cacheField name="PISO 1" numFmtId="9">
      <sharedItems containsSemiMixedTypes="0" containsString="0" containsNumber="1" minValue="6.0156250000000001E-2" maxValue="6.0156250000000001E-2"/>
    </cacheField>
    <cacheField name="PISO 2" numFmtId="9">
      <sharedItems containsSemiMixedTypes="0" containsString="0" containsNumber="1" minValue="2.9244186046511633E-2" maxValue="2.9244186046511633E-2"/>
    </cacheField>
    <cacheField name="PISO 3" numFmtId="9">
      <sharedItems containsSemiMixedTypes="0" containsString="0" containsNumber="1" minValue="2.2727272727272726E-3" maxValue="2.2727272727272726E-3"/>
    </cacheField>
    <cacheField name="PISO 4" numFmtId="9">
      <sharedItems containsSemiMixedTypes="0" containsString="0" containsNumber="1" containsInteger="1" minValue="0" maxValue="0"/>
    </cacheField>
    <cacheField name="PISO 5" numFmtId="9">
      <sharedItems containsSemiMixedTypes="0" containsString="0" containsNumber="1" containsInteger="1" minValue="0" maxValue="0"/>
    </cacheField>
    <cacheField name="PISO 6" numFmtId="9">
      <sharedItems containsSemiMixedTypes="0" containsString="0" containsNumber="1" containsInteger="1" minValue="0" maxValue="0"/>
    </cacheField>
    <cacheField name="PISO 7" numFmtId="9">
      <sharedItems containsSemiMixedTypes="0" containsString="0" containsNumber="1" containsInteger="1" minValue="0" maxValue="0"/>
    </cacheField>
    <cacheField name="PISO 8" numFmtId="9">
      <sharedItems containsSemiMixedTypes="0" containsString="0" containsNumber="1" containsInteger="1" minValue="0" maxValue="0"/>
    </cacheField>
    <cacheField name="PISO 9" numFmtId="9">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ME ANDRES TAPIA GARCIA" refreshedDate="46212.63574189815" createdVersion="8" refreshedVersion="8" minRefreshableVersion="3" recordCount="4" xr:uid="{204F68AD-C264-4F92-B6C5-1CB641CF769A}">
  <cacheSource type="worksheet">
    <worksheetSource ref="B95:L99" sheet="AVANCE SEMANAL"/>
  </cacheSource>
  <cacheFields count="11">
    <cacheField name="FASE" numFmtId="0">
      <sharedItems count="4">
        <s v="FASE 1"/>
        <s v="FASE 2"/>
        <s v="FASE 3"/>
        <s v="FASE 4"/>
      </sharedItems>
    </cacheField>
    <cacheField name="PISO 1" numFmtId="9">
      <sharedItems containsSemiMixedTypes="0" containsString="0" containsNumber="1" minValue="0" maxValue="0.24062500000000001"/>
    </cacheField>
    <cacheField name="PISO 2" numFmtId="9">
      <sharedItems containsSemiMixedTypes="0" containsString="0" containsNumber="1" minValue="0" maxValue="0.11697674418604653"/>
    </cacheField>
    <cacheField name="PISO 3" numFmtId="9">
      <sharedItems containsSemiMixedTypes="0" containsString="0" containsNumber="1" minValue="0" maxValue="9.0909090909090905E-3"/>
    </cacheField>
    <cacheField name="PISO 4" numFmtId="9">
      <sharedItems containsSemiMixedTypes="0" containsString="0" containsNumber="1" containsInteger="1" minValue="0" maxValue="0"/>
    </cacheField>
    <cacheField name="PISO 5" numFmtId="9">
      <sharedItems containsSemiMixedTypes="0" containsString="0" containsNumber="1" containsInteger="1" minValue="0" maxValue="0"/>
    </cacheField>
    <cacheField name="PISO 6" numFmtId="9">
      <sharedItems containsSemiMixedTypes="0" containsString="0" containsNumber="1" containsInteger="1" minValue="0" maxValue="0"/>
    </cacheField>
    <cacheField name="PISO 7" numFmtId="9">
      <sharedItems containsSemiMixedTypes="0" containsString="0" containsNumber="1" containsInteger="1" minValue="0" maxValue="0"/>
    </cacheField>
    <cacheField name="PISO 8" numFmtId="9">
      <sharedItems containsSemiMixedTypes="0" containsString="0" containsNumber="1" containsInteger="1" minValue="0" maxValue="0"/>
    </cacheField>
    <cacheField name="PISO 9" numFmtId="9">
      <sharedItems containsSemiMixedTypes="0" containsString="0" containsNumber="1" containsInteger="1" minValue="0" maxValue="0"/>
    </cacheField>
    <cacheField name="% Avance Real" numFmtId="9">
      <sharedItems containsSemiMixedTypes="0" containsString="0" containsNumber="1" minValue="0" maxValue="4.0743628141883953E-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ME ANDRES TAPIA GARCIA" refreshedDate="46212.63574247685" createdVersion="8" refreshedVersion="8" minRefreshableVersion="3" recordCount="227" xr:uid="{0A7947F1-23FC-44C8-A8B2-00083E1AD49F}">
  <cacheSource type="worksheet">
    <worksheetSource ref="B5:V232" sheet="SEGUIMIENTO R.CRITICA"/>
  </cacheSource>
  <cacheFields count="21">
    <cacheField name="Departamento" numFmtId="0">
      <sharedItems containsBlank="1" containsMixedTypes="1" containsNumber="1" containsInteger="1" minValue="102" maxValue="1216"/>
    </cacheField>
    <cacheField name="Trazado" numFmtId="9">
      <sharedItems containsBlank="1" containsMixedTypes="1" containsNumber="1" containsInteger="1" minValue="0" maxValue="0"/>
    </cacheField>
    <cacheField name="Yeso Cielo" numFmtId="9">
      <sharedItems containsBlank="1" containsMixedTypes="1" containsNumber="1" containsInteger="1" minValue="0" maxValue="0"/>
    </cacheField>
    <cacheField name="Yeso Muro" numFmtId="9">
      <sharedItems containsBlank="1" containsMixedTypes="1" containsNumber="1" minValue="0" maxValue="0.9"/>
    </cacheField>
    <cacheField name="Tabique 1° Cara" numFmtId="9">
      <sharedItems containsBlank="1" containsMixedTypes="1" containsNumber="1" containsInteger="1" minValue="0" maxValue="0"/>
    </cacheField>
    <cacheField name="I. Sanitaria" numFmtId="9">
      <sharedItems containsBlank="1" containsMixedTypes="1" containsNumber="1" containsInteger="1" minValue="0" maxValue="0"/>
    </cacheField>
    <cacheField name="I. Eléctrica" numFmtId="9">
      <sharedItems containsBlank="1" containsMixedTypes="1" containsNumber="1" containsInteger="1" minValue="0" maxValue="0"/>
    </cacheField>
    <cacheField name="Extracción" numFmtId="9">
      <sharedItems containsBlank="1" containsMixedTypes="1" containsNumber="1" containsInteger="1" minValue="0" maxValue="0"/>
    </cacheField>
    <cacheField name="Tabique 2° Cara" numFmtId="9">
      <sharedItems containsBlank="1" containsMixedTypes="1" containsNumber="1" containsInteger="1" minValue="0" maxValue="0"/>
    </cacheField>
    <cacheField name="Puertas" numFmtId="9">
      <sharedItems containsBlank="1" containsMixedTypes="1" containsNumber="1" containsInteger="1" minValue="0" maxValue="0"/>
    </cacheField>
    <cacheField name="Cerámicos" numFmtId="9">
      <sharedItems containsBlank="1" containsMixedTypes="1" containsNumber="1" containsInteger="1" minValue="0" maxValue="0"/>
    </cacheField>
    <cacheField name="Piso Vinilico" numFmtId="9">
      <sharedItems containsBlank="1" containsMixedTypes="1" containsNumber="1" containsInteger="1" minValue="0" maxValue="0"/>
    </cacheField>
    <cacheField name="Ventanas" numFmtId="9">
      <sharedItems containsBlank="1" containsMixedTypes="1" containsNumber="1" containsInteger="1" minValue="0" maxValue="0"/>
    </cacheField>
    <cacheField name="Baranda Cristal" numFmtId="9">
      <sharedItems containsBlank="1" containsMixedTypes="1" containsNumber="1" containsInteger="1" minValue="0" maxValue="0"/>
    </cacheField>
    <cacheField name="Pasta" numFmtId="9">
      <sharedItems containsBlank="1" containsMixedTypes="1" containsNumber="1" containsInteger="1" minValue="0" maxValue="0"/>
    </cacheField>
    <cacheField name="Papel Mural" numFmtId="9">
      <sharedItems containsBlank="1" containsMixedTypes="1" containsNumber="1" containsInteger="1" minValue="0" maxValue="0"/>
    </cacheField>
    <cacheField name="Muebles C/B" numFmtId="9">
      <sharedItems containsBlank="1" containsMixedTypes="1" containsNumber="1" containsInteger="1" minValue="0" maxValue="0"/>
    </cacheField>
    <cacheField name="Muebles Closet" numFmtId="9">
      <sharedItems containsBlank="1" containsMixedTypes="1" containsNumber="1" containsInteger="1" minValue="0" maxValue="0"/>
    </cacheField>
    <cacheField name="Cubiertas" numFmtId="9">
      <sharedItems containsBlank="1" containsMixedTypes="1" containsNumber="1" containsInteger="1" minValue="0" maxValue="0"/>
    </cacheField>
    <cacheField name="Retropintado" numFmtId="9">
      <sharedItems containsBlank="1" containsMixedTypes="1" containsNumber="1" containsInteger="1" minValue="0" maxValue="0"/>
    </cacheField>
    <cacheField name="Av. Depto/Piso" numFmtId="9">
      <sharedItems containsBlank="1" containsMixedTypes="1" containsNumber="1" minValue="0" maxValue="4.736842105263158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7">
  <r>
    <x v="0"/>
    <n v="1"/>
    <n v="1"/>
    <n v="1"/>
    <n v="1"/>
    <n v="1"/>
    <n v="0"/>
    <n v="1"/>
    <n v="1"/>
    <n v="1"/>
    <n v="0"/>
    <n v="1"/>
    <n v="0"/>
    <n v="0"/>
    <n v="0"/>
    <n v="0"/>
    <n v="0"/>
    <n v="0"/>
    <n v="0"/>
    <n v="0.5"/>
  </r>
  <r>
    <x v="1"/>
    <n v="1"/>
    <n v="1"/>
    <n v="1"/>
    <n v="1"/>
    <n v="1"/>
    <n v="0"/>
    <n v="1"/>
    <n v="1"/>
    <n v="1"/>
    <n v="0"/>
    <n v="1"/>
    <n v="0"/>
    <n v="0"/>
    <n v="0"/>
    <n v="0"/>
    <n v="0"/>
    <n v="0"/>
    <n v="0"/>
    <n v="0.5"/>
  </r>
  <r>
    <x v="2"/>
    <n v="1"/>
    <n v="1"/>
    <n v="1"/>
    <n v="1"/>
    <n v="1"/>
    <n v="0"/>
    <n v="1"/>
    <n v="1"/>
    <n v="1"/>
    <n v="0"/>
    <n v="1"/>
    <n v="0"/>
    <n v="0"/>
    <n v="0"/>
    <n v="0"/>
    <n v="0"/>
    <n v="0"/>
    <n v="0"/>
    <n v="0.5"/>
  </r>
  <r>
    <x v="3"/>
    <n v="1"/>
    <n v="1"/>
    <n v="1"/>
    <n v="1"/>
    <n v="1"/>
    <n v="0"/>
    <n v="1"/>
    <n v="1"/>
    <n v="1"/>
    <n v="0"/>
    <n v="1"/>
    <n v="0"/>
    <n v="0"/>
    <n v="0"/>
    <n v="0"/>
    <n v="0"/>
    <n v="0"/>
    <n v="0"/>
    <n v="0.5"/>
  </r>
  <r>
    <x v="4"/>
    <n v="1"/>
    <n v="1"/>
    <n v="1"/>
    <n v="1"/>
    <n v="1"/>
    <n v="0"/>
    <n v="1"/>
    <n v="1"/>
    <n v="1"/>
    <n v="0"/>
    <n v="1"/>
    <n v="0"/>
    <n v="0"/>
    <n v="0"/>
    <n v="0"/>
    <n v="0"/>
    <n v="0"/>
    <n v="0"/>
    <n v="0.5"/>
  </r>
  <r>
    <x v="5"/>
    <n v="1"/>
    <n v="1"/>
    <n v="1"/>
    <n v="1"/>
    <n v="1"/>
    <n v="0"/>
    <n v="1"/>
    <n v="1"/>
    <n v="1"/>
    <n v="0"/>
    <n v="1"/>
    <n v="0"/>
    <n v="0"/>
    <n v="0"/>
    <n v="0"/>
    <n v="0"/>
    <n v="0"/>
    <n v="0"/>
    <n v="0.5"/>
  </r>
  <r>
    <x v="6"/>
    <n v="1"/>
    <n v="1"/>
    <n v="1"/>
    <n v="1"/>
    <n v="1"/>
    <n v="0"/>
    <n v="1"/>
    <n v="1"/>
    <n v="1"/>
    <n v="0"/>
    <n v="1"/>
    <n v="0"/>
    <n v="0"/>
    <n v="0"/>
    <n v="0"/>
    <n v="0"/>
    <n v="0"/>
    <n v="0"/>
    <n v="0.5"/>
  </r>
  <r>
    <x v="7"/>
    <n v="1"/>
    <n v="1"/>
    <n v="1"/>
    <n v="1"/>
    <n v="1"/>
    <n v="0"/>
    <n v="1"/>
    <n v="1"/>
    <n v="1"/>
    <n v="0"/>
    <n v="1"/>
    <n v="0"/>
    <n v="0"/>
    <n v="0"/>
    <n v="0"/>
    <n v="0"/>
    <n v="0"/>
    <n v="0"/>
    <n v="0.5"/>
  </r>
  <r>
    <x v="8"/>
    <n v="1"/>
    <n v="1"/>
    <n v="1"/>
    <n v="1"/>
    <n v="1"/>
    <n v="0"/>
    <n v="1"/>
    <n v="1"/>
    <n v="1"/>
    <n v="0"/>
    <n v="1"/>
    <n v="0"/>
    <n v="0"/>
    <n v="0"/>
    <n v="0"/>
    <n v="0"/>
    <n v="0"/>
    <n v="0"/>
    <n v="0.5"/>
  </r>
  <r>
    <x v="9"/>
    <n v="1"/>
    <n v="1"/>
    <n v="1"/>
    <n v="1"/>
    <n v="1"/>
    <n v="0"/>
    <n v="1"/>
    <n v="1"/>
    <n v="1"/>
    <n v="0"/>
    <n v="1"/>
    <n v="0"/>
    <n v="0"/>
    <n v="0"/>
    <n v="0"/>
    <n v="0"/>
    <n v="0"/>
    <n v="0"/>
    <n v="0.5"/>
  </r>
  <r>
    <x v="10"/>
    <n v="1"/>
    <n v="1"/>
    <n v="1"/>
    <n v="1"/>
    <n v="1"/>
    <n v="0.8"/>
    <n v="1"/>
    <n v="1"/>
    <n v="1"/>
    <n v="1"/>
    <n v="1"/>
    <n v="1"/>
    <n v="1"/>
    <n v="0.52500000000000002"/>
    <n v="0.43333333333333335"/>
    <n v="0.8"/>
    <n v="0"/>
    <n v="0"/>
    <n v="0.80879629629629646"/>
  </r>
  <r>
    <x v="11"/>
    <n v="1"/>
    <n v="1"/>
    <n v="1"/>
    <n v="1"/>
    <n v="1"/>
    <n v="0.9"/>
    <n v="1"/>
    <n v="1"/>
    <n v="1"/>
    <n v="1"/>
    <n v="1"/>
    <n v="1"/>
    <n v="1"/>
    <n v="0.52500000000000002"/>
    <n v="0.46666666666666673"/>
    <n v="0.8"/>
    <n v="0"/>
    <n v="0"/>
    <n v="0.81620370370370376"/>
  </r>
  <r>
    <x v="12"/>
    <n v="1"/>
    <n v="1"/>
    <n v="1"/>
    <n v="1"/>
    <n v="1"/>
    <n v="0.95"/>
    <n v="1"/>
    <n v="1"/>
    <n v="1"/>
    <n v="1"/>
    <n v="1"/>
    <n v="1"/>
    <n v="1"/>
    <n v="0.7"/>
    <n v="0.70000000000000007"/>
    <n v="0.8"/>
    <n v="0.9"/>
    <n v="0"/>
    <n v="0.8916666666666665"/>
  </r>
  <r>
    <x v="13"/>
    <n v="1"/>
    <n v="1"/>
    <n v="1"/>
    <n v="1"/>
    <n v="1"/>
    <n v="0.95"/>
    <n v="1"/>
    <n v="1"/>
    <n v="1"/>
    <n v="1"/>
    <n v="1"/>
    <n v="1"/>
    <n v="1"/>
    <n v="0.57499999999999996"/>
    <n v="0.70000000000000007"/>
    <n v="0.9"/>
    <n v="0.9"/>
    <n v="0"/>
    <n v="0.89027777777777772"/>
  </r>
  <r>
    <x v="14"/>
    <n v="1"/>
    <n v="1"/>
    <n v="1"/>
    <n v="1"/>
    <n v="1"/>
    <n v="0.95"/>
    <n v="1"/>
    <n v="1"/>
    <n v="1"/>
    <n v="0"/>
    <n v="1"/>
    <n v="0"/>
    <n v="0"/>
    <n v="0"/>
    <n v="0"/>
    <n v="0"/>
    <n v="0"/>
    <n v="0"/>
    <n v="0.5527777777777777"/>
  </r>
  <r>
    <x v="15"/>
    <n v="1"/>
    <n v="1"/>
    <n v="1"/>
    <n v="1"/>
    <n v="1"/>
    <n v="0"/>
    <n v="1"/>
    <n v="1"/>
    <n v="1"/>
    <n v="0"/>
    <n v="0.5"/>
    <n v="0"/>
    <n v="0"/>
    <n v="0"/>
    <n v="0"/>
    <n v="0"/>
    <n v="0"/>
    <n v="0"/>
    <n v="0.47222222222222221"/>
  </r>
  <r>
    <x v="16"/>
    <n v="1"/>
    <n v="1"/>
    <n v="1"/>
    <n v="1"/>
    <n v="1"/>
    <n v="0"/>
    <n v="1"/>
    <n v="1"/>
    <n v="1"/>
    <n v="0"/>
    <n v="0.5"/>
    <n v="0"/>
    <n v="0"/>
    <n v="0"/>
    <n v="0"/>
    <n v="0"/>
    <n v="0"/>
    <n v="0"/>
    <n v="0.47222222222222221"/>
  </r>
  <r>
    <x v="17"/>
    <n v="1"/>
    <n v="1"/>
    <n v="1"/>
    <n v="1"/>
    <n v="1"/>
    <n v="0.26764705882352946"/>
    <n v="1"/>
    <n v="1"/>
    <n v="1"/>
    <n v="0.23529411764705882"/>
    <n v="0.94117647058823528"/>
    <n v="0.23529411764705882"/>
    <n v="0.23529411764705882"/>
    <n v="0.13676470588235295"/>
    <n v="0.13529411764705884"/>
    <n v="0.19411764705882353"/>
    <n v="0.10588235294117647"/>
    <n v="0"/>
    <n v="0.58259803921568609"/>
  </r>
  <r>
    <x v="18"/>
    <n v="0"/>
    <n v="0"/>
    <n v="0"/>
    <n v="0"/>
    <n v="0"/>
    <n v="0"/>
    <n v="0"/>
    <n v="0"/>
    <n v="0"/>
    <n v="0"/>
    <n v="0"/>
    <n v="0"/>
    <n v="0"/>
    <n v="0"/>
    <n v="0"/>
    <n v="0"/>
    <n v="0"/>
    <n v="0"/>
    <n v="0"/>
  </r>
  <r>
    <x v="19"/>
    <n v="0"/>
    <n v="0"/>
    <n v="0"/>
    <n v="0"/>
    <n v="0"/>
    <n v="0"/>
    <n v="0"/>
    <n v="0"/>
    <n v="0"/>
    <n v="0"/>
    <n v="0"/>
    <n v="0"/>
    <n v="0"/>
    <n v="0"/>
    <n v="0"/>
    <n v="0"/>
    <n v="0"/>
    <n v="0"/>
    <n v="0"/>
  </r>
  <r>
    <x v="20"/>
    <n v="0"/>
    <n v="0"/>
    <n v="0"/>
    <n v="0"/>
    <n v="0"/>
    <n v="0"/>
    <n v="0"/>
    <n v="0"/>
    <n v="0"/>
    <n v="0"/>
    <n v="0"/>
    <n v="0"/>
    <n v="0"/>
    <n v="0"/>
    <n v="0"/>
    <n v="0"/>
    <n v="0"/>
    <n v="0"/>
    <n v="0"/>
  </r>
  <r>
    <x v="21"/>
    <n v="0"/>
    <n v="0"/>
    <n v="0"/>
    <n v="0"/>
    <n v="0"/>
    <n v="0"/>
    <n v="0"/>
    <n v="0"/>
    <n v="0"/>
    <n v="0"/>
    <n v="0"/>
    <n v="0"/>
    <n v="0"/>
    <n v="0"/>
    <n v="0"/>
    <n v="0"/>
    <n v="0"/>
    <n v="0"/>
    <n v="0"/>
  </r>
  <r>
    <x v="22"/>
    <n v="0"/>
    <n v="0"/>
    <n v="0"/>
    <n v="0"/>
    <n v="0"/>
    <n v="0"/>
    <n v="0"/>
    <n v="0"/>
    <n v="0"/>
    <n v="0"/>
    <n v="0"/>
    <n v="0"/>
    <n v="0"/>
    <n v="0"/>
    <n v="0"/>
    <n v="0"/>
    <n v="0"/>
    <n v="0"/>
    <n v="0"/>
  </r>
  <r>
    <x v="23"/>
    <n v="0"/>
    <n v="0"/>
    <n v="0"/>
    <n v="0"/>
    <n v="0"/>
    <n v="0"/>
    <n v="0"/>
    <n v="0"/>
    <n v="0"/>
    <n v="0"/>
    <n v="0"/>
    <n v="0"/>
    <n v="0"/>
    <n v="0"/>
    <n v="0"/>
    <n v="0"/>
    <n v="0"/>
    <n v="0"/>
    <n v="0"/>
  </r>
  <r>
    <x v="24"/>
    <n v="0"/>
    <n v="0"/>
    <n v="0"/>
    <n v="0"/>
    <n v="0"/>
    <n v="0"/>
    <n v="0"/>
    <n v="0"/>
    <n v="0"/>
    <n v="0"/>
    <n v="0"/>
    <n v="0"/>
    <n v="0"/>
    <n v="0"/>
    <n v="0"/>
    <n v="0"/>
    <n v="0"/>
    <n v="0"/>
    <n v="0"/>
  </r>
  <r>
    <x v="25"/>
    <n v="0"/>
    <n v="0"/>
    <n v="0"/>
    <n v="0"/>
    <n v="0"/>
    <n v="0"/>
    <n v="0"/>
    <n v="0"/>
    <n v="0"/>
    <n v="0"/>
    <n v="0"/>
    <n v="0"/>
    <n v="0"/>
    <n v="0"/>
    <n v="0"/>
    <n v="0"/>
    <n v="0"/>
    <n v="0"/>
    <n v="0"/>
  </r>
  <r>
    <x v="26"/>
    <n v="0"/>
    <n v="0"/>
    <n v="0"/>
    <n v="0"/>
    <n v="0"/>
    <n v="0"/>
    <n v="0"/>
    <n v="0"/>
    <n v="0"/>
    <n v="0"/>
    <n v="0"/>
    <n v="0"/>
    <n v="0"/>
    <n v="0"/>
    <n v="0"/>
    <n v="0"/>
    <n v="0"/>
    <n v="0"/>
    <n v="0"/>
  </r>
  <r>
    <x v="27"/>
    <n v="0"/>
    <n v="0"/>
    <n v="0"/>
    <n v="0"/>
    <n v="0"/>
    <n v="0"/>
    <n v="0"/>
    <n v="0"/>
    <n v="0"/>
    <n v="0"/>
    <n v="0"/>
    <n v="0"/>
    <n v="0"/>
    <n v="0"/>
    <n v="0"/>
    <n v="0"/>
    <n v="0"/>
    <n v="0"/>
    <n v="0"/>
  </r>
  <r>
    <x v="28"/>
    <n v="0"/>
    <n v="0"/>
    <n v="0"/>
    <n v="0"/>
    <n v="0"/>
    <n v="0"/>
    <n v="0"/>
    <n v="0"/>
    <n v="0"/>
    <n v="0"/>
    <n v="0"/>
    <n v="0"/>
    <n v="0"/>
    <n v="0"/>
    <n v="0"/>
    <n v="0"/>
    <n v="0"/>
    <n v="0"/>
    <n v="0"/>
  </r>
  <r>
    <x v="29"/>
    <n v="0"/>
    <n v="0"/>
    <n v="0"/>
    <n v="0"/>
    <n v="0"/>
    <n v="0"/>
    <n v="0"/>
    <n v="0"/>
    <n v="0"/>
    <n v="0"/>
    <n v="0"/>
    <n v="0"/>
    <n v="0"/>
    <n v="0"/>
    <n v="0"/>
    <n v="0"/>
    <n v="0"/>
    <n v="0"/>
    <n v="0"/>
  </r>
  <r>
    <x v="30"/>
    <n v="0"/>
    <n v="0"/>
    <n v="0"/>
    <n v="0"/>
    <n v="0"/>
    <n v="0"/>
    <n v="0"/>
    <n v="0"/>
    <n v="0"/>
    <n v="0"/>
    <n v="0"/>
    <n v="0"/>
    <n v="0"/>
    <n v="0"/>
    <n v="0"/>
    <n v="0"/>
    <n v="0"/>
    <n v="0"/>
    <n v="0"/>
  </r>
  <r>
    <x v="31"/>
    <n v="0"/>
    <n v="0"/>
    <n v="0"/>
    <n v="0"/>
    <n v="0"/>
    <n v="0"/>
    <n v="0"/>
    <n v="0"/>
    <n v="0"/>
    <n v="0"/>
    <n v="0"/>
    <n v="0"/>
    <n v="0"/>
    <n v="0"/>
    <n v="0"/>
    <n v="0"/>
    <n v="0"/>
    <n v="0"/>
    <n v="0"/>
  </r>
  <r>
    <x v="32"/>
    <n v="0"/>
    <n v="0"/>
    <n v="0"/>
    <n v="0"/>
    <n v="0"/>
    <n v="0"/>
    <n v="0"/>
    <n v="0"/>
    <n v="0"/>
    <n v="0"/>
    <n v="0"/>
    <n v="0"/>
    <n v="0"/>
    <n v="0"/>
    <n v="0"/>
    <n v="0"/>
    <n v="0"/>
    <n v="0"/>
    <n v="0"/>
  </r>
  <r>
    <x v="33"/>
    <n v="0"/>
    <n v="0"/>
    <n v="0"/>
    <n v="0"/>
    <n v="0"/>
    <n v="0"/>
    <n v="0"/>
    <n v="0"/>
    <n v="0"/>
    <n v="0"/>
    <n v="0"/>
    <n v="0"/>
    <n v="0"/>
    <n v="0"/>
    <n v="0"/>
    <n v="0"/>
    <n v="0"/>
    <n v="0"/>
    <n v="0"/>
  </r>
  <r>
    <x v="34"/>
    <n v="0"/>
    <n v="0"/>
    <n v="0"/>
    <n v="0"/>
    <n v="0"/>
    <n v="0"/>
    <n v="0"/>
    <n v="0"/>
    <n v="0"/>
    <n v="0"/>
    <n v="0"/>
    <n v="0"/>
    <n v="0"/>
    <n v="0"/>
    <n v="0"/>
    <n v="0"/>
    <n v="0"/>
    <n v="0"/>
    <n v="0"/>
  </r>
  <r>
    <x v="35"/>
    <n v="0"/>
    <n v="0"/>
    <n v="0"/>
    <n v="0"/>
    <n v="0"/>
    <n v="0"/>
    <n v="0"/>
    <n v="0"/>
    <n v="0"/>
    <n v="0"/>
    <n v="0"/>
    <n v="0"/>
    <n v="0"/>
    <n v="0"/>
    <n v="0"/>
    <n v="0"/>
    <n v="0"/>
    <n v="0"/>
    <n v="0"/>
  </r>
  <r>
    <x v="36"/>
    <n v="0"/>
    <n v="0"/>
    <n v="0"/>
    <n v="0"/>
    <n v="0"/>
    <n v="0"/>
    <n v="0"/>
    <n v="0"/>
    <n v="0"/>
    <n v="0"/>
    <n v="0"/>
    <n v="0"/>
    <n v="0"/>
    <n v="0"/>
    <n v="0"/>
    <n v="0"/>
    <n v="0"/>
    <n v="0"/>
    <n v="0"/>
  </r>
  <r>
    <x v="37"/>
    <n v="0"/>
    <n v="0"/>
    <n v="0"/>
    <n v="0"/>
    <n v="0"/>
    <n v="0"/>
    <n v="0"/>
    <n v="0"/>
    <n v="0"/>
    <n v="0"/>
    <n v="0"/>
    <n v="0"/>
    <n v="0"/>
    <n v="0"/>
    <n v="0"/>
    <n v="0"/>
    <n v="0"/>
    <n v="0"/>
    <n v="0"/>
  </r>
  <r>
    <x v="38"/>
    <n v="0"/>
    <n v="0"/>
    <n v="0"/>
    <n v="0"/>
    <n v="0"/>
    <n v="0"/>
    <n v="0"/>
    <n v="0"/>
    <n v="0"/>
    <n v="0"/>
    <n v="0"/>
    <n v="0"/>
    <n v="0"/>
    <n v="0"/>
    <n v="0"/>
    <n v="0"/>
    <n v="0"/>
    <n v="0"/>
    <n v="0"/>
  </r>
  <r>
    <x v="39"/>
    <n v="0"/>
    <n v="0"/>
    <n v="0"/>
    <n v="0"/>
    <n v="0"/>
    <n v="0"/>
    <n v="0"/>
    <n v="0"/>
    <n v="0"/>
    <n v="0"/>
    <n v="0"/>
    <n v="0"/>
    <n v="0"/>
    <n v="0"/>
    <n v="0"/>
    <n v="0"/>
    <n v="0"/>
    <n v="0"/>
    <n v="0"/>
  </r>
  <r>
    <x v="40"/>
    <n v="0"/>
    <n v="0"/>
    <n v="0"/>
    <n v="0"/>
    <n v="0"/>
    <n v="0"/>
    <n v="0"/>
    <n v="0"/>
    <n v="0"/>
    <n v="0"/>
    <n v="0"/>
    <n v="0"/>
    <n v="0"/>
    <n v="0"/>
    <n v="0"/>
    <n v="0"/>
    <n v="0"/>
    <n v="0"/>
    <n v="0"/>
  </r>
  <r>
    <x v="41"/>
    <n v="0"/>
    <n v="0"/>
    <n v="0"/>
    <n v="0"/>
    <n v="0"/>
    <n v="0"/>
    <n v="0"/>
    <n v="0"/>
    <n v="0"/>
    <n v="0"/>
    <n v="0"/>
    <n v="0"/>
    <n v="0"/>
    <n v="0"/>
    <n v="0"/>
    <n v="0"/>
    <n v="0"/>
    <n v="0"/>
    <n v="0"/>
  </r>
  <r>
    <x v="42"/>
    <n v="0"/>
    <n v="0"/>
    <n v="0"/>
    <n v="0"/>
    <n v="0"/>
    <n v="0"/>
    <n v="0"/>
    <n v="0"/>
    <n v="0"/>
    <n v="0"/>
    <n v="0"/>
    <n v="0"/>
    <n v="0"/>
    <n v="0"/>
    <n v="0"/>
    <n v="0"/>
    <n v="0"/>
    <n v="0"/>
    <n v="0"/>
  </r>
  <r>
    <x v="43"/>
    <n v="0"/>
    <n v="0"/>
    <n v="0"/>
    <n v="0"/>
    <n v="0"/>
    <n v="0"/>
    <n v="0"/>
    <n v="0"/>
    <n v="0"/>
    <n v="0"/>
    <n v="0"/>
    <n v="0"/>
    <n v="0"/>
    <n v="0"/>
    <n v="0"/>
    <n v="0"/>
    <n v="0"/>
    <n v="0"/>
    <n v="0"/>
  </r>
  <r>
    <x v="44"/>
    <n v="0"/>
    <n v="0"/>
    <n v="0"/>
    <n v="0"/>
    <n v="0"/>
    <n v="0"/>
    <n v="0"/>
    <n v="0"/>
    <n v="0"/>
    <n v="0"/>
    <n v="0"/>
    <n v="0"/>
    <n v="0"/>
    <n v="0"/>
    <n v="0"/>
    <n v="0"/>
    <n v="0"/>
    <n v="0"/>
    <n v="0"/>
  </r>
  <r>
    <x v="45"/>
    <n v="0"/>
    <n v="0"/>
    <n v="0"/>
    <n v="0"/>
    <n v="0"/>
    <n v="0"/>
    <n v="0"/>
    <n v="0"/>
    <n v="0"/>
    <n v="0"/>
    <n v="0"/>
    <n v="0"/>
    <n v="0"/>
    <n v="0"/>
    <n v="0"/>
    <n v="0"/>
    <n v="0"/>
    <n v="0"/>
    <n v="0"/>
  </r>
  <r>
    <x v="46"/>
    <n v="0"/>
    <n v="0"/>
    <n v="0"/>
    <n v="0"/>
    <n v="0"/>
    <n v="0"/>
    <n v="0"/>
    <n v="0"/>
    <n v="0"/>
    <n v="0"/>
    <n v="0"/>
    <n v="0"/>
    <n v="0"/>
    <n v="0"/>
    <n v="0"/>
    <n v="0"/>
    <n v="0"/>
    <n v="0"/>
    <n v="0"/>
  </r>
  <r>
    <x v="47"/>
    <n v="0"/>
    <n v="0"/>
    <n v="0"/>
    <n v="0"/>
    <n v="0"/>
    <n v="0"/>
    <n v="0"/>
    <n v="0"/>
    <n v="0"/>
    <n v="0"/>
    <n v="0"/>
    <n v="0"/>
    <n v="0"/>
    <n v="0"/>
    <n v="0"/>
    <n v="0"/>
    <n v="0"/>
    <n v="0"/>
    <n v="0"/>
  </r>
  <r>
    <x v="48"/>
    <n v="0"/>
    <n v="0"/>
    <n v="0"/>
    <n v="0"/>
    <n v="0"/>
    <n v="0"/>
    <n v="0"/>
    <n v="0"/>
    <n v="0"/>
    <n v="0"/>
    <n v="0"/>
    <n v="0"/>
    <n v="0"/>
    <n v="0"/>
    <n v="0"/>
    <n v="0"/>
    <n v="0"/>
    <n v="0"/>
    <n v="0"/>
  </r>
  <r>
    <x v="49"/>
    <n v="0"/>
    <n v="0"/>
    <n v="0"/>
    <n v="0"/>
    <n v="0"/>
    <n v="0"/>
    <n v="0"/>
    <n v="0"/>
    <n v="0"/>
    <n v="0"/>
    <n v="0"/>
    <n v="0"/>
    <n v="0"/>
    <n v="0"/>
    <n v="0"/>
    <n v="0"/>
    <n v="0"/>
    <n v="0"/>
    <n v="0"/>
  </r>
  <r>
    <x v="50"/>
    <n v="0"/>
    <n v="0"/>
    <n v="0"/>
    <n v="0"/>
    <n v="0"/>
    <n v="0"/>
    <n v="0"/>
    <n v="0"/>
    <n v="0"/>
    <n v="0"/>
    <n v="0"/>
    <n v="0"/>
    <n v="0"/>
    <n v="0"/>
    <n v="0"/>
    <n v="0"/>
    <n v="0"/>
    <n v="0"/>
    <n v="0"/>
  </r>
  <r>
    <x v="51"/>
    <n v="0"/>
    <n v="0"/>
    <n v="0"/>
    <n v="0"/>
    <n v="0"/>
    <n v="0"/>
    <n v="0"/>
    <n v="0"/>
    <n v="0"/>
    <n v="0"/>
    <n v="0"/>
    <n v="0"/>
    <n v="0"/>
    <n v="0"/>
    <n v="0"/>
    <n v="0"/>
    <n v="0"/>
    <n v="0"/>
    <n v="0"/>
  </r>
  <r>
    <x v="52"/>
    <n v="0"/>
    <n v="0"/>
    <n v="0"/>
    <n v="0"/>
    <n v="0"/>
    <n v="0"/>
    <n v="0"/>
    <n v="0"/>
    <n v="0"/>
    <n v="0"/>
    <n v="0"/>
    <n v="0"/>
    <n v="0"/>
    <n v="0"/>
    <n v="0"/>
    <n v="0"/>
    <n v="0"/>
    <n v="0"/>
    <n v="0"/>
  </r>
  <r>
    <x v="53"/>
    <n v="0"/>
    <n v="0"/>
    <n v="0"/>
    <n v="0"/>
    <n v="0"/>
    <n v="0"/>
    <n v="0"/>
    <n v="0"/>
    <n v="0"/>
    <n v="0"/>
    <n v="0"/>
    <n v="0"/>
    <n v="0"/>
    <n v="0"/>
    <n v="0"/>
    <n v="0"/>
    <n v="0"/>
    <n v="0"/>
    <n v="0"/>
  </r>
  <r>
    <x v="54"/>
    <n v="0"/>
    <n v="0"/>
    <n v="0"/>
    <n v="0"/>
    <n v="0"/>
    <n v="0"/>
    <n v="0"/>
    <n v="0"/>
    <n v="0"/>
    <n v="0"/>
    <n v="0"/>
    <n v="0"/>
    <n v="0"/>
    <n v="0"/>
    <n v="0"/>
    <n v="0"/>
    <n v="0"/>
    <n v="0"/>
    <n v="0"/>
  </r>
  <r>
    <x v="55"/>
    <n v="0"/>
    <n v="0"/>
    <n v="0"/>
    <n v="0"/>
    <n v="0"/>
    <n v="0"/>
    <n v="0"/>
    <n v="0"/>
    <n v="0"/>
    <n v="0"/>
    <n v="0"/>
    <n v="0"/>
    <n v="0"/>
    <n v="0"/>
    <n v="0"/>
    <n v="0"/>
    <n v="0"/>
    <n v="0"/>
    <n v="0"/>
  </r>
  <r>
    <x v="56"/>
    <n v="0"/>
    <n v="0"/>
    <n v="0"/>
    <n v="0"/>
    <n v="0"/>
    <n v="0"/>
    <n v="0"/>
    <n v="0"/>
    <n v="0"/>
    <n v="0"/>
    <n v="0"/>
    <n v="0"/>
    <n v="0"/>
    <n v="0"/>
    <n v="0"/>
    <n v="0"/>
    <n v="0"/>
    <n v="0"/>
    <n v="0"/>
  </r>
  <r>
    <x v="57"/>
    <n v="0"/>
    <n v="0"/>
    <n v="0"/>
    <n v="0"/>
    <n v="0"/>
    <n v="0"/>
    <n v="0"/>
    <n v="0"/>
    <n v="0"/>
    <n v="0"/>
    <n v="0"/>
    <n v="0"/>
    <n v="0"/>
    <n v="0"/>
    <n v="0"/>
    <n v="0"/>
    <n v="0"/>
    <n v="0"/>
    <n v="0"/>
  </r>
  <r>
    <x v="58"/>
    <n v="0"/>
    <n v="0"/>
    <n v="0"/>
    <n v="0"/>
    <n v="0"/>
    <n v="0"/>
    <n v="0"/>
    <n v="0"/>
    <n v="0"/>
    <n v="0"/>
    <n v="0"/>
    <n v="0"/>
    <n v="0"/>
    <n v="0"/>
    <n v="0"/>
    <n v="0"/>
    <n v="0"/>
    <n v="0"/>
    <n v="0"/>
  </r>
  <r>
    <x v="59"/>
    <n v="0"/>
    <n v="0"/>
    <n v="0"/>
    <n v="0"/>
    <n v="0"/>
    <n v="0"/>
    <n v="0"/>
    <n v="0"/>
    <n v="0"/>
    <n v="0"/>
    <n v="0"/>
    <n v="0"/>
    <n v="0"/>
    <n v="0"/>
    <n v="0"/>
    <n v="0"/>
    <n v="0"/>
    <n v="0"/>
    <n v="0"/>
  </r>
  <r>
    <x v="60"/>
    <n v="0"/>
    <n v="0"/>
    <n v="0"/>
    <n v="0"/>
    <n v="0"/>
    <n v="0"/>
    <n v="0"/>
    <n v="0"/>
    <n v="0"/>
    <n v="0"/>
    <n v="0"/>
    <n v="0"/>
    <n v="0"/>
    <n v="0"/>
    <n v="0"/>
    <n v="0"/>
    <n v="0"/>
    <n v="0"/>
    <n v="0"/>
  </r>
  <r>
    <x v="61"/>
    <n v="0"/>
    <n v="0"/>
    <n v="0"/>
    <n v="0"/>
    <n v="0"/>
    <n v="0"/>
    <n v="0"/>
    <n v="0"/>
    <n v="0"/>
    <n v="0"/>
    <n v="0"/>
    <n v="0"/>
    <n v="0"/>
    <n v="0"/>
    <n v="0"/>
    <n v="0"/>
    <n v="0"/>
    <n v="0"/>
    <n v="0"/>
  </r>
  <r>
    <x v="62"/>
    <n v="0"/>
    <n v="0"/>
    <n v="0"/>
    <n v="0"/>
    <n v="0"/>
    <n v="0"/>
    <n v="0"/>
    <n v="0"/>
    <n v="0"/>
    <n v="0"/>
    <n v="0"/>
    <n v="0"/>
    <n v="0"/>
    <n v="0"/>
    <n v="0"/>
    <n v="0"/>
    <n v="0"/>
    <n v="0"/>
    <n v="0"/>
  </r>
  <r>
    <x v="63"/>
    <n v="0"/>
    <n v="0"/>
    <n v="0"/>
    <n v="0"/>
    <n v="0"/>
    <n v="0"/>
    <n v="0"/>
    <n v="0"/>
    <n v="0"/>
    <n v="0"/>
    <n v="0"/>
    <n v="0"/>
    <n v="0"/>
    <n v="0"/>
    <n v="0"/>
    <n v="0"/>
    <n v="0"/>
    <n v="0"/>
    <n v="0"/>
  </r>
  <r>
    <x v="64"/>
    <n v="0"/>
    <n v="0"/>
    <n v="0"/>
    <n v="0"/>
    <n v="0"/>
    <n v="0"/>
    <n v="0"/>
    <n v="0"/>
    <n v="0"/>
    <n v="0"/>
    <n v="0"/>
    <n v="0"/>
    <n v="0"/>
    <n v="0"/>
    <n v="0"/>
    <n v="0"/>
    <n v="0"/>
    <n v="0"/>
    <n v="0"/>
  </r>
  <r>
    <x v="65"/>
    <n v="0"/>
    <n v="0"/>
    <n v="0"/>
    <n v="0"/>
    <n v="0"/>
    <n v="0"/>
    <n v="0"/>
    <n v="0"/>
    <n v="0"/>
    <n v="0"/>
    <n v="0"/>
    <n v="0"/>
    <n v="0"/>
    <n v="0"/>
    <n v="0"/>
    <n v="0"/>
    <n v="0"/>
    <n v="0"/>
    <n v="0"/>
  </r>
  <r>
    <x v="66"/>
    <n v="0"/>
    <n v="0"/>
    <n v="0"/>
    <n v="0"/>
    <n v="0"/>
    <n v="0"/>
    <n v="0"/>
    <n v="0"/>
    <n v="0"/>
    <n v="0"/>
    <n v="0"/>
    <n v="0"/>
    <n v="0"/>
    <n v="0"/>
    <n v="0"/>
    <n v="0"/>
    <n v="0"/>
    <n v="0"/>
    <n v="0"/>
  </r>
  <r>
    <x v="67"/>
    <n v="0"/>
    <n v="0"/>
    <n v="0"/>
    <n v="0"/>
    <n v="0"/>
    <n v="0"/>
    <n v="0"/>
    <n v="0"/>
    <n v="0"/>
    <n v="0"/>
    <n v="0"/>
    <n v="0"/>
    <n v="0"/>
    <n v="0"/>
    <n v="0"/>
    <n v="0"/>
    <n v="0"/>
    <n v="0"/>
    <n v="0"/>
  </r>
  <r>
    <x v="68"/>
    <n v="0"/>
    <n v="0"/>
    <n v="0"/>
    <n v="0"/>
    <n v="0"/>
    <n v="0"/>
    <n v="0"/>
    <n v="0"/>
    <n v="0"/>
    <n v="0"/>
    <n v="0"/>
    <n v="0"/>
    <n v="0"/>
    <n v="0"/>
    <n v="0"/>
    <n v="0"/>
    <n v="0"/>
    <n v="0"/>
    <n v="0"/>
  </r>
  <r>
    <x v="69"/>
    <n v="0"/>
    <n v="0"/>
    <n v="0"/>
    <n v="0"/>
    <n v="0"/>
    <n v="0"/>
    <n v="0"/>
    <n v="0"/>
    <n v="0"/>
    <n v="0"/>
    <n v="0"/>
    <n v="0"/>
    <n v="0"/>
    <n v="0"/>
    <n v="0"/>
    <n v="0"/>
    <n v="0"/>
    <n v="0"/>
    <n v="0"/>
  </r>
  <r>
    <x v="70"/>
    <n v="0"/>
    <n v="0"/>
    <n v="0"/>
    <n v="0"/>
    <n v="0"/>
    <n v="0"/>
    <n v="0"/>
    <n v="0"/>
    <n v="0"/>
    <n v="0"/>
    <n v="0"/>
    <n v="0"/>
    <n v="0"/>
    <n v="0"/>
    <n v="0"/>
    <n v="0"/>
    <n v="0"/>
    <n v="0"/>
    <n v="0"/>
  </r>
  <r>
    <x v="71"/>
    <n v="0"/>
    <n v="0"/>
    <n v="0"/>
    <n v="0"/>
    <n v="0"/>
    <n v="0"/>
    <n v="0"/>
    <n v="0"/>
    <n v="0"/>
    <n v="0"/>
    <n v="0"/>
    <n v="0"/>
    <n v="0"/>
    <n v="0"/>
    <n v="0"/>
    <n v="0"/>
    <n v="0"/>
    <n v="0"/>
    <n v="0"/>
  </r>
  <r>
    <x v="72"/>
    <n v="0"/>
    <n v="0"/>
    <n v="0"/>
    <n v="0"/>
    <n v="0"/>
    <n v="0"/>
    <n v="0"/>
    <n v="0"/>
    <n v="0"/>
    <n v="0"/>
    <n v="0"/>
    <n v="0"/>
    <n v="0"/>
    <n v="0"/>
    <n v="0"/>
    <n v="0"/>
    <n v="0"/>
    <n v="0"/>
    <n v="0"/>
  </r>
  <r>
    <x v="73"/>
    <n v="0"/>
    <n v="0"/>
    <n v="0"/>
    <n v="0"/>
    <n v="0"/>
    <n v="0"/>
    <n v="0"/>
    <n v="0"/>
    <n v="0"/>
    <n v="0"/>
    <n v="0"/>
    <n v="0"/>
    <n v="0"/>
    <n v="0"/>
    <n v="0"/>
    <n v="0"/>
    <n v="0"/>
    <n v="0"/>
    <n v="0"/>
  </r>
  <r>
    <x v="74"/>
    <n v="0"/>
    <n v="0"/>
    <n v="0"/>
    <n v="0"/>
    <n v="0"/>
    <n v="0"/>
    <n v="0"/>
    <n v="0"/>
    <n v="0"/>
    <n v="0"/>
    <n v="0"/>
    <n v="0"/>
    <n v="0"/>
    <n v="0"/>
    <n v="0"/>
    <n v="0"/>
    <n v="0"/>
    <n v="0"/>
    <n v="0"/>
  </r>
  <r>
    <x v="75"/>
    <n v="0"/>
    <n v="0"/>
    <n v="0"/>
    <n v="0"/>
    <n v="0"/>
    <n v="0"/>
    <n v="0"/>
    <n v="0"/>
    <n v="0"/>
    <n v="0"/>
    <n v="0"/>
    <n v="0"/>
    <n v="0"/>
    <n v="0"/>
    <n v="0"/>
    <n v="0"/>
    <n v="0"/>
    <n v="0"/>
    <n v="0"/>
  </r>
  <r>
    <x v="76"/>
    <n v="0"/>
    <n v="0"/>
    <n v="0"/>
    <n v="0"/>
    <n v="0"/>
    <n v="0"/>
    <n v="0"/>
    <n v="0"/>
    <n v="0"/>
    <n v="0"/>
    <n v="0"/>
    <n v="0"/>
    <n v="0"/>
    <n v="0"/>
    <n v="0"/>
    <n v="0"/>
    <n v="0"/>
    <n v="0"/>
    <n v="0"/>
  </r>
  <r>
    <x v="77"/>
    <n v="0"/>
    <n v="0"/>
    <n v="0"/>
    <n v="0"/>
    <n v="0"/>
    <n v="0"/>
    <n v="0"/>
    <n v="0"/>
    <n v="0"/>
    <n v="0"/>
    <n v="0"/>
    <n v="0"/>
    <n v="0"/>
    <n v="0"/>
    <n v="0"/>
    <n v="0"/>
    <n v="0"/>
    <n v="0"/>
    <n v="0"/>
  </r>
  <r>
    <x v="78"/>
    <n v="0"/>
    <n v="0"/>
    <n v="0"/>
    <n v="0"/>
    <n v="0"/>
    <n v="0"/>
    <n v="0"/>
    <n v="0"/>
    <n v="0"/>
    <n v="0"/>
    <n v="0"/>
    <n v="0"/>
    <n v="0"/>
    <n v="0"/>
    <n v="0"/>
    <n v="0"/>
    <n v="0"/>
    <n v="0"/>
    <n v="0"/>
  </r>
  <r>
    <x v="79"/>
    <n v="0"/>
    <n v="0"/>
    <n v="0"/>
    <n v="0"/>
    <n v="0"/>
    <n v="0"/>
    <n v="0"/>
    <n v="0"/>
    <n v="0"/>
    <n v="0"/>
    <n v="0"/>
    <n v="0"/>
    <n v="0"/>
    <n v="0"/>
    <n v="0"/>
    <n v="0"/>
    <n v="0"/>
    <n v="0"/>
    <n v="0"/>
  </r>
  <r>
    <x v="80"/>
    <n v="0"/>
    <n v="0"/>
    <n v="0"/>
    <n v="0"/>
    <n v="0"/>
    <n v="0"/>
    <n v="0"/>
    <n v="0"/>
    <n v="0"/>
    <n v="0"/>
    <n v="0"/>
    <n v="0"/>
    <n v="0"/>
    <n v="0"/>
    <n v="0"/>
    <n v="0"/>
    <n v="0"/>
    <n v="0"/>
    <n v="0"/>
  </r>
  <r>
    <x v="81"/>
    <n v="0"/>
    <n v="0"/>
    <n v="0"/>
    <n v="0"/>
    <n v="0"/>
    <n v="0"/>
    <n v="0"/>
    <n v="0"/>
    <n v="0"/>
    <n v="0"/>
    <n v="0"/>
    <n v="0"/>
    <n v="0"/>
    <n v="0"/>
    <n v="0"/>
    <n v="0"/>
    <n v="0"/>
    <n v="0"/>
    <n v="0"/>
  </r>
  <r>
    <x v="82"/>
    <n v="0"/>
    <n v="0"/>
    <n v="0"/>
    <n v="0"/>
    <n v="0"/>
    <n v="0"/>
    <n v="0"/>
    <n v="0"/>
    <n v="0"/>
    <n v="0"/>
    <n v="0"/>
    <n v="0"/>
    <n v="0"/>
    <n v="0"/>
    <n v="0"/>
    <n v="0"/>
    <n v="0"/>
    <n v="0"/>
    <n v="0"/>
  </r>
  <r>
    <x v="83"/>
    <n v="0"/>
    <n v="0"/>
    <n v="0"/>
    <n v="0"/>
    <n v="0"/>
    <n v="0"/>
    <n v="0"/>
    <n v="0"/>
    <n v="0"/>
    <n v="0"/>
    <n v="0"/>
    <n v="0"/>
    <n v="0"/>
    <n v="0"/>
    <n v="0"/>
    <n v="0"/>
    <n v="0"/>
    <n v="0"/>
    <n v="0"/>
  </r>
  <r>
    <x v="84"/>
    <n v="0"/>
    <n v="0"/>
    <n v="0"/>
    <n v="0"/>
    <n v="0"/>
    <n v="0"/>
    <n v="0"/>
    <n v="0"/>
    <n v="0"/>
    <n v="0"/>
    <n v="0"/>
    <n v="0"/>
    <n v="0"/>
    <n v="0"/>
    <n v="0"/>
    <n v="0"/>
    <n v="0"/>
    <n v="0"/>
    <n v="0"/>
  </r>
  <r>
    <x v="85"/>
    <n v="0"/>
    <n v="0"/>
    <n v="0"/>
    <n v="0"/>
    <n v="0"/>
    <n v="0"/>
    <n v="0"/>
    <n v="0"/>
    <n v="0"/>
    <n v="0"/>
    <n v="0"/>
    <n v="0"/>
    <n v="0"/>
    <n v="0"/>
    <n v="0"/>
    <n v="0"/>
    <n v="0"/>
    <n v="0"/>
    <n v="0"/>
  </r>
  <r>
    <x v="86"/>
    <n v="0"/>
    <n v="0"/>
    <n v="0"/>
    <n v="0"/>
    <n v="0"/>
    <n v="0"/>
    <n v="0"/>
    <n v="0"/>
    <n v="0"/>
    <n v="0"/>
    <n v="0"/>
    <n v="0"/>
    <n v="0"/>
    <n v="0"/>
    <n v="0"/>
    <n v="0"/>
    <n v="0"/>
    <n v="0"/>
    <n v="0"/>
  </r>
  <r>
    <x v="87"/>
    <n v="0"/>
    <n v="0"/>
    <n v="0"/>
    <n v="0"/>
    <n v="0"/>
    <n v="0"/>
    <n v="0"/>
    <n v="0"/>
    <n v="0"/>
    <n v="0"/>
    <n v="0"/>
    <n v="0"/>
    <n v="0"/>
    <n v="0"/>
    <n v="0"/>
    <n v="0"/>
    <n v="0"/>
    <n v="0"/>
    <n v="0"/>
  </r>
  <r>
    <x v="88"/>
    <n v="0"/>
    <n v="0"/>
    <n v="0"/>
    <n v="0"/>
    <n v="0"/>
    <n v="0"/>
    <n v="0"/>
    <n v="0"/>
    <n v="0"/>
    <n v="0"/>
    <n v="0"/>
    <n v="0"/>
    <n v="0"/>
    <n v="0"/>
    <n v="0"/>
    <n v="0"/>
    <n v="0"/>
    <n v="0"/>
    <n v="0"/>
  </r>
  <r>
    <x v="89"/>
    <n v="0"/>
    <n v="0"/>
    <n v="0"/>
    <n v="0"/>
    <n v="0"/>
    <n v="0"/>
    <n v="0"/>
    <n v="0"/>
    <n v="0"/>
    <n v="0"/>
    <n v="0"/>
    <n v="0"/>
    <n v="0"/>
    <n v="0"/>
    <n v="0"/>
    <n v="0"/>
    <n v="0"/>
    <n v="0"/>
    <n v="0"/>
  </r>
  <r>
    <x v="90"/>
    <n v="0"/>
    <n v="0"/>
    <n v="0"/>
    <n v="0"/>
    <n v="0"/>
    <n v="0"/>
    <n v="0"/>
    <n v="0"/>
    <n v="0"/>
    <n v="0"/>
    <n v="0"/>
    <n v="0"/>
    <n v="0"/>
    <n v="0"/>
    <n v="0"/>
    <n v="0"/>
    <n v="0"/>
    <n v="0"/>
    <n v="0"/>
  </r>
  <r>
    <x v="91"/>
    <n v="0"/>
    <n v="0"/>
    <n v="0"/>
    <n v="0"/>
    <n v="0"/>
    <n v="0"/>
    <n v="0"/>
    <n v="0"/>
    <n v="0"/>
    <n v="0"/>
    <n v="0"/>
    <n v="0"/>
    <n v="0"/>
    <n v="0"/>
    <n v="0"/>
    <n v="0"/>
    <n v="0"/>
    <n v="0"/>
    <n v="0"/>
  </r>
  <r>
    <x v="92"/>
    <n v="0"/>
    <n v="0"/>
    <n v="0"/>
    <n v="0"/>
    <n v="0"/>
    <n v="0"/>
    <n v="0"/>
    <n v="0"/>
    <n v="0"/>
    <n v="0"/>
    <n v="0"/>
    <n v="0"/>
    <n v="0"/>
    <n v="0"/>
    <n v="0"/>
    <n v="0"/>
    <n v="0"/>
    <n v="0"/>
    <n v="0"/>
  </r>
  <r>
    <x v="93"/>
    <n v="0"/>
    <n v="0"/>
    <n v="0"/>
    <n v="0"/>
    <n v="0"/>
    <n v="0"/>
    <n v="0"/>
    <n v="0"/>
    <n v="0"/>
    <n v="0"/>
    <n v="0"/>
    <n v="0"/>
    <n v="0"/>
    <n v="0"/>
    <n v="0"/>
    <n v="0"/>
    <n v="0"/>
    <n v="0"/>
    <n v="0"/>
  </r>
  <r>
    <x v="94"/>
    <n v="0"/>
    <n v="0"/>
    <n v="0"/>
    <n v="0"/>
    <n v="0"/>
    <n v="0"/>
    <n v="0"/>
    <n v="0"/>
    <n v="0"/>
    <n v="0"/>
    <n v="0"/>
    <n v="0"/>
    <n v="0"/>
    <n v="0"/>
    <n v="0"/>
    <n v="0"/>
    <n v="0"/>
    <n v="0"/>
    <n v="0"/>
  </r>
  <r>
    <x v="95"/>
    <n v="0"/>
    <n v="0"/>
    <n v="0"/>
    <n v="0"/>
    <n v="0"/>
    <n v="0"/>
    <n v="0"/>
    <n v="0"/>
    <n v="0"/>
    <n v="0"/>
    <n v="0"/>
    <n v="0"/>
    <n v="0"/>
    <n v="0"/>
    <n v="0"/>
    <n v="0"/>
    <n v="0"/>
    <n v="0"/>
    <n v="0"/>
  </r>
  <r>
    <x v="96"/>
    <n v="0"/>
    <n v="0"/>
    <n v="0"/>
    <n v="0"/>
    <n v="0"/>
    <n v="0"/>
    <n v="0"/>
    <n v="0"/>
    <n v="0"/>
    <n v="0"/>
    <n v="0"/>
    <n v="0"/>
    <n v="0"/>
    <n v="0"/>
    <n v="0"/>
    <n v="0"/>
    <n v="0"/>
    <n v="0"/>
    <n v="0"/>
  </r>
  <r>
    <x v="97"/>
    <n v="0"/>
    <n v="0"/>
    <n v="0"/>
    <n v="0"/>
    <n v="0"/>
    <n v="0"/>
    <n v="0"/>
    <n v="0"/>
    <n v="0"/>
    <n v="0"/>
    <n v="0"/>
    <n v="0"/>
    <n v="0"/>
    <n v="0"/>
    <n v="0"/>
    <n v="0"/>
    <n v="0"/>
    <n v="0"/>
    <n v="0"/>
  </r>
  <r>
    <x v="98"/>
    <n v="0"/>
    <n v="0"/>
    <n v="0"/>
    <n v="0"/>
    <n v="0"/>
    <n v="0"/>
    <n v="0"/>
    <n v="0"/>
    <n v="0"/>
    <n v="0"/>
    <n v="0"/>
    <n v="0"/>
    <n v="0"/>
    <n v="0"/>
    <n v="0"/>
    <n v="0"/>
    <n v="0"/>
    <n v="0"/>
    <n v="0"/>
  </r>
  <r>
    <x v="99"/>
    <n v="0"/>
    <n v="0"/>
    <n v="0"/>
    <n v="0"/>
    <n v="0"/>
    <n v="0"/>
    <n v="0"/>
    <n v="0"/>
    <n v="0"/>
    <n v="0"/>
    <n v="0"/>
    <n v="0"/>
    <n v="0"/>
    <n v="0"/>
    <n v="0"/>
    <n v="0"/>
    <n v="0"/>
    <n v="0"/>
    <n v="0"/>
  </r>
  <r>
    <x v="100"/>
    <n v="0"/>
    <n v="0"/>
    <n v="0"/>
    <n v="0"/>
    <n v="0"/>
    <n v="0"/>
    <n v="0"/>
    <n v="0"/>
    <n v="0"/>
    <n v="0"/>
    <n v="0"/>
    <n v="0"/>
    <n v="0"/>
    <n v="0"/>
    <n v="0"/>
    <n v="0"/>
    <n v="0"/>
    <n v="0"/>
    <n v="0"/>
  </r>
  <r>
    <x v="101"/>
    <n v="0"/>
    <n v="0"/>
    <n v="0"/>
    <n v="0"/>
    <n v="0"/>
    <n v="0"/>
    <n v="0"/>
    <n v="0"/>
    <n v="0"/>
    <n v="0"/>
    <n v="0"/>
    <n v="0"/>
    <n v="0"/>
    <n v="0"/>
    <n v="0"/>
    <n v="0"/>
    <n v="0"/>
    <n v="0"/>
    <n v="0"/>
  </r>
  <r>
    <x v="102"/>
    <n v="0"/>
    <n v="0"/>
    <n v="0"/>
    <n v="0"/>
    <n v="0"/>
    <n v="0"/>
    <n v="0"/>
    <n v="0"/>
    <n v="0"/>
    <n v="0"/>
    <n v="0"/>
    <n v="0"/>
    <n v="0"/>
    <n v="0"/>
    <n v="0"/>
    <n v="0"/>
    <n v="0"/>
    <n v="0"/>
    <n v="0"/>
  </r>
  <r>
    <x v="103"/>
    <n v="0"/>
    <n v="0"/>
    <n v="0"/>
    <n v="0"/>
    <n v="0"/>
    <n v="0"/>
    <n v="0"/>
    <n v="0"/>
    <n v="0"/>
    <n v="0"/>
    <n v="0"/>
    <n v="0"/>
    <n v="0"/>
    <n v="0"/>
    <n v="0"/>
    <n v="0"/>
    <n v="0"/>
    <n v="0"/>
    <n v="0"/>
  </r>
  <r>
    <x v="104"/>
    <n v="0"/>
    <n v="0"/>
    <n v="0"/>
    <n v="0"/>
    <n v="0"/>
    <n v="0"/>
    <n v="0"/>
    <n v="0"/>
    <n v="0"/>
    <n v="0"/>
    <n v="0"/>
    <n v="0"/>
    <n v="0"/>
    <n v="0"/>
    <n v="0"/>
    <n v="0"/>
    <n v="0"/>
    <n v="0"/>
    <n v="0"/>
  </r>
  <r>
    <x v="105"/>
    <n v="0"/>
    <n v="0"/>
    <n v="0"/>
    <n v="0"/>
    <n v="0"/>
    <n v="0"/>
    <n v="0"/>
    <n v="0"/>
    <n v="0"/>
    <n v="0"/>
    <n v="0"/>
    <n v="0"/>
    <n v="0"/>
    <n v="0"/>
    <n v="0"/>
    <n v="0"/>
    <n v="0"/>
    <n v="0"/>
    <n v="0"/>
  </r>
  <r>
    <x v="106"/>
    <n v="0"/>
    <n v="0"/>
    <n v="0"/>
    <n v="0"/>
    <n v="0"/>
    <n v="0"/>
    <n v="0"/>
    <n v="0"/>
    <n v="0"/>
    <n v="0"/>
    <n v="0"/>
    <n v="0"/>
    <n v="0"/>
    <n v="0"/>
    <n v="0"/>
    <n v="0"/>
    <n v="0"/>
    <n v="0"/>
    <n v="0"/>
  </r>
  <r>
    <x v="107"/>
    <n v="0"/>
    <n v="0"/>
    <n v="0"/>
    <n v="0"/>
    <n v="0"/>
    <n v="0"/>
    <n v="0"/>
    <n v="0"/>
    <n v="0"/>
    <n v="0"/>
    <n v="0"/>
    <n v="0"/>
    <n v="0"/>
    <n v="0"/>
    <n v="0"/>
    <n v="0"/>
    <n v="0"/>
    <n v="0"/>
    <n v="0"/>
  </r>
  <r>
    <x v="108"/>
    <n v="0"/>
    <n v="0"/>
    <n v="0"/>
    <n v="0"/>
    <n v="0"/>
    <n v="0"/>
    <n v="0"/>
    <n v="0"/>
    <n v="0"/>
    <n v="0"/>
    <n v="0"/>
    <n v="0"/>
    <n v="0"/>
    <n v="0"/>
    <n v="0"/>
    <n v="0"/>
    <n v="0"/>
    <n v="0"/>
    <n v="0"/>
  </r>
  <r>
    <x v="109"/>
    <n v="0"/>
    <n v="0"/>
    <n v="0"/>
    <n v="0"/>
    <n v="0"/>
    <n v="0"/>
    <n v="0"/>
    <n v="0"/>
    <n v="0"/>
    <n v="0"/>
    <n v="0"/>
    <n v="0"/>
    <n v="0"/>
    <n v="0"/>
    <n v="0"/>
    <n v="0"/>
    <n v="0"/>
    <n v="0"/>
    <n v="0"/>
  </r>
  <r>
    <x v="110"/>
    <n v="0"/>
    <n v="0"/>
    <n v="0"/>
    <n v="0"/>
    <n v="0"/>
    <n v="0"/>
    <n v="0"/>
    <n v="0"/>
    <n v="0"/>
    <n v="0"/>
    <n v="0"/>
    <n v="0"/>
    <n v="0"/>
    <n v="0"/>
    <n v="0"/>
    <n v="0"/>
    <n v="0"/>
    <n v="0"/>
    <n v="0"/>
  </r>
  <r>
    <x v="111"/>
    <n v="0"/>
    <n v="0"/>
    <n v="0"/>
    <n v="0"/>
    <n v="0"/>
    <n v="0"/>
    <n v="0"/>
    <n v="0"/>
    <n v="0"/>
    <n v="0"/>
    <n v="0"/>
    <n v="0"/>
    <n v="0"/>
    <n v="0"/>
    <n v="0"/>
    <n v="0"/>
    <n v="0"/>
    <n v="0"/>
    <n v="0"/>
  </r>
  <r>
    <x v="112"/>
    <n v="0"/>
    <n v="0"/>
    <n v="0"/>
    <n v="0"/>
    <n v="0"/>
    <n v="0"/>
    <n v="0"/>
    <n v="0"/>
    <n v="0"/>
    <n v="0"/>
    <n v="0"/>
    <n v="0"/>
    <n v="0"/>
    <n v="0"/>
    <n v="0"/>
    <n v="0"/>
    <n v="0"/>
    <n v="0"/>
    <n v="0"/>
  </r>
  <r>
    <x v="113"/>
    <n v="0"/>
    <n v="0"/>
    <n v="0"/>
    <n v="0"/>
    <n v="0"/>
    <n v="0"/>
    <n v="0"/>
    <n v="0"/>
    <n v="0"/>
    <n v="0"/>
    <n v="0"/>
    <n v="0"/>
    <n v="0"/>
    <n v="0"/>
    <n v="0"/>
    <n v="0"/>
    <n v="0"/>
    <n v="0"/>
    <n v="0"/>
  </r>
  <r>
    <x v="114"/>
    <n v="0"/>
    <n v="0"/>
    <n v="0"/>
    <n v="0"/>
    <n v="0"/>
    <n v="0"/>
    <n v="0"/>
    <n v="0"/>
    <n v="0"/>
    <n v="0"/>
    <n v="0"/>
    <n v="0"/>
    <n v="0"/>
    <n v="0"/>
    <n v="0"/>
    <n v="0"/>
    <n v="0"/>
    <n v="0"/>
    <n v="0"/>
  </r>
  <r>
    <x v="115"/>
    <n v="0"/>
    <n v="0"/>
    <n v="0"/>
    <n v="0"/>
    <n v="0"/>
    <n v="0"/>
    <n v="0"/>
    <n v="0"/>
    <n v="0"/>
    <n v="0"/>
    <n v="0"/>
    <n v="0"/>
    <n v="0"/>
    <n v="0"/>
    <n v="0"/>
    <n v="0"/>
    <n v="0"/>
    <n v="0"/>
    <n v="0"/>
  </r>
  <r>
    <x v="116"/>
    <n v="0"/>
    <n v="0"/>
    <n v="0"/>
    <n v="0"/>
    <n v="0"/>
    <n v="0"/>
    <n v="0"/>
    <n v="0"/>
    <n v="0"/>
    <n v="0"/>
    <n v="0"/>
    <n v="0"/>
    <n v="0"/>
    <n v="0"/>
    <n v="0"/>
    <n v="0"/>
    <n v="0"/>
    <n v="0"/>
    <n v="0"/>
  </r>
  <r>
    <x v="117"/>
    <n v="0"/>
    <n v="0"/>
    <n v="0"/>
    <n v="0"/>
    <n v="0"/>
    <n v="0"/>
    <n v="0"/>
    <n v="0"/>
    <n v="0"/>
    <n v="0"/>
    <n v="0"/>
    <n v="0"/>
    <n v="0"/>
    <n v="0"/>
    <n v="0"/>
    <n v="0"/>
    <n v="0"/>
    <n v="0"/>
    <n v="0"/>
  </r>
  <r>
    <x v="118"/>
    <n v="0"/>
    <n v="0"/>
    <n v="0"/>
    <n v="0"/>
    <n v="0"/>
    <n v="0"/>
    <n v="0"/>
    <n v="0"/>
    <n v="0"/>
    <n v="0"/>
    <n v="0"/>
    <n v="0"/>
    <n v="0"/>
    <n v="0"/>
    <n v="0"/>
    <n v="0"/>
    <n v="0"/>
    <n v="0"/>
    <n v="0"/>
  </r>
  <r>
    <x v="119"/>
    <n v="0"/>
    <n v="0"/>
    <n v="0"/>
    <n v="0"/>
    <n v="0"/>
    <n v="0"/>
    <n v="0"/>
    <n v="0"/>
    <n v="0"/>
    <n v="0"/>
    <n v="0"/>
    <n v="0"/>
    <n v="0"/>
    <n v="0"/>
    <n v="0"/>
    <n v="0"/>
    <n v="0"/>
    <n v="0"/>
    <n v="0"/>
  </r>
  <r>
    <x v="120"/>
    <n v="0"/>
    <n v="0"/>
    <n v="0"/>
    <n v="0"/>
    <n v="0"/>
    <n v="0"/>
    <n v="0"/>
    <n v="0"/>
    <n v="0"/>
    <n v="0"/>
    <n v="0"/>
    <n v="0"/>
    <n v="0"/>
    <n v="0"/>
    <n v="0"/>
    <n v="0"/>
    <n v="0"/>
    <n v="0"/>
    <n v="0"/>
  </r>
  <r>
    <x v="121"/>
    <n v="0"/>
    <n v="0"/>
    <n v="0"/>
    <n v="0"/>
    <n v="0"/>
    <n v="0"/>
    <n v="0"/>
    <n v="0"/>
    <n v="0"/>
    <n v="0"/>
    <n v="0"/>
    <n v="0"/>
    <n v="0"/>
    <n v="0"/>
    <n v="0"/>
    <n v="0"/>
    <n v="0"/>
    <n v="0"/>
    <n v="0"/>
  </r>
  <r>
    <x v="122"/>
    <n v="0"/>
    <n v="0"/>
    <n v="0"/>
    <n v="0"/>
    <n v="0"/>
    <n v="0"/>
    <n v="0"/>
    <n v="0"/>
    <n v="0"/>
    <n v="0"/>
    <n v="0"/>
    <n v="0"/>
    <n v="0"/>
    <n v="0"/>
    <n v="0"/>
    <n v="0"/>
    <n v="0"/>
    <n v="0"/>
    <n v="0"/>
  </r>
  <r>
    <x v="123"/>
    <n v="0"/>
    <n v="0"/>
    <n v="0"/>
    <n v="0"/>
    <n v="0"/>
    <n v="0"/>
    <n v="0"/>
    <n v="0"/>
    <n v="0"/>
    <n v="0"/>
    <n v="0"/>
    <n v="0"/>
    <n v="0"/>
    <n v="0"/>
    <n v="0"/>
    <n v="0"/>
    <n v="0"/>
    <n v="0"/>
    <n v="0"/>
  </r>
  <r>
    <x v="124"/>
    <n v="0"/>
    <n v="0"/>
    <n v="0"/>
    <n v="0"/>
    <n v="0"/>
    <n v="0"/>
    <n v="0"/>
    <n v="0"/>
    <n v="0"/>
    <n v="0"/>
    <n v="0"/>
    <n v="0"/>
    <n v="0"/>
    <n v="0"/>
    <n v="0"/>
    <n v="0"/>
    <n v="0"/>
    <n v="0"/>
    <n v="0"/>
  </r>
  <r>
    <x v="125"/>
    <n v="0"/>
    <n v="0"/>
    <n v="0"/>
    <n v="0"/>
    <n v="0"/>
    <n v="0"/>
    <n v="0"/>
    <n v="0"/>
    <n v="0"/>
    <n v="0"/>
    <n v="0"/>
    <n v="0"/>
    <n v="0"/>
    <n v="0"/>
    <n v="0"/>
    <n v="0"/>
    <n v="0"/>
    <n v="0"/>
    <n v="0"/>
  </r>
  <r>
    <x v="126"/>
    <n v="0"/>
    <n v="0"/>
    <n v="0"/>
    <n v="0"/>
    <n v="0"/>
    <n v="0"/>
    <n v="0"/>
    <n v="0"/>
    <n v="0"/>
    <n v="0"/>
    <n v="0"/>
    <n v="0"/>
    <n v="0"/>
    <n v="0"/>
    <n v="0"/>
    <n v="0"/>
    <n v="0"/>
    <n v="0"/>
    <n v="0"/>
  </r>
  <r>
    <x v="127"/>
    <n v="0"/>
    <n v="0"/>
    <n v="0"/>
    <n v="0"/>
    <n v="0"/>
    <n v="0"/>
    <n v="0"/>
    <n v="0"/>
    <n v="0"/>
    <n v="0"/>
    <n v="0"/>
    <n v="0"/>
    <n v="0"/>
    <n v="0"/>
    <n v="0"/>
    <n v="0"/>
    <n v="0"/>
    <n v="0"/>
    <n v="0"/>
  </r>
  <r>
    <x v="128"/>
    <n v="0"/>
    <n v="0"/>
    <n v="0"/>
    <n v="0"/>
    <n v="0"/>
    <n v="0"/>
    <n v="0"/>
    <n v="0"/>
    <n v="0"/>
    <n v="0"/>
    <n v="0"/>
    <n v="0"/>
    <n v="0"/>
    <n v="0"/>
    <n v="0"/>
    <n v="0"/>
    <n v="0"/>
    <n v="0"/>
    <n v="0"/>
  </r>
  <r>
    <x v="129"/>
    <n v="0"/>
    <n v="0"/>
    <n v="0"/>
    <n v="0"/>
    <n v="0"/>
    <n v="0"/>
    <n v="0"/>
    <n v="0"/>
    <n v="0"/>
    <n v="0"/>
    <n v="0"/>
    <n v="0"/>
    <n v="0"/>
    <n v="0"/>
    <n v="0"/>
    <n v="0"/>
    <n v="0"/>
    <n v="0"/>
    <n v="0"/>
  </r>
  <r>
    <x v="130"/>
    <n v="0"/>
    <n v="0"/>
    <n v="0"/>
    <n v="0"/>
    <n v="0"/>
    <n v="0"/>
    <n v="0"/>
    <n v="0"/>
    <n v="0"/>
    <n v="0"/>
    <n v="0"/>
    <n v="0"/>
    <n v="0"/>
    <n v="0"/>
    <n v="0"/>
    <n v="0"/>
    <n v="0"/>
    <n v="0"/>
    <n v="0"/>
  </r>
  <r>
    <x v="131"/>
    <n v="0"/>
    <n v="0"/>
    <n v="0"/>
    <n v="0"/>
    <n v="0"/>
    <n v="0"/>
    <n v="0"/>
    <n v="0"/>
    <n v="0"/>
    <n v="0"/>
    <n v="0"/>
    <n v="0"/>
    <n v="0"/>
    <n v="0"/>
    <n v="0"/>
    <n v="0"/>
    <n v="0"/>
    <n v="0"/>
    <n v="0"/>
  </r>
  <r>
    <x v="132"/>
    <n v="0"/>
    <n v="0"/>
    <n v="0"/>
    <n v="0"/>
    <n v="0"/>
    <n v="0"/>
    <n v="0"/>
    <n v="0"/>
    <n v="0"/>
    <n v="0"/>
    <n v="0"/>
    <n v="0"/>
    <n v="0"/>
    <n v="0"/>
    <n v="0"/>
    <n v="0"/>
    <n v="0"/>
    <n v="0"/>
    <n v="0"/>
  </r>
  <r>
    <x v="133"/>
    <n v="0"/>
    <n v="0"/>
    <n v="0"/>
    <n v="0"/>
    <n v="0"/>
    <n v="0"/>
    <n v="0"/>
    <n v="0"/>
    <n v="0"/>
    <n v="0"/>
    <n v="0"/>
    <n v="0"/>
    <n v="0"/>
    <n v="0"/>
    <n v="0"/>
    <n v="0"/>
    <n v="0"/>
    <n v="0"/>
    <n v="0"/>
  </r>
  <r>
    <x v="134"/>
    <n v="0"/>
    <n v="0"/>
    <n v="0"/>
    <n v="0"/>
    <n v="0"/>
    <n v="0"/>
    <n v="0"/>
    <n v="0"/>
    <n v="0"/>
    <n v="0"/>
    <n v="0"/>
    <n v="0"/>
    <n v="0"/>
    <n v="0"/>
    <n v="0"/>
    <n v="0"/>
    <n v="0"/>
    <n v="0"/>
    <n v="0"/>
  </r>
  <r>
    <x v="135"/>
    <n v="0"/>
    <n v="0"/>
    <n v="0"/>
    <n v="0"/>
    <n v="0"/>
    <n v="0"/>
    <n v="0"/>
    <n v="0"/>
    <n v="0"/>
    <n v="0"/>
    <n v="0"/>
    <n v="0"/>
    <n v="0"/>
    <n v="0"/>
    <n v="0"/>
    <n v="0"/>
    <n v="0"/>
    <n v="0"/>
    <n v="0"/>
  </r>
  <r>
    <x v="136"/>
    <n v="0"/>
    <n v="0"/>
    <n v="0"/>
    <n v="0"/>
    <n v="0"/>
    <n v="0"/>
    <n v="0"/>
    <n v="0"/>
    <n v="0"/>
    <n v="0"/>
    <n v="0"/>
    <n v="0"/>
    <n v="0"/>
    <n v="0"/>
    <n v="0"/>
    <n v="0"/>
    <n v="0"/>
    <n v="0"/>
    <n v="0"/>
  </r>
  <r>
    <x v="137"/>
    <n v="0"/>
    <n v="0"/>
    <n v="0"/>
    <n v="0"/>
    <n v="0"/>
    <n v="0"/>
    <n v="0"/>
    <n v="0"/>
    <n v="0"/>
    <n v="0"/>
    <n v="0"/>
    <n v="0"/>
    <n v="0"/>
    <n v="0"/>
    <n v="0"/>
    <n v="0"/>
    <n v="0"/>
    <n v="0"/>
    <n v="0"/>
  </r>
  <r>
    <x v="138"/>
    <n v="0"/>
    <n v="0"/>
    <n v="0"/>
    <n v="0"/>
    <n v="0"/>
    <n v="0"/>
    <n v="0"/>
    <n v="0"/>
    <n v="0"/>
    <n v="0"/>
    <n v="0"/>
    <n v="0"/>
    <n v="0"/>
    <n v="0"/>
    <n v="0"/>
    <n v="0"/>
    <n v="0"/>
    <n v="0"/>
    <n v="0"/>
  </r>
  <r>
    <x v="139"/>
    <n v="0"/>
    <n v="0"/>
    <n v="0"/>
    <n v="0"/>
    <n v="0"/>
    <n v="0"/>
    <n v="0"/>
    <n v="0"/>
    <n v="0"/>
    <n v="0"/>
    <n v="0"/>
    <n v="0"/>
    <n v="0"/>
    <n v="0"/>
    <n v="0"/>
    <n v="0"/>
    <n v="0"/>
    <n v="0"/>
    <n v="0"/>
  </r>
  <r>
    <x v="140"/>
    <n v="0"/>
    <n v="0"/>
    <n v="0"/>
    <n v="0"/>
    <n v="0"/>
    <n v="0"/>
    <n v="0"/>
    <n v="0"/>
    <n v="0"/>
    <n v="0"/>
    <n v="0"/>
    <n v="0"/>
    <n v="0"/>
    <n v="0"/>
    <n v="0"/>
    <n v="0"/>
    <n v="0"/>
    <n v="0"/>
    <n v="0"/>
  </r>
  <r>
    <x v="141"/>
    <n v="0"/>
    <n v="0"/>
    <n v="0"/>
    <n v="0"/>
    <n v="0"/>
    <n v="0"/>
    <n v="0"/>
    <n v="0"/>
    <n v="0"/>
    <n v="0"/>
    <n v="0"/>
    <n v="0"/>
    <n v="0"/>
    <n v="0"/>
    <n v="0"/>
    <n v="0"/>
    <n v="0"/>
    <n v="0"/>
    <n v="0"/>
  </r>
  <r>
    <x v="142"/>
    <n v="0"/>
    <n v="0"/>
    <n v="0"/>
    <n v="0"/>
    <n v="0"/>
    <n v="0"/>
    <n v="0"/>
    <n v="0"/>
    <n v="0"/>
    <n v="0"/>
    <n v="0"/>
    <n v="0"/>
    <n v="0"/>
    <n v="0"/>
    <n v="0"/>
    <n v="0"/>
    <n v="0"/>
    <n v="0"/>
    <n v="0"/>
  </r>
  <r>
    <x v="143"/>
    <n v="0"/>
    <n v="0"/>
    <n v="0"/>
    <n v="0"/>
    <n v="0"/>
    <n v="0"/>
    <n v="0"/>
    <n v="0"/>
    <n v="0"/>
    <n v="0"/>
    <n v="0"/>
    <n v="0"/>
    <n v="0"/>
    <n v="0"/>
    <n v="0"/>
    <n v="0"/>
    <n v="0"/>
    <n v="0"/>
    <n v="0"/>
  </r>
  <r>
    <x v="144"/>
    <n v="0"/>
    <n v="0"/>
    <n v="0"/>
    <n v="0"/>
    <n v="0"/>
    <n v="0"/>
    <n v="0"/>
    <n v="0"/>
    <n v="0"/>
    <n v="0"/>
    <n v="0"/>
    <n v="0"/>
    <n v="0"/>
    <n v="0"/>
    <n v="0"/>
    <n v="0"/>
    <n v="0"/>
    <n v="0"/>
    <n v="0"/>
  </r>
  <r>
    <x v="145"/>
    <n v="0"/>
    <n v="0"/>
    <n v="0"/>
    <n v="0"/>
    <n v="0"/>
    <n v="0"/>
    <n v="0"/>
    <n v="0"/>
    <n v="0"/>
    <n v="0"/>
    <n v="0"/>
    <n v="0"/>
    <n v="0"/>
    <n v="0"/>
    <n v="0"/>
    <n v="0"/>
    <n v="0"/>
    <n v="0"/>
    <n v="0"/>
  </r>
  <r>
    <x v="146"/>
    <n v="0"/>
    <n v="0"/>
    <n v="0"/>
    <n v="0"/>
    <n v="0"/>
    <n v="0"/>
    <n v="0"/>
    <n v="0"/>
    <n v="0"/>
    <n v="0"/>
    <n v="0"/>
    <n v="0"/>
    <n v="0"/>
    <n v="0"/>
    <n v="0"/>
    <n v="0"/>
    <n v="0"/>
    <n v="0"/>
    <n v="0"/>
  </r>
  <r>
    <x v="147"/>
    <n v="0"/>
    <n v="0"/>
    <n v="0"/>
    <n v="0"/>
    <n v="0"/>
    <n v="0"/>
    <n v="0"/>
    <n v="0"/>
    <n v="0"/>
    <n v="0"/>
    <n v="0"/>
    <n v="0"/>
    <n v="0"/>
    <n v="0"/>
    <n v="0"/>
    <n v="0"/>
    <n v="0"/>
    <n v="0"/>
    <n v="0"/>
  </r>
  <r>
    <x v="148"/>
    <n v="0"/>
    <n v="0"/>
    <n v="0"/>
    <n v="0"/>
    <n v="0"/>
    <n v="0"/>
    <n v="0"/>
    <n v="0"/>
    <n v="0"/>
    <n v="0"/>
    <n v="0"/>
    <n v="0"/>
    <n v="0"/>
    <n v="0"/>
    <n v="0"/>
    <n v="0"/>
    <n v="0"/>
    <n v="0"/>
    <n v="0"/>
  </r>
  <r>
    <x v="149"/>
    <n v="0"/>
    <n v="0"/>
    <n v="0"/>
    <n v="0"/>
    <n v="0"/>
    <n v="0"/>
    <n v="0"/>
    <n v="0"/>
    <n v="0"/>
    <n v="0"/>
    <n v="0"/>
    <n v="0"/>
    <n v="0"/>
    <n v="0"/>
    <n v="0"/>
    <n v="0"/>
    <n v="0"/>
    <n v="0"/>
    <n v="0"/>
  </r>
  <r>
    <x v="150"/>
    <n v="0"/>
    <n v="0"/>
    <n v="0"/>
    <n v="0"/>
    <n v="0"/>
    <n v="0"/>
    <n v="0"/>
    <n v="0"/>
    <n v="0"/>
    <n v="0"/>
    <n v="0"/>
    <n v="0"/>
    <n v="0"/>
    <n v="0"/>
    <n v="0"/>
    <n v="0"/>
    <n v="0"/>
    <n v="0"/>
    <n v="0"/>
  </r>
  <r>
    <x v="151"/>
    <n v="0"/>
    <n v="0"/>
    <n v="0"/>
    <n v="0"/>
    <n v="0"/>
    <n v="0"/>
    <n v="0"/>
    <n v="0"/>
    <n v="0"/>
    <n v="0"/>
    <n v="0"/>
    <n v="0"/>
    <n v="0"/>
    <n v="0"/>
    <n v="0"/>
    <n v="0"/>
    <n v="0"/>
    <n v="0"/>
    <n v="0"/>
  </r>
  <r>
    <x v="152"/>
    <n v="0"/>
    <n v="0"/>
    <n v="0"/>
    <n v="0"/>
    <n v="0"/>
    <n v="0"/>
    <n v="0"/>
    <n v="0"/>
    <n v="0"/>
    <n v="0"/>
    <n v="0"/>
    <n v="0"/>
    <n v="0"/>
    <n v="0"/>
    <n v="0"/>
    <n v="0"/>
    <n v="0"/>
    <n v="0"/>
    <n v="0"/>
  </r>
  <r>
    <x v="153"/>
    <n v="0"/>
    <n v="0"/>
    <n v="0"/>
    <n v="0"/>
    <n v="0"/>
    <n v="0"/>
    <n v="0"/>
    <n v="0"/>
    <n v="0"/>
    <n v="0"/>
    <n v="0"/>
    <n v="0"/>
    <n v="0"/>
    <n v="0"/>
    <n v="0"/>
    <n v="0"/>
    <n v="0"/>
    <n v="0"/>
    <n v="0"/>
  </r>
  <r>
    <x v="154"/>
    <n v="0"/>
    <n v="0"/>
    <n v="0"/>
    <n v="0"/>
    <n v="0"/>
    <n v="0"/>
    <n v="0"/>
    <n v="0"/>
    <n v="0"/>
    <n v="0"/>
    <n v="0"/>
    <n v="0"/>
    <n v="0"/>
    <n v="0"/>
    <n v="0"/>
    <n v="0"/>
    <n v="0"/>
    <n v="0"/>
    <n v="0"/>
  </r>
  <r>
    <x v="155"/>
    <n v="0"/>
    <n v="0"/>
    <n v="0"/>
    <n v="0"/>
    <n v="0"/>
    <n v="0"/>
    <n v="0"/>
    <n v="0"/>
    <n v="0"/>
    <n v="0"/>
    <n v="0"/>
    <n v="0"/>
    <n v="0"/>
    <n v="0"/>
    <n v="0"/>
    <n v="0"/>
    <n v="0"/>
    <n v="0"/>
    <n v="0"/>
  </r>
  <r>
    <x v="156"/>
    <n v="0"/>
    <n v="0"/>
    <n v="0"/>
    <n v="0"/>
    <n v="0"/>
    <n v="0"/>
    <n v="0"/>
    <n v="0"/>
    <n v="0"/>
    <n v="0"/>
    <n v="0"/>
    <n v="0"/>
    <n v="0"/>
    <n v="0"/>
    <n v="0"/>
    <n v="0"/>
    <n v="0"/>
    <n v="0"/>
    <n v="0"/>
  </r>
  <r>
    <x v="157"/>
    <n v="0"/>
    <n v="0"/>
    <n v="0"/>
    <n v="0"/>
    <n v="0"/>
    <n v="0"/>
    <n v="0"/>
    <n v="0"/>
    <n v="0"/>
    <n v="0"/>
    <n v="0"/>
    <n v="0"/>
    <n v="0"/>
    <n v="0"/>
    <n v="0"/>
    <n v="0"/>
    <n v="0"/>
    <n v="0"/>
    <n v="0"/>
  </r>
  <r>
    <x v="158"/>
    <n v="0"/>
    <n v="0"/>
    <n v="0"/>
    <n v="0"/>
    <n v="0"/>
    <n v="0"/>
    <n v="0"/>
    <n v="0"/>
    <n v="0"/>
    <n v="0"/>
    <n v="0"/>
    <n v="0"/>
    <n v="0"/>
    <n v="0"/>
    <n v="0"/>
    <n v="0"/>
    <n v="0"/>
    <n v="0"/>
    <n v="0"/>
  </r>
  <r>
    <x v="159"/>
    <n v="0"/>
    <n v="0"/>
    <n v="0"/>
    <n v="0"/>
    <n v="0"/>
    <n v="0"/>
    <n v="0"/>
    <n v="0"/>
    <n v="0"/>
    <n v="0"/>
    <n v="0"/>
    <n v="0"/>
    <n v="0"/>
    <n v="0"/>
    <n v="0"/>
    <n v="0"/>
    <n v="0"/>
    <n v="0"/>
    <n v="0"/>
  </r>
  <r>
    <x v="160"/>
    <n v="0"/>
    <n v="0"/>
    <n v="0"/>
    <n v="0"/>
    <n v="0"/>
    <n v="0"/>
    <n v="0"/>
    <n v="0"/>
    <n v="0"/>
    <n v="0"/>
    <n v="0"/>
    <n v="0"/>
    <n v="0"/>
    <n v="0"/>
    <n v="0"/>
    <n v="0"/>
    <n v="0"/>
    <n v="0"/>
    <n v="0"/>
  </r>
  <r>
    <x v="161"/>
    <n v="0"/>
    <n v="0"/>
    <n v="0"/>
    <n v="0"/>
    <n v="0"/>
    <n v="0"/>
    <n v="0"/>
    <n v="0"/>
    <n v="0"/>
    <n v="0"/>
    <n v="0"/>
    <n v="0"/>
    <n v="0"/>
    <n v="0"/>
    <n v="0"/>
    <n v="0"/>
    <n v="0"/>
    <n v="0"/>
    <n v="0"/>
  </r>
  <r>
    <x v="162"/>
    <n v="0"/>
    <n v="0"/>
    <n v="0"/>
    <n v="0"/>
    <n v="0"/>
    <n v="0"/>
    <n v="0"/>
    <n v="0"/>
    <n v="0"/>
    <n v="0"/>
    <n v="0"/>
    <n v="0"/>
    <n v="0"/>
    <n v="0"/>
    <n v="0"/>
    <n v="0"/>
    <n v="0"/>
    <n v="0"/>
    <n v="0"/>
  </r>
  <r>
    <x v="163"/>
    <n v="0"/>
    <n v="0"/>
    <n v="0"/>
    <n v="0"/>
    <n v="0"/>
    <n v="0"/>
    <n v="0"/>
    <n v="0"/>
    <n v="0"/>
    <n v="0"/>
    <n v="0"/>
    <n v="0"/>
    <n v="0"/>
    <n v="0"/>
    <n v="0"/>
    <n v="0"/>
    <n v="0"/>
    <n v="0"/>
    <n v="0"/>
  </r>
  <r>
    <x v="164"/>
    <n v="0"/>
    <n v="0"/>
    <n v="0"/>
    <n v="0"/>
    <n v="0"/>
    <n v="0"/>
    <n v="0"/>
    <n v="0"/>
    <n v="0"/>
    <n v="0"/>
    <n v="0"/>
    <n v="0"/>
    <n v="0"/>
    <n v="0"/>
    <n v="0"/>
    <n v="0"/>
    <n v="0"/>
    <n v="0"/>
    <n v="0"/>
  </r>
  <r>
    <x v="165"/>
    <n v="0"/>
    <n v="0"/>
    <n v="0"/>
    <n v="0"/>
    <n v="0"/>
    <n v="0"/>
    <n v="0"/>
    <n v="0"/>
    <n v="0"/>
    <n v="0"/>
    <n v="0"/>
    <n v="0"/>
    <n v="0"/>
    <n v="0"/>
    <n v="0"/>
    <n v="0"/>
    <n v="0"/>
    <n v="0"/>
    <n v="0"/>
  </r>
  <r>
    <x v="166"/>
    <n v="0"/>
    <n v="0"/>
    <n v="0"/>
    <n v="0"/>
    <n v="0"/>
    <n v="0"/>
    <n v="0"/>
    <n v="0"/>
    <n v="0"/>
    <n v="0"/>
    <n v="0"/>
    <n v="0"/>
    <n v="0"/>
    <n v="0"/>
    <n v="0"/>
    <n v="0"/>
    <n v="0"/>
    <n v="0"/>
    <n v="0"/>
  </r>
  <r>
    <x v="167"/>
    <n v="0"/>
    <n v="0"/>
    <n v="0"/>
    <n v="0"/>
    <n v="0"/>
    <n v="0"/>
    <n v="0"/>
    <n v="0"/>
    <n v="0"/>
    <n v="0"/>
    <n v="0"/>
    <n v="0"/>
    <n v="0"/>
    <n v="0"/>
    <n v="0"/>
    <n v="0"/>
    <n v="0"/>
    <n v="0"/>
    <n v="0"/>
  </r>
  <r>
    <x v="168"/>
    <n v="0"/>
    <n v="0"/>
    <n v="0"/>
    <n v="0"/>
    <n v="0"/>
    <n v="0"/>
    <n v="0"/>
    <n v="0"/>
    <n v="0"/>
    <n v="0"/>
    <n v="0"/>
    <n v="0"/>
    <n v="0"/>
    <n v="0"/>
    <n v="0"/>
    <n v="0"/>
    <n v="0"/>
    <n v="0"/>
    <n v="0"/>
  </r>
  <r>
    <x v="169"/>
    <n v="0"/>
    <n v="0"/>
    <n v="0"/>
    <n v="0"/>
    <n v="0"/>
    <n v="0"/>
    <n v="0"/>
    <n v="0"/>
    <n v="0"/>
    <n v="0"/>
    <n v="0"/>
    <n v="0"/>
    <n v="0"/>
    <n v="0"/>
    <n v="0"/>
    <n v="0"/>
    <n v="0"/>
    <n v="0"/>
    <n v="0"/>
  </r>
  <r>
    <x v="170"/>
    <n v="0"/>
    <n v="0"/>
    <n v="0"/>
    <n v="0"/>
    <n v="0"/>
    <n v="0"/>
    <n v="0"/>
    <n v="0"/>
    <n v="0"/>
    <n v="0"/>
    <n v="0"/>
    <n v="0"/>
    <n v="0"/>
    <n v="0"/>
    <n v="0"/>
    <n v="0"/>
    <n v="0"/>
    <n v="0"/>
    <n v="0"/>
  </r>
  <r>
    <x v="171"/>
    <n v="0"/>
    <n v="0"/>
    <n v="0"/>
    <n v="0"/>
    <n v="0"/>
    <n v="0"/>
    <n v="0"/>
    <n v="0"/>
    <n v="0"/>
    <n v="0"/>
    <n v="0"/>
    <n v="0"/>
    <n v="0"/>
    <n v="0"/>
    <n v="0"/>
    <n v="0"/>
    <n v="0"/>
    <n v="0"/>
    <n v="0"/>
  </r>
  <r>
    <x v="172"/>
    <n v="0"/>
    <n v="0"/>
    <n v="0"/>
    <n v="0"/>
    <n v="0"/>
    <n v="0"/>
    <n v="0"/>
    <n v="0"/>
    <n v="0"/>
    <n v="0"/>
    <n v="0"/>
    <n v="0"/>
    <n v="0"/>
    <n v="0"/>
    <n v="0"/>
    <n v="0"/>
    <n v="0"/>
    <n v="0"/>
    <n v="0"/>
  </r>
  <r>
    <x v="173"/>
    <n v="0"/>
    <n v="0"/>
    <n v="0"/>
    <n v="0"/>
    <n v="0"/>
    <n v="0"/>
    <n v="0"/>
    <n v="0"/>
    <n v="0"/>
    <n v="0"/>
    <n v="0"/>
    <n v="0"/>
    <n v="0"/>
    <n v="0"/>
    <n v="0"/>
    <n v="0"/>
    <n v="0"/>
    <n v="0"/>
    <n v="0"/>
  </r>
  <r>
    <x v="174"/>
    <n v="0"/>
    <n v="0"/>
    <n v="0"/>
    <n v="0"/>
    <n v="0"/>
    <n v="0"/>
    <n v="0"/>
    <n v="0"/>
    <n v="0"/>
    <n v="0"/>
    <n v="0"/>
    <n v="0"/>
    <n v="0"/>
    <n v="0"/>
    <n v="0"/>
    <n v="0"/>
    <n v="0"/>
    <n v="0"/>
    <n v="0"/>
  </r>
  <r>
    <x v="175"/>
    <n v="0"/>
    <n v="0"/>
    <n v="0"/>
    <n v="0"/>
    <n v="0"/>
    <n v="0"/>
    <n v="0"/>
    <n v="0"/>
    <n v="0"/>
    <n v="0"/>
    <n v="0"/>
    <n v="0"/>
    <n v="0"/>
    <n v="0"/>
    <n v="0"/>
    <n v="0"/>
    <n v="0"/>
    <n v="0"/>
    <n v="0"/>
  </r>
  <r>
    <x v="176"/>
    <n v="0"/>
    <n v="0"/>
    <n v="0"/>
    <n v="0"/>
    <n v="0"/>
    <n v="0"/>
    <n v="0"/>
    <n v="0"/>
    <n v="0"/>
    <n v="0"/>
    <n v="0"/>
    <n v="0"/>
    <n v="0"/>
    <n v="0"/>
    <n v="0"/>
    <n v="0"/>
    <n v="0"/>
    <n v="0"/>
    <n v="0"/>
  </r>
  <r>
    <x v="177"/>
    <n v="0"/>
    <n v="0"/>
    <n v="0"/>
    <n v="0"/>
    <n v="0"/>
    <n v="0"/>
    <n v="0"/>
    <n v="0"/>
    <n v="0"/>
    <n v="0"/>
    <n v="0"/>
    <n v="0"/>
    <n v="0"/>
    <n v="0"/>
    <n v="0"/>
    <n v="0"/>
    <n v="0"/>
    <n v="0"/>
    <n v="0"/>
  </r>
  <r>
    <x v="178"/>
    <n v="0"/>
    <n v="0"/>
    <n v="0"/>
    <n v="0"/>
    <n v="0"/>
    <n v="0"/>
    <n v="0"/>
    <n v="0"/>
    <n v="0"/>
    <n v="0"/>
    <n v="0"/>
    <n v="0"/>
    <n v="0"/>
    <n v="0"/>
    <n v="0"/>
    <n v="0"/>
    <n v="0"/>
    <n v="0"/>
    <n v="0"/>
  </r>
  <r>
    <x v="179"/>
    <n v="0"/>
    <n v="0"/>
    <n v="0"/>
    <n v="0"/>
    <n v="0"/>
    <n v="0"/>
    <n v="0"/>
    <n v="0"/>
    <n v="0"/>
    <n v="0"/>
    <n v="0"/>
    <n v="0"/>
    <n v="0"/>
    <n v="0"/>
    <n v="0"/>
    <n v="0"/>
    <n v="0"/>
    <n v="0"/>
    <n v="0"/>
  </r>
  <r>
    <x v="180"/>
    <n v="0"/>
    <n v="0"/>
    <n v="0"/>
    <n v="0"/>
    <n v="0"/>
    <n v="0"/>
    <n v="0"/>
    <n v="0"/>
    <n v="0"/>
    <n v="0"/>
    <n v="0"/>
    <n v="0"/>
    <n v="0"/>
    <n v="0"/>
    <n v="0"/>
    <n v="0"/>
    <n v="0"/>
    <n v="0"/>
    <n v="0"/>
  </r>
  <r>
    <x v="181"/>
    <n v="0"/>
    <n v="0"/>
    <n v="0"/>
    <n v="0"/>
    <n v="0"/>
    <n v="0"/>
    <n v="0"/>
    <n v="0"/>
    <n v="0"/>
    <n v="0"/>
    <n v="0"/>
    <n v="0"/>
    <n v="0"/>
    <n v="0"/>
    <n v="0"/>
    <n v="0"/>
    <n v="0"/>
    <n v="0"/>
    <n v="0"/>
  </r>
  <r>
    <x v="182"/>
    <n v="0"/>
    <n v="0"/>
    <n v="0"/>
    <n v="0"/>
    <n v="0"/>
    <n v="0"/>
    <n v="0"/>
    <n v="0"/>
    <n v="0"/>
    <n v="0"/>
    <n v="0"/>
    <n v="0"/>
    <n v="0"/>
    <n v="0"/>
    <n v="0"/>
    <n v="0"/>
    <n v="0"/>
    <n v="0"/>
    <n v="0"/>
  </r>
  <r>
    <x v="183"/>
    <n v="0"/>
    <n v="0"/>
    <n v="0"/>
    <n v="0"/>
    <n v="0"/>
    <n v="0"/>
    <n v="0"/>
    <n v="0"/>
    <n v="0"/>
    <n v="0"/>
    <n v="0"/>
    <n v="0"/>
    <n v="0"/>
    <n v="0"/>
    <n v="0"/>
    <n v="0"/>
    <n v="0"/>
    <n v="0"/>
    <n v="0"/>
  </r>
  <r>
    <x v="184"/>
    <n v="0"/>
    <n v="0"/>
    <n v="0"/>
    <n v="0"/>
    <n v="0"/>
    <n v="0"/>
    <n v="0"/>
    <n v="0"/>
    <n v="0"/>
    <n v="0"/>
    <n v="0"/>
    <n v="0"/>
    <n v="0"/>
    <n v="0"/>
    <n v="0"/>
    <n v="0"/>
    <n v="0"/>
    <n v="0"/>
    <n v="0"/>
  </r>
  <r>
    <x v="185"/>
    <n v="0"/>
    <n v="0"/>
    <n v="0"/>
    <n v="0"/>
    <n v="0"/>
    <n v="0"/>
    <n v="0"/>
    <n v="0"/>
    <n v="0"/>
    <n v="0"/>
    <n v="0"/>
    <n v="0"/>
    <n v="0"/>
    <n v="0"/>
    <n v="0"/>
    <n v="0"/>
    <n v="0"/>
    <n v="0"/>
    <n v="0"/>
  </r>
  <r>
    <x v="186"/>
    <n v="0"/>
    <n v="0"/>
    <n v="0"/>
    <n v="0"/>
    <n v="0"/>
    <n v="0"/>
    <n v="0"/>
    <n v="0"/>
    <n v="0"/>
    <n v="0"/>
    <n v="0"/>
    <n v="0"/>
    <n v="0"/>
    <n v="0"/>
    <n v="0"/>
    <n v="0"/>
    <n v="0"/>
    <n v="0"/>
    <n v="0"/>
  </r>
  <r>
    <x v="187"/>
    <n v="0"/>
    <n v="0"/>
    <n v="0"/>
    <n v="0"/>
    <n v="0"/>
    <n v="0"/>
    <n v="0"/>
    <n v="0"/>
    <n v="0"/>
    <n v="0"/>
    <n v="0"/>
    <n v="0"/>
    <n v="0"/>
    <n v="0"/>
    <n v="0"/>
    <n v="0"/>
    <n v="0"/>
    <n v="0"/>
    <n v="0"/>
  </r>
  <r>
    <x v="188"/>
    <n v="0"/>
    <n v="0"/>
    <n v="0"/>
    <n v="0"/>
    <n v="0"/>
    <n v="0"/>
    <n v="0"/>
    <n v="0"/>
    <n v="0"/>
    <n v="0"/>
    <n v="0"/>
    <n v="0"/>
    <n v="0"/>
    <n v="0"/>
    <n v="0"/>
    <n v="0"/>
    <n v="0"/>
    <n v="0"/>
    <n v="0"/>
  </r>
  <r>
    <x v="189"/>
    <n v="0"/>
    <n v="0"/>
    <n v="0"/>
    <n v="0"/>
    <n v="0"/>
    <n v="0"/>
    <n v="0"/>
    <n v="0"/>
    <n v="0"/>
    <n v="0"/>
    <n v="0"/>
    <n v="0"/>
    <n v="0"/>
    <n v="0"/>
    <n v="0"/>
    <n v="0"/>
    <n v="0"/>
    <n v="0"/>
    <n v="0"/>
  </r>
  <r>
    <x v="190"/>
    <n v="0"/>
    <n v="0"/>
    <n v="0"/>
    <n v="0"/>
    <n v="0"/>
    <n v="0"/>
    <n v="0"/>
    <n v="0"/>
    <n v="0"/>
    <n v="0"/>
    <n v="0"/>
    <n v="0"/>
    <n v="0"/>
    <n v="0"/>
    <n v="0"/>
    <n v="0"/>
    <n v="0"/>
    <n v="0"/>
    <n v="0"/>
  </r>
  <r>
    <x v="191"/>
    <n v="0"/>
    <n v="0"/>
    <n v="0"/>
    <n v="0"/>
    <n v="0"/>
    <n v="0"/>
    <n v="0"/>
    <n v="0"/>
    <n v="0"/>
    <n v="0"/>
    <n v="0"/>
    <n v="0"/>
    <n v="0"/>
    <n v="0"/>
    <n v="0"/>
    <n v="0"/>
    <n v="0"/>
    <n v="0"/>
    <n v="0"/>
  </r>
  <r>
    <x v="192"/>
    <n v="0"/>
    <n v="0"/>
    <n v="0"/>
    <n v="0"/>
    <n v="0"/>
    <n v="0"/>
    <n v="0"/>
    <n v="0"/>
    <n v="0"/>
    <n v="0"/>
    <n v="0"/>
    <n v="0"/>
    <n v="0"/>
    <n v="0"/>
    <n v="0"/>
    <n v="0"/>
    <n v="0"/>
    <n v="0"/>
    <n v="0"/>
  </r>
  <r>
    <x v="193"/>
    <n v="0"/>
    <n v="0"/>
    <n v="0"/>
    <n v="0"/>
    <n v="0"/>
    <n v="0"/>
    <n v="0"/>
    <n v="0"/>
    <n v="0"/>
    <n v="0"/>
    <n v="0"/>
    <n v="0"/>
    <n v="0"/>
    <n v="0"/>
    <n v="0"/>
    <n v="0"/>
    <n v="0"/>
    <n v="0"/>
    <n v="0"/>
  </r>
  <r>
    <x v="194"/>
    <n v="0"/>
    <n v="0"/>
    <n v="0"/>
    <n v="0"/>
    <n v="0"/>
    <n v="0"/>
    <n v="0"/>
    <n v="0"/>
    <n v="0"/>
    <n v="0"/>
    <n v="0"/>
    <n v="0"/>
    <n v="0"/>
    <n v="0"/>
    <n v="0"/>
    <n v="0"/>
    <n v="0"/>
    <n v="0"/>
    <n v="0"/>
  </r>
  <r>
    <x v="195"/>
    <n v="0"/>
    <n v="0"/>
    <n v="0"/>
    <n v="0"/>
    <n v="0"/>
    <n v="0"/>
    <n v="0"/>
    <n v="0"/>
    <n v="0"/>
    <n v="0"/>
    <n v="0"/>
    <n v="0"/>
    <n v="0"/>
    <n v="0"/>
    <n v="0"/>
    <n v="0"/>
    <n v="0"/>
    <n v="0"/>
    <n v="0"/>
  </r>
  <r>
    <x v="196"/>
    <n v="0"/>
    <n v="0"/>
    <n v="0"/>
    <n v="0"/>
    <n v="0"/>
    <n v="0"/>
    <n v="0"/>
    <n v="0"/>
    <n v="0"/>
    <n v="0"/>
    <n v="0"/>
    <n v="0"/>
    <n v="0"/>
    <n v="0"/>
    <n v="0"/>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6.0156250000000001E-2"/>
    <n v="2.9244186046511633E-2"/>
    <n v="2.2727272727272726E-3"/>
    <n v="0"/>
    <n v="0"/>
    <n v="0"/>
    <n v="0"/>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0.24062500000000001"/>
    <n v="0.11697674418604653"/>
    <n v="9.0909090909090905E-3"/>
    <n v="0"/>
    <n v="0"/>
    <n v="0"/>
    <n v="0"/>
    <n v="0"/>
    <n v="0"/>
    <n v="4.0743628141883953E-2"/>
  </r>
  <r>
    <x v="1"/>
    <n v="0"/>
    <n v="0"/>
    <n v="0"/>
    <n v="0"/>
    <n v="0"/>
    <n v="0"/>
    <n v="0"/>
    <n v="0"/>
    <n v="0"/>
    <n v="0"/>
  </r>
  <r>
    <x v="2"/>
    <n v="0"/>
    <n v="0"/>
    <n v="0"/>
    <n v="0"/>
    <n v="0"/>
    <n v="0"/>
    <n v="0"/>
    <n v="0"/>
    <n v="0"/>
    <n v="0"/>
  </r>
  <r>
    <x v="3"/>
    <n v="0"/>
    <n v="0"/>
    <n v="0"/>
    <n v="0"/>
    <n v="0"/>
    <n v="0"/>
    <n v="0"/>
    <n v="0"/>
    <n v="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7">
  <r>
    <n v="102"/>
    <n v="0"/>
    <n v="0"/>
    <n v="0"/>
    <n v="0"/>
    <n v="0"/>
    <n v="0"/>
    <n v="0"/>
    <n v="0"/>
    <n v="0"/>
    <n v="0"/>
    <n v="0"/>
    <n v="0"/>
    <n v="0"/>
    <n v="0"/>
    <n v="0"/>
    <n v="0"/>
    <n v="0"/>
    <n v="0"/>
    <n v="0"/>
    <n v="0"/>
  </r>
  <r>
    <n v="103"/>
    <n v="0"/>
    <n v="0"/>
    <n v="0"/>
    <n v="0"/>
    <n v="0"/>
    <n v="0"/>
    <n v="0"/>
    <n v="0"/>
    <n v="0"/>
    <n v="0"/>
    <n v="0"/>
    <n v="0"/>
    <n v="0"/>
    <n v="0"/>
    <n v="0"/>
    <n v="0"/>
    <n v="0"/>
    <n v="0"/>
    <n v="0"/>
    <n v="0"/>
  </r>
  <r>
    <n v="104"/>
    <n v="0"/>
    <n v="0"/>
    <n v="0"/>
    <n v="0"/>
    <n v="0"/>
    <n v="0"/>
    <n v="0"/>
    <n v="0"/>
    <n v="0"/>
    <n v="0"/>
    <n v="0"/>
    <n v="0"/>
    <n v="0"/>
    <n v="0"/>
    <n v="0"/>
    <n v="0"/>
    <n v="0"/>
    <n v="0"/>
    <n v="0"/>
    <n v="0"/>
  </r>
  <r>
    <n v="105"/>
    <n v="0"/>
    <n v="0"/>
    <n v="0.9"/>
    <n v="0"/>
    <n v="0"/>
    <n v="0"/>
    <n v="0"/>
    <n v="0"/>
    <n v="0"/>
    <n v="0"/>
    <n v="0"/>
    <n v="0"/>
    <n v="0"/>
    <n v="0"/>
    <n v="0"/>
    <n v="0"/>
    <n v="0"/>
    <n v="0"/>
    <n v="0"/>
    <n v="4.736842105263158E-2"/>
  </r>
  <r>
    <n v="106"/>
    <n v="0"/>
    <n v="0"/>
    <n v="0.9"/>
    <n v="0"/>
    <n v="0"/>
    <n v="0"/>
    <n v="0"/>
    <n v="0"/>
    <n v="0"/>
    <n v="0"/>
    <n v="0"/>
    <n v="0"/>
    <n v="0"/>
    <n v="0"/>
    <n v="0"/>
    <n v="0"/>
    <n v="0"/>
    <n v="0"/>
    <n v="0"/>
    <n v="4.736842105263158E-2"/>
  </r>
  <r>
    <n v="107"/>
    <n v="0"/>
    <n v="0"/>
    <n v="0.9"/>
    <n v="0"/>
    <n v="0"/>
    <n v="0"/>
    <n v="0"/>
    <n v="0"/>
    <n v="0"/>
    <n v="0"/>
    <n v="0"/>
    <n v="0"/>
    <n v="0"/>
    <n v="0"/>
    <n v="0"/>
    <n v="0"/>
    <n v="0"/>
    <n v="0"/>
    <n v="0"/>
    <n v="4.736842105263158E-2"/>
  </r>
  <r>
    <n v="108"/>
    <n v="0"/>
    <n v="0"/>
    <n v="0.9"/>
    <n v="0"/>
    <n v="0"/>
    <n v="0"/>
    <n v="0"/>
    <n v="0"/>
    <n v="0"/>
    <n v="0"/>
    <n v="0"/>
    <n v="0"/>
    <n v="0"/>
    <n v="0"/>
    <n v="0"/>
    <n v="0"/>
    <n v="0"/>
    <n v="0"/>
    <n v="0"/>
    <n v="4.736842105263158E-2"/>
  </r>
  <r>
    <n v="208"/>
    <n v="0"/>
    <n v="0"/>
    <n v="0.9"/>
    <n v="0"/>
    <n v="0"/>
    <n v="0"/>
    <n v="0"/>
    <n v="0"/>
    <n v="0"/>
    <n v="0"/>
    <n v="0"/>
    <n v="0"/>
    <n v="0"/>
    <n v="0"/>
    <n v="0"/>
    <n v="0"/>
    <n v="0"/>
    <n v="0"/>
    <n v="0"/>
    <n v="4.736842105263158E-2"/>
  </r>
  <r>
    <n v="209"/>
    <n v="0"/>
    <n v="0"/>
    <n v="0.9"/>
    <n v="0"/>
    <n v="0"/>
    <n v="0"/>
    <n v="0"/>
    <n v="0"/>
    <n v="0"/>
    <n v="0"/>
    <n v="0"/>
    <n v="0"/>
    <n v="0"/>
    <n v="0"/>
    <n v="0"/>
    <n v="0"/>
    <n v="0"/>
    <n v="0"/>
    <n v="0"/>
    <n v="4.736842105263158E-2"/>
  </r>
  <r>
    <n v="210"/>
    <n v="0"/>
    <n v="0"/>
    <n v="0.9"/>
    <n v="0"/>
    <n v="0"/>
    <n v="0"/>
    <n v="0"/>
    <n v="0"/>
    <n v="0"/>
    <n v="0"/>
    <n v="0"/>
    <n v="0"/>
    <n v="0"/>
    <n v="0"/>
    <n v="0"/>
    <n v="0"/>
    <n v="0"/>
    <n v="0"/>
    <n v="0"/>
    <n v="4.736842105263158E-2"/>
  </r>
  <r>
    <n v="211"/>
    <n v="0"/>
    <n v="0"/>
    <n v="0"/>
    <n v="0"/>
    <n v="0"/>
    <n v="0"/>
    <n v="0"/>
    <n v="0"/>
    <n v="0"/>
    <n v="0"/>
    <n v="0"/>
    <n v="0"/>
    <n v="0"/>
    <n v="0"/>
    <n v="0"/>
    <n v="0"/>
    <n v="0"/>
    <n v="0"/>
    <n v="0"/>
    <n v="0"/>
  </r>
  <r>
    <n v="212"/>
    <n v="0"/>
    <n v="0"/>
    <n v="0.9"/>
    <n v="0"/>
    <n v="0"/>
    <n v="0"/>
    <n v="0"/>
    <n v="0"/>
    <n v="0"/>
    <n v="0"/>
    <n v="0"/>
    <n v="0"/>
    <n v="0"/>
    <n v="0"/>
    <n v="0"/>
    <n v="0"/>
    <n v="0"/>
    <n v="0"/>
    <n v="0"/>
    <n v="4.736842105263158E-2"/>
  </r>
  <r>
    <n v="213"/>
    <n v="0"/>
    <n v="0"/>
    <n v="0.9"/>
    <n v="0"/>
    <n v="0"/>
    <n v="0"/>
    <n v="0"/>
    <n v="0"/>
    <n v="0"/>
    <n v="0"/>
    <n v="0"/>
    <n v="0"/>
    <n v="0"/>
    <n v="0"/>
    <n v="0"/>
    <n v="0"/>
    <n v="0"/>
    <n v="0"/>
    <n v="0"/>
    <n v="4.736842105263158E-2"/>
  </r>
  <r>
    <n v="214"/>
    <n v="0"/>
    <n v="0"/>
    <n v="0.9"/>
    <n v="0"/>
    <n v="0"/>
    <n v="0"/>
    <n v="0"/>
    <n v="0"/>
    <e v="#REF!"/>
    <e v="#REF!"/>
    <e v="#REF!"/>
    <e v="#REF!"/>
    <e v="#REF!"/>
    <e v="#REF!"/>
    <e v="#REF!"/>
    <e v="#REF!"/>
    <e v="#REF!"/>
    <e v="#REF!"/>
    <e v="#REF!"/>
    <e v="#REF!"/>
  </r>
  <r>
    <n v="215"/>
    <e v="#REF!"/>
    <e v="#REF!"/>
    <e v="#REF!"/>
    <e v="#REF!"/>
    <e v="#REF!"/>
    <e v="#REF!"/>
    <e v="#REF!"/>
    <e v="#REF!"/>
    <e v="#REF!"/>
    <e v="#REF!"/>
    <e v="#REF!"/>
    <e v="#REF!"/>
    <e v="#REF!"/>
    <e v="#REF!"/>
    <e v="#REF!"/>
    <e v="#REF!"/>
    <e v="#REF!"/>
    <e v="#REF!"/>
    <e v="#REF!"/>
    <e v="#REF!"/>
  </r>
  <r>
    <n v="216"/>
    <e v="#REF!"/>
    <e v="#REF!"/>
    <e v="#REF!"/>
    <e v="#REF!"/>
    <e v="#REF!"/>
    <e v="#REF!"/>
    <e v="#REF!"/>
    <e v="#REF!"/>
    <e v="#REF!"/>
    <e v="#REF!"/>
    <e v="#REF!"/>
    <e v="#REF!"/>
    <e v="#REF!"/>
    <e v="#REF!"/>
    <e v="#REF!"/>
    <e v="#REF!"/>
    <e v="#REF!"/>
    <e v="#REF!"/>
    <e v="#REF!"/>
    <e v="#REF!"/>
  </r>
  <r>
    <n v="217"/>
    <e v="#REF!"/>
    <e v="#REF!"/>
    <e v="#REF!"/>
    <e v="#REF!"/>
    <e v="#REF!"/>
    <e v="#REF!"/>
    <e v="#REF!"/>
    <e v="#REF!"/>
    <e v="#REF!"/>
    <e v="#REF!"/>
    <e v="#REF!"/>
    <e v="#REF!"/>
    <e v="#REF!"/>
    <e v="#REF!"/>
    <e v="#REF!"/>
    <e v="#REF!"/>
    <e v="#REF!"/>
    <e v="#REF!"/>
    <e v="#REF!"/>
    <e v="#REF!"/>
  </r>
  <r>
    <s v="PISO 2"/>
    <e v="#REF!"/>
    <e v="#REF!"/>
    <e v="#REF!"/>
    <e v="#REF!"/>
    <e v="#REF!"/>
    <e v="#REF!"/>
    <e v="#REF!"/>
    <e v="#REF!"/>
    <e v="#REF!"/>
    <e v="#REF!"/>
    <e v="#REF!"/>
    <e v="#REF!"/>
    <e v="#REF!"/>
    <e v="#REF!"/>
    <e v="#REF!"/>
    <e v="#REF!"/>
    <e v="#REF!"/>
    <e v="#REF!"/>
    <e v="#REF!"/>
    <e v="#REF!"/>
  </r>
  <r>
    <n v="301"/>
    <n v="0"/>
    <n v="0"/>
    <n v="0"/>
    <n v="0"/>
    <n v="0"/>
    <n v="0"/>
    <n v="0"/>
    <n v="0"/>
    <n v="0"/>
    <n v="0"/>
    <n v="0"/>
    <n v="0"/>
    <n v="0"/>
    <n v="0"/>
    <n v="0"/>
    <n v="0"/>
    <n v="0"/>
    <n v="0"/>
    <n v="0"/>
    <n v="0"/>
  </r>
  <r>
    <n v="302"/>
    <n v="0"/>
    <n v="0"/>
    <n v="0"/>
    <n v="0"/>
    <n v="0"/>
    <n v="0"/>
    <n v="0"/>
    <n v="0"/>
    <n v="0"/>
    <n v="0"/>
    <n v="0"/>
    <n v="0"/>
    <n v="0"/>
    <n v="0"/>
    <n v="0"/>
    <n v="0"/>
    <n v="0"/>
    <n v="0"/>
    <n v="0"/>
    <n v="0"/>
  </r>
  <r>
    <n v="303"/>
    <n v="0"/>
    <n v="0"/>
    <n v="0"/>
    <n v="0"/>
    <n v="0"/>
    <n v="0"/>
    <n v="0"/>
    <n v="0"/>
    <n v="0"/>
    <n v="0"/>
    <n v="0"/>
    <n v="0"/>
    <n v="0"/>
    <n v="0"/>
    <n v="0"/>
    <n v="0"/>
    <n v="0"/>
    <n v="0"/>
    <n v="0"/>
    <n v="0"/>
  </r>
  <r>
    <n v="304"/>
    <n v="0"/>
    <n v="0"/>
    <n v="0"/>
    <n v="0"/>
    <n v="0"/>
    <n v="0"/>
    <n v="0"/>
    <n v="0"/>
    <n v="0"/>
    <n v="0"/>
    <n v="0"/>
    <n v="0"/>
    <n v="0"/>
    <n v="0"/>
    <n v="0"/>
    <n v="0"/>
    <n v="0"/>
    <n v="0"/>
    <n v="0"/>
    <n v="0"/>
  </r>
  <r>
    <n v="305"/>
    <n v="0"/>
    <n v="0"/>
    <n v="0"/>
    <n v="0"/>
    <n v="0"/>
    <n v="0"/>
    <n v="0"/>
    <n v="0"/>
    <n v="0"/>
    <n v="0"/>
    <n v="0"/>
    <n v="0"/>
    <n v="0"/>
    <n v="0"/>
    <n v="0"/>
    <n v="0"/>
    <n v="0"/>
    <n v="0"/>
    <n v="0"/>
    <n v="0"/>
  </r>
  <r>
    <n v="306"/>
    <n v="0"/>
    <n v="0"/>
    <n v="0"/>
    <n v="0"/>
    <n v="0"/>
    <n v="0"/>
    <n v="0"/>
    <n v="0"/>
    <n v="0"/>
    <n v="0"/>
    <n v="0"/>
    <n v="0"/>
    <n v="0"/>
    <n v="0"/>
    <n v="0"/>
    <n v="0"/>
    <n v="0"/>
    <n v="0"/>
    <n v="0"/>
    <n v="0"/>
  </r>
  <r>
    <n v="307"/>
    <n v="0"/>
    <n v="0"/>
    <n v="0"/>
    <n v="0"/>
    <n v="0"/>
    <n v="0"/>
    <n v="0"/>
    <n v="0"/>
    <n v="0"/>
    <n v="0"/>
    <n v="0"/>
    <n v="0"/>
    <n v="0"/>
    <n v="0"/>
    <n v="0"/>
    <n v="0"/>
    <n v="0"/>
    <n v="0"/>
    <n v="0"/>
    <n v="0"/>
  </r>
  <r>
    <n v="308"/>
    <n v="0"/>
    <n v="0"/>
    <n v="0"/>
    <n v="0"/>
    <n v="0"/>
    <n v="0"/>
    <n v="0"/>
    <n v="0"/>
    <n v="0"/>
    <n v="0"/>
    <n v="0"/>
    <n v="0"/>
    <n v="0"/>
    <n v="0"/>
    <n v="0"/>
    <n v="0"/>
    <n v="0"/>
    <n v="0"/>
    <n v="0"/>
    <n v="0"/>
  </r>
  <r>
    <n v="309"/>
    <n v="0"/>
    <n v="0"/>
    <n v="0"/>
    <n v="0"/>
    <n v="0"/>
    <n v="0"/>
    <n v="0"/>
    <n v="0"/>
    <n v="0"/>
    <n v="0"/>
    <n v="0"/>
    <n v="0"/>
    <n v="0"/>
    <n v="0"/>
    <n v="0"/>
    <n v="0"/>
    <n v="0"/>
    <n v="0"/>
    <n v="0"/>
    <n v="0"/>
  </r>
  <r>
    <n v="310"/>
    <n v="0"/>
    <n v="0"/>
    <n v="0"/>
    <n v="0"/>
    <n v="0"/>
    <n v="0"/>
    <n v="0"/>
    <n v="0"/>
    <n v="0"/>
    <n v="0"/>
    <n v="0"/>
    <n v="0"/>
    <n v="0"/>
    <n v="0"/>
    <n v="0"/>
    <n v="0"/>
    <n v="0"/>
    <n v="0"/>
    <n v="0"/>
    <n v="0"/>
  </r>
  <r>
    <n v="311"/>
    <n v="0"/>
    <n v="0"/>
    <n v="0"/>
    <n v="0"/>
    <n v="0"/>
    <n v="0"/>
    <n v="0"/>
    <n v="0"/>
    <n v="0"/>
    <n v="0"/>
    <n v="0"/>
    <n v="0"/>
    <n v="0"/>
    <n v="0"/>
    <n v="0"/>
    <n v="0"/>
    <n v="0"/>
    <n v="0"/>
    <n v="0"/>
    <n v="0"/>
  </r>
  <r>
    <n v="312"/>
    <n v="0"/>
    <n v="0"/>
    <n v="0"/>
    <n v="0"/>
    <n v="0"/>
    <n v="0"/>
    <n v="0"/>
    <n v="0"/>
    <n v="0"/>
    <n v="0"/>
    <n v="0"/>
    <n v="0"/>
    <n v="0"/>
    <n v="0"/>
    <n v="0"/>
    <n v="0"/>
    <n v="0"/>
    <n v="0"/>
    <n v="0"/>
    <n v="0"/>
  </r>
  <r>
    <n v="313"/>
    <n v="0"/>
    <n v="0"/>
    <n v="0"/>
    <n v="0"/>
    <n v="0"/>
    <n v="0"/>
    <n v="0"/>
    <n v="0"/>
    <n v="0"/>
    <n v="0"/>
    <n v="0"/>
    <n v="0"/>
    <n v="0"/>
    <n v="0"/>
    <n v="0"/>
    <n v="0"/>
    <n v="0"/>
    <n v="0"/>
    <n v="0"/>
    <n v="0"/>
  </r>
  <r>
    <n v="314"/>
    <n v="0"/>
    <n v="0"/>
    <n v="0"/>
    <n v="0"/>
    <n v="0"/>
    <n v="0"/>
    <n v="0"/>
    <n v="0"/>
    <n v="0"/>
    <n v="0"/>
    <n v="0"/>
    <n v="0"/>
    <n v="0"/>
    <n v="0"/>
    <n v="0"/>
    <n v="0"/>
    <n v="0"/>
    <n v="0"/>
    <n v="0"/>
    <n v="0"/>
  </r>
  <r>
    <n v="315"/>
    <n v="0"/>
    <n v="0"/>
    <n v="0"/>
    <n v="0"/>
    <n v="0"/>
    <n v="0"/>
    <n v="0"/>
    <n v="0"/>
    <e v="#DIV/0!"/>
    <e v="#REF!"/>
    <e v="#REF!"/>
    <e v="#REF!"/>
    <e v="#REF!"/>
    <e v="#REF!"/>
    <e v="#REF!"/>
    <e v="#REF!"/>
    <e v="#REF!"/>
    <e v="#REF!"/>
    <e v="#REF!"/>
    <e v="#DIV/0!"/>
  </r>
  <r>
    <n v="316"/>
    <n v="0"/>
    <n v="0"/>
    <n v="0"/>
    <n v="0"/>
    <n v="0"/>
    <n v="0"/>
    <n v="0"/>
    <n v="0"/>
    <n v="0"/>
    <e v="#REF!"/>
    <e v="#REF!"/>
    <e v="#REF!"/>
    <e v="#REF!"/>
    <e v="#REF!"/>
    <e v="#REF!"/>
    <e v="#REF!"/>
    <e v="#REF!"/>
    <e v="#REF!"/>
    <e v="#REF!"/>
    <e v="#REF!"/>
  </r>
  <r>
    <n v="317"/>
    <n v="0"/>
    <n v="0"/>
    <n v="0"/>
    <n v="0"/>
    <n v="0"/>
    <n v="0"/>
    <n v="0"/>
    <n v="0"/>
    <n v="0"/>
    <e v="#REF!"/>
    <e v="#REF!"/>
    <e v="#REF!"/>
    <e v="#REF!"/>
    <e v="#REF!"/>
    <e v="#REF!"/>
    <e v="#REF!"/>
    <e v="#REF!"/>
    <e v="#REF!"/>
    <e v="#REF!"/>
    <e v="#REF!"/>
  </r>
  <r>
    <s v="PISO 3"/>
    <n v="0"/>
    <n v="0"/>
    <n v="0"/>
    <n v="0"/>
    <n v="0"/>
    <n v="0"/>
    <n v="0"/>
    <n v="0"/>
    <e v="#DIV/0!"/>
    <e v="#REF!"/>
    <e v="#REF!"/>
    <e v="#REF!"/>
    <e v="#REF!"/>
    <e v="#REF!"/>
    <e v="#REF!"/>
    <e v="#REF!"/>
    <e v="#REF!"/>
    <e v="#REF!"/>
    <e v="#REF!"/>
    <e v="#DIV/0!"/>
  </r>
  <r>
    <n v="401"/>
    <n v="0"/>
    <n v="0"/>
    <n v="0"/>
    <n v="0"/>
    <n v="0"/>
    <n v="0"/>
    <n v="0"/>
    <n v="0"/>
    <n v="0"/>
    <n v="0"/>
    <n v="0"/>
    <n v="0"/>
    <n v="0"/>
    <n v="0"/>
    <n v="0"/>
    <n v="0"/>
    <n v="0"/>
    <n v="0"/>
    <n v="0"/>
    <n v="0"/>
  </r>
  <r>
    <n v="402"/>
    <n v="0"/>
    <n v="0"/>
    <n v="0"/>
    <n v="0"/>
    <n v="0"/>
    <n v="0"/>
    <n v="0"/>
    <n v="0"/>
    <n v="0"/>
    <n v="0"/>
    <n v="0"/>
    <n v="0"/>
    <n v="0"/>
    <n v="0"/>
    <n v="0"/>
    <n v="0"/>
    <n v="0"/>
    <n v="0"/>
    <n v="0"/>
    <n v="0"/>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m/>
    <m/>
    <m/>
    <m/>
    <m/>
    <m/>
    <m/>
    <m/>
    <m/>
    <m/>
    <m/>
    <m/>
    <m/>
    <m/>
    <m/>
    <m/>
    <m/>
    <m/>
    <m/>
    <m/>
    <m/>
  </r>
  <r>
    <n v="403"/>
    <n v="0"/>
    <n v="0"/>
    <n v="0"/>
    <n v="0"/>
    <n v="0"/>
    <n v="0"/>
    <n v="0"/>
    <n v="0"/>
    <n v="0"/>
    <n v="0"/>
    <n v="0"/>
    <n v="0"/>
    <n v="0"/>
    <n v="0"/>
    <n v="0"/>
    <n v="0"/>
    <n v="0"/>
    <n v="0"/>
    <n v="0"/>
    <n v="0"/>
  </r>
  <r>
    <n v="404"/>
    <n v="0"/>
    <n v="0"/>
    <n v="0"/>
    <n v="0"/>
    <n v="0"/>
    <n v="0"/>
    <n v="0"/>
    <n v="0"/>
    <n v="0"/>
    <n v="0"/>
    <n v="0"/>
    <n v="0"/>
    <n v="0"/>
    <n v="0"/>
    <n v="0"/>
    <n v="0"/>
    <n v="0"/>
    <n v="0"/>
    <n v="0"/>
    <n v="0"/>
  </r>
  <r>
    <n v="405"/>
    <n v="0"/>
    <n v="0"/>
    <n v="0"/>
    <n v="0"/>
    <n v="0"/>
    <n v="0"/>
    <n v="0"/>
    <n v="0"/>
    <n v="0"/>
    <n v="0"/>
    <n v="0"/>
    <n v="0"/>
    <n v="0"/>
    <n v="0"/>
    <n v="0"/>
    <n v="0"/>
    <n v="0"/>
    <n v="0"/>
    <n v="0"/>
    <n v="0"/>
  </r>
  <r>
    <n v="406"/>
    <n v="0"/>
    <n v="0"/>
    <n v="0"/>
    <n v="0"/>
    <n v="0"/>
    <n v="0"/>
    <n v="0"/>
    <n v="0"/>
    <n v="0"/>
    <n v="0"/>
    <n v="0"/>
    <n v="0"/>
    <n v="0"/>
    <n v="0"/>
    <n v="0"/>
    <n v="0"/>
    <n v="0"/>
    <n v="0"/>
    <n v="0"/>
    <n v="0"/>
  </r>
  <r>
    <n v="407"/>
    <n v="0"/>
    <n v="0"/>
    <n v="0"/>
    <n v="0"/>
    <n v="0"/>
    <n v="0"/>
    <n v="0"/>
    <n v="0"/>
    <n v="0"/>
    <n v="0"/>
    <n v="0"/>
    <n v="0"/>
    <n v="0"/>
    <n v="0"/>
    <n v="0"/>
    <n v="0"/>
    <n v="0"/>
    <n v="0"/>
    <n v="0"/>
    <n v="0"/>
  </r>
  <r>
    <n v="408"/>
    <n v="0"/>
    <n v="0"/>
    <n v="0"/>
    <n v="0"/>
    <n v="0"/>
    <n v="0"/>
    <n v="0"/>
    <n v="0"/>
    <n v="0"/>
    <n v="0"/>
    <n v="0"/>
    <n v="0"/>
    <n v="0"/>
    <n v="0"/>
    <n v="0"/>
    <n v="0"/>
    <n v="0"/>
    <n v="0"/>
    <n v="0"/>
    <n v="0"/>
  </r>
  <r>
    <n v="409"/>
    <n v="0"/>
    <n v="0"/>
    <n v="0"/>
    <n v="0"/>
    <n v="0"/>
    <n v="0"/>
    <n v="0"/>
    <n v="0"/>
    <n v="0"/>
    <n v="0"/>
    <n v="0"/>
    <n v="0"/>
    <n v="0"/>
    <n v="0"/>
    <n v="0"/>
    <n v="0"/>
    <n v="0"/>
    <n v="0"/>
    <n v="0"/>
    <n v="0"/>
  </r>
  <r>
    <n v="410"/>
    <n v="0"/>
    <n v="0"/>
    <n v="0"/>
    <n v="0"/>
    <n v="0"/>
    <n v="0"/>
    <n v="0"/>
    <n v="0"/>
    <n v="0"/>
    <n v="0"/>
    <n v="0"/>
    <n v="0"/>
    <n v="0"/>
    <n v="0"/>
    <n v="0"/>
    <n v="0"/>
    <n v="0"/>
    <n v="0"/>
    <n v="0"/>
    <n v="0"/>
  </r>
  <r>
    <n v="411"/>
    <n v="0"/>
    <n v="0"/>
    <n v="0"/>
    <n v="0"/>
    <n v="0"/>
    <n v="0"/>
    <n v="0"/>
    <n v="0"/>
    <n v="0"/>
    <n v="0"/>
    <n v="0"/>
    <n v="0"/>
    <n v="0"/>
    <n v="0"/>
    <n v="0"/>
    <n v="0"/>
    <n v="0"/>
    <n v="0"/>
    <n v="0"/>
    <n v="0"/>
  </r>
  <r>
    <n v="412"/>
    <n v="0"/>
    <n v="0"/>
    <n v="0"/>
    <n v="0"/>
    <n v="0"/>
    <n v="0"/>
    <n v="0"/>
    <n v="0"/>
    <n v="0"/>
    <n v="0"/>
    <n v="0"/>
    <n v="0"/>
    <n v="0"/>
    <n v="0"/>
    <n v="0"/>
    <n v="0"/>
    <n v="0"/>
    <n v="0"/>
    <n v="0"/>
    <n v="0"/>
  </r>
  <r>
    <n v="413"/>
    <n v="0"/>
    <n v="0"/>
    <n v="0"/>
    <n v="0"/>
    <n v="0"/>
    <n v="0"/>
    <n v="0"/>
    <n v="0"/>
    <n v="0"/>
    <n v="0"/>
    <n v="0"/>
    <n v="0"/>
    <n v="0"/>
    <n v="0"/>
    <n v="0"/>
    <n v="0"/>
    <n v="0"/>
    <n v="0"/>
    <n v="0"/>
    <n v="0"/>
  </r>
  <r>
    <n v="414"/>
    <n v="0"/>
    <n v="0"/>
    <n v="0"/>
    <n v="0"/>
    <n v="0"/>
    <n v="0"/>
    <n v="0"/>
    <n v="0"/>
    <n v="0"/>
    <n v="0"/>
    <n v="0"/>
    <n v="0"/>
    <n v="0"/>
    <n v="0"/>
    <n v="0"/>
    <n v="0"/>
    <n v="0"/>
    <n v="0"/>
    <n v="0"/>
    <n v="0"/>
  </r>
  <r>
    <n v="415"/>
    <n v="0"/>
    <n v="0"/>
    <n v="0"/>
    <n v="0"/>
    <n v="0"/>
    <n v="0"/>
    <n v="0"/>
    <n v="0"/>
    <e v="#REF!"/>
    <e v="#REF!"/>
    <e v="#REF!"/>
    <e v="#REF!"/>
    <e v="#REF!"/>
    <e v="#REF!"/>
    <e v="#REF!"/>
    <e v="#REF!"/>
    <e v="#REF!"/>
    <e v="#REF!"/>
    <e v="#REF!"/>
    <e v="#REF!"/>
  </r>
  <r>
    <n v="416"/>
    <n v="0"/>
    <n v="0"/>
    <n v="0"/>
    <n v="0"/>
    <n v="0"/>
    <n v="0"/>
    <n v="0"/>
    <n v="0"/>
    <e v="#REF!"/>
    <e v="#REF!"/>
    <e v="#REF!"/>
    <e v="#REF!"/>
    <e v="#REF!"/>
    <e v="#REF!"/>
    <e v="#REF!"/>
    <e v="#REF!"/>
    <e v="#REF!"/>
    <e v="#REF!"/>
    <e v="#REF!"/>
    <e v="#REF!"/>
  </r>
  <r>
    <n v="417"/>
    <n v="0"/>
    <n v="0"/>
    <n v="0"/>
    <n v="0"/>
    <n v="0"/>
    <n v="0"/>
    <n v="0"/>
    <n v="0"/>
    <e v="#REF!"/>
    <e v="#REF!"/>
    <e v="#REF!"/>
    <e v="#REF!"/>
    <e v="#REF!"/>
    <e v="#REF!"/>
    <e v="#REF!"/>
    <e v="#REF!"/>
    <e v="#REF!"/>
    <e v="#REF!"/>
    <e v="#REF!"/>
    <e v="#REF!"/>
  </r>
  <r>
    <s v="PISO 4"/>
    <n v="0"/>
    <n v="0"/>
    <n v="0"/>
    <n v="0"/>
    <n v="0"/>
    <n v="0"/>
    <n v="0"/>
    <n v="0"/>
    <e v="#REF!"/>
    <e v="#REF!"/>
    <e v="#REF!"/>
    <e v="#REF!"/>
    <e v="#REF!"/>
    <e v="#REF!"/>
    <e v="#REF!"/>
    <e v="#REF!"/>
    <e v="#REF!"/>
    <e v="#REF!"/>
    <e v="#REF!"/>
    <e v="#REF!"/>
  </r>
  <r>
    <n v="501"/>
    <n v="0"/>
    <n v="0"/>
    <n v="0"/>
    <n v="0"/>
    <n v="0"/>
    <n v="0"/>
    <n v="0"/>
    <n v="0"/>
    <n v="0"/>
    <n v="0"/>
    <n v="0"/>
    <n v="0"/>
    <n v="0"/>
    <n v="0"/>
    <n v="0"/>
    <n v="0"/>
    <n v="0"/>
    <n v="0"/>
    <n v="0"/>
    <n v="0"/>
  </r>
  <r>
    <n v="502"/>
    <n v="0"/>
    <n v="0"/>
    <n v="0"/>
    <n v="0"/>
    <n v="0"/>
    <n v="0"/>
    <n v="0"/>
    <n v="0"/>
    <n v="0"/>
    <n v="0"/>
    <n v="0"/>
    <n v="0"/>
    <n v="0"/>
    <n v="0"/>
    <n v="0"/>
    <n v="0"/>
    <n v="0"/>
    <n v="0"/>
    <n v="0"/>
    <n v="0"/>
  </r>
  <r>
    <n v="503"/>
    <n v="0"/>
    <n v="0"/>
    <n v="0"/>
    <n v="0"/>
    <n v="0"/>
    <n v="0"/>
    <n v="0"/>
    <n v="0"/>
    <n v="0"/>
    <n v="0"/>
    <n v="0"/>
    <n v="0"/>
    <n v="0"/>
    <n v="0"/>
    <n v="0"/>
    <n v="0"/>
    <n v="0"/>
    <n v="0"/>
    <n v="0"/>
    <n v="0"/>
  </r>
  <r>
    <n v="504"/>
    <n v="0"/>
    <n v="0"/>
    <n v="0"/>
    <n v="0"/>
    <n v="0"/>
    <n v="0"/>
    <n v="0"/>
    <n v="0"/>
    <n v="0"/>
    <n v="0"/>
    <n v="0"/>
    <n v="0"/>
    <n v="0"/>
    <n v="0"/>
    <n v="0"/>
    <n v="0"/>
    <n v="0"/>
    <n v="0"/>
    <n v="0"/>
    <n v="0"/>
  </r>
  <r>
    <n v="505"/>
    <n v="0"/>
    <n v="0"/>
    <n v="0"/>
    <n v="0"/>
    <n v="0"/>
    <n v="0"/>
    <n v="0"/>
    <n v="0"/>
    <n v="0"/>
    <n v="0"/>
    <n v="0"/>
    <n v="0"/>
    <n v="0"/>
    <n v="0"/>
    <n v="0"/>
    <n v="0"/>
    <n v="0"/>
    <n v="0"/>
    <n v="0"/>
    <n v="0"/>
  </r>
  <r>
    <n v="506"/>
    <n v="0"/>
    <n v="0"/>
    <n v="0"/>
    <n v="0"/>
    <n v="0"/>
    <n v="0"/>
    <n v="0"/>
    <n v="0"/>
    <n v="0"/>
    <n v="0"/>
    <n v="0"/>
    <n v="0"/>
    <n v="0"/>
    <n v="0"/>
    <n v="0"/>
    <n v="0"/>
    <n v="0"/>
    <n v="0"/>
    <n v="0"/>
    <n v="0"/>
  </r>
  <r>
    <n v="507"/>
    <n v="0"/>
    <n v="0"/>
    <n v="0"/>
    <n v="0"/>
    <n v="0"/>
    <n v="0"/>
    <n v="0"/>
    <n v="0"/>
    <n v="0"/>
    <n v="0"/>
    <n v="0"/>
    <n v="0"/>
    <n v="0"/>
    <n v="0"/>
    <n v="0"/>
    <n v="0"/>
    <n v="0"/>
    <n v="0"/>
    <n v="0"/>
    <n v="0"/>
  </r>
  <r>
    <n v="508"/>
    <n v="0"/>
    <n v="0"/>
    <n v="0"/>
    <n v="0"/>
    <n v="0"/>
    <n v="0"/>
    <n v="0"/>
    <n v="0"/>
    <n v="0"/>
    <n v="0"/>
    <n v="0"/>
    <n v="0"/>
    <n v="0"/>
    <n v="0"/>
    <n v="0"/>
    <n v="0"/>
    <n v="0"/>
    <n v="0"/>
    <n v="0"/>
    <n v="0"/>
  </r>
  <r>
    <n v="509"/>
    <n v="0"/>
    <n v="0"/>
    <n v="0"/>
    <n v="0"/>
    <n v="0"/>
    <n v="0"/>
    <n v="0"/>
    <n v="0"/>
    <n v="0"/>
    <n v="0"/>
    <n v="0"/>
    <n v="0"/>
    <n v="0"/>
    <n v="0"/>
    <n v="0"/>
    <n v="0"/>
    <n v="0"/>
    <n v="0"/>
    <n v="0"/>
    <n v="0"/>
  </r>
  <r>
    <n v="510"/>
    <n v="0"/>
    <n v="0"/>
    <n v="0"/>
    <n v="0"/>
    <n v="0"/>
    <n v="0"/>
    <n v="0"/>
    <n v="0"/>
    <n v="0"/>
    <n v="0"/>
    <n v="0"/>
    <n v="0"/>
    <n v="0"/>
    <n v="0"/>
    <n v="0"/>
    <n v="0"/>
    <n v="0"/>
    <n v="0"/>
    <n v="0"/>
    <n v="0"/>
  </r>
  <r>
    <n v="511"/>
    <n v="0"/>
    <n v="0"/>
    <n v="0"/>
    <n v="0"/>
    <n v="0"/>
    <n v="0"/>
    <n v="0"/>
    <n v="0"/>
    <n v="0"/>
    <n v="0"/>
    <n v="0"/>
    <n v="0"/>
    <n v="0"/>
    <n v="0"/>
    <n v="0"/>
    <n v="0"/>
    <n v="0"/>
    <n v="0"/>
    <n v="0"/>
    <n v="0"/>
  </r>
  <r>
    <n v="512"/>
    <n v="0"/>
    <n v="0"/>
    <n v="0"/>
    <n v="0"/>
    <n v="0"/>
    <n v="0"/>
    <n v="0"/>
    <n v="0"/>
    <n v="0"/>
    <n v="0"/>
    <n v="0"/>
    <n v="0"/>
    <n v="0"/>
    <n v="0"/>
    <n v="0"/>
    <n v="0"/>
    <n v="0"/>
    <n v="0"/>
    <n v="0"/>
    <n v="0"/>
  </r>
  <r>
    <n v="513"/>
    <n v="0"/>
    <n v="0"/>
    <n v="0"/>
    <n v="0"/>
    <n v="0"/>
    <n v="0"/>
    <n v="0"/>
    <n v="0"/>
    <n v="0"/>
    <n v="0"/>
    <n v="0"/>
    <n v="0"/>
    <n v="0"/>
    <n v="0"/>
    <n v="0"/>
    <n v="0"/>
    <n v="0"/>
    <n v="0"/>
    <n v="0"/>
    <n v="0"/>
  </r>
  <r>
    <n v="514"/>
    <n v="0"/>
    <n v="0"/>
    <n v="0"/>
    <n v="0"/>
    <n v="0"/>
    <n v="0"/>
    <n v="0"/>
    <n v="0"/>
    <n v="0"/>
    <n v="0"/>
    <n v="0"/>
    <n v="0"/>
    <n v="0"/>
    <n v="0"/>
    <n v="0"/>
    <n v="0"/>
    <n v="0"/>
    <n v="0"/>
    <n v="0"/>
    <n v="0"/>
  </r>
  <r>
    <n v="515"/>
    <e v="#REF!"/>
    <e v="#REF!"/>
    <e v="#REF!"/>
    <e v="#REF!"/>
    <e v="#REF!"/>
    <e v="#REF!"/>
    <e v="#REF!"/>
    <e v="#REF!"/>
    <e v="#REF!"/>
    <e v="#REF!"/>
    <e v="#REF!"/>
    <e v="#REF!"/>
    <e v="#REF!"/>
    <e v="#REF!"/>
    <e v="#REF!"/>
    <e v="#REF!"/>
    <e v="#REF!"/>
    <e v="#REF!"/>
    <e v="#REF!"/>
    <e v="#REF!"/>
  </r>
  <r>
    <n v="516"/>
    <e v="#REF!"/>
    <e v="#REF!"/>
    <e v="#REF!"/>
    <e v="#REF!"/>
    <e v="#REF!"/>
    <e v="#REF!"/>
    <e v="#REF!"/>
    <e v="#REF!"/>
    <e v="#REF!"/>
    <e v="#REF!"/>
    <e v="#REF!"/>
    <e v="#REF!"/>
    <e v="#REF!"/>
    <e v="#REF!"/>
    <e v="#REF!"/>
    <e v="#REF!"/>
    <e v="#REF!"/>
    <e v="#REF!"/>
    <e v="#REF!"/>
    <e v="#REF!"/>
  </r>
  <r>
    <n v="517"/>
    <e v="#REF!"/>
    <e v="#REF!"/>
    <e v="#REF!"/>
    <e v="#REF!"/>
    <e v="#REF!"/>
    <e v="#REF!"/>
    <e v="#REF!"/>
    <e v="#REF!"/>
    <e v="#REF!"/>
    <e v="#REF!"/>
    <e v="#REF!"/>
    <e v="#REF!"/>
    <e v="#REF!"/>
    <e v="#REF!"/>
    <e v="#REF!"/>
    <e v="#REF!"/>
    <e v="#REF!"/>
    <e v="#REF!"/>
    <e v="#REF!"/>
    <e v="#REF!"/>
  </r>
  <r>
    <s v="PISO 5"/>
    <e v="#REF!"/>
    <e v="#REF!"/>
    <e v="#REF!"/>
    <e v="#REF!"/>
    <e v="#REF!"/>
    <e v="#REF!"/>
    <e v="#REF!"/>
    <e v="#REF!"/>
    <e v="#REF!"/>
    <e v="#REF!"/>
    <e v="#REF!"/>
    <e v="#REF!"/>
    <e v="#REF!"/>
    <e v="#REF!"/>
    <e v="#REF!"/>
    <e v="#REF!"/>
    <e v="#REF!"/>
    <e v="#REF!"/>
    <e v="#REF!"/>
    <e v="#REF!"/>
  </r>
  <r>
    <n v="601"/>
    <n v="0"/>
    <n v="0"/>
    <n v="0"/>
    <n v="0"/>
    <n v="0"/>
    <n v="0"/>
    <n v="0"/>
    <n v="0"/>
    <n v="0"/>
    <n v="0"/>
    <n v="0"/>
    <n v="0"/>
    <n v="0"/>
    <n v="0"/>
    <n v="0"/>
    <n v="0"/>
    <n v="0"/>
    <n v="0"/>
    <n v="0"/>
    <n v="0"/>
  </r>
  <r>
    <n v="602"/>
    <n v="0"/>
    <n v="0"/>
    <n v="0"/>
    <n v="0"/>
    <n v="0"/>
    <n v="0"/>
    <n v="0"/>
    <n v="0"/>
    <n v="0"/>
    <n v="0"/>
    <n v="0"/>
    <n v="0"/>
    <n v="0"/>
    <n v="0"/>
    <n v="0"/>
    <n v="0"/>
    <n v="0"/>
    <n v="0"/>
    <n v="0"/>
    <n v="0"/>
  </r>
  <r>
    <n v="603"/>
    <n v="0"/>
    <n v="0"/>
    <n v="0"/>
    <n v="0"/>
    <n v="0"/>
    <n v="0"/>
    <n v="0"/>
    <n v="0"/>
    <n v="0"/>
    <n v="0"/>
    <n v="0"/>
    <n v="0"/>
    <n v="0"/>
    <n v="0"/>
    <n v="0"/>
    <n v="0"/>
    <n v="0"/>
    <n v="0"/>
    <n v="0"/>
    <n v="0"/>
  </r>
  <r>
    <n v="604"/>
    <n v="0"/>
    <n v="0"/>
    <n v="0"/>
    <n v="0"/>
    <n v="0"/>
    <n v="0"/>
    <n v="0"/>
    <n v="0"/>
    <n v="0"/>
    <n v="0"/>
    <n v="0"/>
    <n v="0"/>
    <n v="0"/>
    <n v="0"/>
    <n v="0"/>
    <n v="0"/>
    <n v="0"/>
    <n v="0"/>
    <n v="0"/>
    <n v="0"/>
  </r>
  <r>
    <n v="605"/>
    <n v="0"/>
    <n v="0"/>
    <n v="0"/>
    <n v="0"/>
    <n v="0"/>
    <n v="0"/>
    <n v="0"/>
    <n v="0"/>
    <n v="0"/>
    <n v="0"/>
    <n v="0"/>
    <n v="0"/>
    <n v="0"/>
    <n v="0"/>
    <n v="0"/>
    <n v="0"/>
    <n v="0"/>
    <n v="0"/>
    <n v="0"/>
    <n v="0"/>
  </r>
  <r>
    <n v="606"/>
    <n v="0"/>
    <n v="0"/>
    <n v="0"/>
    <n v="0"/>
    <n v="0"/>
    <n v="0"/>
    <n v="0"/>
    <n v="0"/>
    <n v="0"/>
    <n v="0"/>
    <n v="0"/>
    <n v="0"/>
    <n v="0"/>
    <n v="0"/>
    <n v="0"/>
    <n v="0"/>
    <n v="0"/>
    <n v="0"/>
    <n v="0"/>
    <n v="0"/>
  </r>
  <r>
    <n v="607"/>
    <n v="0"/>
    <n v="0"/>
    <n v="0"/>
    <n v="0"/>
    <n v="0"/>
    <n v="0"/>
    <n v="0"/>
    <n v="0"/>
    <n v="0"/>
    <n v="0"/>
    <n v="0"/>
    <n v="0"/>
    <n v="0"/>
    <n v="0"/>
    <n v="0"/>
    <n v="0"/>
    <n v="0"/>
    <n v="0"/>
    <n v="0"/>
    <n v="0"/>
  </r>
  <r>
    <n v="608"/>
    <n v="0"/>
    <n v="0"/>
    <n v="0"/>
    <n v="0"/>
    <n v="0"/>
    <n v="0"/>
    <n v="0"/>
    <n v="0"/>
    <n v="0"/>
    <n v="0"/>
    <n v="0"/>
    <n v="0"/>
    <n v="0"/>
    <n v="0"/>
    <n v="0"/>
    <n v="0"/>
    <n v="0"/>
    <n v="0"/>
    <n v="0"/>
    <n v="0"/>
  </r>
  <r>
    <n v="609"/>
    <n v="0"/>
    <n v="0"/>
    <n v="0"/>
    <n v="0"/>
    <n v="0"/>
    <n v="0"/>
    <n v="0"/>
    <n v="0"/>
    <n v="0"/>
    <n v="0"/>
    <n v="0"/>
    <n v="0"/>
    <n v="0"/>
    <n v="0"/>
    <n v="0"/>
    <n v="0"/>
    <n v="0"/>
    <n v="0"/>
    <n v="0"/>
    <n v="0"/>
  </r>
  <r>
    <n v="610"/>
    <n v="0"/>
    <n v="0"/>
    <n v="0"/>
    <n v="0"/>
    <n v="0"/>
    <n v="0"/>
    <n v="0"/>
    <n v="0"/>
    <n v="0"/>
    <n v="0"/>
    <n v="0"/>
    <n v="0"/>
    <n v="0"/>
    <n v="0"/>
    <n v="0"/>
    <n v="0"/>
    <n v="0"/>
    <n v="0"/>
    <n v="0"/>
    <n v="0"/>
  </r>
  <r>
    <n v="611"/>
    <n v="0"/>
    <n v="0"/>
    <n v="0"/>
    <n v="0"/>
    <n v="0"/>
    <n v="0"/>
    <n v="0"/>
    <n v="0"/>
    <n v="0"/>
    <n v="0"/>
    <n v="0"/>
    <n v="0"/>
    <n v="0"/>
    <n v="0"/>
    <n v="0"/>
    <n v="0"/>
    <n v="0"/>
    <n v="0"/>
    <n v="0"/>
    <n v="0"/>
  </r>
  <r>
    <n v="612"/>
    <n v="0"/>
    <n v="0"/>
    <n v="0"/>
    <n v="0"/>
    <n v="0"/>
    <n v="0"/>
    <n v="0"/>
    <n v="0"/>
    <n v="0"/>
    <n v="0"/>
    <n v="0"/>
    <n v="0"/>
    <n v="0"/>
    <n v="0"/>
    <n v="0"/>
    <n v="0"/>
    <n v="0"/>
    <n v="0"/>
    <n v="0"/>
    <n v="0"/>
  </r>
  <r>
    <n v="613"/>
    <n v="0"/>
    <n v="0"/>
    <n v="0"/>
    <n v="0"/>
    <n v="0"/>
    <n v="0"/>
    <n v="0"/>
    <n v="0"/>
    <n v="0"/>
    <n v="0"/>
    <n v="0"/>
    <n v="0"/>
    <n v="0"/>
    <n v="0"/>
    <n v="0"/>
    <n v="0"/>
    <n v="0"/>
    <n v="0"/>
    <n v="0"/>
    <n v="0"/>
  </r>
  <r>
    <n v="614"/>
    <n v="0"/>
    <n v="0"/>
    <n v="0"/>
    <n v="0"/>
    <n v="0"/>
    <n v="0"/>
    <n v="0"/>
    <n v="0"/>
    <n v="0"/>
    <n v="0"/>
    <n v="0"/>
    <n v="0"/>
    <n v="0"/>
    <n v="0"/>
    <n v="0"/>
    <n v="0"/>
    <n v="0"/>
    <n v="0"/>
    <n v="0"/>
    <n v="0"/>
  </r>
  <r>
    <n v="615"/>
    <e v="#REF!"/>
    <e v="#REF!"/>
    <e v="#REF!"/>
    <e v="#REF!"/>
    <e v="#REF!"/>
    <e v="#REF!"/>
    <e v="#REF!"/>
    <e v="#REF!"/>
    <e v="#REF!"/>
    <e v="#REF!"/>
    <e v="#REF!"/>
    <e v="#REF!"/>
    <e v="#REF!"/>
    <e v="#REF!"/>
    <e v="#REF!"/>
    <e v="#REF!"/>
    <e v="#REF!"/>
    <e v="#REF!"/>
    <e v="#REF!"/>
    <e v="#REF!"/>
  </r>
  <r>
    <n v="616"/>
    <e v="#REF!"/>
    <e v="#REF!"/>
    <e v="#REF!"/>
    <e v="#REF!"/>
    <e v="#REF!"/>
    <e v="#REF!"/>
    <e v="#REF!"/>
    <e v="#REF!"/>
    <e v="#REF!"/>
    <e v="#REF!"/>
    <e v="#REF!"/>
    <e v="#REF!"/>
    <e v="#REF!"/>
    <e v="#REF!"/>
    <e v="#REF!"/>
    <e v="#REF!"/>
    <e v="#REF!"/>
    <e v="#REF!"/>
    <e v="#REF!"/>
    <e v="#REF!"/>
  </r>
  <r>
    <n v="617"/>
    <e v="#REF!"/>
    <e v="#REF!"/>
    <e v="#REF!"/>
    <e v="#REF!"/>
    <e v="#REF!"/>
    <e v="#REF!"/>
    <e v="#REF!"/>
    <e v="#REF!"/>
    <e v="#REF!"/>
    <e v="#REF!"/>
    <e v="#REF!"/>
    <e v="#REF!"/>
    <e v="#REF!"/>
    <e v="#REF!"/>
    <e v="#REF!"/>
    <e v="#REF!"/>
    <e v="#REF!"/>
    <e v="#REF!"/>
    <e v="#REF!"/>
    <e v="#REF!"/>
  </r>
  <r>
    <s v="PISO 6"/>
    <e v="#REF!"/>
    <e v="#REF!"/>
    <e v="#REF!"/>
    <e v="#REF!"/>
    <e v="#REF!"/>
    <e v="#REF!"/>
    <e v="#REF!"/>
    <e v="#REF!"/>
    <e v="#REF!"/>
    <e v="#REF!"/>
    <e v="#REF!"/>
    <e v="#REF!"/>
    <e v="#REF!"/>
    <e v="#REF!"/>
    <e v="#REF!"/>
    <e v="#REF!"/>
    <e v="#REF!"/>
    <e v="#REF!"/>
    <e v="#REF!"/>
    <e v="#REF!"/>
  </r>
  <r>
    <n v="701"/>
    <n v="0"/>
    <n v="0"/>
    <n v="0"/>
    <n v="0"/>
    <n v="0"/>
    <n v="0"/>
    <n v="0"/>
    <n v="0"/>
    <n v="0"/>
    <n v="0"/>
    <n v="0"/>
    <n v="0"/>
    <n v="0"/>
    <n v="0"/>
    <n v="0"/>
    <n v="0"/>
    <n v="0"/>
    <n v="0"/>
    <n v="0"/>
    <n v="0"/>
  </r>
  <r>
    <n v="702"/>
    <n v="0"/>
    <n v="0"/>
    <n v="0"/>
    <n v="0"/>
    <n v="0"/>
    <n v="0"/>
    <n v="0"/>
    <n v="0"/>
    <n v="0"/>
    <n v="0"/>
    <n v="0"/>
    <n v="0"/>
    <n v="0"/>
    <n v="0"/>
    <n v="0"/>
    <n v="0"/>
    <n v="0"/>
    <n v="0"/>
    <n v="0"/>
    <n v="0"/>
  </r>
  <r>
    <n v="703"/>
    <n v="0"/>
    <n v="0"/>
    <n v="0"/>
    <n v="0"/>
    <n v="0"/>
    <n v="0"/>
    <n v="0"/>
    <n v="0"/>
    <n v="0"/>
    <n v="0"/>
    <n v="0"/>
    <n v="0"/>
    <n v="0"/>
    <n v="0"/>
    <n v="0"/>
    <n v="0"/>
    <n v="0"/>
    <n v="0"/>
    <n v="0"/>
    <n v="0"/>
  </r>
  <r>
    <n v="704"/>
    <n v="0"/>
    <n v="0"/>
    <n v="0"/>
    <n v="0"/>
    <n v="0"/>
    <n v="0"/>
    <n v="0"/>
    <n v="0"/>
    <n v="0"/>
    <n v="0"/>
    <n v="0"/>
    <n v="0"/>
    <n v="0"/>
    <n v="0"/>
    <n v="0"/>
    <n v="0"/>
    <n v="0"/>
    <n v="0"/>
    <n v="0"/>
    <n v="0"/>
  </r>
  <r>
    <n v="705"/>
    <n v="0"/>
    <n v="0"/>
    <n v="0"/>
    <n v="0"/>
    <n v="0"/>
    <n v="0"/>
    <n v="0"/>
    <n v="0"/>
    <n v="0"/>
    <n v="0"/>
    <n v="0"/>
    <n v="0"/>
    <n v="0"/>
    <n v="0"/>
    <n v="0"/>
    <n v="0"/>
    <n v="0"/>
    <n v="0"/>
    <n v="0"/>
    <n v="0"/>
  </r>
  <r>
    <n v="706"/>
    <n v="0"/>
    <n v="0"/>
    <n v="0"/>
    <n v="0"/>
    <n v="0"/>
    <n v="0"/>
    <n v="0"/>
    <n v="0"/>
    <n v="0"/>
    <n v="0"/>
    <n v="0"/>
    <n v="0"/>
    <n v="0"/>
    <n v="0"/>
    <n v="0"/>
    <n v="0"/>
    <n v="0"/>
    <n v="0"/>
    <n v="0"/>
    <n v="0"/>
  </r>
  <r>
    <n v="707"/>
    <n v="0"/>
    <n v="0"/>
    <n v="0"/>
    <n v="0"/>
    <n v="0"/>
    <n v="0"/>
    <n v="0"/>
    <n v="0"/>
    <n v="0"/>
    <n v="0"/>
    <n v="0"/>
    <n v="0"/>
    <n v="0"/>
    <n v="0"/>
    <n v="0"/>
    <n v="0"/>
    <n v="0"/>
    <n v="0"/>
    <n v="0"/>
    <n v="0"/>
  </r>
  <r>
    <n v="708"/>
    <n v="0"/>
    <n v="0"/>
    <n v="0"/>
    <n v="0"/>
    <n v="0"/>
    <n v="0"/>
    <n v="0"/>
    <n v="0"/>
    <n v="0"/>
    <n v="0"/>
    <n v="0"/>
    <n v="0"/>
    <n v="0"/>
    <n v="0"/>
    <n v="0"/>
    <n v="0"/>
    <n v="0"/>
    <n v="0"/>
    <n v="0"/>
    <n v="0"/>
  </r>
  <r>
    <n v="709"/>
    <n v="0"/>
    <n v="0"/>
    <n v="0"/>
    <n v="0"/>
    <n v="0"/>
    <n v="0"/>
    <n v="0"/>
    <n v="0"/>
    <n v="0"/>
    <n v="0"/>
    <n v="0"/>
    <n v="0"/>
    <n v="0"/>
    <n v="0"/>
    <n v="0"/>
    <n v="0"/>
    <n v="0"/>
    <n v="0"/>
    <n v="0"/>
    <n v="0"/>
  </r>
  <r>
    <n v="710"/>
    <n v="0"/>
    <n v="0"/>
    <n v="0"/>
    <n v="0"/>
    <n v="0"/>
    <n v="0"/>
    <n v="0"/>
    <n v="0"/>
    <n v="0"/>
    <n v="0"/>
    <n v="0"/>
    <n v="0"/>
    <n v="0"/>
    <n v="0"/>
    <n v="0"/>
    <n v="0"/>
    <n v="0"/>
    <n v="0"/>
    <n v="0"/>
    <n v="0"/>
  </r>
  <r>
    <n v="711"/>
    <n v="0"/>
    <n v="0"/>
    <n v="0"/>
    <n v="0"/>
    <n v="0"/>
    <n v="0"/>
    <n v="0"/>
    <n v="0"/>
    <n v="0"/>
    <n v="0"/>
    <n v="0"/>
    <n v="0"/>
    <n v="0"/>
    <n v="0"/>
    <n v="0"/>
    <n v="0"/>
    <n v="0"/>
    <n v="0"/>
    <n v="0"/>
    <n v="0"/>
  </r>
  <r>
    <n v="712"/>
    <n v="0"/>
    <n v="0"/>
    <n v="0"/>
    <n v="0"/>
    <n v="0"/>
    <n v="0"/>
    <n v="0"/>
    <n v="0"/>
    <n v="0"/>
    <n v="0"/>
    <n v="0"/>
    <n v="0"/>
    <n v="0"/>
    <n v="0"/>
    <n v="0"/>
    <n v="0"/>
    <n v="0"/>
    <n v="0"/>
    <n v="0"/>
    <n v="0"/>
  </r>
  <r>
    <n v="713"/>
    <n v="0"/>
    <n v="0"/>
    <n v="0"/>
    <n v="0"/>
    <n v="0"/>
    <n v="0"/>
    <n v="0"/>
    <n v="0"/>
    <n v="0"/>
    <n v="0"/>
    <n v="0"/>
    <n v="0"/>
    <n v="0"/>
    <n v="0"/>
    <n v="0"/>
    <n v="0"/>
    <n v="0"/>
    <n v="0"/>
    <n v="0"/>
    <n v="0"/>
  </r>
  <r>
    <n v="714"/>
    <n v="0"/>
    <n v="0"/>
    <n v="0"/>
    <n v="0"/>
    <n v="0"/>
    <n v="0"/>
    <n v="0"/>
    <n v="0"/>
    <n v="0"/>
    <n v="0"/>
    <n v="0"/>
    <n v="0"/>
    <n v="0"/>
    <n v="0"/>
    <n v="0"/>
    <n v="0"/>
    <n v="0"/>
    <n v="0"/>
    <n v="0"/>
    <n v="0"/>
  </r>
  <r>
    <n v="715"/>
    <e v="#REF!"/>
    <e v="#REF!"/>
    <e v="#REF!"/>
    <e v="#REF!"/>
    <e v="#REF!"/>
    <e v="#REF!"/>
    <e v="#REF!"/>
    <e v="#REF!"/>
    <e v="#REF!"/>
    <e v="#REF!"/>
    <e v="#REF!"/>
    <e v="#REF!"/>
    <e v="#REF!"/>
    <e v="#REF!"/>
    <e v="#REF!"/>
    <e v="#REF!"/>
    <e v="#REF!"/>
    <e v="#REF!"/>
    <e v="#REF!"/>
    <e v="#REF!"/>
  </r>
  <r>
    <n v="716"/>
    <e v="#REF!"/>
    <e v="#REF!"/>
    <e v="#REF!"/>
    <e v="#REF!"/>
    <e v="#REF!"/>
    <e v="#REF!"/>
    <e v="#REF!"/>
    <e v="#REF!"/>
    <e v="#REF!"/>
    <e v="#REF!"/>
    <e v="#REF!"/>
    <e v="#REF!"/>
    <e v="#REF!"/>
    <e v="#REF!"/>
    <e v="#REF!"/>
    <e v="#REF!"/>
    <e v="#REF!"/>
    <e v="#REF!"/>
    <e v="#REF!"/>
    <e v="#REF!"/>
  </r>
  <r>
    <n v="717"/>
    <e v="#REF!"/>
    <e v="#REF!"/>
    <e v="#REF!"/>
    <e v="#REF!"/>
    <e v="#REF!"/>
    <e v="#REF!"/>
    <e v="#REF!"/>
    <e v="#REF!"/>
    <e v="#REF!"/>
    <e v="#REF!"/>
    <e v="#REF!"/>
    <e v="#REF!"/>
    <e v="#REF!"/>
    <e v="#REF!"/>
    <e v="#REF!"/>
    <e v="#REF!"/>
    <e v="#REF!"/>
    <e v="#REF!"/>
    <e v="#REF!"/>
    <e v="#REF!"/>
  </r>
  <r>
    <s v="PISO 7"/>
    <e v="#REF!"/>
    <e v="#REF!"/>
    <e v="#REF!"/>
    <e v="#REF!"/>
    <e v="#REF!"/>
    <e v="#REF!"/>
    <e v="#REF!"/>
    <e v="#REF!"/>
    <e v="#REF!"/>
    <e v="#REF!"/>
    <e v="#REF!"/>
    <e v="#REF!"/>
    <e v="#REF!"/>
    <e v="#REF!"/>
    <e v="#REF!"/>
    <e v="#REF!"/>
    <e v="#REF!"/>
    <e v="#REF!"/>
    <e v="#REF!"/>
    <e v="#REF!"/>
  </r>
  <r>
    <n v="801"/>
    <n v="0"/>
    <n v="0"/>
    <n v="0"/>
    <n v="0"/>
    <n v="0"/>
    <n v="0"/>
    <n v="0"/>
    <n v="0"/>
    <n v="0"/>
    <n v="0"/>
    <n v="0"/>
    <n v="0"/>
    <n v="0"/>
    <n v="0"/>
    <n v="0"/>
    <n v="0"/>
    <n v="0"/>
    <n v="0"/>
    <n v="0"/>
    <n v="0"/>
  </r>
  <r>
    <n v="802"/>
    <n v="0"/>
    <n v="0"/>
    <n v="0"/>
    <n v="0"/>
    <n v="0"/>
    <n v="0"/>
    <n v="0"/>
    <n v="0"/>
    <n v="0"/>
    <n v="0"/>
    <n v="0"/>
    <n v="0"/>
    <n v="0"/>
    <n v="0"/>
    <n v="0"/>
    <n v="0"/>
    <n v="0"/>
    <n v="0"/>
    <n v="0"/>
    <n v="0"/>
  </r>
  <r>
    <n v="803"/>
    <n v="0"/>
    <n v="0"/>
    <n v="0"/>
    <n v="0"/>
    <n v="0"/>
    <n v="0"/>
    <n v="0"/>
    <n v="0"/>
    <n v="0"/>
    <n v="0"/>
    <n v="0"/>
    <n v="0"/>
    <n v="0"/>
    <n v="0"/>
    <n v="0"/>
    <n v="0"/>
    <n v="0"/>
    <n v="0"/>
    <n v="0"/>
    <n v="0"/>
  </r>
  <r>
    <n v="804"/>
    <n v="0"/>
    <n v="0"/>
    <n v="0"/>
    <n v="0"/>
    <n v="0"/>
    <n v="0"/>
    <n v="0"/>
    <n v="0"/>
    <n v="0"/>
    <n v="0"/>
    <n v="0"/>
    <n v="0"/>
    <n v="0"/>
    <n v="0"/>
    <n v="0"/>
    <n v="0"/>
    <n v="0"/>
    <n v="0"/>
    <n v="0"/>
    <n v="0"/>
  </r>
  <r>
    <n v="805"/>
    <n v="0"/>
    <n v="0"/>
    <n v="0"/>
    <n v="0"/>
    <n v="0"/>
    <n v="0"/>
    <n v="0"/>
    <n v="0"/>
    <n v="0"/>
    <n v="0"/>
    <n v="0"/>
    <n v="0"/>
    <n v="0"/>
    <n v="0"/>
    <n v="0"/>
    <n v="0"/>
    <n v="0"/>
    <n v="0"/>
    <n v="0"/>
    <n v="0"/>
  </r>
  <r>
    <n v="806"/>
    <n v="0"/>
    <n v="0"/>
    <n v="0"/>
    <n v="0"/>
    <n v="0"/>
    <n v="0"/>
    <n v="0"/>
    <n v="0"/>
    <n v="0"/>
    <n v="0"/>
    <n v="0"/>
    <n v="0"/>
    <n v="0"/>
    <n v="0"/>
    <n v="0"/>
    <n v="0"/>
    <n v="0"/>
    <n v="0"/>
    <n v="0"/>
    <n v="0"/>
  </r>
  <r>
    <n v="807"/>
    <n v="0"/>
    <n v="0"/>
    <n v="0"/>
    <n v="0"/>
    <n v="0"/>
    <n v="0"/>
    <n v="0"/>
    <n v="0"/>
    <n v="0"/>
    <n v="0"/>
    <n v="0"/>
    <n v="0"/>
    <n v="0"/>
    <n v="0"/>
    <n v="0"/>
    <n v="0"/>
    <n v="0"/>
    <n v="0"/>
    <n v="0"/>
    <n v="0"/>
  </r>
  <r>
    <n v="808"/>
    <n v="0"/>
    <n v="0"/>
    <n v="0"/>
    <n v="0"/>
    <n v="0"/>
    <n v="0"/>
    <n v="0"/>
    <n v="0"/>
    <n v="0"/>
    <n v="0"/>
    <n v="0"/>
    <n v="0"/>
    <n v="0"/>
    <n v="0"/>
    <n v="0"/>
    <n v="0"/>
    <n v="0"/>
    <n v="0"/>
    <n v="0"/>
    <n v="0"/>
  </r>
  <r>
    <n v="809"/>
    <n v="0"/>
    <n v="0"/>
    <n v="0"/>
    <n v="0"/>
    <n v="0"/>
    <n v="0"/>
    <n v="0"/>
    <n v="0"/>
    <n v="0"/>
    <n v="0"/>
    <n v="0"/>
    <n v="0"/>
    <n v="0"/>
    <n v="0"/>
    <n v="0"/>
    <n v="0"/>
    <n v="0"/>
    <n v="0"/>
    <n v="0"/>
    <n v="0"/>
  </r>
  <r>
    <n v="810"/>
    <n v="0"/>
    <n v="0"/>
    <n v="0"/>
    <n v="0"/>
    <n v="0"/>
    <n v="0"/>
    <n v="0"/>
    <n v="0"/>
    <n v="0"/>
    <n v="0"/>
    <n v="0"/>
    <n v="0"/>
    <n v="0"/>
    <n v="0"/>
    <n v="0"/>
    <n v="0"/>
    <n v="0"/>
    <n v="0"/>
    <n v="0"/>
    <n v="0"/>
  </r>
  <r>
    <n v="811"/>
    <n v="0"/>
    <n v="0"/>
    <n v="0"/>
    <n v="0"/>
    <n v="0"/>
    <n v="0"/>
    <n v="0"/>
    <n v="0"/>
    <n v="0"/>
    <n v="0"/>
    <n v="0"/>
    <n v="0"/>
    <n v="0"/>
    <n v="0"/>
    <n v="0"/>
    <n v="0"/>
    <n v="0"/>
    <n v="0"/>
    <n v="0"/>
    <n v="0"/>
  </r>
  <r>
    <n v="812"/>
    <n v="0"/>
    <n v="0"/>
    <n v="0"/>
    <n v="0"/>
    <n v="0"/>
    <n v="0"/>
    <n v="0"/>
    <n v="0"/>
    <n v="0"/>
    <n v="0"/>
    <n v="0"/>
    <n v="0"/>
    <n v="0"/>
    <n v="0"/>
    <n v="0"/>
    <n v="0"/>
    <n v="0"/>
    <n v="0"/>
    <n v="0"/>
    <n v="0"/>
  </r>
  <r>
    <n v="813"/>
    <n v="0"/>
    <n v="0"/>
    <n v="0"/>
    <n v="0"/>
    <n v="0"/>
    <n v="0"/>
    <n v="0"/>
    <n v="0"/>
    <n v="0"/>
    <n v="0"/>
    <n v="0"/>
    <n v="0"/>
    <n v="0"/>
    <n v="0"/>
    <n v="0"/>
    <n v="0"/>
    <n v="0"/>
    <n v="0"/>
    <n v="0"/>
    <n v="0"/>
  </r>
  <r>
    <n v="814"/>
    <n v="0"/>
    <n v="0"/>
    <n v="0"/>
    <n v="0"/>
    <n v="0"/>
    <n v="0"/>
    <n v="0"/>
    <n v="0"/>
    <n v="0"/>
    <n v="0"/>
    <n v="0"/>
    <n v="0"/>
    <n v="0"/>
    <n v="0"/>
    <n v="0"/>
    <n v="0"/>
    <n v="0"/>
    <n v="0"/>
    <n v="0"/>
    <n v="0"/>
  </r>
  <r>
    <n v="815"/>
    <e v="#REF!"/>
    <e v="#REF!"/>
    <e v="#REF!"/>
    <e v="#REF!"/>
    <e v="#REF!"/>
    <e v="#REF!"/>
    <e v="#REF!"/>
    <e v="#REF!"/>
    <e v="#REF!"/>
    <e v="#REF!"/>
    <e v="#REF!"/>
    <e v="#REF!"/>
    <e v="#REF!"/>
    <e v="#REF!"/>
    <e v="#REF!"/>
    <e v="#REF!"/>
    <e v="#REF!"/>
    <e v="#REF!"/>
    <e v="#REF!"/>
    <e v="#REF!"/>
  </r>
  <r>
    <n v="816"/>
    <e v="#REF!"/>
    <e v="#REF!"/>
    <e v="#REF!"/>
    <e v="#REF!"/>
    <e v="#REF!"/>
    <e v="#REF!"/>
    <e v="#REF!"/>
    <e v="#REF!"/>
    <e v="#REF!"/>
    <e v="#REF!"/>
    <e v="#REF!"/>
    <e v="#REF!"/>
    <e v="#REF!"/>
    <e v="#REF!"/>
    <e v="#REF!"/>
    <e v="#REF!"/>
    <e v="#REF!"/>
    <e v="#REF!"/>
    <e v="#REF!"/>
    <e v="#REF!"/>
  </r>
  <r>
    <n v="817"/>
    <e v="#REF!"/>
    <e v="#REF!"/>
    <e v="#REF!"/>
    <e v="#REF!"/>
    <e v="#REF!"/>
    <e v="#REF!"/>
    <e v="#REF!"/>
    <e v="#REF!"/>
    <e v="#REF!"/>
    <e v="#REF!"/>
    <e v="#REF!"/>
    <e v="#REF!"/>
    <e v="#REF!"/>
    <e v="#REF!"/>
    <e v="#REF!"/>
    <e v="#REF!"/>
    <e v="#REF!"/>
    <e v="#REF!"/>
    <e v="#REF!"/>
    <e v="#REF!"/>
  </r>
  <r>
    <s v="PISO 8"/>
    <e v="#REF!"/>
    <e v="#REF!"/>
    <e v="#REF!"/>
    <e v="#REF!"/>
    <e v="#REF!"/>
    <e v="#REF!"/>
    <e v="#REF!"/>
    <e v="#REF!"/>
    <e v="#REF!"/>
    <e v="#REF!"/>
    <e v="#REF!"/>
    <e v="#REF!"/>
    <e v="#REF!"/>
    <e v="#REF!"/>
    <e v="#REF!"/>
    <e v="#REF!"/>
    <e v="#REF!"/>
    <e v="#REF!"/>
    <e v="#REF!"/>
    <e v="#REF!"/>
  </r>
  <r>
    <n v="901"/>
    <n v="0"/>
    <n v="0"/>
    <n v="0"/>
    <n v="0"/>
    <n v="0"/>
    <n v="0"/>
    <n v="0"/>
    <n v="0"/>
    <n v="0"/>
    <n v="0"/>
    <n v="0"/>
    <n v="0"/>
    <n v="0"/>
    <n v="0"/>
    <n v="0"/>
    <n v="0"/>
    <n v="0"/>
    <n v="0"/>
    <n v="0"/>
    <n v="0"/>
  </r>
  <r>
    <n v="902"/>
    <n v="0"/>
    <n v="0"/>
    <n v="0"/>
    <n v="0"/>
    <n v="0"/>
    <n v="0"/>
    <n v="0"/>
    <n v="0"/>
    <n v="0"/>
    <n v="0"/>
    <n v="0"/>
    <n v="0"/>
    <n v="0"/>
    <n v="0"/>
    <n v="0"/>
    <n v="0"/>
    <n v="0"/>
    <n v="0"/>
    <n v="0"/>
    <n v="0"/>
  </r>
  <r>
    <n v="903"/>
    <n v="0"/>
    <n v="0"/>
    <n v="0"/>
    <n v="0"/>
    <n v="0"/>
    <n v="0"/>
    <n v="0"/>
    <n v="0"/>
    <n v="0"/>
    <n v="0"/>
    <n v="0"/>
    <n v="0"/>
    <n v="0"/>
    <n v="0"/>
    <n v="0"/>
    <n v="0"/>
    <n v="0"/>
    <n v="0"/>
    <n v="0"/>
    <n v="0"/>
  </r>
  <r>
    <n v="904"/>
    <n v="0"/>
    <n v="0"/>
    <n v="0"/>
    <n v="0"/>
    <n v="0"/>
    <n v="0"/>
    <n v="0"/>
    <n v="0"/>
    <n v="0"/>
    <n v="0"/>
    <n v="0"/>
    <n v="0"/>
    <n v="0"/>
    <n v="0"/>
    <n v="0"/>
    <n v="0"/>
    <n v="0"/>
    <n v="0"/>
    <n v="0"/>
    <n v="0"/>
  </r>
  <r>
    <n v="905"/>
    <n v="0"/>
    <n v="0"/>
    <n v="0"/>
    <n v="0"/>
    <n v="0"/>
    <n v="0"/>
    <n v="0"/>
    <n v="0"/>
    <n v="0"/>
    <n v="0"/>
    <n v="0"/>
    <n v="0"/>
    <n v="0"/>
    <n v="0"/>
    <n v="0"/>
    <n v="0"/>
    <n v="0"/>
    <n v="0"/>
    <n v="0"/>
    <n v="0"/>
  </r>
  <r>
    <n v="906"/>
    <n v="0"/>
    <n v="0"/>
    <n v="0"/>
    <n v="0"/>
    <n v="0"/>
    <n v="0"/>
    <n v="0"/>
    <n v="0"/>
    <n v="0"/>
    <n v="0"/>
    <n v="0"/>
    <n v="0"/>
    <n v="0"/>
    <n v="0"/>
    <n v="0"/>
    <n v="0"/>
    <n v="0"/>
    <n v="0"/>
    <n v="0"/>
    <n v="0"/>
  </r>
  <r>
    <n v="907"/>
    <n v="0"/>
    <n v="0"/>
    <n v="0"/>
    <n v="0"/>
    <n v="0"/>
    <n v="0"/>
    <n v="0"/>
    <n v="0"/>
    <n v="0"/>
    <n v="0"/>
    <n v="0"/>
    <n v="0"/>
    <n v="0"/>
    <n v="0"/>
    <n v="0"/>
    <n v="0"/>
    <n v="0"/>
    <n v="0"/>
    <n v="0"/>
    <n v="0"/>
  </r>
  <r>
    <n v="908"/>
    <n v="0"/>
    <n v="0"/>
    <n v="0"/>
    <n v="0"/>
    <n v="0"/>
    <n v="0"/>
    <n v="0"/>
    <n v="0"/>
    <n v="0"/>
    <n v="0"/>
    <n v="0"/>
    <n v="0"/>
    <n v="0"/>
    <n v="0"/>
    <n v="0"/>
    <n v="0"/>
    <n v="0"/>
    <n v="0"/>
    <n v="0"/>
    <n v="0"/>
  </r>
  <r>
    <n v="909"/>
    <n v="0"/>
    <n v="0"/>
    <n v="0"/>
    <n v="0"/>
    <n v="0"/>
    <n v="0"/>
    <n v="0"/>
    <n v="0"/>
    <n v="0"/>
    <n v="0"/>
    <n v="0"/>
    <n v="0"/>
    <n v="0"/>
    <n v="0"/>
    <n v="0"/>
    <n v="0"/>
    <n v="0"/>
    <n v="0"/>
    <n v="0"/>
    <n v="0"/>
  </r>
  <r>
    <n v="910"/>
    <n v="0"/>
    <n v="0"/>
    <n v="0"/>
    <n v="0"/>
    <n v="0"/>
    <n v="0"/>
    <n v="0"/>
    <n v="0"/>
    <n v="0"/>
    <n v="0"/>
    <n v="0"/>
    <n v="0"/>
    <n v="0"/>
    <n v="0"/>
    <n v="0"/>
    <n v="0"/>
    <n v="0"/>
    <n v="0"/>
    <n v="0"/>
    <n v="0"/>
  </r>
  <r>
    <n v="911"/>
    <n v="0"/>
    <n v="0"/>
    <n v="0"/>
    <n v="0"/>
    <n v="0"/>
    <n v="0"/>
    <n v="0"/>
    <n v="0"/>
    <n v="0"/>
    <n v="0"/>
    <n v="0"/>
    <n v="0"/>
    <n v="0"/>
    <n v="0"/>
    <n v="0"/>
    <n v="0"/>
    <n v="0"/>
    <n v="0"/>
    <n v="0"/>
    <n v="0"/>
  </r>
  <r>
    <n v="912"/>
    <n v="0"/>
    <n v="0"/>
    <n v="0"/>
    <n v="0"/>
    <n v="0"/>
    <n v="0"/>
    <n v="0"/>
    <n v="0"/>
    <e v="#REF!"/>
    <e v="#REF!"/>
    <e v="#REF!"/>
    <e v="#REF!"/>
    <e v="#REF!"/>
    <e v="#REF!"/>
    <e v="#REF!"/>
    <e v="#REF!"/>
    <e v="#REF!"/>
    <e v="#REF!"/>
    <e v="#REF!"/>
    <e v="#REF!"/>
  </r>
  <r>
    <n v="913"/>
    <n v="0"/>
    <n v="0"/>
    <n v="0"/>
    <n v="0"/>
    <n v="0"/>
    <n v="0"/>
    <n v="0"/>
    <n v="0"/>
    <e v="#REF!"/>
    <e v="#REF!"/>
    <e v="#REF!"/>
    <e v="#REF!"/>
    <e v="#REF!"/>
    <e v="#REF!"/>
    <e v="#REF!"/>
    <e v="#REF!"/>
    <e v="#REF!"/>
    <e v="#REF!"/>
    <e v="#REF!"/>
    <e v="#REF!"/>
  </r>
  <r>
    <n v="914"/>
    <n v="0"/>
    <n v="0"/>
    <n v="0"/>
    <n v="0"/>
    <n v="0"/>
    <n v="0"/>
    <n v="0"/>
    <n v="0"/>
    <e v="#REF!"/>
    <e v="#REF!"/>
    <e v="#REF!"/>
    <e v="#REF!"/>
    <e v="#REF!"/>
    <e v="#REF!"/>
    <e v="#REF!"/>
    <e v="#REF!"/>
    <e v="#REF!"/>
    <e v="#REF!"/>
    <e v="#REF!"/>
    <e v="#REF!"/>
  </r>
  <r>
    <n v="915"/>
    <e v="#REF!"/>
    <e v="#REF!"/>
    <e v="#REF!"/>
    <e v="#REF!"/>
    <e v="#REF!"/>
    <e v="#REF!"/>
    <e v="#REF!"/>
    <e v="#REF!"/>
    <e v="#REF!"/>
    <e v="#REF!"/>
    <e v="#REF!"/>
    <e v="#REF!"/>
    <e v="#REF!"/>
    <e v="#REF!"/>
    <e v="#REF!"/>
    <e v="#REF!"/>
    <e v="#REF!"/>
    <e v="#REF!"/>
    <e v="#REF!"/>
    <e v="#REF!"/>
  </r>
  <r>
    <n v="916"/>
    <e v="#REF!"/>
    <e v="#REF!"/>
    <e v="#REF!"/>
    <e v="#REF!"/>
    <e v="#REF!"/>
    <e v="#REF!"/>
    <e v="#REF!"/>
    <e v="#REF!"/>
    <e v="#REF!"/>
    <e v="#REF!"/>
    <e v="#REF!"/>
    <e v="#REF!"/>
    <e v="#REF!"/>
    <e v="#REF!"/>
    <e v="#REF!"/>
    <e v="#REF!"/>
    <e v="#REF!"/>
    <e v="#REF!"/>
    <e v="#REF!"/>
    <e v="#REF!"/>
  </r>
  <r>
    <n v="917"/>
    <e v="#REF!"/>
    <e v="#REF!"/>
    <e v="#REF!"/>
    <e v="#REF!"/>
    <e v="#REF!"/>
    <e v="#REF!"/>
    <e v="#REF!"/>
    <e v="#REF!"/>
    <e v="#REF!"/>
    <e v="#REF!"/>
    <e v="#REF!"/>
    <e v="#REF!"/>
    <e v="#REF!"/>
    <e v="#REF!"/>
    <e v="#REF!"/>
    <e v="#REF!"/>
    <e v="#REF!"/>
    <e v="#REF!"/>
    <e v="#REF!"/>
    <e v="#REF!"/>
  </r>
  <r>
    <s v="PISO 9"/>
    <e v="#REF!"/>
    <e v="#REF!"/>
    <e v="#REF!"/>
    <e v="#REF!"/>
    <e v="#REF!"/>
    <e v="#REF!"/>
    <e v="#REF!"/>
    <e v="#REF!"/>
    <e v="#REF!"/>
    <e v="#REF!"/>
    <e v="#REF!"/>
    <e v="#REF!"/>
    <e v="#REF!"/>
    <e v="#REF!"/>
    <e v="#REF!"/>
    <e v="#REF!"/>
    <e v="#REF!"/>
    <e v="#REF!"/>
    <e v="#REF!"/>
    <e v="#REF!"/>
  </r>
  <r>
    <n v="1001"/>
    <e v="#REF!"/>
    <e v="#REF!"/>
    <e v="#REF!"/>
    <e v="#REF!"/>
    <e v="#REF!"/>
    <e v="#REF!"/>
    <e v="#REF!"/>
    <e v="#REF!"/>
    <e v="#REF!"/>
    <e v="#REF!"/>
    <e v="#REF!"/>
    <e v="#REF!"/>
    <e v="#REF!"/>
    <e v="#REF!"/>
    <e v="#REF!"/>
    <e v="#REF!"/>
    <e v="#REF!"/>
    <e v="#REF!"/>
    <e v="#REF!"/>
    <e v="#REF!"/>
  </r>
  <r>
    <n v="1002"/>
    <e v="#REF!"/>
    <e v="#REF!"/>
    <e v="#REF!"/>
    <e v="#REF!"/>
    <e v="#REF!"/>
    <e v="#REF!"/>
    <e v="#REF!"/>
    <e v="#REF!"/>
    <e v="#REF!"/>
    <e v="#REF!"/>
    <e v="#REF!"/>
    <e v="#REF!"/>
    <e v="#REF!"/>
    <e v="#REF!"/>
    <e v="#REF!"/>
    <e v="#REF!"/>
    <e v="#REF!"/>
    <e v="#REF!"/>
    <e v="#REF!"/>
    <e v="#REF!"/>
  </r>
  <r>
    <n v="1003"/>
    <e v="#REF!"/>
    <e v="#REF!"/>
    <e v="#REF!"/>
    <e v="#REF!"/>
    <e v="#REF!"/>
    <e v="#REF!"/>
    <e v="#REF!"/>
    <e v="#REF!"/>
    <e v="#REF!"/>
    <e v="#REF!"/>
    <e v="#REF!"/>
    <e v="#REF!"/>
    <e v="#REF!"/>
    <e v="#REF!"/>
    <e v="#REF!"/>
    <e v="#REF!"/>
    <e v="#REF!"/>
    <e v="#REF!"/>
    <e v="#REF!"/>
    <e v="#REF!"/>
  </r>
  <r>
    <n v="1004"/>
    <e v="#REF!"/>
    <e v="#REF!"/>
    <e v="#REF!"/>
    <e v="#REF!"/>
    <e v="#REF!"/>
    <e v="#REF!"/>
    <e v="#REF!"/>
    <e v="#REF!"/>
    <e v="#REF!"/>
    <e v="#REF!"/>
    <e v="#REF!"/>
    <e v="#REF!"/>
    <e v="#REF!"/>
    <e v="#REF!"/>
    <e v="#REF!"/>
    <e v="#REF!"/>
    <e v="#REF!"/>
    <e v="#REF!"/>
    <e v="#REF!"/>
    <e v="#REF!"/>
  </r>
  <r>
    <n v="1005"/>
    <e v="#REF!"/>
    <e v="#REF!"/>
    <e v="#REF!"/>
    <e v="#REF!"/>
    <e v="#REF!"/>
    <e v="#REF!"/>
    <e v="#REF!"/>
    <e v="#REF!"/>
    <e v="#REF!"/>
    <e v="#REF!"/>
    <e v="#REF!"/>
    <e v="#REF!"/>
    <e v="#REF!"/>
    <e v="#REF!"/>
    <e v="#REF!"/>
    <e v="#REF!"/>
    <e v="#REF!"/>
    <e v="#REF!"/>
    <e v="#REF!"/>
    <e v="#REF!"/>
  </r>
  <r>
    <n v="1006"/>
    <e v="#REF!"/>
    <e v="#REF!"/>
    <e v="#REF!"/>
    <e v="#REF!"/>
    <e v="#REF!"/>
    <e v="#REF!"/>
    <e v="#REF!"/>
    <e v="#REF!"/>
    <e v="#REF!"/>
    <e v="#REF!"/>
    <e v="#REF!"/>
    <e v="#REF!"/>
    <e v="#REF!"/>
    <e v="#REF!"/>
    <e v="#REF!"/>
    <e v="#REF!"/>
    <e v="#REF!"/>
    <e v="#REF!"/>
    <e v="#REF!"/>
    <e v="#REF!"/>
  </r>
  <r>
    <n v="1007"/>
    <e v="#REF!"/>
    <e v="#REF!"/>
    <e v="#REF!"/>
    <e v="#REF!"/>
    <e v="#REF!"/>
    <e v="#REF!"/>
    <e v="#REF!"/>
    <e v="#REF!"/>
    <e v="#REF!"/>
    <e v="#REF!"/>
    <e v="#REF!"/>
    <e v="#REF!"/>
    <e v="#REF!"/>
    <e v="#REF!"/>
    <e v="#REF!"/>
    <e v="#REF!"/>
    <e v="#REF!"/>
    <e v="#REF!"/>
    <e v="#REF!"/>
    <e v="#REF!"/>
  </r>
  <r>
    <n v="1008"/>
    <e v="#REF!"/>
    <e v="#REF!"/>
    <e v="#REF!"/>
    <e v="#REF!"/>
    <e v="#REF!"/>
    <e v="#REF!"/>
    <e v="#REF!"/>
    <e v="#REF!"/>
    <e v="#REF!"/>
    <e v="#REF!"/>
    <e v="#REF!"/>
    <e v="#REF!"/>
    <e v="#REF!"/>
    <e v="#REF!"/>
    <e v="#REF!"/>
    <e v="#REF!"/>
    <e v="#REF!"/>
    <e v="#REF!"/>
    <e v="#REF!"/>
    <e v="#REF!"/>
  </r>
  <r>
    <n v="1009"/>
    <e v="#REF!"/>
    <e v="#REF!"/>
    <e v="#REF!"/>
    <e v="#REF!"/>
    <e v="#REF!"/>
    <e v="#REF!"/>
    <e v="#REF!"/>
    <e v="#REF!"/>
    <e v="#REF!"/>
    <e v="#REF!"/>
    <e v="#REF!"/>
    <e v="#REF!"/>
    <e v="#REF!"/>
    <e v="#REF!"/>
    <e v="#REF!"/>
    <e v="#REF!"/>
    <e v="#REF!"/>
    <e v="#REF!"/>
    <e v="#REF!"/>
    <e v="#REF!"/>
  </r>
  <r>
    <n v="1010"/>
    <e v="#REF!"/>
    <e v="#REF!"/>
    <e v="#REF!"/>
    <e v="#REF!"/>
    <e v="#REF!"/>
    <e v="#REF!"/>
    <e v="#REF!"/>
    <e v="#REF!"/>
    <e v="#REF!"/>
    <e v="#REF!"/>
    <e v="#REF!"/>
    <e v="#REF!"/>
    <e v="#REF!"/>
    <e v="#REF!"/>
    <e v="#REF!"/>
    <e v="#REF!"/>
    <e v="#REF!"/>
    <e v="#REF!"/>
    <e v="#REF!"/>
    <e v="#REF!"/>
  </r>
  <r>
    <n v="1011"/>
    <e v="#REF!"/>
    <e v="#REF!"/>
    <e v="#REF!"/>
    <e v="#REF!"/>
    <e v="#REF!"/>
    <e v="#REF!"/>
    <e v="#REF!"/>
    <e v="#REF!"/>
    <e v="#REF!"/>
    <e v="#REF!"/>
    <e v="#REF!"/>
    <e v="#REF!"/>
    <e v="#REF!"/>
    <e v="#REF!"/>
    <e v="#REF!"/>
    <e v="#REF!"/>
    <e v="#REF!"/>
    <e v="#REF!"/>
    <e v="#REF!"/>
    <e v="#REF!"/>
  </r>
  <r>
    <n v="1012"/>
    <e v="#REF!"/>
    <e v="#REF!"/>
    <e v="#REF!"/>
    <e v="#REF!"/>
    <e v="#REF!"/>
    <e v="#REF!"/>
    <e v="#REF!"/>
    <e v="#REF!"/>
    <e v="#REF!"/>
    <e v="#REF!"/>
    <e v="#REF!"/>
    <e v="#REF!"/>
    <e v="#REF!"/>
    <e v="#REF!"/>
    <e v="#REF!"/>
    <e v="#REF!"/>
    <e v="#REF!"/>
    <e v="#REF!"/>
    <e v="#REF!"/>
    <e v="#REF!"/>
  </r>
  <r>
    <n v="1013"/>
    <e v="#REF!"/>
    <e v="#REF!"/>
    <e v="#REF!"/>
    <e v="#REF!"/>
    <e v="#REF!"/>
    <e v="#REF!"/>
    <e v="#REF!"/>
    <e v="#REF!"/>
    <e v="#REF!"/>
    <e v="#REF!"/>
    <e v="#REF!"/>
    <e v="#REF!"/>
    <e v="#REF!"/>
    <e v="#REF!"/>
    <e v="#REF!"/>
    <e v="#REF!"/>
    <e v="#REF!"/>
    <e v="#REF!"/>
    <e v="#REF!"/>
    <e v="#REF!"/>
  </r>
  <r>
    <n v="1014"/>
    <e v="#REF!"/>
    <e v="#REF!"/>
    <e v="#REF!"/>
    <e v="#REF!"/>
    <e v="#REF!"/>
    <e v="#REF!"/>
    <e v="#REF!"/>
    <e v="#REF!"/>
    <e v="#REF!"/>
    <e v="#REF!"/>
    <e v="#REF!"/>
    <e v="#REF!"/>
    <e v="#REF!"/>
    <e v="#REF!"/>
    <e v="#REF!"/>
    <e v="#REF!"/>
    <e v="#REF!"/>
    <e v="#REF!"/>
    <e v="#REF!"/>
    <e v="#REF!"/>
  </r>
  <r>
    <n v="1015"/>
    <e v="#REF!"/>
    <e v="#REF!"/>
    <e v="#REF!"/>
    <e v="#REF!"/>
    <e v="#REF!"/>
    <e v="#REF!"/>
    <e v="#REF!"/>
    <e v="#REF!"/>
    <e v="#REF!"/>
    <e v="#REF!"/>
    <e v="#REF!"/>
    <e v="#REF!"/>
    <e v="#REF!"/>
    <e v="#REF!"/>
    <e v="#REF!"/>
    <e v="#REF!"/>
    <e v="#REF!"/>
    <e v="#REF!"/>
    <e v="#REF!"/>
    <e v="#REF!"/>
  </r>
  <r>
    <n v="1016"/>
    <e v="#REF!"/>
    <e v="#REF!"/>
    <e v="#REF!"/>
    <e v="#REF!"/>
    <e v="#REF!"/>
    <e v="#REF!"/>
    <e v="#REF!"/>
    <e v="#REF!"/>
    <e v="#REF!"/>
    <e v="#REF!"/>
    <e v="#REF!"/>
    <e v="#REF!"/>
    <e v="#REF!"/>
    <e v="#REF!"/>
    <e v="#REF!"/>
    <e v="#REF!"/>
    <e v="#REF!"/>
    <e v="#REF!"/>
    <e v="#REF!"/>
    <e v="#REF!"/>
  </r>
  <r>
    <n v="1017"/>
    <e v="#REF!"/>
    <e v="#REF!"/>
    <e v="#REF!"/>
    <e v="#REF!"/>
    <e v="#REF!"/>
    <e v="#REF!"/>
    <e v="#REF!"/>
    <e v="#REF!"/>
    <e v="#REF!"/>
    <e v="#REF!"/>
    <e v="#REF!"/>
    <e v="#REF!"/>
    <e v="#REF!"/>
    <e v="#REF!"/>
    <e v="#REF!"/>
    <e v="#REF!"/>
    <e v="#REF!"/>
    <e v="#REF!"/>
    <e v="#REF!"/>
    <e v="#REF!"/>
  </r>
  <r>
    <s v="PISO 10"/>
    <e v="#REF!"/>
    <e v="#REF!"/>
    <e v="#REF!"/>
    <e v="#REF!"/>
    <e v="#REF!"/>
    <e v="#REF!"/>
    <e v="#REF!"/>
    <e v="#REF!"/>
    <e v="#REF!"/>
    <e v="#REF!"/>
    <e v="#REF!"/>
    <e v="#REF!"/>
    <e v="#REF!"/>
    <e v="#REF!"/>
    <e v="#REF!"/>
    <e v="#REF!"/>
    <e v="#REF!"/>
    <e v="#REF!"/>
    <e v="#REF!"/>
    <e v="#REF!"/>
  </r>
  <r>
    <n v="1101"/>
    <e v="#REF!"/>
    <e v="#REF!"/>
    <e v="#REF!"/>
    <e v="#REF!"/>
    <e v="#REF!"/>
    <e v="#REF!"/>
    <e v="#REF!"/>
    <e v="#REF!"/>
    <e v="#REF!"/>
    <e v="#REF!"/>
    <e v="#REF!"/>
    <e v="#REF!"/>
    <e v="#REF!"/>
    <e v="#REF!"/>
    <e v="#REF!"/>
    <e v="#REF!"/>
    <e v="#REF!"/>
    <e v="#REF!"/>
    <e v="#REF!"/>
    <e v="#REF!"/>
  </r>
  <r>
    <n v="1102"/>
    <e v="#REF!"/>
    <e v="#REF!"/>
    <e v="#REF!"/>
    <e v="#REF!"/>
    <e v="#REF!"/>
    <e v="#REF!"/>
    <e v="#REF!"/>
    <e v="#REF!"/>
    <e v="#REF!"/>
    <e v="#REF!"/>
    <e v="#REF!"/>
    <e v="#REF!"/>
    <e v="#REF!"/>
    <e v="#REF!"/>
    <e v="#REF!"/>
    <e v="#REF!"/>
    <e v="#REF!"/>
    <e v="#REF!"/>
    <e v="#REF!"/>
    <e v="#REF!"/>
  </r>
  <r>
    <n v="1103"/>
    <e v="#REF!"/>
    <e v="#REF!"/>
    <e v="#REF!"/>
    <e v="#REF!"/>
    <e v="#REF!"/>
    <e v="#REF!"/>
    <e v="#REF!"/>
    <e v="#REF!"/>
    <e v="#REF!"/>
    <e v="#REF!"/>
    <e v="#REF!"/>
    <e v="#REF!"/>
    <e v="#REF!"/>
    <e v="#REF!"/>
    <e v="#REF!"/>
    <e v="#REF!"/>
    <e v="#REF!"/>
    <e v="#REF!"/>
    <e v="#REF!"/>
    <e v="#REF!"/>
  </r>
  <r>
    <n v="1104"/>
    <e v="#REF!"/>
    <e v="#REF!"/>
    <e v="#REF!"/>
    <e v="#REF!"/>
    <e v="#REF!"/>
    <e v="#REF!"/>
    <e v="#REF!"/>
    <e v="#REF!"/>
    <e v="#REF!"/>
    <e v="#REF!"/>
    <e v="#REF!"/>
    <e v="#REF!"/>
    <e v="#REF!"/>
    <e v="#REF!"/>
    <e v="#REF!"/>
    <e v="#REF!"/>
    <e v="#REF!"/>
    <e v="#REF!"/>
    <e v="#REF!"/>
    <e v="#REF!"/>
  </r>
  <r>
    <n v="1105"/>
    <e v="#REF!"/>
    <e v="#REF!"/>
    <e v="#REF!"/>
    <e v="#REF!"/>
    <e v="#REF!"/>
    <e v="#REF!"/>
    <e v="#REF!"/>
    <e v="#REF!"/>
    <e v="#REF!"/>
    <e v="#REF!"/>
    <e v="#REF!"/>
    <e v="#REF!"/>
    <e v="#REF!"/>
    <e v="#REF!"/>
    <e v="#REF!"/>
    <e v="#REF!"/>
    <e v="#REF!"/>
    <e v="#REF!"/>
    <e v="#REF!"/>
    <e v="#REF!"/>
  </r>
  <r>
    <n v="1106"/>
    <e v="#REF!"/>
    <e v="#REF!"/>
    <e v="#REF!"/>
    <e v="#REF!"/>
    <e v="#REF!"/>
    <e v="#REF!"/>
    <e v="#REF!"/>
    <e v="#REF!"/>
    <e v="#REF!"/>
    <e v="#REF!"/>
    <e v="#REF!"/>
    <e v="#REF!"/>
    <e v="#REF!"/>
    <e v="#REF!"/>
    <e v="#REF!"/>
    <e v="#REF!"/>
    <e v="#REF!"/>
    <e v="#REF!"/>
    <e v="#REF!"/>
    <e v="#REF!"/>
  </r>
  <r>
    <n v="1107"/>
    <e v="#REF!"/>
    <e v="#REF!"/>
    <e v="#REF!"/>
    <e v="#REF!"/>
    <e v="#REF!"/>
    <e v="#REF!"/>
    <e v="#REF!"/>
    <e v="#REF!"/>
    <e v="#REF!"/>
    <e v="#REF!"/>
    <e v="#REF!"/>
    <e v="#REF!"/>
    <e v="#REF!"/>
    <e v="#REF!"/>
    <e v="#REF!"/>
    <e v="#REF!"/>
    <e v="#REF!"/>
    <e v="#REF!"/>
    <e v="#REF!"/>
    <e v="#REF!"/>
  </r>
  <r>
    <n v="1108"/>
    <e v="#REF!"/>
    <e v="#REF!"/>
    <e v="#REF!"/>
    <e v="#REF!"/>
    <e v="#REF!"/>
    <e v="#REF!"/>
    <e v="#REF!"/>
    <e v="#REF!"/>
    <e v="#REF!"/>
    <e v="#REF!"/>
    <e v="#REF!"/>
    <e v="#REF!"/>
    <e v="#REF!"/>
    <e v="#REF!"/>
    <e v="#REF!"/>
    <e v="#REF!"/>
    <e v="#REF!"/>
    <e v="#REF!"/>
    <e v="#REF!"/>
    <e v="#REF!"/>
  </r>
  <r>
    <n v="1109"/>
    <e v="#REF!"/>
    <e v="#REF!"/>
    <e v="#REF!"/>
    <e v="#REF!"/>
    <e v="#REF!"/>
    <e v="#REF!"/>
    <e v="#REF!"/>
    <e v="#REF!"/>
    <e v="#REF!"/>
    <e v="#REF!"/>
    <e v="#REF!"/>
    <e v="#REF!"/>
    <e v="#REF!"/>
    <e v="#REF!"/>
    <e v="#REF!"/>
    <e v="#REF!"/>
    <e v="#REF!"/>
    <e v="#REF!"/>
    <e v="#REF!"/>
    <e v="#REF!"/>
  </r>
  <r>
    <n v="1110"/>
    <e v="#REF!"/>
    <e v="#REF!"/>
    <e v="#REF!"/>
    <e v="#REF!"/>
    <e v="#REF!"/>
    <e v="#REF!"/>
    <e v="#REF!"/>
    <e v="#REF!"/>
    <e v="#REF!"/>
    <e v="#REF!"/>
    <e v="#REF!"/>
    <e v="#REF!"/>
    <e v="#REF!"/>
    <e v="#REF!"/>
    <e v="#REF!"/>
    <e v="#REF!"/>
    <e v="#REF!"/>
    <e v="#REF!"/>
    <e v="#REF!"/>
    <e v="#REF!"/>
  </r>
  <r>
    <n v="1111"/>
    <e v="#REF!"/>
    <e v="#REF!"/>
    <e v="#REF!"/>
    <e v="#REF!"/>
    <e v="#REF!"/>
    <e v="#REF!"/>
    <e v="#REF!"/>
    <e v="#REF!"/>
    <e v="#REF!"/>
    <e v="#REF!"/>
    <e v="#REF!"/>
    <e v="#REF!"/>
    <e v="#REF!"/>
    <e v="#REF!"/>
    <e v="#REF!"/>
    <e v="#REF!"/>
    <e v="#REF!"/>
    <e v="#REF!"/>
    <e v="#REF!"/>
    <e v="#REF!"/>
  </r>
  <r>
    <n v="1112"/>
    <e v="#REF!"/>
    <e v="#REF!"/>
    <e v="#REF!"/>
    <e v="#REF!"/>
    <e v="#REF!"/>
    <e v="#REF!"/>
    <e v="#REF!"/>
    <e v="#REF!"/>
    <e v="#REF!"/>
    <e v="#REF!"/>
    <e v="#REF!"/>
    <e v="#REF!"/>
    <e v="#REF!"/>
    <e v="#REF!"/>
    <e v="#REF!"/>
    <e v="#REF!"/>
    <e v="#REF!"/>
    <e v="#REF!"/>
    <e v="#REF!"/>
    <e v="#REF!"/>
  </r>
  <r>
    <n v="1113"/>
    <e v="#REF!"/>
    <e v="#REF!"/>
    <e v="#REF!"/>
    <e v="#REF!"/>
    <e v="#REF!"/>
    <e v="#REF!"/>
    <e v="#REF!"/>
    <e v="#REF!"/>
    <e v="#REF!"/>
    <e v="#REF!"/>
    <e v="#REF!"/>
    <e v="#REF!"/>
    <e v="#REF!"/>
    <e v="#REF!"/>
    <e v="#REF!"/>
    <e v="#REF!"/>
    <e v="#REF!"/>
    <e v="#REF!"/>
    <e v="#REF!"/>
    <e v="#REF!"/>
  </r>
  <r>
    <n v="1114"/>
    <e v="#REF!"/>
    <e v="#REF!"/>
    <e v="#REF!"/>
    <e v="#REF!"/>
    <e v="#REF!"/>
    <e v="#REF!"/>
    <e v="#REF!"/>
    <e v="#REF!"/>
    <e v="#REF!"/>
    <e v="#REF!"/>
    <e v="#REF!"/>
    <e v="#REF!"/>
    <e v="#REF!"/>
    <e v="#REF!"/>
    <e v="#REF!"/>
    <e v="#REF!"/>
    <e v="#REF!"/>
    <e v="#REF!"/>
    <e v="#REF!"/>
    <e v="#REF!"/>
  </r>
  <r>
    <n v="1115"/>
    <e v="#REF!"/>
    <e v="#REF!"/>
    <e v="#REF!"/>
    <e v="#REF!"/>
    <e v="#REF!"/>
    <e v="#REF!"/>
    <e v="#REF!"/>
    <e v="#REF!"/>
    <e v="#REF!"/>
    <e v="#REF!"/>
    <e v="#REF!"/>
    <e v="#REF!"/>
    <e v="#REF!"/>
    <e v="#REF!"/>
    <e v="#REF!"/>
    <e v="#REF!"/>
    <e v="#REF!"/>
    <e v="#REF!"/>
    <e v="#REF!"/>
    <e v="#REF!"/>
  </r>
  <r>
    <n v="1116"/>
    <e v="#REF!"/>
    <e v="#REF!"/>
    <e v="#REF!"/>
    <e v="#REF!"/>
    <e v="#REF!"/>
    <e v="#REF!"/>
    <e v="#REF!"/>
    <e v="#REF!"/>
    <e v="#REF!"/>
    <e v="#REF!"/>
    <e v="#REF!"/>
    <e v="#REF!"/>
    <e v="#REF!"/>
    <e v="#REF!"/>
    <e v="#REF!"/>
    <e v="#REF!"/>
    <e v="#REF!"/>
    <e v="#REF!"/>
    <e v="#REF!"/>
    <e v="#REF!"/>
  </r>
  <r>
    <n v="1117"/>
    <e v="#REF!"/>
    <e v="#REF!"/>
    <e v="#REF!"/>
    <e v="#REF!"/>
    <e v="#REF!"/>
    <e v="#REF!"/>
    <e v="#REF!"/>
    <e v="#REF!"/>
    <e v="#REF!"/>
    <e v="#REF!"/>
    <e v="#REF!"/>
    <e v="#REF!"/>
    <e v="#REF!"/>
    <e v="#REF!"/>
    <e v="#REF!"/>
    <e v="#REF!"/>
    <e v="#REF!"/>
    <e v="#REF!"/>
    <e v="#REF!"/>
    <e v="#REF!"/>
  </r>
  <r>
    <s v="PISO 11"/>
    <e v="#REF!"/>
    <e v="#REF!"/>
    <e v="#REF!"/>
    <e v="#REF!"/>
    <e v="#REF!"/>
    <e v="#REF!"/>
    <e v="#REF!"/>
    <e v="#REF!"/>
    <e v="#REF!"/>
    <e v="#REF!"/>
    <e v="#REF!"/>
    <e v="#REF!"/>
    <e v="#REF!"/>
    <e v="#REF!"/>
    <e v="#REF!"/>
    <e v="#REF!"/>
    <e v="#REF!"/>
    <e v="#REF!"/>
    <e v="#REF!"/>
    <e v="#REF!"/>
  </r>
  <r>
    <n v="1201"/>
    <e v="#REF!"/>
    <e v="#REF!"/>
    <e v="#REF!"/>
    <e v="#REF!"/>
    <e v="#REF!"/>
    <e v="#REF!"/>
    <e v="#REF!"/>
    <e v="#REF!"/>
    <e v="#REF!"/>
    <e v="#REF!"/>
    <e v="#REF!"/>
    <e v="#REF!"/>
    <e v="#REF!"/>
    <e v="#REF!"/>
    <e v="#REF!"/>
    <e v="#REF!"/>
    <e v="#REF!"/>
    <e v="#REF!"/>
    <e v="#REF!"/>
    <e v="#REF!"/>
  </r>
  <r>
    <n v="1202"/>
    <e v="#REF!"/>
    <e v="#REF!"/>
    <e v="#REF!"/>
    <e v="#REF!"/>
    <e v="#REF!"/>
    <e v="#REF!"/>
    <e v="#REF!"/>
    <e v="#REF!"/>
    <e v="#REF!"/>
    <e v="#REF!"/>
    <e v="#REF!"/>
    <e v="#REF!"/>
    <e v="#REF!"/>
    <e v="#REF!"/>
    <e v="#REF!"/>
    <e v="#REF!"/>
    <e v="#REF!"/>
    <e v="#REF!"/>
    <e v="#REF!"/>
    <e v="#REF!"/>
  </r>
  <r>
    <n v="1203"/>
    <e v="#REF!"/>
    <e v="#REF!"/>
    <e v="#REF!"/>
    <e v="#REF!"/>
    <e v="#REF!"/>
    <e v="#REF!"/>
    <e v="#REF!"/>
    <e v="#REF!"/>
    <e v="#REF!"/>
    <e v="#REF!"/>
    <e v="#REF!"/>
    <e v="#REF!"/>
    <e v="#REF!"/>
    <e v="#REF!"/>
    <e v="#REF!"/>
    <e v="#REF!"/>
    <e v="#REF!"/>
    <e v="#REF!"/>
    <e v="#REF!"/>
    <e v="#REF!"/>
  </r>
  <r>
    <n v="1204"/>
    <e v="#REF!"/>
    <e v="#REF!"/>
    <e v="#REF!"/>
    <e v="#REF!"/>
    <e v="#REF!"/>
    <e v="#REF!"/>
    <e v="#REF!"/>
    <e v="#REF!"/>
    <e v="#REF!"/>
    <e v="#REF!"/>
    <e v="#REF!"/>
    <e v="#REF!"/>
    <e v="#REF!"/>
    <e v="#REF!"/>
    <e v="#REF!"/>
    <e v="#REF!"/>
    <e v="#REF!"/>
    <e v="#REF!"/>
    <e v="#REF!"/>
    <e v="#REF!"/>
  </r>
  <r>
    <n v="1205"/>
    <e v="#REF!"/>
    <e v="#REF!"/>
    <e v="#REF!"/>
    <e v="#REF!"/>
    <e v="#REF!"/>
    <e v="#REF!"/>
    <e v="#REF!"/>
    <e v="#REF!"/>
    <e v="#REF!"/>
    <e v="#REF!"/>
    <e v="#REF!"/>
    <e v="#REF!"/>
    <e v="#REF!"/>
    <e v="#REF!"/>
    <e v="#REF!"/>
    <e v="#REF!"/>
    <e v="#REF!"/>
    <e v="#REF!"/>
    <e v="#REF!"/>
    <e v="#REF!"/>
  </r>
  <r>
    <n v="1206"/>
    <e v="#REF!"/>
    <e v="#REF!"/>
    <e v="#REF!"/>
    <e v="#REF!"/>
    <e v="#REF!"/>
    <e v="#REF!"/>
    <e v="#REF!"/>
    <e v="#REF!"/>
    <e v="#REF!"/>
    <e v="#REF!"/>
    <e v="#REF!"/>
    <e v="#REF!"/>
    <e v="#REF!"/>
    <e v="#REF!"/>
    <e v="#REF!"/>
    <e v="#REF!"/>
    <e v="#REF!"/>
    <e v="#REF!"/>
    <e v="#REF!"/>
    <e v="#REF!"/>
  </r>
  <r>
    <n v="1207"/>
    <e v="#REF!"/>
    <e v="#REF!"/>
    <e v="#REF!"/>
    <e v="#REF!"/>
    <e v="#REF!"/>
    <e v="#REF!"/>
    <e v="#REF!"/>
    <e v="#REF!"/>
    <e v="#REF!"/>
    <e v="#REF!"/>
    <e v="#REF!"/>
    <e v="#REF!"/>
    <e v="#REF!"/>
    <e v="#REF!"/>
    <e v="#REF!"/>
    <e v="#REF!"/>
    <e v="#REF!"/>
    <e v="#REF!"/>
    <e v="#REF!"/>
    <e v="#REF!"/>
  </r>
  <r>
    <n v="1208"/>
    <e v="#REF!"/>
    <e v="#REF!"/>
    <e v="#REF!"/>
    <e v="#REF!"/>
    <e v="#REF!"/>
    <e v="#REF!"/>
    <e v="#REF!"/>
    <e v="#REF!"/>
    <e v="#REF!"/>
    <e v="#REF!"/>
    <e v="#REF!"/>
    <e v="#REF!"/>
    <e v="#REF!"/>
    <e v="#REF!"/>
    <e v="#REF!"/>
    <e v="#REF!"/>
    <e v="#REF!"/>
    <e v="#REF!"/>
    <e v="#REF!"/>
    <e v="#REF!"/>
  </r>
  <r>
    <n v="1209"/>
    <e v="#REF!"/>
    <e v="#REF!"/>
    <e v="#REF!"/>
    <e v="#REF!"/>
    <e v="#REF!"/>
    <e v="#REF!"/>
    <e v="#REF!"/>
    <e v="#REF!"/>
    <e v="#REF!"/>
    <e v="#REF!"/>
    <e v="#REF!"/>
    <e v="#REF!"/>
    <e v="#REF!"/>
    <e v="#REF!"/>
    <e v="#REF!"/>
    <e v="#REF!"/>
    <e v="#REF!"/>
    <e v="#REF!"/>
    <e v="#REF!"/>
    <e v="#REF!"/>
  </r>
  <r>
    <n v="1210"/>
    <e v="#REF!"/>
    <e v="#REF!"/>
    <e v="#REF!"/>
    <e v="#REF!"/>
    <e v="#REF!"/>
    <e v="#REF!"/>
    <e v="#REF!"/>
    <e v="#REF!"/>
    <e v="#REF!"/>
    <e v="#REF!"/>
    <e v="#REF!"/>
    <e v="#REF!"/>
    <e v="#REF!"/>
    <e v="#REF!"/>
    <e v="#REF!"/>
    <e v="#REF!"/>
    <e v="#REF!"/>
    <e v="#REF!"/>
    <e v="#REF!"/>
    <e v="#REF!"/>
  </r>
  <r>
    <n v="1211"/>
    <e v="#REF!"/>
    <e v="#REF!"/>
    <e v="#REF!"/>
    <e v="#REF!"/>
    <e v="#REF!"/>
    <e v="#REF!"/>
    <e v="#REF!"/>
    <e v="#REF!"/>
    <e v="#REF!"/>
    <e v="#REF!"/>
    <e v="#REF!"/>
    <e v="#REF!"/>
    <e v="#REF!"/>
    <e v="#REF!"/>
    <e v="#REF!"/>
    <e v="#REF!"/>
    <e v="#REF!"/>
    <e v="#REF!"/>
    <e v="#REF!"/>
    <e v="#REF!"/>
  </r>
  <r>
    <n v="1212"/>
    <e v="#REF!"/>
    <e v="#REF!"/>
    <e v="#REF!"/>
    <e v="#REF!"/>
    <e v="#REF!"/>
    <e v="#REF!"/>
    <e v="#REF!"/>
    <e v="#REF!"/>
    <e v="#REF!"/>
    <e v="#REF!"/>
    <e v="#REF!"/>
    <e v="#REF!"/>
    <e v="#REF!"/>
    <e v="#REF!"/>
    <e v="#REF!"/>
    <e v="#REF!"/>
    <e v="#REF!"/>
    <e v="#REF!"/>
    <e v="#REF!"/>
    <e v="#REF!"/>
  </r>
  <r>
    <n v="1213"/>
    <e v="#REF!"/>
    <e v="#REF!"/>
    <e v="#REF!"/>
    <e v="#REF!"/>
    <e v="#REF!"/>
    <e v="#REF!"/>
    <e v="#REF!"/>
    <e v="#REF!"/>
    <e v="#REF!"/>
    <e v="#REF!"/>
    <e v="#REF!"/>
    <e v="#REF!"/>
    <e v="#REF!"/>
    <e v="#REF!"/>
    <e v="#REF!"/>
    <e v="#REF!"/>
    <e v="#REF!"/>
    <e v="#REF!"/>
    <e v="#REF!"/>
    <e v="#REF!"/>
  </r>
  <r>
    <n v="1214"/>
    <e v="#REF!"/>
    <e v="#REF!"/>
    <e v="#REF!"/>
    <e v="#REF!"/>
    <e v="#REF!"/>
    <e v="#REF!"/>
    <e v="#REF!"/>
    <e v="#REF!"/>
    <e v="#REF!"/>
    <e v="#REF!"/>
    <e v="#REF!"/>
    <e v="#REF!"/>
    <e v="#REF!"/>
    <e v="#REF!"/>
    <e v="#REF!"/>
    <e v="#REF!"/>
    <e v="#REF!"/>
    <e v="#REF!"/>
    <e v="#REF!"/>
    <e v="#REF!"/>
  </r>
  <r>
    <n v="1215"/>
    <e v="#REF!"/>
    <e v="#REF!"/>
    <e v="#REF!"/>
    <e v="#REF!"/>
    <e v="#REF!"/>
    <e v="#REF!"/>
    <e v="#REF!"/>
    <e v="#REF!"/>
    <e v="#REF!"/>
    <e v="#REF!"/>
    <e v="#REF!"/>
    <e v="#REF!"/>
    <e v="#REF!"/>
    <e v="#REF!"/>
    <e v="#REF!"/>
    <e v="#REF!"/>
    <e v="#REF!"/>
    <e v="#REF!"/>
    <e v="#REF!"/>
    <e v="#REF!"/>
  </r>
  <r>
    <n v="1216"/>
    <e v="#REF!"/>
    <e v="#REF!"/>
    <e v="#REF!"/>
    <e v="#REF!"/>
    <e v="#REF!"/>
    <e v="#REF!"/>
    <e v="#REF!"/>
    <e v="#REF!"/>
    <e v="#REF!"/>
    <e v="#REF!"/>
    <e v="#REF!"/>
    <e v="#REF!"/>
    <e v="#REF!"/>
    <e v="#REF!"/>
    <e v="#REF!"/>
    <e v="#REF!"/>
    <e v="#REF!"/>
    <e v="#REF!"/>
    <e v="#REF!"/>
    <e v="#REF!"/>
  </r>
  <r>
    <s v="PISO 12"/>
    <e v="#REF!"/>
    <e v="#REF!"/>
    <e v="#REF!"/>
    <e v="#REF!"/>
    <e v="#REF!"/>
    <e v="#REF!"/>
    <e v="#REF!"/>
    <e v="#REF!"/>
    <e v="#REF!"/>
    <e v="#REF!"/>
    <e v="#REF!"/>
    <e v="#REF!"/>
    <e v="#REF!"/>
    <e v="#REF!"/>
    <e v="#REF!"/>
    <e v="#REF!"/>
    <e v="#REF!"/>
    <e v="#REF!"/>
    <e v="#REF!"/>
    <e v="#REF!"/>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CD17C2-5C30-41E3-99E2-7A3E70A0D1AA}" name="TablaDinámica1" cacheId="12" dataOnRows="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8:B46" firstHeaderRow="1" firstDataRow="1" firstDataCol="1"/>
  <pivotFields count="21">
    <pivotField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showAll="0"/>
    <pivotField dataField="1" numFmtId="9" showAll="0"/>
    <pivotField dataField="1" numFmtId="9" showAll="0"/>
    <pivotField dataField="1" numFmtId="9" showAll="0"/>
    <pivotField showAll="0"/>
    <pivotField dataField="1" numFmtId="9" showAll="0"/>
    <pivotField dataField="1" numFmtId="9" showAll="0"/>
    <pivotField dataField="1" numFmtId="9" showAll="0"/>
    <pivotField dataField="1" numFmtId="9" showAll="0"/>
    <pivotField numFmtId="9" showAll="0"/>
  </pivotFields>
  <rowFields count="1">
    <field x="-2"/>
  </rowFields>
  <rowItems count="18">
    <i>
      <x/>
    </i>
    <i i="1">
      <x v="1"/>
    </i>
    <i i="2">
      <x v="2"/>
    </i>
    <i i="3">
      <x v="3"/>
    </i>
    <i i="4">
      <x v="4"/>
    </i>
    <i i="5">
      <x v="5"/>
    </i>
    <i i="6">
      <x v="6"/>
    </i>
    <i i="7">
      <x v="7"/>
    </i>
    <i i="8">
      <x v="8"/>
    </i>
    <i i="9">
      <x v="9"/>
    </i>
    <i i="10">
      <x v="10"/>
    </i>
    <i i="11">
      <x v="11"/>
    </i>
    <i i="12">
      <x v="12"/>
    </i>
    <i i="13">
      <x v="13"/>
    </i>
    <i i="14">
      <x v="14"/>
    </i>
    <i i="15">
      <x v="15"/>
    </i>
    <i i="16">
      <x v="16"/>
    </i>
    <i i="17">
      <x v="17"/>
    </i>
  </rowItems>
  <colItems count="1">
    <i/>
  </colItems>
  <dataFields count="18">
    <dataField name="Promedio de Trazado" fld="1" subtotal="average" showDataAs="percentOfTotal" baseField="0" baseItem="1074528256" numFmtId="10"/>
    <dataField name="Suma de Yeso Cielo" fld="2" baseField="0" baseItem="0"/>
    <dataField name="Suma de Yeso Muro" fld="3" baseField="0" baseItem="0"/>
    <dataField name="Suma de Tabique 1° Cara" fld="4" baseField="0" baseItem="0"/>
    <dataField name="Suma de I. Sanitaria" fld="5" baseField="0" baseItem="0"/>
    <dataField name="Suma de I. Eléctrica" fld="6" baseField="0" baseItem="0"/>
    <dataField name="Suma de Extracción" fld="7" baseField="0" baseItem="0"/>
    <dataField name="Suma de Tabique 2° Cara" fld="8" baseField="0" baseItem="0"/>
    <dataField name="Suma de Puertas" fld="9" baseField="0" baseItem="0"/>
    <dataField name="Suma de Cerámicos" fld="10" baseField="0" baseItem="0"/>
    <dataField name="Suma de Piso Vinilico" fld="11" baseField="0" baseItem="0"/>
    <dataField name="Suma de Ventanas" fld="12" baseField="0" baseItem="0"/>
    <dataField name="Suma de Baranda Cristal" fld="13" baseField="0" baseItem="0"/>
    <dataField name="Suma de Pasta" fld="14" baseField="0" baseItem="0"/>
    <dataField name="Suma de Muebles C/B" fld="16" baseField="0" baseItem="0"/>
    <dataField name="Suma de Muebles Closet" fld="17" baseField="0" baseItem="0"/>
    <dataField name="Suma de Cubiertas" fld="18" baseField="0" baseItem="0"/>
    <dataField name="Suma de Retropintado"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3C6FC4-6989-4487-89D8-85157D496588}" name="TablaDinámica5" cacheId="1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3">
  <location ref="A17:J19" firstHeaderRow="0" firstDataRow="1" firstDataCol="1"/>
  <pivotFields count="11">
    <pivotField axis="axisRow" showAll="0">
      <items count="5">
        <item h="1" x="0"/>
        <item h="1" x="1"/>
        <item h="1" x="2"/>
        <item x="3"/>
        <item t="default"/>
      </items>
    </pivotField>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numFmtId="9" showAll="0"/>
  </pivotFields>
  <rowFields count="1">
    <field x="0"/>
  </rowFields>
  <rowItems count="2">
    <i>
      <x v="3"/>
    </i>
    <i t="grand">
      <x/>
    </i>
  </rowItems>
  <colFields count="1">
    <field x="-2"/>
  </colFields>
  <colItems count="9">
    <i>
      <x/>
    </i>
    <i i="1">
      <x v="1"/>
    </i>
    <i i="2">
      <x v="2"/>
    </i>
    <i i="3">
      <x v="3"/>
    </i>
    <i i="4">
      <x v="4"/>
    </i>
    <i i="5">
      <x v="5"/>
    </i>
    <i i="6">
      <x v="6"/>
    </i>
    <i i="7">
      <x v="7"/>
    </i>
    <i i="8">
      <x v="8"/>
    </i>
  </colItems>
  <dataFields count="9">
    <dataField name="Máx. de PISO 1" fld="1" subtotal="max" baseField="0" baseItem="0" numFmtId="9"/>
    <dataField name="Máx. de PISO 2" fld="2" subtotal="max" baseField="0" baseItem="0" numFmtId="9"/>
    <dataField name="Máx. de PISO 3" fld="3" subtotal="max" baseField="0" baseItem="0" numFmtId="9"/>
    <dataField name="Máx. de PISO 4" fld="4" subtotal="max" baseField="0" baseItem="0" numFmtId="9"/>
    <dataField name="Máx. de PISO 5" fld="5" subtotal="max" baseField="0" baseItem="0" numFmtId="9"/>
    <dataField name="Máx. de PISO 6" fld="6" subtotal="max" baseField="0" baseItem="0" numFmtId="9"/>
    <dataField name="Máx. de PISO 7" fld="7" subtotal="max" baseField="0" baseItem="0" numFmtId="9"/>
    <dataField name="Máx. de PISO 8" fld="8" subtotal="max" baseField="0" baseItem="0" numFmtId="9"/>
    <dataField name="Máx. de PISO 9" fld="9" subtotal="max" baseField="0" baseItem="0" numFmtId="9"/>
  </dataFields>
  <chartFormats count="18">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2"/>
          </reference>
        </references>
      </pivotArea>
    </chartFormat>
    <chartFormat chart="32" format="3" series="1">
      <pivotArea type="data" outline="0" fieldPosition="0">
        <references count="1">
          <reference field="4294967294" count="1" selected="0">
            <x v="3"/>
          </reference>
        </references>
      </pivotArea>
    </chartFormat>
    <chartFormat chart="32" format="4" series="1">
      <pivotArea type="data" outline="0" fieldPosition="0">
        <references count="1">
          <reference field="4294967294" count="1" selected="0">
            <x v="4"/>
          </reference>
        </references>
      </pivotArea>
    </chartFormat>
    <chartFormat chart="32" format="5" series="1">
      <pivotArea type="data" outline="0" fieldPosition="0">
        <references count="1">
          <reference field="4294967294" count="1" selected="0">
            <x v="5"/>
          </reference>
        </references>
      </pivotArea>
    </chartFormat>
    <chartFormat chart="32" format="6" series="1">
      <pivotArea type="data" outline="0" fieldPosition="0">
        <references count="1">
          <reference field="4294967294" count="1" selected="0">
            <x v="6"/>
          </reference>
        </references>
      </pivotArea>
    </chartFormat>
    <chartFormat chart="32" format="7" series="1">
      <pivotArea type="data" outline="0" fieldPosition="0">
        <references count="1">
          <reference field="4294967294" count="1" selected="0">
            <x v="7"/>
          </reference>
        </references>
      </pivotArea>
    </chartFormat>
    <chartFormat chart="32" format="8" series="1">
      <pivotArea type="data" outline="0" fieldPosition="0">
        <references count="1">
          <reference field="4294967294" count="1" selected="0">
            <x v="8"/>
          </reference>
        </references>
      </pivotArea>
    </chartFormat>
    <chartFormat chart="42" format="18" series="1">
      <pivotArea type="data" outline="0" fieldPosition="0">
        <references count="1">
          <reference field="4294967294" count="1" selected="0">
            <x v="0"/>
          </reference>
        </references>
      </pivotArea>
    </chartFormat>
    <chartFormat chart="42" format="19" series="1">
      <pivotArea type="data" outline="0" fieldPosition="0">
        <references count="1">
          <reference field="4294967294" count="1" selected="0">
            <x v="1"/>
          </reference>
        </references>
      </pivotArea>
    </chartFormat>
    <chartFormat chart="42" format="20" series="1">
      <pivotArea type="data" outline="0" fieldPosition="0">
        <references count="1">
          <reference field="4294967294" count="1" selected="0">
            <x v="2"/>
          </reference>
        </references>
      </pivotArea>
    </chartFormat>
    <chartFormat chart="42" format="21" series="1">
      <pivotArea type="data" outline="0" fieldPosition="0">
        <references count="1">
          <reference field="4294967294" count="1" selected="0">
            <x v="3"/>
          </reference>
        </references>
      </pivotArea>
    </chartFormat>
    <chartFormat chart="42" format="22" series="1">
      <pivotArea type="data" outline="0" fieldPosition="0">
        <references count="1">
          <reference field="4294967294" count="1" selected="0">
            <x v="4"/>
          </reference>
        </references>
      </pivotArea>
    </chartFormat>
    <chartFormat chart="42" format="23" series="1">
      <pivotArea type="data" outline="0" fieldPosition="0">
        <references count="1">
          <reference field="4294967294" count="1" selected="0">
            <x v="5"/>
          </reference>
        </references>
      </pivotArea>
    </chartFormat>
    <chartFormat chart="42" format="24" series="1">
      <pivotArea type="data" outline="0" fieldPosition="0">
        <references count="1">
          <reference field="4294967294" count="1" selected="0">
            <x v="6"/>
          </reference>
        </references>
      </pivotArea>
    </chartFormat>
    <chartFormat chart="42" format="25" series="1">
      <pivotArea type="data" outline="0" fieldPosition="0">
        <references count="1">
          <reference field="4294967294" count="1" selected="0">
            <x v="7"/>
          </reference>
        </references>
      </pivotArea>
    </chartFormat>
    <chartFormat chart="42" format="26" series="1">
      <pivotArea type="data" outline="0" fieldPosition="0">
        <references count="1">
          <reference field="429496729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135F0D-E65F-44EC-847E-7BE92A37C13E}" name="TablaDinámica10" cacheId="1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2">
  <location ref="A22:J24" firstHeaderRow="0" firstDataRow="1" firstDataCol="1"/>
  <pivotFields count="11">
    <pivotField axis="axisRow" showAll="0">
      <items count="5">
        <item h="1" x="0"/>
        <item h="1" x="1"/>
        <item h="1" x="2"/>
        <item x="3"/>
        <item t="default"/>
      </items>
    </pivotField>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numFmtId="9" showAll="0"/>
  </pivotFields>
  <rowFields count="1">
    <field x="0"/>
  </rowFields>
  <rowItems count="2">
    <i>
      <x v="3"/>
    </i>
    <i t="grand">
      <x/>
    </i>
  </rowItems>
  <colFields count="1">
    <field x="-2"/>
  </colFields>
  <colItems count="9">
    <i>
      <x/>
    </i>
    <i i="1">
      <x v="1"/>
    </i>
    <i i="2">
      <x v="2"/>
    </i>
    <i i="3">
      <x v="3"/>
    </i>
    <i i="4">
      <x v="4"/>
    </i>
    <i i="5">
      <x v="5"/>
    </i>
    <i i="6">
      <x v="6"/>
    </i>
    <i i="7">
      <x v="7"/>
    </i>
    <i i="8">
      <x v="8"/>
    </i>
  </colItems>
  <dataFields count="9">
    <dataField name="Máx. de PISO 1" fld="1" subtotal="max" baseField="0" baseItem="0" numFmtId="9"/>
    <dataField name="Máx. de PISO 2" fld="2" subtotal="max" baseField="0" baseItem="0" numFmtId="9"/>
    <dataField name="Máx. de PISO 3" fld="3" subtotal="max" baseField="0" baseItem="0" numFmtId="9"/>
    <dataField name="Máx. de PISO 4" fld="4" subtotal="max" baseField="0" baseItem="0" numFmtId="9"/>
    <dataField name="Máx. de PISO 5" fld="5" subtotal="max" baseField="0" baseItem="0" numFmtId="9"/>
    <dataField name="Máx. de PISO 6" fld="6" subtotal="max" baseField="0" baseItem="0" numFmtId="9"/>
    <dataField name="Máx. de PISO 7" fld="7" subtotal="max" baseField="0" baseItem="0" numFmtId="9"/>
    <dataField name="Máx. de PISO 8" fld="8" subtotal="max" baseField="0" baseItem="0" numFmtId="9"/>
    <dataField name="Máx. de PISO 9" fld="9" subtotal="max" baseField="0" baseItem="0" numFmtId="9"/>
  </dataFields>
  <chartFormats count="4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5"/>
          </reference>
        </references>
      </pivotArea>
    </chartFormat>
    <chartFormat chart="1" format="6" series="1">
      <pivotArea type="data" outline="0" fieldPosition="0">
        <references count="1">
          <reference field="4294967294" count="1" selected="0">
            <x v="6"/>
          </reference>
        </references>
      </pivotArea>
    </chartFormat>
    <chartFormat chart="1" format="7" series="1">
      <pivotArea type="data" outline="0" fieldPosition="0">
        <references count="1">
          <reference field="4294967294" count="1" selected="0">
            <x v="7"/>
          </reference>
        </references>
      </pivotArea>
    </chartFormat>
    <chartFormat chart="1" format="8" series="1">
      <pivotArea type="data" outline="0" fieldPosition="0">
        <references count="1">
          <reference field="4294967294" count="1" selected="0">
            <x v="8"/>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18" format="3" series="1">
      <pivotArea type="data" outline="0" fieldPosition="0">
        <references count="1">
          <reference field="4294967294" count="1" selected="0">
            <x v="3"/>
          </reference>
        </references>
      </pivotArea>
    </chartFormat>
    <chartFormat chart="18" format="4" series="1">
      <pivotArea type="data" outline="0" fieldPosition="0">
        <references count="1">
          <reference field="4294967294" count="1" selected="0">
            <x v="4"/>
          </reference>
        </references>
      </pivotArea>
    </chartFormat>
    <chartFormat chart="18" format="5" series="1">
      <pivotArea type="data" outline="0" fieldPosition="0">
        <references count="1">
          <reference field="4294967294" count="1" selected="0">
            <x v="5"/>
          </reference>
        </references>
      </pivotArea>
    </chartFormat>
    <chartFormat chart="18" format="6" series="1">
      <pivotArea type="data" outline="0" fieldPosition="0">
        <references count="1">
          <reference field="4294967294" count="1" selected="0">
            <x v="6"/>
          </reference>
        </references>
      </pivotArea>
    </chartFormat>
    <chartFormat chart="18" format="7" series="1">
      <pivotArea type="data" outline="0" fieldPosition="0">
        <references count="1">
          <reference field="4294967294" count="1" selected="0">
            <x v="7"/>
          </reference>
        </references>
      </pivotArea>
    </chartFormat>
    <chartFormat chart="18" format="8" series="1">
      <pivotArea type="data" outline="0" fieldPosition="0">
        <references count="1">
          <reference field="4294967294" count="1" selected="0">
            <x v="8"/>
          </reference>
        </references>
      </pivotArea>
    </chartFormat>
    <chartFormat chart="25" format="18" series="1">
      <pivotArea type="data" outline="0" fieldPosition="0">
        <references count="1">
          <reference field="4294967294" count="1" selected="0">
            <x v="0"/>
          </reference>
        </references>
      </pivotArea>
    </chartFormat>
    <chartFormat chart="25" format="19" series="1">
      <pivotArea type="data" outline="0" fieldPosition="0">
        <references count="1">
          <reference field="4294967294" count="1" selected="0">
            <x v="1"/>
          </reference>
        </references>
      </pivotArea>
    </chartFormat>
    <chartFormat chart="25" format="20" series="1">
      <pivotArea type="data" outline="0" fieldPosition="0">
        <references count="1">
          <reference field="4294967294" count="1" selected="0">
            <x v="2"/>
          </reference>
        </references>
      </pivotArea>
    </chartFormat>
    <chartFormat chart="25" format="21" series="1">
      <pivotArea type="data" outline="0" fieldPosition="0">
        <references count="1">
          <reference field="4294967294" count="1" selected="0">
            <x v="3"/>
          </reference>
        </references>
      </pivotArea>
    </chartFormat>
    <chartFormat chart="25" format="22" series="1">
      <pivotArea type="data" outline="0" fieldPosition="0">
        <references count="1">
          <reference field="4294967294" count="1" selected="0">
            <x v="4"/>
          </reference>
        </references>
      </pivotArea>
    </chartFormat>
    <chartFormat chart="25" format="23" series="1">
      <pivotArea type="data" outline="0" fieldPosition="0">
        <references count="1">
          <reference field="4294967294" count="1" selected="0">
            <x v="5"/>
          </reference>
        </references>
      </pivotArea>
    </chartFormat>
    <chartFormat chart="25" format="24" series="1">
      <pivotArea type="data" outline="0" fieldPosition="0">
        <references count="1">
          <reference field="4294967294" count="1" selected="0">
            <x v="6"/>
          </reference>
        </references>
      </pivotArea>
    </chartFormat>
    <chartFormat chart="25" format="25" series="1">
      <pivotArea type="data" outline="0" fieldPosition="0">
        <references count="1">
          <reference field="4294967294" count="1" selected="0">
            <x v="7"/>
          </reference>
        </references>
      </pivotArea>
    </chartFormat>
    <chartFormat chart="25" format="26" series="1">
      <pivotArea type="data" outline="0" fieldPosition="0">
        <references count="1">
          <reference field="4294967294" count="1" selected="0">
            <x v="8"/>
          </reference>
        </references>
      </pivotArea>
    </chartFormat>
    <chartFormat chart="28" format="36" series="1">
      <pivotArea type="data" outline="0" fieldPosition="0">
        <references count="1">
          <reference field="4294967294" count="1" selected="0">
            <x v="0"/>
          </reference>
        </references>
      </pivotArea>
    </chartFormat>
    <chartFormat chart="28" format="37" series="1">
      <pivotArea type="data" outline="0" fieldPosition="0">
        <references count="1">
          <reference field="4294967294" count="1" selected="0">
            <x v="1"/>
          </reference>
        </references>
      </pivotArea>
    </chartFormat>
    <chartFormat chart="28" format="38" series="1">
      <pivotArea type="data" outline="0" fieldPosition="0">
        <references count="1">
          <reference field="4294967294" count="1" selected="0">
            <x v="2"/>
          </reference>
        </references>
      </pivotArea>
    </chartFormat>
    <chartFormat chart="28" format="39" series="1">
      <pivotArea type="data" outline="0" fieldPosition="0">
        <references count="1">
          <reference field="4294967294" count="1" selected="0">
            <x v="3"/>
          </reference>
        </references>
      </pivotArea>
    </chartFormat>
    <chartFormat chart="28" format="40" series="1">
      <pivotArea type="data" outline="0" fieldPosition="0">
        <references count="1">
          <reference field="4294967294" count="1" selected="0">
            <x v="4"/>
          </reference>
        </references>
      </pivotArea>
    </chartFormat>
    <chartFormat chart="28" format="41" series="1">
      <pivotArea type="data" outline="0" fieldPosition="0">
        <references count="1">
          <reference field="4294967294" count="1" selected="0">
            <x v="5"/>
          </reference>
        </references>
      </pivotArea>
    </chartFormat>
    <chartFormat chart="28" format="42" series="1">
      <pivotArea type="data" outline="0" fieldPosition="0">
        <references count="1">
          <reference field="4294967294" count="1" selected="0">
            <x v="6"/>
          </reference>
        </references>
      </pivotArea>
    </chartFormat>
    <chartFormat chart="28" format="43" series="1">
      <pivotArea type="data" outline="0" fieldPosition="0">
        <references count="1">
          <reference field="4294967294" count="1" selected="0">
            <x v="7"/>
          </reference>
        </references>
      </pivotArea>
    </chartFormat>
    <chartFormat chart="28" format="44" series="1">
      <pivotArea type="data" outline="0" fieldPosition="0">
        <references count="1">
          <reference field="4294967294" count="1" selected="0">
            <x v="8"/>
          </reference>
        </references>
      </pivotArea>
    </chartFormat>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2"/>
          </reference>
        </references>
      </pivotArea>
    </chartFormat>
    <chartFormat chart="30" format="3" series="1">
      <pivotArea type="data" outline="0" fieldPosition="0">
        <references count="1">
          <reference field="4294967294" count="1" selected="0">
            <x v="3"/>
          </reference>
        </references>
      </pivotArea>
    </chartFormat>
    <chartFormat chart="30" format="4" series="1">
      <pivotArea type="data" outline="0" fieldPosition="0">
        <references count="1">
          <reference field="4294967294" count="1" selected="0">
            <x v="4"/>
          </reference>
        </references>
      </pivotArea>
    </chartFormat>
    <chartFormat chart="30" format="5" series="1">
      <pivotArea type="data" outline="0" fieldPosition="0">
        <references count="1">
          <reference field="4294967294" count="1" selected="0">
            <x v="5"/>
          </reference>
        </references>
      </pivotArea>
    </chartFormat>
    <chartFormat chart="30" format="6" series="1">
      <pivotArea type="data" outline="0" fieldPosition="0">
        <references count="1">
          <reference field="4294967294" count="1" selected="0">
            <x v="6"/>
          </reference>
        </references>
      </pivotArea>
    </chartFormat>
    <chartFormat chart="30" format="7" series="1">
      <pivotArea type="data" outline="0" fieldPosition="0">
        <references count="1">
          <reference field="4294967294" count="1" selected="0">
            <x v="7"/>
          </reference>
        </references>
      </pivotArea>
    </chartFormat>
    <chartFormat chart="30" format="8" series="1">
      <pivotArea type="data" outline="0" fieldPosition="0">
        <references count="1">
          <reference field="429496729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772C7C-DCBD-4D79-8220-272F911234C3}" name="TablaDinámica9" cacheId="1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9">
  <location ref="A4:J6" firstHeaderRow="0" firstDataRow="1" firstDataCol="1"/>
  <pivotFields count="11">
    <pivotField axis="axisRow" showAll="0">
      <items count="5">
        <item x="0"/>
        <item h="1" x="1"/>
        <item h="1" x="2"/>
        <item h="1" x="3"/>
        <item t="default"/>
      </items>
    </pivotField>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numFmtId="9" showAll="0"/>
  </pivotFields>
  <rowFields count="1">
    <field x="0"/>
  </rowFields>
  <rowItems count="2">
    <i>
      <x/>
    </i>
    <i t="grand">
      <x/>
    </i>
  </rowItems>
  <colFields count="1">
    <field x="-2"/>
  </colFields>
  <colItems count="9">
    <i>
      <x/>
    </i>
    <i i="1">
      <x v="1"/>
    </i>
    <i i="2">
      <x v="2"/>
    </i>
    <i i="3">
      <x v="3"/>
    </i>
    <i i="4">
      <x v="4"/>
    </i>
    <i i="5">
      <x v="5"/>
    </i>
    <i i="6">
      <x v="6"/>
    </i>
    <i i="7">
      <x v="7"/>
    </i>
    <i i="8">
      <x v="8"/>
    </i>
  </colItems>
  <dataFields count="9">
    <dataField name="Máx. de PISO 1" fld="1" subtotal="max" baseField="0" baseItem="0" numFmtId="9"/>
    <dataField name="Máx. de PISO 2" fld="2" subtotal="max" baseField="0" baseItem="0" numFmtId="9"/>
    <dataField name="Máx. de PISO 3" fld="3" subtotal="max" baseField="0" baseItem="0" numFmtId="9"/>
    <dataField name="Máx. de PISO 4" fld="4" subtotal="max" baseField="0" baseItem="0" numFmtId="9"/>
    <dataField name="Máx. de PISO 5" fld="5" subtotal="max" baseField="0" baseItem="0" numFmtId="9"/>
    <dataField name="Máx. de PISO 6" fld="6" subtotal="max" baseField="0" baseItem="0" numFmtId="9"/>
    <dataField name="Máx. de PISO 7" fld="7" subtotal="max" baseField="0" baseItem="0" numFmtId="9"/>
    <dataField name="Máx. de PISO 8" fld="8" subtotal="max" baseField="0" baseItem="0" numFmtId="9"/>
    <dataField name="Máx. de PISO 9" fld="9" subtotal="max" baseField="0" baseItem="0" numFmtId="9"/>
  </dataFields>
  <chartFormats count="7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5"/>
          </reference>
        </references>
      </pivotArea>
    </chartFormat>
    <chartFormat chart="1" format="6" series="1">
      <pivotArea type="data" outline="0" fieldPosition="0">
        <references count="1">
          <reference field="4294967294" count="1" selected="0">
            <x v="6"/>
          </reference>
        </references>
      </pivotArea>
    </chartFormat>
    <chartFormat chart="1" format="7" series="1">
      <pivotArea type="data" outline="0" fieldPosition="0">
        <references count="1">
          <reference field="4294967294" count="1" selected="0">
            <x v="7"/>
          </reference>
        </references>
      </pivotArea>
    </chartFormat>
    <chartFormat chart="1" format="8" series="1">
      <pivotArea type="data" outline="0" fieldPosition="0">
        <references count="1">
          <reference field="4294967294" count="1" selected="0">
            <x v="8"/>
          </reference>
        </references>
      </pivotArea>
    </chartFormat>
    <chartFormat chart="10" format="18" series="1">
      <pivotArea type="data" outline="0" fieldPosition="0">
        <references count="1">
          <reference field="4294967294" count="1" selected="0">
            <x v="0"/>
          </reference>
        </references>
      </pivotArea>
    </chartFormat>
    <chartFormat chart="10" format="19" series="1">
      <pivotArea type="data" outline="0" fieldPosition="0">
        <references count="1">
          <reference field="4294967294" count="1" selected="0">
            <x v="1"/>
          </reference>
        </references>
      </pivotArea>
    </chartFormat>
    <chartFormat chart="10" format="20" series="1">
      <pivotArea type="data" outline="0" fieldPosition="0">
        <references count="1">
          <reference field="4294967294" count="1" selected="0">
            <x v="2"/>
          </reference>
        </references>
      </pivotArea>
    </chartFormat>
    <chartFormat chart="10" format="21" series="1">
      <pivotArea type="data" outline="0" fieldPosition="0">
        <references count="1">
          <reference field="4294967294" count="1" selected="0">
            <x v="3"/>
          </reference>
        </references>
      </pivotArea>
    </chartFormat>
    <chartFormat chart="10" format="22" series="1">
      <pivotArea type="data" outline="0" fieldPosition="0">
        <references count="1">
          <reference field="4294967294" count="1" selected="0">
            <x v="4"/>
          </reference>
        </references>
      </pivotArea>
    </chartFormat>
    <chartFormat chart="10" format="23" series="1">
      <pivotArea type="data" outline="0" fieldPosition="0">
        <references count="1">
          <reference field="4294967294" count="1" selected="0">
            <x v="5"/>
          </reference>
        </references>
      </pivotArea>
    </chartFormat>
    <chartFormat chart="10" format="24" series="1">
      <pivotArea type="data" outline="0" fieldPosition="0">
        <references count="1">
          <reference field="4294967294" count="1" selected="0">
            <x v="6"/>
          </reference>
        </references>
      </pivotArea>
    </chartFormat>
    <chartFormat chart="10" format="25" series="1">
      <pivotArea type="data" outline="0" fieldPosition="0">
        <references count="1">
          <reference field="4294967294" count="1" selected="0">
            <x v="7"/>
          </reference>
        </references>
      </pivotArea>
    </chartFormat>
    <chartFormat chart="10" format="26" series="1">
      <pivotArea type="data" outline="0" fieldPosition="0">
        <references count="1">
          <reference field="4294967294" count="1" selected="0">
            <x v="8"/>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18" format="3" series="1">
      <pivotArea type="data" outline="0" fieldPosition="0">
        <references count="1">
          <reference field="4294967294" count="1" selected="0">
            <x v="3"/>
          </reference>
        </references>
      </pivotArea>
    </chartFormat>
    <chartFormat chart="18" format="4" series="1">
      <pivotArea type="data" outline="0" fieldPosition="0">
        <references count="1">
          <reference field="4294967294" count="1" selected="0">
            <x v="4"/>
          </reference>
        </references>
      </pivotArea>
    </chartFormat>
    <chartFormat chart="18" format="5" series="1">
      <pivotArea type="data" outline="0" fieldPosition="0">
        <references count="1">
          <reference field="4294967294" count="1" selected="0">
            <x v="5"/>
          </reference>
        </references>
      </pivotArea>
    </chartFormat>
    <chartFormat chart="18" format="6" series="1">
      <pivotArea type="data" outline="0" fieldPosition="0">
        <references count="1">
          <reference field="4294967294" count="1" selected="0">
            <x v="6"/>
          </reference>
        </references>
      </pivotArea>
    </chartFormat>
    <chartFormat chart="18" format="7" series="1">
      <pivotArea type="data" outline="0" fieldPosition="0">
        <references count="1">
          <reference field="4294967294" count="1" selected="0">
            <x v="7"/>
          </reference>
        </references>
      </pivotArea>
    </chartFormat>
    <chartFormat chart="18" format="8" series="1">
      <pivotArea type="data" outline="0" fieldPosition="0">
        <references count="1">
          <reference field="4294967294" count="1" selected="0">
            <x v="8"/>
          </reference>
        </references>
      </pivotArea>
    </chartFormat>
    <chartFormat chart="25" format="18" series="1">
      <pivotArea type="data" outline="0" fieldPosition="0">
        <references count="1">
          <reference field="4294967294" count="1" selected="0">
            <x v="0"/>
          </reference>
        </references>
      </pivotArea>
    </chartFormat>
    <chartFormat chart="25" format="19" series="1">
      <pivotArea type="data" outline="0" fieldPosition="0">
        <references count="1">
          <reference field="4294967294" count="1" selected="0">
            <x v="1"/>
          </reference>
        </references>
      </pivotArea>
    </chartFormat>
    <chartFormat chart="25" format="20" series="1">
      <pivotArea type="data" outline="0" fieldPosition="0">
        <references count="1">
          <reference field="4294967294" count="1" selected="0">
            <x v="2"/>
          </reference>
        </references>
      </pivotArea>
    </chartFormat>
    <chartFormat chart="25" format="21" series="1">
      <pivotArea type="data" outline="0" fieldPosition="0">
        <references count="1">
          <reference field="4294967294" count="1" selected="0">
            <x v="3"/>
          </reference>
        </references>
      </pivotArea>
    </chartFormat>
    <chartFormat chart="25" format="22" series="1">
      <pivotArea type="data" outline="0" fieldPosition="0">
        <references count="1">
          <reference field="4294967294" count="1" selected="0">
            <x v="4"/>
          </reference>
        </references>
      </pivotArea>
    </chartFormat>
    <chartFormat chart="25" format="23" series="1">
      <pivotArea type="data" outline="0" fieldPosition="0">
        <references count="1">
          <reference field="4294967294" count="1" selected="0">
            <x v="5"/>
          </reference>
        </references>
      </pivotArea>
    </chartFormat>
    <chartFormat chart="25" format="24" series="1">
      <pivotArea type="data" outline="0" fieldPosition="0">
        <references count="1">
          <reference field="4294967294" count="1" selected="0">
            <x v="6"/>
          </reference>
        </references>
      </pivotArea>
    </chartFormat>
    <chartFormat chart="25" format="25" series="1">
      <pivotArea type="data" outline="0" fieldPosition="0">
        <references count="1">
          <reference field="4294967294" count="1" selected="0">
            <x v="7"/>
          </reference>
        </references>
      </pivotArea>
    </chartFormat>
    <chartFormat chart="25" format="26" series="1">
      <pivotArea type="data" outline="0" fieldPosition="0">
        <references count="1">
          <reference field="4294967294" count="1" selected="0">
            <x v="8"/>
          </reference>
        </references>
      </pivotArea>
    </chartFormat>
    <chartFormat chart="28" format="36" series="1">
      <pivotArea type="data" outline="0" fieldPosition="0">
        <references count="1">
          <reference field="4294967294" count="1" selected="0">
            <x v="0"/>
          </reference>
        </references>
      </pivotArea>
    </chartFormat>
    <chartFormat chart="28" format="37" series="1">
      <pivotArea type="data" outline="0" fieldPosition="0">
        <references count="1">
          <reference field="4294967294" count="1" selected="0">
            <x v="1"/>
          </reference>
        </references>
      </pivotArea>
    </chartFormat>
    <chartFormat chart="28" format="38" series="1">
      <pivotArea type="data" outline="0" fieldPosition="0">
        <references count="1">
          <reference field="4294967294" count="1" selected="0">
            <x v="2"/>
          </reference>
        </references>
      </pivotArea>
    </chartFormat>
    <chartFormat chart="28" format="39" series="1">
      <pivotArea type="data" outline="0" fieldPosition="0">
        <references count="1">
          <reference field="4294967294" count="1" selected="0">
            <x v="3"/>
          </reference>
        </references>
      </pivotArea>
    </chartFormat>
    <chartFormat chart="28" format="40" series="1">
      <pivotArea type="data" outline="0" fieldPosition="0">
        <references count="1">
          <reference field="4294967294" count="1" selected="0">
            <x v="4"/>
          </reference>
        </references>
      </pivotArea>
    </chartFormat>
    <chartFormat chart="28" format="41" series="1">
      <pivotArea type="data" outline="0" fieldPosition="0">
        <references count="1">
          <reference field="4294967294" count="1" selected="0">
            <x v="5"/>
          </reference>
        </references>
      </pivotArea>
    </chartFormat>
    <chartFormat chart="28" format="42" series="1">
      <pivotArea type="data" outline="0" fieldPosition="0">
        <references count="1">
          <reference field="4294967294" count="1" selected="0">
            <x v="6"/>
          </reference>
        </references>
      </pivotArea>
    </chartFormat>
    <chartFormat chart="28" format="43" series="1">
      <pivotArea type="data" outline="0" fieldPosition="0">
        <references count="1">
          <reference field="4294967294" count="1" selected="0">
            <x v="7"/>
          </reference>
        </references>
      </pivotArea>
    </chartFormat>
    <chartFormat chart="28" format="44" series="1">
      <pivotArea type="data" outline="0" fieldPosition="0">
        <references count="1">
          <reference field="4294967294" count="1" selected="0">
            <x v="8"/>
          </reference>
        </references>
      </pivotArea>
    </chartFormat>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2"/>
          </reference>
        </references>
      </pivotArea>
    </chartFormat>
    <chartFormat chart="30" format="3" series="1">
      <pivotArea type="data" outline="0" fieldPosition="0">
        <references count="1">
          <reference field="4294967294" count="1" selected="0">
            <x v="3"/>
          </reference>
        </references>
      </pivotArea>
    </chartFormat>
    <chartFormat chart="30" format="4" series="1">
      <pivotArea type="data" outline="0" fieldPosition="0">
        <references count="1">
          <reference field="4294967294" count="1" selected="0">
            <x v="4"/>
          </reference>
        </references>
      </pivotArea>
    </chartFormat>
    <chartFormat chart="30" format="5" series="1">
      <pivotArea type="data" outline="0" fieldPosition="0">
        <references count="1">
          <reference field="4294967294" count="1" selected="0">
            <x v="5"/>
          </reference>
        </references>
      </pivotArea>
    </chartFormat>
    <chartFormat chart="30" format="6" series="1">
      <pivotArea type="data" outline="0" fieldPosition="0">
        <references count="1">
          <reference field="4294967294" count="1" selected="0">
            <x v="6"/>
          </reference>
        </references>
      </pivotArea>
    </chartFormat>
    <chartFormat chart="30" format="7" series="1">
      <pivotArea type="data" outline="0" fieldPosition="0">
        <references count="1">
          <reference field="4294967294" count="1" selected="0">
            <x v="7"/>
          </reference>
        </references>
      </pivotArea>
    </chartFormat>
    <chartFormat chart="30" format="8" series="1">
      <pivotArea type="data" outline="0" fieldPosition="0">
        <references count="1">
          <reference field="4294967294" count="1" selected="0">
            <x v="8"/>
          </reference>
        </references>
      </pivotArea>
    </chartFormat>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34" format="2" series="1">
      <pivotArea type="data" outline="0" fieldPosition="0">
        <references count="1">
          <reference field="4294967294" count="1" selected="0">
            <x v="2"/>
          </reference>
        </references>
      </pivotArea>
    </chartFormat>
    <chartFormat chart="34" format="3" series="1">
      <pivotArea type="data" outline="0" fieldPosition="0">
        <references count="1">
          <reference field="4294967294" count="1" selected="0">
            <x v="3"/>
          </reference>
        </references>
      </pivotArea>
    </chartFormat>
    <chartFormat chart="34" format="4" series="1">
      <pivotArea type="data" outline="0" fieldPosition="0">
        <references count="1">
          <reference field="4294967294" count="1" selected="0">
            <x v="4"/>
          </reference>
        </references>
      </pivotArea>
    </chartFormat>
    <chartFormat chart="34" format="5" series="1">
      <pivotArea type="data" outline="0" fieldPosition="0">
        <references count="1">
          <reference field="4294967294" count="1" selected="0">
            <x v="5"/>
          </reference>
        </references>
      </pivotArea>
    </chartFormat>
    <chartFormat chart="34" format="6" series="1">
      <pivotArea type="data" outline="0" fieldPosition="0">
        <references count="1">
          <reference field="4294967294" count="1" selected="0">
            <x v="6"/>
          </reference>
        </references>
      </pivotArea>
    </chartFormat>
    <chartFormat chart="34" format="7" series="1">
      <pivotArea type="data" outline="0" fieldPosition="0">
        <references count="1">
          <reference field="4294967294" count="1" selected="0">
            <x v="7"/>
          </reference>
        </references>
      </pivotArea>
    </chartFormat>
    <chartFormat chart="34" format="8" series="1">
      <pivotArea type="data" outline="0" fieldPosition="0">
        <references count="1">
          <reference field="4294967294" count="1" selected="0">
            <x v="8"/>
          </reference>
        </references>
      </pivotArea>
    </chartFormat>
    <chartFormat chart="38" format="18" series="1">
      <pivotArea type="data" outline="0" fieldPosition="0">
        <references count="1">
          <reference field="4294967294" count="1" selected="0">
            <x v="0"/>
          </reference>
        </references>
      </pivotArea>
    </chartFormat>
    <chartFormat chart="38" format="19" series="1">
      <pivotArea type="data" outline="0" fieldPosition="0">
        <references count="1">
          <reference field="4294967294" count="1" selected="0">
            <x v="1"/>
          </reference>
        </references>
      </pivotArea>
    </chartFormat>
    <chartFormat chart="38" format="20" series="1">
      <pivotArea type="data" outline="0" fieldPosition="0">
        <references count="1">
          <reference field="4294967294" count="1" selected="0">
            <x v="2"/>
          </reference>
        </references>
      </pivotArea>
    </chartFormat>
    <chartFormat chart="38" format="21" series="1">
      <pivotArea type="data" outline="0" fieldPosition="0">
        <references count="1">
          <reference field="4294967294" count="1" selected="0">
            <x v="3"/>
          </reference>
        </references>
      </pivotArea>
    </chartFormat>
    <chartFormat chart="38" format="22" series="1">
      <pivotArea type="data" outline="0" fieldPosition="0">
        <references count="1">
          <reference field="4294967294" count="1" selected="0">
            <x v="4"/>
          </reference>
        </references>
      </pivotArea>
    </chartFormat>
    <chartFormat chart="38" format="23" series="1">
      <pivotArea type="data" outline="0" fieldPosition="0">
        <references count="1">
          <reference field="4294967294" count="1" selected="0">
            <x v="5"/>
          </reference>
        </references>
      </pivotArea>
    </chartFormat>
    <chartFormat chart="38" format="24" series="1">
      <pivotArea type="data" outline="0" fieldPosition="0">
        <references count="1">
          <reference field="4294967294" count="1" selected="0">
            <x v="6"/>
          </reference>
        </references>
      </pivotArea>
    </chartFormat>
    <chartFormat chart="38" format="25" series="1">
      <pivotArea type="data" outline="0" fieldPosition="0">
        <references count="1">
          <reference field="4294967294" count="1" selected="0">
            <x v="7"/>
          </reference>
        </references>
      </pivotArea>
    </chartFormat>
    <chartFormat chart="38" format="26" series="1">
      <pivotArea type="data" outline="0" fieldPosition="0">
        <references count="1">
          <reference field="429496729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AD5CA2-4E24-48AF-AFCD-9AF14960CE0F}" name="TablaDinámica8" cacheId="1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8">
  <location ref="A9:J11" firstHeaderRow="0" firstDataRow="1" firstDataCol="1"/>
  <pivotFields count="11">
    <pivotField axis="axisRow" showAll="0">
      <items count="5">
        <item h="1" x="0"/>
        <item x="1"/>
        <item h="1" x="2"/>
        <item h="1" x="3"/>
        <item t="default"/>
      </items>
    </pivotField>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numFmtId="9" showAll="0"/>
  </pivotFields>
  <rowFields count="1">
    <field x="0"/>
  </rowFields>
  <rowItems count="2">
    <i>
      <x v="1"/>
    </i>
    <i t="grand">
      <x/>
    </i>
  </rowItems>
  <colFields count="1">
    <field x="-2"/>
  </colFields>
  <colItems count="9">
    <i>
      <x/>
    </i>
    <i i="1">
      <x v="1"/>
    </i>
    <i i="2">
      <x v="2"/>
    </i>
    <i i="3">
      <x v="3"/>
    </i>
    <i i="4">
      <x v="4"/>
    </i>
    <i i="5">
      <x v="5"/>
    </i>
    <i i="6">
      <x v="6"/>
    </i>
    <i i="7">
      <x v="7"/>
    </i>
    <i i="8">
      <x v="8"/>
    </i>
  </colItems>
  <dataFields count="9">
    <dataField name="Máx. de PISO 1" fld="1" subtotal="max" baseField="0" baseItem="0" numFmtId="9"/>
    <dataField name="Máx. de PISO 2" fld="2" subtotal="max" baseField="0" baseItem="0" numFmtId="9"/>
    <dataField name="Máx. de PISO 3" fld="3" subtotal="max" baseField="0" baseItem="0" numFmtId="9"/>
    <dataField name="Máx. de PISO 4" fld="4" subtotal="max" baseField="0" baseItem="0" numFmtId="9"/>
    <dataField name="Máx. de PISO 5" fld="5" subtotal="max" baseField="0" baseItem="0" numFmtId="9"/>
    <dataField name="Máx. de PISO 6" fld="6" subtotal="max" baseField="0" baseItem="0" numFmtId="9"/>
    <dataField name="Máx. de PISO 7" fld="7" subtotal="max" baseField="0" baseItem="0" numFmtId="9"/>
    <dataField name="Máx. de PISO 8" fld="8" subtotal="max" baseField="0" baseItem="0" numFmtId="9"/>
    <dataField name="Máx. de PISO 9" fld="9" subtotal="max" baseField="0" baseItem="0" numFmtId="9"/>
  </dataFields>
  <chartFormats count="7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5"/>
          </reference>
        </references>
      </pivotArea>
    </chartFormat>
    <chartFormat chart="1" format="6" series="1">
      <pivotArea type="data" outline="0" fieldPosition="0">
        <references count="1">
          <reference field="4294967294" count="1" selected="0">
            <x v="6"/>
          </reference>
        </references>
      </pivotArea>
    </chartFormat>
    <chartFormat chart="1" format="7" series="1">
      <pivotArea type="data" outline="0" fieldPosition="0">
        <references count="1">
          <reference field="4294967294" count="1" selected="0">
            <x v="7"/>
          </reference>
        </references>
      </pivotArea>
    </chartFormat>
    <chartFormat chart="1" format="8" series="1">
      <pivotArea type="data" outline="0" fieldPosition="0">
        <references count="1">
          <reference field="4294967294" count="1" selected="0">
            <x v="8"/>
          </reference>
        </references>
      </pivotArea>
    </chartFormat>
    <chartFormat chart="10" format="18" series="1">
      <pivotArea type="data" outline="0" fieldPosition="0">
        <references count="1">
          <reference field="4294967294" count="1" selected="0">
            <x v="0"/>
          </reference>
        </references>
      </pivotArea>
    </chartFormat>
    <chartFormat chart="10" format="19" series="1">
      <pivotArea type="data" outline="0" fieldPosition="0">
        <references count="1">
          <reference field="4294967294" count="1" selected="0">
            <x v="1"/>
          </reference>
        </references>
      </pivotArea>
    </chartFormat>
    <chartFormat chart="10" format="20" series="1">
      <pivotArea type="data" outline="0" fieldPosition="0">
        <references count="1">
          <reference field="4294967294" count="1" selected="0">
            <x v="2"/>
          </reference>
        </references>
      </pivotArea>
    </chartFormat>
    <chartFormat chart="10" format="21" series="1">
      <pivotArea type="data" outline="0" fieldPosition="0">
        <references count="1">
          <reference field="4294967294" count="1" selected="0">
            <x v="3"/>
          </reference>
        </references>
      </pivotArea>
    </chartFormat>
    <chartFormat chart="10" format="22" series="1">
      <pivotArea type="data" outline="0" fieldPosition="0">
        <references count="1">
          <reference field="4294967294" count="1" selected="0">
            <x v="4"/>
          </reference>
        </references>
      </pivotArea>
    </chartFormat>
    <chartFormat chart="10" format="23" series="1">
      <pivotArea type="data" outline="0" fieldPosition="0">
        <references count="1">
          <reference field="4294967294" count="1" selected="0">
            <x v="5"/>
          </reference>
        </references>
      </pivotArea>
    </chartFormat>
    <chartFormat chart="10" format="24" series="1">
      <pivotArea type="data" outline="0" fieldPosition="0">
        <references count="1">
          <reference field="4294967294" count="1" selected="0">
            <x v="6"/>
          </reference>
        </references>
      </pivotArea>
    </chartFormat>
    <chartFormat chart="10" format="25" series="1">
      <pivotArea type="data" outline="0" fieldPosition="0">
        <references count="1">
          <reference field="4294967294" count="1" selected="0">
            <x v="7"/>
          </reference>
        </references>
      </pivotArea>
    </chartFormat>
    <chartFormat chart="10" format="26" series="1">
      <pivotArea type="data" outline="0" fieldPosition="0">
        <references count="1">
          <reference field="4294967294" count="1" selected="0">
            <x v="8"/>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18" format="3" series="1">
      <pivotArea type="data" outline="0" fieldPosition="0">
        <references count="1">
          <reference field="4294967294" count="1" selected="0">
            <x v="3"/>
          </reference>
        </references>
      </pivotArea>
    </chartFormat>
    <chartFormat chart="18" format="4" series="1">
      <pivotArea type="data" outline="0" fieldPosition="0">
        <references count="1">
          <reference field="4294967294" count="1" selected="0">
            <x v="4"/>
          </reference>
        </references>
      </pivotArea>
    </chartFormat>
    <chartFormat chart="18" format="5" series="1">
      <pivotArea type="data" outline="0" fieldPosition="0">
        <references count="1">
          <reference field="4294967294" count="1" selected="0">
            <x v="5"/>
          </reference>
        </references>
      </pivotArea>
    </chartFormat>
    <chartFormat chart="18" format="6" series="1">
      <pivotArea type="data" outline="0" fieldPosition="0">
        <references count="1">
          <reference field="4294967294" count="1" selected="0">
            <x v="6"/>
          </reference>
        </references>
      </pivotArea>
    </chartFormat>
    <chartFormat chart="18" format="7" series="1">
      <pivotArea type="data" outline="0" fieldPosition="0">
        <references count="1">
          <reference field="4294967294" count="1" selected="0">
            <x v="7"/>
          </reference>
        </references>
      </pivotArea>
    </chartFormat>
    <chartFormat chart="18" format="8" series="1">
      <pivotArea type="data" outline="0" fieldPosition="0">
        <references count="1">
          <reference field="4294967294" count="1" selected="0">
            <x v="8"/>
          </reference>
        </references>
      </pivotArea>
    </chartFormat>
    <chartFormat chart="25" format="18" series="1">
      <pivotArea type="data" outline="0" fieldPosition="0">
        <references count="1">
          <reference field="4294967294" count="1" selected="0">
            <x v="0"/>
          </reference>
        </references>
      </pivotArea>
    </chartFormat>
    <chartFormat chart="25" format="19" series="1">
      <pivotArea type="data" outline="0" fieldPosition="0">
        <references count="1">
          <reference field="4294967294" count="1" selected="0">
            <x v="1"/>
          </reference>
        </references>
      </pivotArea>
    </chartFormat>
    <chartFormat chart="25" format="20" series="1">
      <pivotArea type="data" outline="0" fieldPosition="0">
        <references count="1">
          <reference field="4294967294" count="1" selected="0">
            <x v="2"/>
          </reference>
        </references>
      </pivotArea>
    </chartFormat>
    <chartFormat chart="25" format="21" series="1">
      <pivotArea type="data" outline="0" fieldPosition="0">
        <references count="1">
          <reference field="4294967294" count="1" selected="0">
            <x v="3"/>
          </reference>
        </references>
      </pivotArea>
    </chartFormat>
    <chartFormat chart="25" format="22" series="1">
      <pivotArea type="data" outline="0" fieldPosition="0">
        <references count="1">
          <reference field="4294967294" count="1" selected="0">
            <x v="4"/>
          </reference>
        </references>
      </pivotArea>
    </chartFormat>
    <chartFormat chart="25" format="23" series="1">
      <pivotArea type="data" outline="0" fieldPosition="0">
        <references count="1">
          <reference field="4294967294" count="1" selected="0">
            <x v="5"/>
          </reference>
        </references>
      </pivotArea>
    </chartFormat>
    <chartFormat chart="25" format="24" series="1">
      <pivotArea type="data" outline="0" fieldPosition="0">
        <references count="1">
          <reference field="4294967294" count="1" selected="0">
            <x v="6"/>
          </reference>
        </references>
      </pivotArea>
    </chartFormat>
    <chartFormat chart="25" format="25" series="1">
      <pivotArea type="data" outline="0" fieldPosition="0">
        <references count="1">
          <reference field="4294967294" count="1" selected="0">
            <x v="7"/>
          </reference>
        </references>
      </pivotArea>
    </chartFormat>
    <chartFormat chart="25" format="26" series="1">
      <pivotArea type="data" outline="0" fieldPosition="0">
        <references count="1">
          <reference field="4294967294" count="1" selected="0">
            <x v="8"/>
          </reference>
        </references>
      </pivotArea>
    </chartFormat>
    <chartFormat chart="28" format="36" series="1">
      <pivotArea type="data" outline="0" fieldPosition="0">
        <references count="1">
          <reference field="4294967294" count="1" selected="0">
            <x v="0"/>
          </reference>
        </references>
      </pivotArea>
    </chartFormat>
    <chartFormat chart="28" format="37" series="1">
      <pivotArea type="data" outline="0" fieldPosition="0">
        <references count="1">
          <reference field="4294967294" count="1" selected="0">
            <x v="1"/>
          </reference>
        </references>
      </pivotArea>
    </chartFormat>
    <chartFormat chart="28" format="38" series="1">
      <pivotArea type="data" outline="0" fieldPosition="0">
        <references count="1">
          <reference field="4294967294" count="1" selected="0">
            <x v="2"/>
          </reference>
        </references>
      </pivotArea>
    </chartFormat>
    <chartFormat chart="28" format="39" series="1">
      <pivotArea type="data" outline="0" fieldPosition="0">
        <references count="1">
          <reference field="4294967294" count="1" selected="0">
            <x v="3"/>
          </reference>
        </references>
      </pivotArea>
    </chartFormat>
    <chartFormat chart="28" format="40" series="1">
      <pivotArea type="data" outline="0" fieldPosition="0">
        <references count="1">
          <reference field="4294967294" count="1" selected="0">
            <x v="4"/>
          </reference>
        </references>
      </pivotArea>
    </chartFormat>
    <chartFormat chart="28" format="41" series="1">
      <pivotArea type="data" outline="0" fieldPosition="0">
        <references count="1">
          <reference field="4294967294" count="1" selected="0">
            <x v="5"/>
          </reference>
        </references>
      </pivotArea>
    </chartFormat>
    <chartFormat chart="28" format="42" series="1">
      <pivotArea type="data" outline="0" fieldPosition="0">
        <references count="1">
          <reference field="4294967294" count="1" selected="0">
            <x v="6"/>
          </reference>
        </references>
      </pivotArea>
    </chartFormat>
    <chartFormat chart="28" format="43" series="1">
      <pivotArea type="data" outline="0" fieldPosition="0">
        <references count="1">
          <reference field="4294967294" count="1" selected="0">
            <x v="7"/>
          </reference>
        </references>
      </pivotArea>
    </chartFormat>
    <chartFormat chart="28" format="44" series="1">
      <pivotArea type="data" outline="0" fieldPosition="0">
        <references count="1">
          <reference field="4294967294" count="1" selected="0">
            <x v="8"/>
          </reference>
        </references>
      </pivotArea>
    </chartFormat>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2"/>
          </reference>
        </references>
      </pivotArea>
    </chartFormat>
    <chartFormat chart="30" format="3" series="1">
      <pivotArea type="data" outline="0" fieldPosition="0">
        <references count="1">
          <reference field="4294967294" count="1" selected="0">
            <x v="3"/>
          </reference>
        </references>
      </pivotArea>
    </chartFormat>
    <chartFormat chart="30" format="4" series="1">
      <pivotArea type="data" outline="0" fieldPosition="0">
        <references count="1">
          <reference field="4294967294" count="1" selected="0">
            <x v="4"/>
          </reference>
        </references>
      </pivotArea>
    </chartFormat>
    <chartFormat chart="30" format="5" series="1">
      <pivotArea type="data" outline="0" fieldPosition="0">
        <references count="1">
          <reference field="4294967294" count="1" selected="0">
            <x v="5"/>
          </reference>
        </references>
      </pivotArea>
    </chartFormat>
    <chartFormat chart="30" format="6" series="1">
      <pivotArea type="data" outline="0" fieldPosition="0">
        <references count="1">
          <reference field="4294967294" count="1" selected="0">
            <x v="6"/>
          </reference>
        </references>
      </pivotArea>
    </chartFormat>
    <chartFormat chart="30" format="7" series="1">
      <pivotArea type="data" outline="0" fieldPosition="0">
        <references count="1">
          <reference field="4294967294" count="1" selected="0">
            <x v="7"/>
          </reference>
        </references>
      </pivotArea>
    </chartFormat>
    <chartFormat chart="30" format="8" series="1">
      <pivotArea type="data" outline="0" fieldPosition="0">
        <references count="1">
          <reference field="4294967294" count="1" selected="0">
            <x v="8"/>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2"/>
          </reference>
        </references>
      </pivotArea>
    </chartFormat>
    <chartFormat chart="32" format="3" series="1">
      <pivotArea type="data" outline="0" fieldPosition="0">
        <references count="1">
          <reference field="4294967294" count="1" selected="0">
            <x v="3"/>
          </reference>
        </references>
      </pivotArea>
    </chartFormat>
    <chartFormat chart="32" format="4" series="1">
      <pivotArea type="data" outline="0" fieldPosition="0">
        <references count="1">
          <reference field="4294967294" count="1" selected="0">
            <x v="4"/>
          </reference>
        </references>
      </pivotArea>
    </chartFormat>
    <chartFormat chart="32" format="5" series="1">
      <pivotArea type="data" outline="0" fieldPosition="0">
        <references count="1">
          <reference field="4294967294" count="1" selected="0">
            <x v="5"/>
          </reference>
        </references>
      </pivotArea>
    </chartFormat>
    <chartFormat chart="32" format="6" series="1">
      <pivotArea type="data" outline="0" fieldPosition="0">
        <references count="1">
          <reference field="4294967294" count="1" selected="0">
            <x v="6"/>
          </reference>
        </references>
      </pivotArea>
    </chartFormat>
    <chartFormat chart="32" format="7" series="1">
      <pivotArea type="data" outline="0" fieldPosition="0">
        <references count="1">
          <reference field="4294967294" count="1" selected="0">
            <x v="7"/>
          </reference>
        </references>
      </pivotArea>
    </chartFormat>
    <chartFormat chart="32" format="8" series="1">
      <pivotArea type="data" outline="0" fieldPosition="0">
        <references count="1">
          <reference field="4294967294" count="1" selected="0">
            <x v="8"/>
          </reference>
        </references>
      </pivotArea>
    </chartFormat>
    <chartFormat chart="37" format="18" series="1">
      <pivotArea type="data" outline="0" fieldPosition="0">
        <references count="1">
          <reference field="4294967294" count="1" selected="0">
            <x v="0"/>
          </reference>
        </references>
      </pivotArea>
    </chartFormat>
    <chartFormat chart="37" format="19" series="1">
      <pivotArea type="data" outline="0" fieldPosition="0">
        <references count="1">
          <reference field="4294967294" count="1" selected="0">
            <x v="1"/>
          </reference>
        </references>
      </pivotArea>
    </chartFormat>
    <chartFormat chart="37" format="20" series="1">
      <pivotArea type="data" outline="0" fieldPosition="0">
        <references count="1">
          <reference field="4294967294" count="1" selected="0">
            <x v="2"/>
          </reference>
        </references>
      </pivotArea>
    </chartFormat>
    <chartFormat chart="37" format="21" series="1">
      <pivotArea type="data" outline="0" fieldPosition="0">
        <references count="1">
          <reference field="4294967294" count="1" selected="0">
            <x v="3"/>
          </reference>
        </references>
      </pivotArea>
    </chartFormat>
    <chartFormat chart="37" format="22" series="1">
      <pivotArea type="data" outline="0" fieldPosition="0">
        <references count="1">
          <reference field="4294967294" count="1" selected="0">
            <x v="4"/>
          </reference>
        </references>
      </pivotArea>
    </chartFormat>
    <chartFormat chart="37" format="23" series="1">
      <pivotArea type="data" outline="0" fieldPosition="0">
        <references count="1">
          <reference field="4294967294" count="1" selected="0">
            <x v="5"/>
          </reference>
        </references>
      </pivotArea>
    </chartFormat>
    <chartFormat chart="37" format="24" series="1">
      <pivotArea type="data" outline="0" fieldPosition="0">
        <references count="1">
          <reference field="4294967294" count="1" selected="0">
            <x v="6"/>
          </reference>
        </references>
      </pivotArea>
    </chartFormat>
    <chartFormat chart="37" format="25" series="1">
      <pivotArea type="data" outline="0" fieldPosition="0">
        <references count="1">
          <reference field="4294967294" count="1" selected="0">
            <x v="7"/>
          </reference>
        </references>
      </pivotArea>
    </chartFormat>
    <chartFormat chart="37" format="26" series="1">
      <pivotArea type="data" outline="0" fieldPosition="0">
        <references count="1">
          <reference field="429496729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82C6B1-DF5E-43F6-8D42-47954F1B145B}" name="TablaDinámica7" cacheId="1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8">
  <location ref="A13:J15" firstHeaderRow="0" firstDataRow="1" firstDataCol="1"/>
  <pivotFields count="11">
    <pivotField axis="axisRow" showAll="0">
      <items count="5">
        <item h="1" x="0"/>
        <item h="1" x="1"/>
        <item x="2"/>
        <item h="1" x="3"/>
        <item t="default"/>
      </items>
    </pivotField>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numFmtId="9" showAll="0"/>
  </pivotFields>
  <rowFields count="1">
    <field x="0"/>
  </rowFields>
  <rowItems count="2">
    <i>
      <x v="2"/>
    </i>
    <i t="grand">
      <x/>
    </i>
  </rowItems>
  <colFields count="1">
    <field x="-2"/>
  </colFields>
  <colItems count="9">
    <i>
      <x/>
    </i>
    <i i="1">
      <x v="1"/>
    </i>
    <i i="2">
      <x v="2"/>
    </i>
    <i i="3">
      <x v="3"/>
    </i>
    <i i="4">
      <x v="4"/>
    </i>
    <i i="5">
      <x v="5"/>
    </i>
    <i i="6">
      <x v="6"/>
    </i>
    <i i="7">
      <x v="7"/>
    </i>
    <i i="8">
      <x v="8"/>
    </i>
  </colItems>
  <dataFields count="9">
    <dataField name="Máx. de PISO 1" fld="1" subtotal="max" baseField="0" baseItem="0" numFmtId="9"/>
    <dataField name="Máx. de PISO 2" fld="2" subtotal="max" baseField="0" baseItem="0" numFmtId="9"/>
    <dataField name="Máx. de PISO 3" fld="3" subtotal="max" baseField="0" baseItem="0" numFmtId="9"/>
    <dataField name="Máx. de PISO 4" fld="4" subtotal="max" baseField="0" baseItem="0" numFmtId="9"/>
    <dataField name="Máx. de PISO 5" fld="5" subtotal="max" baseField="0" baseItem="0" numFmtId="9"/>
    <dataField name="Máx. de PISO 6" fld="6" subtotal="max" baseField="0" baseItem="0" numFmtId="9"/>
    <dataField name="Máx. de PISO 7" fld="7" subtotal="max" baseField="0" baseItem="0" numFmtId="9"/>
    <dataField name="Máx. de PISO 8" fld="8" subtotal="max" baseField="0" baseItem="0" numFmtId="9"/>
    <dataField name="Máx. de PISO 9" fld="9" subtotal="max" baseField="0" baseItem="0" numFmtId="9"/>
  </dataFields>
  <chartFormats count="7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5"/>
          </reference>
        </references>
      </pivotArea>
    </chartFormat>
    <chartFormat chart="1" format="6" series="1">
      <pivotArea type="data" outline="0" fieldPosition="0">
        <references count="1">
          <reference field="4294967294" count="1" selected="0">
            <x v="6"/>
          </reference>
        </references>
      </pivotArea>
    </chartFormat>
    <chartFormat chart="1" format="7" series="1">
      <pivotArea type="data" outline="0" fieldPosition="0">
        <references count="1">
          <reference field="4294967294" count="1" selected="0">
            <x v="7"/>
          </reference>
        </references>
      </pivotArea>
    </chartFormat>
    <chartFormat chart="1" format="8" series="1">
      <pivotArea type="data" outline="0" fieldPosition="0">
        <references count="1">
          <reference field="4294967294" count="1" selected="0">
            <x v="8"/>
          </reference>
        </references>
      </pivotArea>
    </chartFormat>
    <chartFormat chart="10" format="18" series="1">
      <pivotArea type="data" outline="0" fieldPosition="0">
        <references count="1">
          <reference field="4294967294" count="1" selected="0">
            <x v="0"/>
          </reference>
        </references>
      </pivotArea>
    </chartFormat>
    <chartFormat chart="10" format="19" series="1">
      <pivotArea type="data" outline="0" fieldPosition="0">
        <references count="1">
          <reference field="4294967294" count="1" selected="0">
            <x v="1"/>
          </reference>
        </references>
      </pivotArea>
    </chartFormat>
    <chartFormat chart="10" format="20" series="1">
      <pivotArea type="data" outline="0" fieldPosition="0">
        <references count="1">
          <reference field="4294967294" count="1" selected="0">
            <x v="2"/>
          </reference>
        </references>
      </pivotArea>
    </chartFormat>
    <chartFormat chart="10" format="21" series="1">
      <pivotArea type="data" outline="0" fieldPosition="0">
        <references count="1">
          <reference field="4294967294" count="1" selected="0">
            <x v="3"/>
          </reference>
        </references>
      </pivotArea>
    </chartFormat>
    <chartFormat chart="10" format="22" series="1">
      <pivotArea type="data" outline="0" fieldPosition="0">
        <references count="1">
          <reference field="4294967294" count="1" selected="0">
            <x v="4"/>
          </reference>
        </references>
      </pivotArea>
    </chartFormat>
    <chartFormat chart="10" format="23" series="1">
      <pivotArea type="data" outline="0" fieldPosition="0">
        <references count="1">
          <reference field="4294967294" count="1" selected="0">
            <x v="5"/>
          </reference>
        </references>
      </pivotArea>
    </chartFormat>
    <chartFormat chart="10" format="24" series="1">
      <pivotArea type="data" outline="0" fieldPosition="0">
        <references count="1">
          <reference field="4294967294" count="1" selected="0">
            <x v="6"/>
          </reference>
        </references>
      </pivotArea>
    </chartFormat>
    <chartFormat chart="10" format="25" series="1">
      <pivotArea type="data" outline="0" fieldPosition="0">
        <references count="1">
          <reference field="4294967294" count="1" selected="0">
            <x v="7"/>
          </reference>
        </references>
      </pivotArea>
    </chartFormat>
    <chartFormat chart="10" format="26" series="1">
      <pivotArea type="data" outline="0" fieldPosition="0">
        <references count="1">
          <reference field="4294967294" count="1" selected="0">
            <x v="8"/>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18" format="3" series="1">
      <pivotArea type="data" outline="0" fieldPosition="0">
        <references count="1">
          <reference field="4294967294" count="1" selected="0">
            <x v="3"/>
          </reference>
        </references>
      </pivotArea>
    </chartFormat>
    <chartFormat chart="18" format="4" series="1">
      <pivotArea type="data" outline="0" fieldPosition="0">
        <references count="1">
          <reference field="4294967294" count="1" selected="0">
            <x v="4"/>
          </reference>
        </references>
      </pivotArea>
    </chartFormat>
    <chartFormat chart="18" format="5" series="1">
      <pivotArea type="data" outline="0" fieldPosition="0">
        <references count="1">
          <reference field="4294967294" count="1" selected="0">
            <x v="5"/>
          </reference>
        </references>
      </pivotArea>
    </chartFormat>
    <chartFormat chart="18" format="6" series="1">
      <pivotArea type="data" outline="0" fieldPosition="0">
        <references count="1">
          <reference field="4294967294" count="1" selected="0">
            <x v="6"/>
          </reference>
        </references>
      </pivotArea>
    </chartFormat>
    <chartFormat chart="18" format="7" series="1">
      <pivotArea type="data" outline="0" fieldPosition="0">
        <references count="1">
          <reference field="4294967294" count="1" selected="0">
            <x v="7"/>
          </reference>
        </references>
      </pivotArea>
    </chartFormat>
    <chartFormat chart="18" format="8" series="1">
      <pivotArea type="data" outline="0" fieldPosition="0">
        <references count="1">
          <reference field="4294967294" count="1" selected="0">
            <x v="8"/>
          </reference>
        </references>
      </pivotArea>
    </chartFormat>
    <chartFormat chart="25" format="18" series="1">
      <pivotArea type="data" outline="0" fieldPosition="0">
        <references count="1">
          <reference field="4294967294" count="1" selected="0">
            <x v="0"/>
          </reference>
        </references>
      </pivotArea>
    </chartFormat>
    <chartFormat chart="25" format="19" series="1">
      <pivotArea type="data" outline="0" fieldPosition="0">
        <references count="1">
          <reference field="4294967294" count="1" selected="0">
            <x v="1"/>
          </reference>
        </references>
      </pivotArea>
    </chartFormat>
    <chartFormat chart="25" format="20" series="1">
      <pivotArea type="data" outline="0" fieldPosition="0">
        <references count="1">
          <reference field="4294967294" count="1" selected="0">
            <x v="2"/>
          </reference>
        </references>
      </pivotArea>
    </chartFormat>
    <chartFormat chart="25" format="21" series="1">
      <pivotArea type="data" outline="0" fieldPosition="0">
        <references count="1">
          <reference field="4294967294" count="1" selected="0">
            <x v="3"/>
          </reference>
        </references>
      </pivotArea>
    </chartFormat>
    <chartFormat chart="25" format="22" series="1">
      <pivotArea type="data" outline="0" fieldPosition="0">
        <references count="1">
          <reference field="4294967294" count="1" selected="0">
            <x v="4"/>
          </reference>
        </references>
      </pivotArea>
    </chartFormat>
    <chartFormat chart="25" format="23" series="1">
      <pivotArea type="data" outline="0" fieldPosition="0">
        <references count="1">
          <reference field="4294967294" count="1" selected="0">
            <x v="5"/>
          </reference>
        </references>
      </pivotArea>
    </chartFormat>
    <chartFormat chart="25" format="24" series="1">
      <pivotArea type="data" outline="0" fieldPosition="0">
        <references count="1">
          <reference field="4294967294" count="1" selected="0">
            <x v="6"/>
          </reference>
        </references>
      </pivotArea>
    </chartFormat>
    <chartFormat chart="25" format="25" series="1">
      <pivotArea type="data" outline="0" fieldPosition="0">
        <references count="1">
          <reference field="4294967294" count="1" selected="0">
            <x v="7"/>
          </reference>
        </references>
      </pivotArea>
    </chartFormat>
    <chartFormat chart="25" format="26" series="1">
      <pivotArea type="data" outline="0" fieldPosition="0">
        <references count="1">
          <reference field="4294967294" count="1" selected="0">
            <x v="8"/>
          </reference>
        </references>
      </pivotArea>
    </chartFormat>
    <chartFormat chart="28" format="36" series="1">
      <pivotArea type="data" outline="0" fieldPosition="0">
        <references count="1">
          <reference field="4294967294" count="1" selected="0">
            <x v="0"/>
          </reference>
        </references>
      </pivotArea>
    </chartFormat>
    <chartFormat chart="28" format="37" series="1">
      <pivotArea type="data" outline="0" fieldPosition="0">
        <references count="1">
          <reference field="4294967294" count="1" selected="0">
            <x v="1"/>
          </reference>
        </references>
      </pivotArea>
    </chartFormat>
    <chartFormat chart="28" format="38" series="1">
      <pivotArea type="data" outline="0" fieldPosition="0">
        <references count="1">
          <reference field="4294967294" count="1" selected="0">
            <x v="2"/>
          </reference>
        </references>
      </pivotArea>
    </chartFormat>
    <chartFormat chart="28" format="39" series="1">
      <pivotArea type="data" outline="0" fieldPosition="0">
        <references count="1">
          <reference field="4294967294" count="1" selected="0">
            <x v="3"/>
          </reference>
        </references>
      </pivotArea>
    </chartFormat>
    <chartFormat chart="28" format="40" series="1">
      <pivotArea type="data" outline="0" fieldPosition="0">
        <references count="1">
          <reference field="4294967294" count="1" selected="0">
            <x v="4"/>
          </reference>
        </references>
      </pivotArea>
    </chartFormat>
    <chartFormat chart="28" format="41" series="1">
      <pivotArea type="data" outline="0" fieldPosition="0">
        <references count="1">
          <reference field="4294967294" count="1" selected="0">
            <x v="5"/>
          </reference>
        </references>
      </pivotArea>
    </chartFormat>
    <chartFormat chart="28" format="42" series="1">
      <pivotArea type="data" outline="0" fieldPosition="0">
        <references count="1">
          <reference field="4294967294" count="1" selected="0">
            <x v="6"/>
          </reference>
        </references>
      </pivotArea>
    </chartFormat>
    <chartFormat chart="28" format="43" series="1">
      <pivotArea type="data" outline="0" fieldPosition="0">
        <references count="1">
          <reference field="4294967294" count="1" selected="0">
            <x v="7"/>
          </reference>
        </references>
      </pivotArea>
    </chartFormat>
    <chartFormat chart="28" format="44" series="1">
      <pivotArea type="data" outline="0" fieldPosition="0">
        <references count="1">
          <reference field="4294967294" count="1" selected="0">
            <x v="8"/>
          </reference>
        </references>
      </pivotArea>
    </chartFormat>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2"/>
          </reference>
        </references>
      </pivotArea>
    </chartFormat>
    <chartFormat chart="30" format="3" series="1">
      <pivotArea type="data" outline="0" fieldPosition="0">
        <references count="1">
          <reference field="4294967294" count="1" selected="0">
            <x v="3"/>
          </reference>
        </references>
      </pivotArea>
    </chartFormat>
    <chartFormat chart="30" format="4" series="1">
      <pivotArea type="data" outline="0" fieldPosition="0">
        <references count="1">
          <reference field="4294967294" count="1" selected="0">
            <x v="4"/>
          </reference>
        </references>
      </pivotArea>
    </chartFormat>
    <chartFormat chart="30" format="5" series="1">
      <pivotArea type="data" outline="0" fieldPosition="0">
        <references count="1">
          <reference field="4294967294" count="1" selected="0">
            <x v="5"/>
          </reference>
        </references>
      </pivotArea>
    </chartFormat>
    <chartFormat chart="30" format="6" series="1">
      <pivotArea type="data" outline="0" fieldPosition="0">
        <references count="1">
          <reference field="4294967294" count="1" selected="0">
            <x v="6"/>
          </reference>
        </references>
      </pivotArea>
    </chartFormat>
    <chartFormat chart="30" format="7" series="1">
      <pivotArea type="data" outline="0" fieldPosition="0">
        <references count="1">
          <reference field="4294967294" count="1" selected="0">
            <x v="7"/>
          </reference>
        </references>
      </pivotArea>
    </chartFormat>
    <chartFormat chart="30" format="8" series="1">
      <pivotArea type="data" outline="0" fieldPosition="0">
        <references count="1">
          <reference field="4294967294" count="1" selected="0">
            <x v="8"/>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2"/>
          </reference>
        </references>
      </pivotArea>
    </chartFormat>
    <chartFormat chart="32" format="3" series="1">
      <pivotArea type="data" outline="0" fieldPosition="0">
        <references count="1">
          <reference field="4294967294" count="1" selected="0">
            <x v="3"/>
          </reference>
        </references>
      </pivotArea>
    </chartFormat>
    <chartFormat chart="32" format="4" series="1">
      <pivotArea type="data" outline="0" fieldPosition="0">
        <references count="1">
          <reference field="4294967294" count="1" selected="0">
            <x v="4"/>
          </reference>
        </references>
      </pivotArea>
    </chartFormat>
    <chartFormat chart="32" format="5" series="1">
      <pivotArea type="data" outline="0" fieldPosition="0">
        <references count="1">
          <reference field="4294967294" count="1" selected="0">
            <x v="5"/>
          </reference>
        </references>
      </pivotArea>
    </chartFormat>
    <chartFormat chart="32" format="6" series="1">
      <pivotArea type="data" outline="0" fieldPosition="0">
        <references count="1">
          <reference field="4294967294" count="1" selected="0">
            <x v="6"/>
          </reference>
        </references>
      </pivotArea>
    </chartFormat>
    <chartFormat chart="32" format="7" series="1">
      <pivotArea type="data" outline="0" fieldPosition="0">
        <references count="1">
          <reference field="4294967294" count="1" selected="0">
            <x v="7"/>
          </reference>
        </references>
      </pivotArea>
    </chartFormat>
    <chartFormat chart="32" format="8" series="1">
      <pivotArea type="data" outline="0" fieldPosition="0">
        <references count="1">
          <reference field="4294967294" count="1" selected="0">
            <x v="8"/>
          </reference>
        </references>
      </pivotArea>
    </chartFormat>
    <chartFormat chart="37" format="18" series="1">
      <pivotArea type="data" outline="0" fieldPosition="0">
        <references count="1">
          <reference field="4294967294" count="1" selected="0">
            <x v="0"/>
          </reference>
        </references>
      </pivotArea>
    </chartFormat>
    <chartFormat chart="37" format="19" series="1">
      <pivotArea type="data" outline="0" fieldPosition="0">
        <references count="1">
          <reference field="4294967294" count="1" selected="0">
            <x v="1"/>
          </reference>
        </references>
      </pivotArea>
    </chartFormat>
    <chartFormat chart="37" format="20" series="1">
      <pivotArea type="data" outline="0" fieldPosition="0">
        <references count="1">
          <reference field="4294967294" count="1" selected="0">
            <x v="2"/>
          </reference>
        </references>
      </pivotArea>
    </chartFormat>
    <chartFormat chart="37" format="21" series="1">
      <pivotArea type="data" outline="0" fieldPosition="0">
        <references count="1">
          <reference field="4294967294" count="1" selected="0">
            <x v="3"/>
          </reference>
        </references>
      </pivotArea>
    </chartFormat>
    <chartFormat chart="37" format="22" series="1">
      <pivotArea type="data" outline="0" fieldPosition="0">
        <references count="1">
          <reference field="4294967294" count="1" selected="0">
            <x v="4"/>
          </reference>
        </references>
      </pivotArea>
    </chartFormat>
    <chartFormat chart="37" format="23" series="1">
      <pivotArea type="data" outline="0" fieldPosition="0">
        <references count="1">
          <reference field="4294967294" count="1" selected="0">
            <x v="5"/>
          </reference>
        </references>
      </pivotArea>
    </chartFormat>
    <chartFormat chart="37" format="24" series="1">
      <pivotArea type="data" outline="0" fieldPosition="0">
        <references count="1">
          <reference field="4294967294" count="1" selected="0">
            <x v="6"/>
          </reference>
        </references>
      </pivotArea>
    </chartFormat>
    <chartFormat chart="37" format="25" series="1">
      <pivotArea type="data" outline="0" fieldPosition="0">
        <references count="1">
          <reference field="4294967294" count="1" selected="0">
            <x v="7"/>
          </reference>
        </references>
      </pivotArea>
    </chartFormat>
    <chartFormat chart="37" format="26" series="1">
      <pivotArea type="data" outline="0" fieldPosition="0">
        <references count="1">
          <reference field="429496729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FF10F3-4921-44DB-AB65-E7F2E5F42DCE}" name="TablaDinámica6" cacheId="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0">
  <location ref="A47:I48" firstHeaderRow="0" firstDataRow="1" firstDataCol="0"/>
  <pivotFields count="9">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s>
  <rowItems count="1">
    <i/>
  </rowItems>
  <colFields count="1">
    <field x="-2"/>
  </colFields>
  <colItems count="9">
    <i>
      <x/>
    </i>
    <i i="1">
      <x v="1"/>
    </i>
    <i i="2">
      <x v="2"/>
    </i>
    <i i="3">
      <x v="3"/>
    </i>
    <i i="4">
      <x v="4"/>
    </i>
    <i i="5">
      <x v="5"/>
    </i>
    <i i="6">
      <x v="6"/>
    </i>
    <i i="7">
      <x v="7"/>
    </i>
    <i i="8">
      <x v="8"/>
    </i>
  </colItems>
  <dataFields count="9">
    <dataField name="Máx. de PISO 1" fld="0" subtotal="max" baseField="0" baseItem="1" numFmtId="9"/>
    <dataField name="Máx. de PISO 2" fld="1" subtotal="max" baseField="0" baseItem="1" numFmtId="9"/>
    <dataField name="Máx. de PISO 3" fld="2" subtotal="max" baseField="0" baseItem="1" numFmtId="9"/>
    <dataField name="Máx. de PISO 4" fld="3" subtotal="max" baseField="0" baseItem="1" numFmtId="9"/>
    <dataField name="Máx. de PISO 5" fld="4" subtotal="max" baseField="0" baseItem="1" numFmtId="9"/>
    <dataField name="Máx. de PISO 6" fld="5" subtotal="max" baseField="0" baseItem="1" numFmtId="9"/>
    <dataField name="Máx. de PISO 7" fld="6" subtotal="max" baseField="0" baseItem="1" numFmtId="9"/>
    <dataField name="Máx. de PISO 8" fld="7" subtotal="max" baseField="0" baseItem="1" numFmtId="9"/>
    <dataField name="Máx. de PISO 9" fld="8" subtotal="max" baseField="0" baseItem="1" numFmtId="9"/>
  </dataFields>
  <chartFormats count="1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5"/>
          </reference>
        </references>
      </pivotArea>
    </chartFormat>
    <chartFormat chart="1" format="6" series="1">
      <pivotArea type="data" outline="0" fieldPosition="0">
        <references count="1">
          <reference field="4294967294" count="1" selected="0">
            <x v="6"/>
          </reference>
        </references>
      </pivotArea>
    </chartFormat>
    <chartFormat chart="1" format="7" series="1">
      <pivotArea type="data" outline="0" fieldPosition="0">
        <references count="1">
          <reference field="4294967294" count="1" selected="0">
            <x v="7"/>
          </reference>
        </references>
      </pivotArea>
    </chartFormat>
    <chartFormat chart="1" format="8" series="1">
      <pivotArea type="data" outline="0" fieldPosition="0">
        <references count="1">
          <reference field="4294967294" count="1" selected="0">
            <x v="8"/>
          </reference>
        </references>
      </pivotArea>
    </chartFormat>
    <chartFormat chart="6" format="18" series="1">
      <pivotArea type="data" outline="0" fieldPosition="0">
        <references count="1">
          <reference field="4294967294" count="1" selected="0">
            <x v="0"/>
          </reference>
        </references>
      </pivotArea>
    </chartFormat>
    <chartFormat chart="6" format="19" series="1">
      <pivotArea type="data" outline="0" fieldPosition="0">
        <references count="1">
          <reference field="4294967294" count="1" selected="0">
            <x v="1"/>
          </reference>
        </references>
      </pivotArea>
    </chartFormat>
    <chartFormat chart="6" format="20" series="1">
      <pivotArea type="data" outline="0" fieldPosition="0">
        <references count="1">
          <reference field="4294967294" count="1" selected="0">
            <x v="2"/>
          </reference>
        </references>
      </pivotArea>
    </chartFormat>
    <chartFormat chart="6" format="21" series="1">
      <pivotArea type="data" outline="0" fieldPosition="0">
        <references count="1">
          <reference field="4294967294" count="1" selected="0">
            <x v="3"/>
          </reference>
        </references>
      </pivotArea>
    </chartFormat>
    <chartFormat chart="6" format="22" series="1">
      <pivotArea type="data" outline="0" fieldPosition="0">
        <references count="1">
          <reference field="4294967294" count="1" selected="0">
            <x v="4"/>
          </reference>
        </references>
      </pivotArea>
    </chartFormat>
    <chartFormat chart="6" format="23" series="1">
      <pivotArea type="data" outline="0" fieldPosition="0">
        <references count="1">
          <reference field="4294967294" count="1" selected="0">
            <x v="5"/>
          </reference>
        </references>
      </pivotArea>
    </chartFormat>
    <chartFormat chart="6" format="24" series="1">
      <pivotArea type="data" outline="0" fieldPosition="0">
        <references count="1">
          <reference field="4294967294" count="1" selected="0">
            <x v="6"/>
          </reference>
        </references>
      </pivotArea>
    </chartFormat>
    <chartFormat chart="6" format="25" series="1">
      <pivotArea type="data" outline="0" fieldPosition="0">
        <references count="1">
          <reference field="4294967294" count="1" selected="0">
            <x v="7"/>
          </reference>
        </references>
      </pivotArea>
    </chartFormat>
    <chartFormat chart="6" format="26" series="1">
      <pivotArea type="data" outline="0" fieldPosition="0">
        <references count="1">
          <reference field="429496729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1C62B1-2D92-4CE7-BDCE-17A800D96456}" name="TablaDinámica1"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7">
  <location ref="A3:B15" firstHeaderRow="1" firstDataRow="1" firstDataCol="1"/>
  <pivotFields count="20">
    <pivotField axis="axisRow" multipleItemSelectionAllowed="1" showAll="0">
      <items count="198">
        <item x="17"/>
        <item x="35"/>
        <item x="53"/>
        <item x="71"/>
        <item x="89"/>
        <item x="107"/>
        <item x="125"/>
        <item x="143"/>
        <item x="161"/>
        <item h="1" x="195"/>
        <item h="1" x="194"/>
        <item h="1" x="193"/>
        <item h="1" x="192"/>
        <item h="1" x="191"/>
        <item h="1" x="190"/>
        <item h="1" x="189"/>
        <item h="1" x="188"/>
        <item h="1" x="187"/>
        <item h="1" x="186"/>
        <item h="1" x="185"/>
        <item h="1" x="184"/>
        <item h="1" x="183"/>
        <item h="1" x="182"/>
        <item h="1" x="181"/>
        <item h="1" x="180"/>
        <item h="1" x="178"/>
        <item h="1" x="177"/>
        <item h="1" x="176"/>
        <item h="1" x="175"/>
        <item h="1" x="174"/>
        <item h="1" x="173"/>
        <item h="1" x="172"/>
        <item h="1" x="171"/>
        <item h="1" x="170"/>
        <item h="1" x="169"/>
        <item h="1" x="168"/>
        <item h="1" x="167"/>
        <item h="1" x="166"/>
        <item h="1" x="165"/>
        <item h="1" x="164"/>
        <item h="1" x="163"/>
        <item h="1" x="162"/>
        <item h="1" x="160"/>
        <item h="1" x="159"/>
        <item h="1" x="158"/>
        <item h="1" x="157"/>
        <item h="1" x="156"/>
        <item h="1" x="155"/>
        <item h="1" x="154"/>
        <item h="1" x="153"/>
        <item h="1" x="152"/>
        <item h="1" x="151"/>
        <item h="1" x="150"/>
        <item h="1" x="149"/>
        <item h="1" x="148"/>
        <item h="1" x="147"/>
        <item h="1" x="146"/>
        <item h="1" x="145"/>
        <item h="1" x="144"/>
        <item h="1" x="142"/>
        <item h="1" x="141"/>
        <item h="1" x="140"/>
        <item h="1" x="139"/>
        <item h="1" x="138"/>
        <item h="1" x="137"/>
        <item h="1" x="136"/>
        <item h="1" x="135"/>
        <item h="1" x="134"/>
        <item h="1" x="133"/>
        <item h="1" x="132"/>
        <item h="1" x="131"/>
        <item h="1" x="130"/>
        <item h="1" x="129"/>
        <item h="1" x="128"/>
        <item h="1" x="127"/>
        <item h="1" x="126"/>
        <item h="1" x="124"/>
        <item h="1" x="123"/>
        <item h="1" x="122"/>
        <item h="1" x="121"/>
        <item h="1" x="120"/>
        <item h="1" x="119"/>
        <item h="1" x="118"/>
        <item h="1" x="117"/>
        <item h="1" x="116"/>
        <item h="1" x="115"/>
        <item h="1" x="114"/>
        <item h="1" x="113"/>
        <item h="1" x="112"/>
        <item h="1" x="111"/>
        <item h="1" x="110"/>
        <item h="1" x="109"/>
        <item h="1" x="108"/>
        <item h="1" x="106"/>
        <item h="1" x="105"/>
        <item h="1" x="104"/>
        <item h="1" x="103"/>
        <item h="1" x="102"/>
        <item h="1" x="101"/>
        <item h="1" x="100"/>
        <item h="1" x="99"/>
        <item h="1" x="98"/>
        <item h="1" x="97"/>
        <item h="1" x="96"/>
        <item h="1" x="95"/>
        <item h="1" x="94"/>
        <item h="1" x="93"/>
        <item h="1" x="92"/>
        <item h="1" x="91"/>
        <item h="1" x="90"/>
        <item h="1" x="88"/>
        <item h="1" x="87"/>
        <item h="1" x="86"/>
        <item h="1" x="85"/>
        <item h="1" x="84"/>
        <item h="1" x="83"/>
        <item h="1" x="82"/>
        <item h="1" x="81"/>
        <item h="1" x="80"/>
        <item h="1" x="79"/>
        <item h="1" x="78"/>
        <item h="1" x="77"/>
        <item h="1" x="76"/>
        <item h="1" x="75"/>
        <item h="1" x="74"/>
        <item h="1" x="73"/>
        <item h="1" x="72"/>
        <item h="1" x="70"/>
        <item h="1" x="69"/>
        <item h="1" x="68"/>
        <item h="1" x="67"/>
        <item h="1" x="66"/>
        <item h="1" x="65"/>
        <item h="1" x="64"/>
        <item h="1" x="63"/>
        <item h="1" x="62"/>
        <item h="1" x="61"/>
        <item h="1" x="60"/>
        <item h="1" x="59"/>
        <item h="1" x="58"/>
        <item h="1" x="57"/>
        <item h="1" x="56"/>
        <item h="1" x="55"/>
        <item h="1" x="54"/>
        <item h="1" x="52"/>
        <item h="1" x="51"/>
        <item h="1" x="50"/>
        <item h="1" x="49"/>
        <item h="1" x="48"/>
        <item h="1" x="47"/>
        <item h="1" x="46"/>
        <item h="1" x="45"/>
        <item h="1" x="44"/>
        <item h="1" x="43"/>
        <item h="1" x="42"/>
        <item h="1" x="41"/>
        <item h="1" x="40"/>
        <item h="1" x="39"/>
        <item h="1" x="38"/>
        <item h="1" x="37"/>
        <item h="1" x="36"/>
        <item h="1" x="34"/>
        <item h="1" x="33"/>
        <item h="1" x="32"/>
        <item h="1" x="31"/>
        <item h="1" x="30"/>
        <item h="1" x="29"/>
        <item h="1" x="28"/>
        <item h="1" x="27"/>
        <item h="1" x="26"/>
        <item h="1" x="25"/>
        <item h="1" x="24"/>
        <item h="1" x="23"/>
        <item h="1" x="22"/>
        <item h="1" x="21"/>
        <item h="1" x="20"/>
        <item h="1" x="19"/>
        <item h="1" x="18"/>
        <item h="1" x="16"/>
        <item h="1" x="15"/>
        <item h="1" x="14"/>
        <item h="1" x="13"/>
        <item h="1" x="12"/>
        <item h="1" x="11"/>
        <item h="1" x="10"/>
        <item h="1" x="9"/>
        <item h="1" x="8"/>
        <item h="1" x="7"/>
        <item h="1" x="6"/>
        <item h="1" x="5"/>
        <item h="1" x="4"/>
        <item h="1" x="3"/>
        <item h="1" x="2"/>
        <item h="1" x="1"/>
        <item h="1" x="0"/>
        <item x="179"/>
        <item x="196"/>
        <item t="default"/>
      </items>
    </pivotField>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dataField="1" numFmtId="9" showAll="0"/>
  </pivotFields>
  <rowFields count="1">
    <field x="0"/>
  </rowFields>
  <rowItems count="12">
    <i>
      <x/>
    </i>
    <i>
      <x v="1"/>
    </i>
    <i>
      <x v="2"/>
    </i>
    <i>
      <x v="3"/>
    </i>
    <i>
      <x v="4"/>
    </i>
    <i>
      <x v="5"/>
    </i>
    <i>
      <x v="6"/>
    </i>
    <i>
      <x v="7"/>
    </i>
    <i>
      <x v="8"/>
    </i>
    <i>
      <x v="195"/>
    </i>
    <i>
      <x v="196"/>
    </i>
    <i t="grand">
      <x/>
    </i>
  </rowItems>
  <colItems count="1">
    <i/>
  </colItems>
  <dataFields count="1">
    <dataField name="Suma de Av. Depto/Piso" fld="19" showDataAs="percentOfTotal" baseField="0" baseItem="0" numFmtId="10"/>
  </dataFields>
  <chartFormats count="3">
    <chartFormat chart="19"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1BA5EA-82A6-4594-99B3-21EB40CB34F2}" name="TablaDinámica4"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60:B78" firstHeaderRow="1" firstDataRow="1" firstDataCol="1"/>
  <pivotFields count="20">
    <pivotField axis="axisRow" multipleItemSelectionAllowed="1" showAll="0">
      <items count="198">
        <item h="1" x="0"/>
        <item h="1" x="1"/>
        <item h="1" x="2"/>
        <item h="1" x="3"/>
        <item h="1" x="4"/>
        <item h="1" x="5"/>
        <item h="1" x="6"/>
        <item h="1" x="7"/>
        <item h="1" x="8"/>
        <item h="1" x="9"/>
        <item h="1" x="10"/>
        <item h="1" x="11"/>
        <item h="1" x="12"/>
        <item h="1" x="13"/>
        <item h="1" x="14"/>
        <item h="1" x="15"/>
        <item h="1" x="16"/>
        <item h="1" x="18"/>
        <item h="1" x="19"/>
        <item h="1" x="20"/>
        <item h="1" x="21"/>
        <item h="1" x="22"/>
        <item h="1" x="23"/>
        <item h="1" x="24"/>
        <item h="1" x="25"/>
        <item h="1" x="26"/>
        <item h="1" x="27"/>
        <item h="1" x="28"/>
        <item h="1" x="29"/>
        <item h="1" x="30"/>
        <item h="1" x="31"/>
        <item h="1" x="32"/>
        <item h="1" x="33"/>
        <item h="1" x="34"/>
        <item x="36"/>
        <item x="37"/>
        <item x="38"/>
        <item x="39"/>
        <item x="40"/>
        <item x="41"/>
        <item x="42"/>
        <item x="43"/>
        <item x="44"/>
        <item x="45"/>
        <item x="46"/>
        <item x="47"/>
        <item x="48"/>
        <item x="49"/>
        <item x="50"/>
        <item x="51"/>
        <item x="52"/>
        <item h="1" x="54"/>
        <item h="1" x="55"/>
        <item h="1" x="56"/>
        <item h="1" x="57"/>
        <item h="1" x="58"/>
        <item h="1" x="59"/>
        <item h="1" x="60"/>
        <item h="1" x="61"/>
        <item h="1" x="62"/>
        <item h="1" x="63"/>
        <item h="1" x="64"/>
        <item h="1" x="65"/>
        <item h="1" x="66"/>
        <item h="1" x="67"/>
        <item h="1" x="68"/>
        <item h="1" x="69"/>
        <item h="1" x="70"/>
        <item h="1" x="72"/>
        <item h="1" x="73"/>
        <item h="1" x="74"/>
        <item h="1" x="75"/>
        <item h="1" x="76"/>
        <item h="1" x="77"/>
        <item h="1" x="78"/>
        <item h="1" x="79"/>
        <item h="1" x="80"/>
        <item h="1" x="81"/>
        <item h="1" x="82"/>
        <item h="1" x="83"/>
        <item h="1" x="84"/>
        <item h="1" x="85"/>
        <item h="1" x="86"/>
        <item h="1" x="87"/>
        <item h="1" x="88"/>
        <item h="1" x="90"/>
        <item h="1" x="91"/>
        <item h="1" x="92"/>
        <item h="1" x="93"/>
        <item h="1" x="94"/>
        <item h="1" x="95"/>
        <item h="1" x="96"/>
        <item h="1" x="97"/>
        <item h="1" x="98"/>
        <item h="1" x="99"/>
        <item h="1" x="100"/>
        <item h="1" x="101"/>
        <item h="1" x="102"/>
        <item h="1" x="103"/>
        <item h="1" x="104"/>
        <item h="1" x="105"/>
        <item h="1" x="106"/>
        <item h="1" x="108"/>
        <item h="1" x="109"/>
        <item h="1" x="110"/>
        <item h="1" x="111"/>
        <item h="1" x="112"/>
        <item h="1" x="113"/>
        <item h="1" x="114"/>
        <item h="1" x="115"/>
        <item h="1" x="116"/>
        <item h="1" x="117"/>
        <item h="1" x="118"/>
        <item h="1" x="119"/>
        <item h="1" x="120"/>
        <item h="1" x="121"/>
        <item h="1" x="122"/>
        <item h="1" x="123"/>
        <item h="1" x="124"/>
        <item h="1" x="126"/>
        <item h="1" x="127"/>
        <item h="1" x="128"/>
        <item h="1" x="129"/>
        <item h="1" x="130"/>
        <item h="1" x="131"/>
        <item h="1" x="132"/>
        <item h="1" x="133"/>
        <item h="1" x="134"/>
        <item h="1" x="135"/>
        <item h="1" x="136"/>
        <item h="1" x="137"/>
        <item h="1" x="138"/>
        <item h="1" x="139"/>
        <item h="1" x="140"/>
        <item h="1" x="141"/>
        <item h="1" x="142"/>
        <item h="1" x="144"/>
        <item h="1" x="145"/>
        <item h="1" x="146"/>
        <item h="1" x="147"/>
        <item h="1" x="148"/>
        <item h="1" x="149"/>
        <item h="1" x="150"/>
        <item h="1" x="151"/>
        <item h="1" x="152"/>
        <item h="1" x="153"/>
        <item h="1" x="154"/>
        <item h="1" x="155"/>
        <item h="1" x="156"/>
        <item h="1" x="157"/>
        <item h="1" x="158"/>
        <item h="1" x="159"/>
        <item h="1" x="160"/>
        <item h="1" x="162"/>
        <item h="1" x="163"/>
        <item h="1" x="164"/>
        <item h="1" x="165"/>
        <item h="1" x="166"/>
        <item h="1" x="167"/>
        <item h="1" x="168"/>
        <item h="1" x="169"/>
        <item h="1" x="170"/>
        <item h="1" x="171"/>
        <item h="1" x="172"/>
        <item h="1" x="173"/>
        <item h="1" x="174"/>
        <item h="1" x="175"/>
        <item h="1" x="176"/>
        <item h="1" x="177"/>
        <item h="1" x="178"/>
        <item h="1" x="180"/>
        <item h="1" x="181"/>
        <item h="1" x="182"/>
        <item h="1" x="183"/>
        <item h="1" x="184"/>
        <item h="1" x="185"/>
        <item h="1" x="186"/>
        <item h="1" x="187"/>
        <item h="1" x="188"/>
        <item h="1" x="189"/>
        <item h="1" x="190"/>
        <item h="1" x="191"/>
        <item h="1" x="192"/>
        <item h="1" x="193"/>
        <item h="1" x="194"/>
        <item h="1" x="195"/>
        <item h="1" x="161"/>
        <item h="1" x="179"/>
        <item h="1" x="196"/>
        <item h="1" x="17"/>
        <item h="1" x="35"/>
        <item h="1" x="53"/>
        <item h="1" x="71"/>
        <item h="1" x="89"/>
        <item h="1" x="107"/>
        <item h="1" x="125"/>
        <item h="1" x="143"/>
        <item t="default"/>
      </items>
    </pivotField>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dataField="1" numFmtId="9" showAll="0"/>
  </pivotFields>
  <rowFields count="1">
    <field x="0"/>
  </rowFields>
  <rowItems count="18">
    <i>
      <x v="34"/>
    </i>
    <i>
      <x v="35"/>
    </i>
    <i>
      <x v="36"/>
    </i>
    <i>
      <x v="37"/>
    </i>
    <i>
      <x v="38"/>
    </i>
    <i>
      <x v="39"/>
    </i>
    <i>
      <x v="40"/>
    </i>
    <i>
      <x v="41"/>
    </i>
    <i>
      <x v="42"/>
    </i>
    <i>
      <x v="43"/>
    </i>
    <i>
      <x v="44"/>
    </i>
    <i>
      <x v="45"/>
    </i>
    <i>
      <x v="46"/>
    </i>
    <i>
      <x v="47"/>
    </i>
    <i>
      <x v="48"/>
    </i>
    <i>
      <x v="49"/>
    </i>
    <i>
      <x v="50"/>
    </i>
    <i t="grand">
      <x/>
    </i>
  </rowItems>
  <colItems count="1">
    <i/>
  </colItems>
  <dataFields count="1">
    <dataField name="Suma de Av. Depto/Piso"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D2A256-AF13-465D-89A2-C37A81691E1B}" name="TablaDinámica3"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9:B57" firstHeaderRow="1" firstDataRow="1" firstDataCol="1"/>
  <pivotFields count="20">
    <pivotField axis="axisRow" multipleItemSelectionAllowed="1" showAll="0">
      <items count="198">
        <item h="1" x="0"/>
        <item h="1" x="1"/>
        <item h="1" x="2"/>
        <item h="1" x="3"/>
        <item h="1" x="4"/>
        <item h="1" x="5"/>
        <item h="1" x="6"/>
        <item h="1" x="7"/>
        <item h="1" x="8"/>
        <item h="1" x="9"/>
        <item h="1" x="10"/>
        <item h="1" x="11"/>
        <item h="1" x="12"/>
        <item h="1" x="13"/>
        <item h="1" x="14"/>
        <item h="1" x="15"/>
        <item h="1" x="16"/>
        <item x="18"/>
        <item x="19"/>
        <item x="20"/>
        <item x="21"/>
        <item x="22"/>
        <item x="23"/>
        <item x="24"/>
        <item x="25"/>
        <item x="26"/>
        <item x="27"/>
        <item x="28"/>
        <item x="29"/>
        <item x="30"/>
        <item x="31"/>
        <item x="32"/>
        <item x="33"/>
        <item x="34"/>
        <item h="1" x="36"/>
        <item h="1" x="37"/>
        <item h="1" x="38"/>
        <item h="1" x="39"/>
        <item h="1" x="40"/>
        <item h="1" x="41"/>
        <item h="1" x="42"/>
        <item h="1" x="43"/>
        <item h="1" x="44"/>
        <item h="1" x="45"/>
        <item h="1" x="46"/>
        <item h="1" x="47"/>
        <item h="1" x="48"/>
        <item h="1" x="49"/>
        <item h="1" x="50"/>
        <item h="1" x="51"/>
        <item h="1" x="52"/>
        <item h="1" x="54"/>
        <item h="1" x="55"/>
        <item h="1" x="56"/>
        <item h="1" x="57"/>
        <item h="1" x="58"/>
        <item h="1" x="59"/>
        <item h="1" x="60"/>
        <item h="1" x="61"/>
        <item h="1" x="62"/>
        <item h="1" x="63"/>
        <item h="1" x="64"/>
        <item h="1" x="65"/>
        <item h="1" x="66"/>
        <item h="1" x="67"/>
        <item h="1" x="68"/>
        <item h="1" x="69"/>
        <item h="1" x="70"/>
        <item h="1" x="72"/>
        <item h="1" x="73"/>
        <item h="1" x="74"/>
        <item h="1" x="75"/>
        <item h="1" x="76"/>
        <item h="1" x="77"/>
        <item h="1" x="78"/>
        <item h="1" x="79"/>
        <item h="1" x="80"/>
        <item h="1" x="81"/>
        <item h="1" x="82"/>
        <item h="1" x="83"/>
        <item h="1" x="84"/>
        <item h="1" x="85"/>
        <item h="1" x="86"/>
        <item h="1" x="87"/>
        <item h="1" x="88"/>
        <item h="1" x="90"/>
        <item h="1" x="91"/>
        <item h="1" x="92"/>
        <item h="1" x="93"/>
        <item h="1" x="94"/>
        <item h="1" x="95"/>
        <item h="1" x="96"/>
        <item h="1" x="97"/>
        <item h="1" x="98"/>
        <item h="1" x="99"/>
        <item h="1" x="100"/>
        <item h="1" x="101"/>
        <item h="1" x="102"/>
        <item h="1" x="103"/>
        <item h="1" x="104"/>
        <item h="1" x="105"/>
        <item h="1" x="106"/>
        <item h="1" x="108"/>
        <item h="1" x="109"/>
        <item h="1" x="110"/>
        <item h="1" x="111"/>
        <item h="1" x="112"/>
        <item h="1" x="113"/>
        <item h="1" x="114"/>
        <item h="1" x="115"/>
        <item h="1" x="116"/>
        <item h="1" x="117"/>
        <item h="1" x="118"/>
        <item h="1" x="119"/>
        <item h="1" x="120"/>
        <item h="1" x="121"/>
        <item h="1" x="122"/>
        <item h="1" x="123"/>
        <item h="1" x="124"/>
        <item h="1" x="126"/>
        <item h="1" x="127"/>
        <item h="1" x="128"/>
        <item h="1" x="129"/>
        <item h="1" x="130"/>
        <item h="1" x="131"/>
        <item h="1" x="132"/>
        <item h="1" x="133"/>
        <item h="1" x="134"/>
        <item h="1" x="135"/>
        <item h="1" x="136"/>
        <item h="1" x="137"/>
        <item h="1" x="138"/>
        <item h="1" x="139"/>
        <item h="1" x="140"/>
        <item h="1" x="141"/>
        <item h="1" x="142"/>
        <item h="1" x="144"/>
        <item h="1" x="145"/>
        <item h="1" x="146"/>
        <item h="1" x="147"/>
        <item h="1" x="148"/>
        <item h="1" x="149"/>
        <item h="1" x="150"/>
        <item h="1" x="151"/>
        <item h="1" x="152"/>
        <item h="1" x="153"/>
        <item h="1" x="154"/>
        <item h="1" x="155"/>
        <item h="1" x="156"/>
        <item h="1" x="157"/>
        <item h="1" x="158"/>
        <item h="1" x="159"/>
        <item h="1" x="160"/>
        <item h="1" x="162"/>
        <item h="1" x="163"/>
        <item h="1" x="164"/>
        <item h="1" x="165"/>
        <item h="1" x="166"/>
        <item h="1" x="167"/>
        <item h="1" x="168"/>
        <item h="1" x="169"/>
        <item h="1" x="170"/>
        <item h="1" x="171"/>
        <item h="1" x="172"/>
        <item h="1" x="173"/>
        <item h="1" x="174"/>
        <item h="1" x="175"/>
        <item h="1" x="176"/>
        <item h="1" x="177"/>
        <item h="1" x="178"/>
        <item h="1" x="180"/>
        <item h="1" x="181"/>
        <item h="1" x="182"/>
        <item h="1" x="183"/>
        <item h="1" x="184"/>
        <item h="1" x="185"/>
        <item h="1" x="186"/>
        <item h="1" x="187"/>
        <item h="1" x="188"/>
        <item h="1" x="189"/>
        <item h="1" x="190"/>
        <item h="1" x="191"/>
        <item h="1" x="192"/>
        <item h="1" x="193"/>
        <item h="1" x="194"/>
        <item h="1" x="195"/>
        <item h="1" x="161"/>
        <item h="1" x="179"/>
        <item h="1" x="196"/>
        <item h="1" x="17"/>
        <item h="1" x="35"/>
        <item h="1" x="53"/>
        <item h="1" x="71"/>
        <item h="1" x="89"/>
        <item h="1" x="107"/>
        <item h="1" x="125"/>
        <item h="1" x="143"/>
        <item t="default"/>
      </items>
    </pivotField>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dataField="1" numFmtId="9" showAll="0"/>
  </pivotFields>
  <rowFields count="1">
    <field x="0"/>
  </rowFields>
  <rowItems count="18">
    <i>
      <x v="17"/>
    </i>
    <i>
      <x v="18"/>
    </i>
    <i>
      <x v="19"/>
    </i>
    <i>
      <x v="20"/>
    </i>
    <i>
      <x v="21"/>
    </i>
    <i>
      <x v="22"/>
    </i>
    <i>
      <x v="23"/>
    </i>
    <i>
      <x v="24"/>
    </i>
    <i>
      <x v="25"/>
    </i>
    <i>
      <x v="26"/>
    </i>
    <i>
      <x v="27"/>
    </i>
    <i>
      <x v="28"/>
    </i>
    <i>
      <x v="29"/>
    </i>
    <i>
      <x v="30"/>
    </i>
    <i>
      <x v="31"/>
    </i>
    <i>
      <x v="32"/>
    </i>
    <i>
      <x v="33"/>
    </i>
    <i t="grand">
      <x/>
    </i>
  </rowItems>
  <colItems count="1">
    <i/>
  </colItems>
  <dataFields count="1">
    <dataField name="Suma de Av. Depto/Piso"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0049515-CF38-4D4F-B320-E7292C16AF9B}" name="TablaDinámica2"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9">
  <location ref="A18:B36" firstHeaderRow="1" firstDataRow="1" firstDataCol="1"/>
  <pivotFields count="20">
    <pivotField axis="axisRow" multipleItemSelectionAllowed="1" showAll="0">
      <items count="198">
        <item x="0"/>
        <item x="1"/>
        <item x="2"/>
        <item x="3"/>
        <item x="4"/>
        <item x="5"/>
        <item x="6"/>
        <item x="7"/>
        <item x="8"/>
        <item x="9"/>
        <item x="10"/>
        <item x="11"/>
        <item x="12"/>
        <item x="13"/>
        <item x="14"/>
        <item x="15"/>
        <item x="16"/>
        <item h="1" x="18"/>
        <item h="1" x="19"/>
        <item h="1" x="20"/>
        <item h="1" x="21"/>
        <item h="1" x="22"/>
        <item h="1" x="23"/>
        <item h="1" x="24"/>
        <item h="1" x="25"/>
        <item h="1" x="26"/>
        <item h="1" x="27"/>
        <item h="1" x="28"/>
        <item h="1" x="29"/>
        <item h="1" x="30"/>
        <item h="1" x="31"/>
        <item h="1" x="32"/>
        <item h="1" x="33"/>
        <item h="1" x="34"/>
        <item h="1" x="36"/>
        <item h="1" x="37"/>
        <item h="1" x="38"/>
        <item h="1" x="39"/>
        <item h="1" x="40"/>
        <item h="1" x="41"/>
        <item h="1" x="42"/>
        <item h="1" x="43"/>
        <item h="1" x="44"/>
        <item h="1" x="45"/>
        <item h="1" x="46"/>
        <item h="1" x="47"/>
        <item h="1" x="48"/>
        <item h="1" x="49"/>
        <item h="1" x="50"/>
        <item h="1" x="51"/>
        <item h="1" x="52"/>
        <item h="1" x="54"/>
        <item h="1" x="55"/>
        <item h="1" x="56"/>
        <item h="1" x="57"/>
        <item h="1" x="58"/>
        <item h="1" x="59"/>
        <item h="1" x="60"/>
        <item h="1" x="61"/>
        <item h="1" x="62"/>
        <item h="1" x="63"/>
        <item h="1" x="64"/>
        <item h="1" x="65"/>
        <item h="1" x="66"/>
        <item h="1" x="67"/>
        <item h="1" x="68"/>
        <item h="1" x="69"/>
        <item h="1" x="70"/>
        <item h="1" x="72"/>
        <item h="1" x="73"/>
        <item h="1" x="74"/>
        <item h="1" x="75"/>
        <item h="1" x="76"/>
        <item h="1" x="77"/>
        <item h="1" x="78"/>
        <item h="1" x="79"/>
        <item h="1" x="80"/>
        <item h="1" x="81"/>
        <item h="1" x="82"/>
        <item h="1" x="83"/>
        <item h="1" x="84"/>
        <item h="1" x="85"/>
        <item h="1" x="86"/>
        <item h="1" x="87"/>
        <item h="1" x="88"/>
        <item h="1" x="90"/>
        <item h="1" x="91"/>
        <item h="1" x="92"/>
        <item h="1" x="93"/>
        <item h="1" x="94"/>
        <item h="1" x="95"/>
        <item h="1" x="96"/>
        <item h="1" x="97"/>
        <item h="1" x="98"/>
        <item h="1" x="99"/>
        <item h="1" x="100"/>
        <item h="1" x="101"/>
        <item h="1" x="102"/>
        <item h="1" x="103"/>
        <item h="1" x="104"/>
        <item h="1" x="105"/>
        <item h="1" x="106"/>
        <item h="1" x="108"/>
        <item h="1" x="109"/>
        <item h="1" x="110"/>
        <item h="1" x="111"/>
        <item h="1" x="112"/>
        <item h="1" x="113"/>
        <item h="1" x="114"/>
        <item h="1" x="115"/>
        <item h="1" x="116"/>
        <item h="1" x="117"/>
        <item h="1" x="118"/>
        <item h="1" x="119"/>
        <item h="1" x="120"/>
        <item h="1" x="121"/>
        <item h="1" x="122"/>
        <item h="1" x="123"/>
        <item h="1" x="124"/>
        <item h="1" x="126"/>
        <item h="1" x="127"/>
        <item h="1" x="128"/>
        <item h="1" x="129"/>
        <item h="1" x="130"/>
        <item h="1" x="131"/>
        <item h="1" x="132"/>
        <item h="1" x="133"/>
        <item h="1" x="134"/>
        <item h="1" x="135"/>
        <item h="1" x="136"/>
        <item h="1" x="137"/>
        <item h="1" x="138"/>
        <item h="1" x="139"/>
        <item h="1" x="140"/>
        <item h="1" x="141"/>
        <item h="1" x="142"/>
        <item h="1" x="144"/>
        <item h="1" x="145"/>
        <item h="1" x="146"/>
        <item h="1" x="147"/>
        <item h="1" x="148"/>
        <item h="1" x="149"/>
        <item h="1" x="150"/>
        <item h="1" x="151"/>
        <item h="1" x="152"/>
        <item h="1" x="153"/>
        <item h="1" x="154"/>
        <item h="1" x="155"/>
        <item h="1" x="156"/>
        <item h="1" x="157"/>
        <item h="1" x="158"/>
        <item h="1" x="159"/>
        <item h="1" x="160"/>
        <item h="1" x="162"/>
        <item h="1" x="163"/>
        <item h="1" x="164"/>
        <item h="1" x="165"/>
        <item h="1" x="166"/>
        <item h="1" x="167"/>
        <item h="1" x="168"/>
        <item h="1" x="169"/>
        <item h="1" x="170"/>
        <item h="1" x="171"/>
        <item h="1" x="172"/>
        <item h="1" x="173"/>
        <item h="1" x="174"/>
        <item h="1" x="175"/>
        <item h="1" x="176"/>
        <item h="1" x="177"/>
        <item h="1" x="178"/>
        <item h="1" x="180"/>
        <item h="1" x="181"/>
        <item h="1" x="182"/>
        <item h="1" x="183"/>
        <item h="1" x="184"/>
        <item h="1" x="185"/>
        <item h="1" x="186"/>
        <item h="1" x="187"/>
        <item h="1" x="188"/>
        <item h="1" x="189"/>
        <item h="1" x="190"/>
        <item h="1" x="191"/>
        <item h="1" x="192"/>
        <item h="1" x="193"/>
        <item h="1" x="194"/>
        <item h="1" x="195"/>
        <item h="1" x="161"/>
        <item h="1" x="179"/>
        <item h="1" x="196"/>
        <item h="1" x="17"/>
        <item h="1" x="35"/>
        <item h="1" x="53"/>
        <item h="1" x="71"/>
        <item h="1" x="89"/>
        <item h="1" x="107"/>
        <item h="1" x="125"/>
        <item h="1" x="143"/>
        <item t="default"/>
      </items>
    </pivotField>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dataField="1" numFmtId="9" showAl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a de Av. Depto/Piso" fld="19" showDataAs="percentOfTotal" baseField="0" baseItem="0" numFmtId="10"/>
  </dataFields>
  <chartFormats count="3">
    <chartFormat chart="9"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49E82F-5843-422E-84A9-1799562920F6}" name="Hitos435243" displayName="Hitos435243" ref="B9:G50" totalsRowShown="0" headerRowDxfId="155">
  <autoFilter ref="B9:G50"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EA440666-9CF5-4AF2-B4AB-3507087C3501}" name="Descripción del hito" dataDxfId="154"/>
    <tableColumn id="2" xr3:uid="{141D92C0-6A00-4A64-B6C3-265D82D0D984}" name="Categoría" dataDxfId="153"/>
    <tableColumn id="3" xr3:uid="{98AA63BD-E777-4ADF-94B7-B7D7561227E9}" name="Asignado a" dataDxfId="152"/>
    <tableColumn id="4" xr3:uid="{E2FFB33E-6F25-4668-89E0-B0AD6A0349B7}" name="Progreso"/>
    <tableColumn id="5" xr3:uid="{95F5D624-3FF1-48B8-A023-C31DFFD19941}" name="Inicio" dataCellStyle="Fecha"/>
    <tableColumn id="6" xr3:uid="{D406AF76-DF15-4D41-A431-D73A7441C1CB}" name="Días"/>
  </tableColumns>
  <tableStyleInfo name="ListaTareasPendientes"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11.xml"/><Relationship Id="rId4"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112E6-8EDE-4274-973E-FFB8110C6B03}">
  <dimension ref="A1:AB48"/>
  <sheetViews>
    <sheetView topLeftCell="A28" zoomScale="85" zoomScaleNormal="85" workbookViewId="0">
      <selection activeCell="G2" sqref="G2"/>
    </sheetView>
  </sheetViews>
  <sheetFormatPr baseColWidth="10" defaultColWidth="10.7109375" defaultRowHeight="12.75"/>
  <cols>
    <col min="1" max="1" width="22.42578125" bestFit="1" customWidth="1"/>
    <col min="2" max="2" width="6.5703125" bestFit="1" customWidth="1"/>
    <col min="3" max="3" width="19.28515625" bestFit="1" customWidth="1"/>
    <col min="7" max="7" width="12.28515625" bestFit="1" customWidth="1"/>
  </cols>
  <sheetData>
    <row r="1" spans="1:28" s="1" customFormat="1">
      <c r="B1" s="207" t="s">
        <v>812</v>
      </c>
      <c r="C1" s="207" t="s">
        <v>813</v>
      </c>
      <c r="D1" s="207" t="s">
        <v>814</v>
      </c>
      <c r="E1" s="207" t="s">
        <v>815</v>
      </c>
      <c r="F1" s="207" t="s">
        <v>816</v>
      </c>
      <c r="G1" s="207" t="s">
        <v>817</v>
      </c>
      <c r="H1" s="207" t="s">
        <v>818</v>
      </c>
      <c r="I1" s="207" t="s">
        <v>819</v>
      </c>
      <c r="J1" s="207" t="s">
        <v>820</v>
      </c>
      <c r="K1" s="207" t="s">
        <v>821</v>
      </c>
      <c r="L1" s="207" t="s">
        <v>822</v>
      </c>
      <c r="M1" s="207" t="s">
        <v>823</v>
      </c>
      <c r="N1" s="207" t="s">
        <v>824</v>
      </c>
      <c r="O1" s="207" t="s">
        <v>825</v>
      </c>
      <c r="P1" s="207" t="s">
        <v>846</v>
      </c>
      <c r="Q1" s="207" t="s">
        <v>847</v>
      </c>
      <c r="R1" s="207" t="s">
        <v>848</v>
      </c>
      <c r="S1" s="207" t="s">
        <v>849</v>
      </c>
      <c r="T1" s="207" t="s">
        <v>850</v>
      </c>
      <c r="U1" s="207" t="s">
        <v>851</v>
      </c>
      <c r="V1" s="207" t="s">
        <v>852</v>
      </c>
      <c r="W1" s="207" t="s">
        <v>854</v>
      </c>
      <c r="X1" s="207" t="s">
        <v>855</v>
      </c>
      <c r="Y1" s="207" t="s">
        <v>856</v>
      </c>
      <c r="Z1" s="207" t="s">
        <v>857</v>
      </c>
      <c r="AA1" s="207" t="s">
        <v>858</v>
      </c>
      <c r="AB1" s="207" t="s">
        <v>859</v>
      </c>
    </row>
    <row r="2" spans="1:28">
      <c r="A2" t="s">
        <v>784</v>
      </c>
      <c r="B2" s="260"/>
      <c r="C2" s="260"/>
      <c r="D2" s="260"/>
      <c r="E2" s="260"/>
      <c r="F2" s="260"/>
      <c r="G2" s="260" cm="1">
        <f t="array" ref="G2:G20">TRANSPOSE(D43:V43)</f>
        <v>0.62078232308151693</v>
      </c>
      <c r="H2" s="260" cm="1">
        <f t="array" ref="H2:H20">TRANSPOSE(D42:V42)</f>
        <v>0.67184234099731255</v>
      </c>
      <c r="I2" s="260" cm="1">
        <f t="array" ref="I2:I20">TRANSPOSE(D41:V41)</f>
        <v>0.74440131382502239</v>
      </c>
      <c r="J2" s="260" cm="1">
        <f t="array" ref="J2:J20">TRANSPOSE(D40:V40)</f>
        <v>0.79008659301283968</v>
      </c>
      <c r="K2" s="260" cm="1">
        <f t="array" ref="K2:K20">TRANSPOSE(D39:V39)</f>
        <v>0.84393936732650654</v>
      </c>
      <c r="L2" s="260" cm="1">
        <f t="array" ref="L2:L20">TRANSPOSE(D38:V38)</f>
        <v>0.89245253192348895</v>
      </c>
      <c r="M2" s="260" cm="1">
        <f t="array" ref="M2:M20">TRANSPOSE(D37:V37)</f>
        <v>0.94087787399223644</v>
      </c>
      <c r="N2" s="260" cm="1">
        <f t="array" ref="N2:N20">TRANSPOSE(D36:V36)</f>
        <v>0.95700209017617199</v>
      </c>
      <c r="O2" s="260" cm="1">
        <f t="array" ref="O2:O20">TRANSPOSE(D35:V35)</f>
        <v>0.95700209017617199</v>
      </c>
      <c r="P2" s="260" cm="1">
        <f t="array" ref="P2:P20">TRANSPOSE(D34:V34)</f>
        <v>1</v>
      </c>
      <c r="Q2" s="260" cm="1">
        <f t="array" ref="Q2:Q20">TRANSPOSE(D33:V33)</f>
        <v>1</v>
      </c>
      <c r="R2" s="260" cm="1">
        <f t="array" ref="R2:R20">TRANSPOSE(D32:V32)</f>
        <v>1</v>
      </c>
      <c r="S2" s="260" cm="1">
        <f t="array" ref="S2:S20">TRANSPOSE(D31:V31)</f>
        <v>1</v>
      </c>
      <c r="T2" s="260" cm="1">
        <f t="array" ref="T2:T20">TRANSPOSE(D30:V30)</f>
        <v>1</v>
      </c>
      <c r="U2" s="260" cm="1">
        <f t="array" ref="U2:U20">TRANSPOSE(D29:V29)</f>
        <v>1</v>
      </c>
      <c r="V2" s="260" cm="1">
        <f t="array" ref="V2:V20">TRANSPOSE(D28:V28)</f>
        <v>1</v>
      </c>
      <c r="W2" s="260" cm="1">
        <f t="array" ref="W2:W20">TRANSPOSE(D27:V27)</f>
        <v>1</v>
      </c>
      <c r="X2" s="260" cm="1">
        <f t="array" ref="X2:X20">TRANSPOSE(D26:V26)</f>
        <v>1</v>
      </c>
      <c r="Y2" s="260">
        <v>1</v>
      </c>
      <c r="Z2" s="260">
        <v>1</v>
      </c>
      <c r="AA2" s="260">
        <v>1</v>
      </c>
      <c r="AB2" s="260">
        <v>1</v>
      </c>
    </row>
    <row r="3" spans="1:28">
      <c r="A3" t="s">
        <v>694</v>
      </c>
      <c r="B3" s="260"/>
      <c r="C3" s="260"/>
      <c r="D3" s="260"/>
      <c r="E3" s="260"/>
      <c r="F3" s="260"/>
      <c r="G3" s="260">
        <v>0.8196476560167214</v>
      </c>
      <c r="H3" s="260">
        <v>0.8196476560167214</v>
      </c>
      <c r="I3" s="260">
        <v>0.91400418035234399</v>
      </c>
      <c r="J3" s="260">
        <v>0.91400418035234399</v>
      </c>
      <c r="K3" s="260">
        <v>0.91400418035234399</v>
      </c>
      <c r="L3" s="260">
        <v>0.91400418035234399</v>
      </c>
      <c r="M3" s="260">
        <v>0.91400418035234399</v>
      </c>
      <c r="N3" s="260">
        <v>1</v>
      </c>
      <c r="O3" s="260">
        <v>1</v>
      </c>
      <c r="P3" s="260">
        <v>1</v>
      </c>
      <c r="Q3" s="260">
        <v>1</v>
      </c>
      <c r="R3" s="260">
        <v>1</v>
      </c>
      <c r="S3" s="260">
        <v>1</v>
      </c>
      <c r="T3" s="260">
        <v>1</v>
      </c>
      <c r="U3" s="260">
        <v>1</v>
      </c>
      <c r="V3" s="260">
        <v>1</v>
      </c>
      <c r="W3" s="260">
        <v>1</v>
      </c>
      <c r="X3" s="260">
        <v>1</v>
      </c>
      <c r="Y3" s="260" cm="1">
        <f t="array" ref="Y3:Y21">TRANSPOSE(E25:W25)</f>
        <v>1</v>
      </c>
      <c r="Z3" s="260">
        <v>1</v>
      </c>
      <c r="AA3" s="260">
        <v>1</v>
      </c>
      <c r="AB3" s="260">
        <v>1</v>
      </c>
    </row>
    <row r="4" spans="1:28">
      <c r="A4" t="s">
        <v>693</v>
      </c>
      <c r="B4" s="260"/>
      <c r="C4" s="260"/>
      <c r="D4" s="260"/>
      <c r="E4" s="260"/>
      <c r="F4" s="260"/>
      <c r="G4" s="260">
        <v>0.67506718423409962</v>
      </c>
      <c r="H4" s="260">
        <v>0.73096446700507611</v>
      </c>
      <c r="I4" s="260">
        <v>0.77503732457449992</v>
      </c>
      <c r="J4" s="260">
        <v>0.85255651379691921</v>
      </c>
      <c r="K4" s="260">
        <v>0.91983559622714417</v>
      </c>
      <c r="L4" s="260">
        <v>0.97957599283368169</v>
      </c>
      <c r="M4" s="260">
        <v>1</v>
      </c>
      <c r="N4" s="260">
        <v>1</v>
      </c>
      <c r="O4" s="260">
        <v>1</v>
      </c>
      <c r="P4" s="260">
        <v>1</v>
      </c>
      <c r="Q4" s="260">
        <v>1</v>
      </c>
      <c r="R4" s="260">
        <v>1</v>
      </c>
      <c r="S4" s="260">
        <v>1</v>
      </c>
      <c r="T4" s="260">
        <v>1</v>
      </c>
      <c r="U4" s="260">
        <v>1</v>
      </c>
      <c r="V4" s="260">
        <v>1</v>
      </c>
      <c r="W4" s="260">
        <v>1</v>
      </c>
      <c r="X4" s="260">
        <v>1</v>
      </c>
      <c r="Y4" s="260">
        <v>1</v>
      </c>
      <c r="Z4" s="260">
        <v>1</v>
      </c>
      <c r="AA4" s="260">
        <v>1</v>
      </c>
      <c r="AB4" s="260">
        <v>1</v>
      </c>
    </row>
    <row r="5" spans="1:28">
      <c r="A5" t="s">
        <v>697</v>
      </c>
      <c r="B5" s="260"/>
      <c r="C5" s="260"/>
      <c r="D5" s="260"/>
      <c r="E5" s="260"/>
      <c r="F5" s="260"/>
      <c r="G5" s="260">
        <v>0.58584652134965653</v>
      </c>
      <c r="H5" s="260">
        <v>0.64389369961182441</v>
      </c>
      <c r="I5" s="260">
        <v>0.72558972827709767</v>
      </c>
      <c r="J5" s="260">
        <v>0.73096446700507611</v>
      </c>
      <c r="K5" s="260">
        <v>0.80997312630636009</v>
      </c>
      <c r="L5" s="260">
        <v>0.81696028665273213</v>
      </c>
      <c r="M5" s="260">
        <v>0.92206628844431182</v>
      </c>
      <c r="N5" s="260">
        <v>0.94195282173783212</v>
      </c>
      <c r="O5" s="260">
        <v>0.97312630636010755</v>
      </c>
      <c r="P5" s="260">
        <v>1</v>
      </c>
      <c r="Q5" s="260">
        <v>1</v>
      </c>
      <c r="R5" s="260">
        <v>1</v>
      </c>
      <c r="S5" s="260">
        <v>1</v>
      </c>
      <c r="T5" s="260">
        <v>1</v>
      </c>
      <c r="U5" s="260">
        <v>1</v>
      </c>
      <c r="V5" s="260">
        <v>1</v>
      </c>
      <c r="W5" s="260">
        <v>1</v>
      </c>
      <c r="X5" s="260">
        <v>1</v>
      </c>
      <c r="Y5" s="260">
        <v>1</v>
      </c>
      <c r="Z5" s="260">
        <v>1</v>
      </c>
      <c r="AA5" s="260">
        <v>1</v>
      </c>
      <c r="AB5" s="260">
        <v>1</v>
      </c>
    </row>
    <row r="6" spans="1:28">
      <c r="A6" t="s">
        <v>785</v>
      </c>
      <c r="B6" s="260"/>
      <c r="C6" s="260"/>
      <c r="D6" s="260"/>
      <c r="E6" s="260"/>
      <c r="F6" s="260"/>
      <c r="G6" s="260">
        <v>0.69871603463720544</v>
      </c>
      <c r="H6" s="260">
        <v>0.75515079128097928</v>
      </c>
      <c r="I6" s="260">
        <v>0.75515079128097928</v>
      </c>
      <c r="J6" s="260">
        <v>0.82240528340329855</v>
      </c>
      <c r="K6" s="260">
        <v>0.81970913178648597</v>
      </c>
      <c r="L6" s="260">
        <v>0.86816960286652733</v>
      </c>
      <c r="M6" s="260">
        <v>0.86816960286652733</v>
      </c>
      <c r="N6" s="260">
        <v>0.86816960286652733</v>
      </c>
      <c r="O6" s="260">
        <v>0.89778335938734999</v>
      </c>
      <c r="P6" s="260">
        <v>0.96288444311734966</v>
      </c>
      <c r="Q6" s="260">
        <v>0.97363392057330689</v>
      </c>
      <c r="R6" s="260">
        <v>0.97470886831890258</v>
      </c>
      <c r="S6" s="260">
        <v>0.98708657544833467</v>
      </c>
      <c r="T6" s="260">
        <v>0.99140041803523482</v>
      </c>
      <c r="U6" s="260">
        <v>0.99140041803523482</v>
      </c>
      <c r="V6" s="260">
        <v>0.99140041803523482</v>
      </c>
      <c r="W6" s="260">
        <v>0.99516273514481957</v>
      </c>
      <c r="X6" s="260">
        <v>1</v>
      </c>
      <c r="Y6" s="260">
        <v>1</v>
      </c>
      <c r="Z6" s="260">
        <v>1</v>
      </c>
      <c r="AA6" s="260">
        <v>1</v>
      </c>
      <c r="AB6" s="260">
        <v>1</v>
      </c>
    </row>
    <row r="7" spans="1:28">
      <c r="A7" t="s">
        <v>789</v>
      </c>
      <c r="B7" s="260"/>
      <c r="C7" s="260"/>
      <c r="D7" s="260"/>
      <c r="E7" s="260"/>
      <c r="F7" s="260"/>
      <c r="G7" s="260">
        <v>0.50630038817557566</v>
      </c>
      <c r="H7" s="260">
        <v>0.52994923857867993</v>
      </c>
      <c r="I7" s="260">
        <v>0.56918483129292385</v>
      </c>
      <c r="J7" s="260">
        <v>0.59337115556882647</v>
      </c>
      <c r="K7" s="260">
        <v>0.63260674828307017</v>
      </c>
      <c r="L7" s="260">
        <v>0.66754255001493013</v>
      </c>
      <c r="M7" s="260">
        <v>0.70677814272917383</v>
      </c>
      <c r="N7" s="260">
        <v>0.72182741116751326</v>
      </c>
      <c r="O7" s="260">
        <v>0.81430804630003806</v>
      </c>
      <c r="P7" s="260">
        <v>0.89408427449809524</v>
      </c>
      <c r="Q7" s="260">
        <v>0.93224491946674271</v>
      </c>
      <c r="R7" s="260">
        <v>0.96828904150492701</v>
      </c>
      <c r="S7" s="260">
        <v>0.98333830994326699</v>
      </c>
      <c r="T7" s="260">
        <v>0.99086294416243703</v>
      </c>
      <c r="U7" s="260">
        <v>0.99140041803523482</v>
      </c>
      <c r="V7" s="260">
        <v>0.99140041803523482</v>
      </c>
      <c r="W7" s="260">
        <v>0.99140041803523482</v>
      </c>
      <c r="X7" s="260">
        <v>0.99838757838160652</v>
      </c>
      <c r="Y7" s="260">
        <v>1</v>
      </c>
      <c r="Z7" s="260">
        <v>1</v>
      </c>
      <c r="AA7" s="260">
        <v>1</v>
      </c>
      <c r="AB7" s="260">
        <v>1</v>
      </c>
    </row>
    <row r="8" spans="1:28">
      <c r="A8" t="s">
        <v>788</v>
      </c>
      <c r="B8" s="260"/>
      <c r="C8" s="260"/>
      <c r="D8" s="260"/>
      <c r="E8" s="260"/>
      <c r="F8" s="260"/>
      <c r="G8" s="260">
        <v>0.54446103314422245</v>
      </c>
      <c r="H8" s="260">
        <v>0.58638399522245443</v>
      </c>
      <c r="I8" s="260">
        <v>0.62561958793669703</v>
      </c>
      <c r="J8" s="260">
        <v>0.6675425500149299</v>
      </c>
      <c r="K8" s="260">
        <v>0.68527918781725883</v>
      </c>
      <c r="L8" s="260">
        <v>0.68742908330845021</v>
      </c>
      <c r="M8" s="260">
        <v>0.73795162735144793</v>
      </c>
      <c r="N8" s="260">
        <v>0.74305762914302598</v>
      </c>
      <c r="O8" s="260">
        <v>0.74305762914302598</v>
      </c>
      <c r="P8" s="260">
        <v>0.83938664746280767</v>
      </c>
      <c r="Q8" s="260">
        <v>0.86332531220908659</v>
      </c>
      <c r="R8" s="260">
        <v>0.91231096200797446</v>
      </c>
      <c r="S8" s="260">
        <v>0.9494774559570025</v>
      </c>
      <c r="T8" s="260">
        <v>0.97850104508808611</v>
      </c>
      <c r="U8" s="260">
        <v>0.99570020901761702</v>
      </c>
      <c r="V8" s="260">
        <v>0.99570020901761702</v>
      </c>
      <c r="W8" s="260">
        <v>1</v>
      </c>
      <c r="X8" s="260">
        <v>1</v>
      </c>
      <c r="Y8" s="260">
        <v>1</v>
      </c>
      <c r="Z8" s="260">
        <v>1</v>
      </c>
      <c r="AA8" s="260">
        <v>1</v>
      </c>
      <c r="AB8" s="260">
        <v>1</v>
      </c>
    </row>
    <row r="9" spans="1:28">
      <c r="A9" t="s">
        <v>786</v>
      </c>
      <c r="B9" s="260"/>
      <c r="C9" s="260"/>
      <c r="D9" s="260"/>
      <c r="E9" s="260"/>
      <c r="F9" s="260"/>
      <c r="G9" s="260">
        <v>0.45685279187817257</v>
      </c>
      <c r="H9" s="260">
        <v>0.52188713048671243</v>
      </c>
      <c r="I9" s="260">
        <v>0.5471484025082114</v>
      </c>
      <c r="J9" s="260">
        <v>0.54822335025380708</v>
      </c>
      <c r="K9" s="260">
        <v>0.63368169602866531</v>
      </c>
      <c r="L9" s="260">
        <v>0.63368169602866531</v>
      </c>
      <c r="M9" s="260">
        <v>0.63959390862944165</v>
      </c>
      <c r="N9" s="260">
        <v>0.69925350851000312</v>
      </c>
      <c r="O9" s="260">
        <v>0.80836070468796684</v>
      </c>
      <c r="P9" s="260">
        <v>0.90052342226828042</v>
      </c>
      <c r="Q9" s="260">
        <v>0.91346495002898154</v>
      </c>
      <c r="R9" s="260">
        <v>0.91400418035234399</v>
      </c>
      <c r="S9" s="260">
        <v>0.99892505225440442</v>
      </c>
      <c r="T9" s="260">
        <v>0.99946252612720221</v>
      </c>
      <c r="U9" s="260">
        <v>1</v>
      </c>
      <c r="V9" s="260">
        <v>1</v>
      </c>
      <c r="W9" s="260">
        <v>1</v>
      </c>
      <c r="X9" s="260">
        <v>1</v>
      </c>
      <c r="Y9" s="260">
        <v>1</v>
      </c>
      <c r="Z9" s="260">
        <v>1</v>
      </c>
      <c r="AA9" s="260">
        <v>1</v>
      </c>
      <c r="AB9" s="260">
        <v>1</v>
      </c>
    </row>
    <row r="10" spans="1:28">
      <c r="A10" t="s">
        <v>795</v>
      </c>
      <c r="B10" s="260"/>
      <c r="C10" s="260"/>
      <c r="D10" s="260"/>
      <c r="E10" s="260"/>
      <c r="F10" s="260"/>
      <c r="G10" s="260">
        <v>0.26443714541654245</v>
      </c>
      <c r="H10" s="260">
        <v>0.29512690355329918</v>
      </c>
      <c r="I10" s="260">
        <v>0.35303971334726786</v>
      </c>
      <c r="J10" s="260">
        <v>0.43057031949835767</v>
      </c>
      <c r="K10" s="260">
        <v>0.4705583756345183</v>
      </c>
      <c r="L10" s="260">
        <v>0.54365482233502693</v>
      </c>
      <c r="M10" s="260">
        <v>0.58880262765004576</v>
      </c>
      <c r="N10" s="260">
        <v>0.64322185727082815</v>
      </c>
      <c r="O10" s="260">
        <v>0.67856076440728641</v>
      </c>
      <c r="P10" s="260">
        <v>0.75246342191699034</v>
      </c>
      <c r="Q10" s="260">
        <v>0.80878444838669994</v>
      </c>
      <c r="R10" s="260">
        <v>0.83585662094040392</v>
      </c>
      <c r="S10" s="260">
        <v>0.87016273514481901</v>
      </c>
      <c r="T10" s="260">
        <v>0.87703792176769046</v>
      </c>
      <c r="U10" s="260">
        <v>0.92433562257390212</v>
      </c>
      <c r="V10" s="260">
        <v>0.92433562257390212</v>
      </c>
      <c r="W10" s="260">
        <v>0.95255300089578876</v>
      </c>
      <c r="X10" s="260">
        <v>0.9544341594505813</v>
      </c>
      <c r="Y10" s="260">
        <v>0.9544341594505813</v>
      </c>
      <c r="Z10" s="260">
        <v>0.9544341594505813</v>
      </c>
      <c r="AA10" s="260">
        <v>0.9544341594505813</v>
      </c>
      <c r="AB10" s="260">
        <v>0.9544341594505813</v>
      </c>
    </row>
    <row r="11" spans="1:28">
      <c r="A11" t="s">
        <v>790</v>
      </c>
      <c r="B11" s="260"/>
      <c r="C11" s="260"/>
      <c r="D11" s="260"/>
      <c r="E11" s="260"/>
      <c r="F11" s="260"/>
      <c r="G11" s="260">
        <v>0.2502657509704389</v>
      </c>
      <c r="H11" s="260">
        <v>0.29989250522544064</v>
      </c>
      <c r="I11" s="260">
        <v>0.33509704389370004</v>
      </c>
      <c r="J11" s="260">
        <v>0.36161242161839396</v>
      </c>
      <c r="K11" s="260">
        <v>0.36996118244252058</v>
      </c>
      <c r="L11" s="260">
        <v>0.4265750970438944</v>
      </c>
      <c r="M11" s="260">
        <v>0.48202448492087291</v>
      </c>
      <c r="N11" s="260">
        <v>0.5368468199462535</v>
      </c>
      <c r="O11" s="260">
        <v>0.56067482830695847</v>
      </c>
      <c r="P11" s="260">
        <v>0.6493580173186041</v>
      </c>
      <c r="Q11" s="260">
        <v>0.66843833980292766</v>
      </c>
      <c r="R11" s="260">
        <v>0.70597193191997687</v>
      </c>
      <c r="S11" s="260">
        <v>0.72317109584950834</v>
      </c>
      <c r="T11" s="260">
        <v>0.78391559669553224</v>
      </c>
      <c r="U11" s="260">
        <v>0.79001692047377425</v>
      </c>
      <c r="V11" s="260">
        <v>0.81976445997927505</v>
      </c>
      <c r="W11" s="260">
        <v>0.86691783909741893</v>
      </c>
      <c r="X11" s="260">
        <v>0.88147208121827236</v>
      </c>
      <c r="Y11" s="260">
        <v>0.89365482233502358</v>
      </c>
      <c r="Z11" s="260">
        <v>0.91157061809495232</v>
      </c>
      <c r="AA11" s="260">
        <v>0.93978799641683919</v>
      </c>
      <c r="AB11" s="260">
        <v>0.93934010152284164</v>
      </c>
    </row>
    <row r="12" spans="1:28">
      <c r="A12" t="s">
        <v>806</v>
      </c>
      <c r="B12" s="260"/>
      <c r="C12" s="260"/>
      <c r="D12" s="260"/>
      <c r="E12" s="260"/>
      <c r="F12" s="260"/>
      <c r="G12" s="260">
        <v>0.13073229291716684</v>
      </c>
      <c r="H12" s="260">
        <v>0.16206482593037208</v>
      </c>
      <c r="I12" s="260">
        <v>0.23013205282112861</v>
      </c>
      <c r="J12" s="260">
        <v>0.29387755102040841</v>
      </c>
      <c r="K12" s="260">
        <v>0.31008403361344561</v>
      </c>
      <c r="L12" s="260">
        <v>0.31818727490996424</v>
      </c>
      <c r="M12" s="260">
        <v>0.36734693877551022</v>
      </c>
      <c r="N12" s="260">
        <v>0.45918367346938777</v>
      </c>
      <c r="O12" s="260">
        <v>0.43487394957983178</v>
      </c>
      <c r="P12" s="260">
        <v>0.48781512605041977</v>
      </c>
      <c r="Q12" s="260">
        <v>0.54129651860744288</v>
      </c>
      <c r="R12" s="260">
        <v>0.55102040816326525</v>
      </c>
      <c r="S12" s="260">
        <v>0.5888355342136854</v>
      </c>
      <c r="T12" s="260">
        <v>0.64948979591836731</v>
      </c>
      <c r="U12" s="260">
        <v>0.69334129590922666</v>
      </c>
      <c r="V12" s="260">
        <v>0.69334129590922666</v>
      </c>
      <c r="W12" s="260">
        <v>0.69334129590922666</v>
      </c>
      <c r="X12" s="260">
        <v>0.83150194087787344</v>
      </c>
      <c r="Y12" s="260">
        <v>0.88191997611227146</v>
      </c>
      <c r="Z12" s="260">
        <v>0.88191997611227146</v>
      </c>
      <c r="AA12" s="260">
        <v>0.91963272618692027</v>
      </c>
      <c r="AB12" s="260">
        <v>0.97499253508509809</v>
      </c>
    </row>
    <row r="13" spans="1:28">
      <c r="A13" t="s">
        <v>787</v>
      </c>
      <c r="B13" s="260"/>
      <c r="C13" s="260"/>
      <c r="D13" s="260"/>
      <c r="E13" s="260"/>
      <c r="F13" s="260"/>
      <c r="G13" s="260">
        <v>0.31522842639593934</v>
      </c>
      <c r="H13" s="260">
        <v>0.43857868020304674</v>
      </c>
      <c r="I13" s="260">
        <v>0.43857868020304674</v>
      </c>
      <c r="J13" s="260">
        <v>0.43857868020304674</v>
      </c>
      <c r="K13" s="260">
        <v>0.53451776649746374</v>
      </c>
      <c r="L13" s="260">
        <v>0.61218274111675253</v>
      </c>
      <c r="M13" s="260">
        <v>0.603045685279187</v>
      </c>
      <c r="N13" s="260">
        <v>0.58934010152284266</v>
      </c>
      <c r="O13" s="260">
        <v>0.63051657211107814</v>
      </c>
      <c r="P13" s="260">
        <v>0.70316512391758867</v>
      </c>
      <c r="Q13" s="260">
        <v>0.75583756345177744</v>
      </c>
      <c r="R13" s="260">
        <v>0.80158256195879352</v>
      </c>
      <c r="S13" s="260">
        <v>0.81528814571513764</v>
      </c>
      <c r="T13" s="260">
        <v>0.87011048074051822</v>
      </c>
      <c r="U13" s="260">
        <v>0.9050462824723815</v>
      </c>
      <c r="V13" s="260">
        <v>0.93063601074947966</v>
      </c>
      <c r="W13" s="260">
        <v>0.93923559271424362</v>
      </c>
      <c r="X13" s="260">
        <v>0.95241863242758884</v>
      </c>
      <c r="Y13" s="260">
        <v>0.95241863242758884</v>
      </c>
      <c r="Z13" s="260">
        <v>0.95241863242758884</v>
      </c>
      <c r="AA13" s="260">
        <v>0.95241863242758884</v>
      </c>
      <c r="AB13" s="260">
        <v>0.95241863242758884</v>
      </c>
    </row>
    <row r="14" spans="1:28">
      <c r="A14" t="s">
        <v>797</v>
      </c>
      <c r="B14" s="260"/>
      <c r="C14" s="260"/>
      <c r="D14" s="260"/>
      <c r="E14" s="260"/>
      <c r="F14" s="260"/>
      <c r="G14" s="260">
        <v>2.6873693639892504E-2</v>
      </c>
      <c r="H14" s="260">
        <v>2.6873693639892504E-2</v>
      </c>
      <c r="I14" s="260">
        <v>2.6873693639892504E-2</v>
      </c>
      <c r="J14" s="260">
        <v>2.6873693639892504E-2</v>
      </c>
      <c r="K14" s="260">
        <v>2.6873693639892504E-2</v>
      </c>
      <c r="L14" s="260">
        <v>2.6873693639892504E-2</v>
      </c>
      <c r="M14" s="260">
        <v>2.6873693639892504E-2</v>
      </c>
      <c r="N14" s="260">
        <v>2.6873693639892504E-2</v>
      </c>
      <c r="O14" s="260">
        <v>2.6873693639892504E-2</v>
      </c>
      <c r="P14" s="260">
        <v>2.6873693639892504E-2</v>
      </c>
      <c r="Q14" s="260">
        <v>2.6873693639892504E-2</v>
      </c>
      <c r="R14" s="260">
        <v>2.6873693639892504E-2</v>
      </c>
      <c r="S14" s="260">
        <v>2.6873693639892504E-2</v>
      </c>
      <c r="T14" s="260">
        <v>4.9985070170200062E-2</v>
      </c>
      <c r="U14" s="260">
        <v>4.9985070170200062E-2</v>
      </c>
      <c r="V14" s="260">
        <v>8.0621080919677512E-2</v>
      </c>
      <c r="W14" s="260">
        <v>0.16071171376881596</v>
      </c>
      <c r="X14" s="260">
        <v>0.22762721093214855</v>
      </c>
      <c r="Y14" s="260">
        <v>0.37167020884197244</v>
      </c>
      <c r="Z14" s="260">
        <v>0.59230323362548809</v>
      </c>
      <c r="AA14" s="260">
        <v>0.6855927142430559</v>
      </c>
      <c r="AB14" s="260">
        <v>0.92093162137951523</v>
      </c>
    </row>
    <row r="15" spans="1:28">
      <c r="A15" t="s">
        <v>791</v>
      </c>
      <c r="B15" s="260"/>
      <c r="C15" s="260"/>
      <c r="D15" s="260"/>
      <c r="E15" s="260"/>
      <c r="F15" s="260"/>
      <c r="G15" s="260">
        <v>0.44368468199462568</v>
      </c>
      <c r="H15" s="260">
        <v>0.46357121528814632</v>
      </c>
      <c r="I15" s="260">
        <v>0.60761421319796993</v>
      </c>
      <c r="J15" s="260">
        <v>0.726545237384294</v>
      </c>
      <c r="K15" s="260">
        <v>0.81343684681994954</v>
      </c>
      <c r="L15" s="260">
        <v>0.81343684681994954</v>
      </c>
      <c r="M15" s="260">
        <v>0.8225739026575134</v>
      </c>
      <c r="N15" s="260">
        <v>0.83171095849507692</v>
      </c>
      <c r="O15" s="260">
        <v>0.83171095849507692</v>
      </c>
      <c r="P15" s="260">
        <v>0.82553000895790085</v>
      </c>
      <c r="Q15" s="260">
        <v>0.82714243057629444</v>
      </c>
      <c r="R15" s="260">
        <v>0.83009853687668234</v>
      </c>
      <c r="S15" s="260">
        <v>0.83009853687668234</v>
      </c>
      <c r="T15" s="260">
        <v>0.83171095849507592</v>
      </c>
      <c r="U15" s="260">
        <v>0.83171095849507592</v>
      </c>
      <c r="V15" s="260">
        <v>0.84541654225142182</v>
      </c>
      <c r="W15" s="260">
        <v>0.86825918184532858</v>
      </c>
      <c r="X15" s="260">
        <v>0.86825918184532858</v>
      </c>
      <c r="Y15" s="260">
        <v>0.86825918184532858</v>
      </c>
      <c r="Z15" s="260">
        <v>0.86825918184532858</v>
      </c>
      <c r="AA15" s="260">
        <v>0.86825918184532858</v>
      </c>
      <c r="AB15" s="260">
        <v>0.92845625559868694</v>
      </c>
    </row>
    <row r="16" spans="1:28">
      <c r="A16" t="s">
        <v>792</v>
      </c>
      <c r="B16" s="260"/>
      <c r="C16" s="260"/>
      <c r="D16" s="260"/>
      <c r="E16" s="260"/>
      <c r="F16" s="260"/>
      <c r="G16" s="260">
        <v>0.13893699611824448</v>
      </c>
      <c r="H16" s="260">
        <v>0.1520379217676921</v>
      </c>
      <c r="I16" s="260">
        <v>0.19409525231412375</v>
      </c>
      <c r="J16" s="260">
        <v>0.26403404001194442</v>
      </c>
      <c r="K16" s="260">
        <v>0.26537772469393905</v>
      </c>
      <c r="L16" s="260">
        <v>0.29386383995222465</v>
      </c>
      <c r="M16" s="260">
        <v>0.3055538966855777</v>
      </c>
      <c r="N16" s="260">
        <v>0.31831890116452699</v>
      </c>
      <c r="O16" s="260">
        <v>0.3266497461928935</v>
      </c>
      <c r="P16" s="260">
        <v>0.35822633621976663</v>
      </c>
      <c r="Q16" s="260">
        <v>0.35822633621976663</v>
      </c>
      <c r="R16" s="260">
        <v>0.39584950731561508</v>
      </c>
      <c r="S16" s="260">
        <v>0.42137951627351306</v>
      </c>
      <c r="T16" s="260">
        <v>0.51268289041504889</v>
      </c>
      <c r="U16" s="260">
        <v>0.54372200656912506</v>
      </c>
      <c r="V16" s="260">
        <v>0.56333980292624508</v>
      </c>
      <c r="W16" s="260">
        <v>0.59835025380710649</v>
      </c>
      <c r="X16" s="260">
        <v>0.60352343983278534</v>
      </c>
      <c r="Y16" s="260">
        <v>0.60574051955807628</v>
      </c>
      <c r="Z16" s="260">
        <v>0.60574051955807628</v>
      </c>
      <c r="AA16" s="260">
        <v>0.60869662585846496</v>
      </c>
      <c r="AB16" s="260">
        <v>0.62886023922856638</v>
      </c>
    </row>
    <row r="17" spans="1:28">
      <c r="A17" t="s">
        <v>803</v>
      </c>
      <c r="B17" s="260"/>
      <c r="C17" s="260"/>
      <c r="D17" s="260"/>
      <c r="E17" s="260"/>
      <c r="F17" s="260"/>
      <c r="G17" s="260">
        <v>7.9725291131681031E-2</v>
      </c>
      <c r="H17" s="260">
        <v>0.1326664676022693</v>
      </c>
      <c r="I17" s="260">
        <v>0.15837563451776659</v>
      </c>
      <c r="J17" s="260">
        <v>0.21928934010152304</v>
      </c>
      <c r="K17" s="260">
        <v>0.24105703194983555</v>
      </c>
      <c r="L17" s="260">
        <v>0.27411167512690354</v>
      </c>
      <c r="M17" s="260">
        <v>0.30304568527918813</v>
      </c>
      <c r="N17" s="260">
        <v>0.32741116751269056</v>
      </c>
      <c r="O17" s="260">
        <v>0.33744401313825045</v>
      </c>
      <c r="P17" s="260">
        <v>0.41725888324873189</v>
      </c>
      <c r="Q17" s="260">
        <v>0.43660794266945435</v>
      </c>
      <c r="R17" s="260">
        <v>0.46930426993132407</v>
      </c>
      <c r="S17" s="260">
        <v>0.49080322484323807</v>
      </c>
      <c r="T17" s="260">
        <v>0.56192893401015409</v>
      </c>
      <c r="U17" s="260">
        <v>0.58181546730367451</v>
      </c>
      <c r="V17" s="260">
        <v>0.61289937294714969</v>
      </c>
      <c r="W17" s="260">
        <v>0.62400716631830488</v>
      </c>
      <c r="X17" s="260">
        <v>0.65661391460137453</v>
      </c>
      <c r="Y17" s="260">
        <v>0.75684283865830793</v>
      </c>
      <c r="Z17" s="260">
        <v>0.7854185328953931</v>
      </c>
      <c r="AA17" s="260">
        <v>0.82062307156365355</v>
      </c>
      <c r="AB17" s="260">
        <v>0.8617395300909263</v>
      </c>
    </row>
    <row r="18" spans="1:28">
      <c r="A18" t="s">
        <v>794</v>
      </c>
      <c r="B18" s="260"/>
      <c r="C18" s="260"/>
      <c r="D18" s="260"/>
      <c r="E18" s="260"/>
      <c r="F18" s="260"/>
      <c r="G18" s="260">
        <v>2.0424007166318304E-2</v>
      </c>
      <c r="H18" s="260">
        <v>2.0424007166318304E-2</v>
      </c>
      <c r="I18" s="260">
        <v>6.2346969244550597E-2</v>
      </c>
      <c r="J18" s="260">
        <v>0.1015825619587936</v>
      </c>
      <c r="K18" s="260">
        <v>0.1209316213795163</v>
      </c>
      <c r="L18" s="260">
        <v>0.16822932218572695</v>
      </c>
      <c r="M18" s="260">
        <v>0.18650343386085411</v>
      </c>
      <c r="N18" s="260">
        <v>0.25959988056136146</v>
      </c>
      <c r="O18" s="260">
        <v>0.28217378321887099</v>
      </c>
      <c r="P18" s="260">
        <v>0.34720812182741134</v>
      </c>
      <c r="Q18" s="260">
        <v>0.34720812182741134</v>
      </c>
      <c r="R18" s="260">
        <v>0.34720812182741134</v>
      </c>
      <c r="S18" s="260">
        <v>0.37085697223051717</v>
      </c>
      <c r="T18" s="260">
        <v>0.43320394147506758</v>
      </c>
      <c r="U18" s="260">
        <v>0.45228426395939114</v>
      </c>
      <c r="V18" s="260">
        <v>0.50764407285757018</v>
      </c>
      <c r="W18" s="260">
        <v>0.54311734846222881</v>
      </c>
      <c r="X18" s="260">
        <v>0.55171693042699455</v>
      </c>
      <c r="Y18" s="260">
        <v>0.65141833383099623</v>
      </c>
      <c r="Z18" s="260">
        <v>0.67614213197969697</v>
      </c>
      <c r="AA18" s="260">
        <v>0.72182741116751425</v>
      </c>
      <c r="AB18" s="260">
        <v>0.7492385786802056</v>
      </c>
    </row>
    <row r="19" spans="1:28">
      <c r="A19" t="s">
        <v>804</v>
      </c>
      <c r="B19" s="260"/>
      <c r="C19" s="260"/>
      <c r="D19" s="260"/>
      <c r="E19" s="260"/>
      <c r="F19" s="260"/>
      <c r="G19" s="260">
        <v>2.1498954911914003E-2</v>
      </c>
      <c r="H19" s="260">
        <v>2.1498954911914003E-2</v>
      </c>
      <c r="I19" s="260">
        <v>9.1370558375634514E-2</v>
      </c>
      <c r="J19" s="260">
        <v>0.21015228426395913</v>
      </c>
      <c r="K19" s="260">
        <v>0.27411167512690354</v>
      </c>
      <c r="L19" s="260">
        <v>0.27411167512690354</v>
      </c>
      <c r="M19" s="260">
        <v>0.27411167512690354</v>
      </c>
      <c r="N19" s="260">
        <v>0.36091370558375663</v>
      </c>
      <c r="O19" s="260">
        <v>0.36091370558375663</v>
      </c>
      <c r="P19" s="260">
        <v>0.43857868020304541</v>
      </c>
      <c r="Q19" s="260">
        <v>0.45577784413257688</v>
      </c>
      <c r="R19" s="260">
        <v>0.45685279187817257</v>
      </c>
      <c r="S19" s="260">
        <v>0.45685279187817257</v>
      </c>
      <c r="T19" s="260">
        <v>0.54822335025380708</v>
      </c>
      <c r="U19" s="260">
        <v>0.57563451776649721</v>
      </c>
      <c r="V19" s="260">
        <v>0.63959390862944165</v>
      </c>
      <c r="W19" s="260">
        <v>0.64873096446700451</v>
      </c>
      <c r="X19" s="260">
        <v>0.73096446700507611</v>
      </c>
      <c r="Y19" s="260">
        <v>0.73096446700507611</v>
      </c>
      <c r="Z19" s="260">
        <v>0.82233502538071068</v>
      </c>
      <c r="AA19" s="260">
        <v>0.82233502538071068</v>
      </c>
      <c r="AB19" s="260">
        <v>1</v>
      </c>
    </row>
    <row r="20" spans="1:28">
      <c r="A20" t="s">
        <v>793</v>
      </c>
      <c r="B20" s="260"/>
      <c r="C20" s="260"/>
      <c r="D20" s="260"/>
      <c r="E20" s="260"/>
      <c r="F20" s="260"/>
      <c r="G20" s="260">
        <v>1.2899372947148402E-2</v>
      </c>
      <c r="H20" s="260">
        <v>1.2899372947148402E-2</v>
      </c>
      <c r="I20" s="260">
        <v>1.2899372947148402E-2</v>
      </c>
      <c r="J20" s="260">
        <v>1.2899372947148402E-2</v>
      </c>
      <c r="K20" s="260">
        <v>1.2899372947148402E-2</v>
      </c>
      <c r="L20" s="260">
        <v>4.9447596297402203E-2</v>
      </c>
      <c r="M20" s="260">
        <v>5.6434756643774252E-2</v>
      </c>
      <c r="N20" s="260">
        <v>0.23917587339504329</v>
      </c>
      <c r="O20" s="260">
        <v>0.26766198865332935</v>
      </c>
      <c r="P20" s="260">
        <v>0.24025082114063925</v>
      </c>
      <c r="Q20" s="260">
        <v>0.27303672738130835</v>
      </c>
      <c r="R20" s="260">
        <v>0.24938787697820283</v>
      </c>
      <c r="S20" s="260">
        <v>0.32355927142430646</v>
      </c>
      <c r="T20" s="260">
        <v>0.32355927142430646</v>
      </c>
      <c r="U20" s="260">
        <v>0.35553896685577779</v>
      </c>
      <c r="V20" s="260">
        <v>0.42863541355628615</v>
      </c>
      <c r="W20" s="260">
        <v>0.43320394147506791</v>
      </c>
      <c r="X20" s="260">
        <v>0.43320394147506791</v>
      </c>
      <c r="Y20" s="260">
        <v>0.4788892206628852</v>
      </c>
      <c r="Z20" s="260">
        <v>0.61137653030755545</v>
      </c>
      <c r="AA20" s="260">
        <v>0.61137653030755545</v>
      </c>
      <c r="AB20" s="260">
        <v>0.62965064198268261</v>
      </c>
    </row>
    <row r="21" spans="1:28">
      <c r="Y21">
        <v>0</v>
      </c>
    </row>
    <row r="22" spans="1:28">
      <c r="C22">
        <v>27</v>
      </c>
      <c r="D22">
        <v>1</v>
      </c>
      <c r="E22">
        <v>1</v>
      </c>
      <c r="F22">
        <v>1</v>
      </c>
      <c r="G22">
        <v>1</v>
      </c>
      <c r="H22">
        <v>1</v>
      </c>
      <c r="I22">
        <v>1</v>
      </c>
      <c r="J22">
        <v>1</v>
      </c>
      <c r="K22">
        <v>1</v>
      </c>
      <c r="L22">
        <v>0.9544341594505813</v>
      </c>
      <c r="M22">
        <v>0.93934010152284164</v>
      </c>
      <c r="N22">
        <v>0.97499253508509809</v>
      </c>
      <c r="O22">
        <v>0.95241863242758884</v>
      </c>
      <c r="P22">
        <v>0.92093162137951523</v>
      </c>
      <c r="Q22">
        <v>0.92845625559868694</v>
      </c>
      <c r="R22">
        <v>0.62886023922856638</v>
      </c>
      <c r="S22">
        <v>0.8617395300909263</v>
      </c>
      <c r="T22">
        <v>0.7492385786802056</v>
      </c>
      <c r="U22">
        <v>1</v>
      </c>
      <c r="V22">
        <v>0.62965064198268261</v>
      </c>
    </row>
    <row r="23" spans="1:28">
      <c r="C23">
        <v>26</v>
      </c>
      <c r="D23">
        <v>1</v>
      </c>
      <c r="E23">
        <v>1</v>
      </c>
      <c r="F23">
        <v>1</v>
      </c>
      <c r="G23">
        <v>1</v>
      </c>
      <c r="H23">
        <v>1</v>
      </c>
      <c r="I23">
        <v>1</v>
      </c>
      <c r="J23">
        <v>1</v>
      </c>
      <c r="K23">
        <v>1</v>
      </c>
      <c r="L23">
        <v>0.9544341594505813</v>
      </c>
      <c r="M23">
        <v>0.93978799641683919</v>
      </c>
      <c r="N23">
        <v>0.91963272618692027</v>
      </c>
      <c r="O23">
        <v>0.95241863242758884</v>
      </c>
      <c r="P23">
        <v>0.6855927142430559</v>
      </c>
      <c r="Q23">
        <v>0.86825918184532858</v>
      </c>
      <c r="R23">
        <v>0.60869662585846496</v>
      </c>
      <c r="S23">
        <v>0.82062307156365355</v>
      </c>
      <c r="T23">
        <v>0.72182741116751425</v>
      </c>
      <c r="U23">
        <v>0.82233502538071068</v>
      </c>
      <c r="V23">
        <v>0.61137653030755545</v>
      </c>
    </row>
    <row r="24" spans="1:28">
      <c r="C24">
        <v>25</v>
      </c>
      <c r="D24">
        <v>1</v>
      </c>
      <c r="E24">
        <v>1</v>
      </c>
      <c r="F24">
        <v>1</v>
      </c>
      <c r="G24">
        <v>1</v>
      </c>
      <c r="H24">
        <v>1</v>
      </c>
      <c r="I24">
        <v>1</v>
      </c>
      <c r="J24">
        <v>1</v>
      </c>
      <c r="K24">
        <v>1</v>
      </c>
      <c r="L24">
        <v>0.9544341594505813</v>
      </c>
      <c r="M24">
        <v>0.91157061809495232</v>
      </c>
      <c r="N24">
        <v>0.88191997611227146</v>
      </c>
      <c r="O24">
        <v>0.95241863242758884</v>
      </c>
      <c r="P24">
        <v>0.59230323362548809</v>
      </c>
      <c r="Q24">
        <v>0.86825918184532858</v>
      </c>
      <c r="R24">
        <v>0.60574051955807628</v>
      </c>
      <c r="S24">
        <v>0.7854185328953931</v>
      </c>
      <c r="T24">
        <v>0.67614213197969697</v>
      </c>
      <c r="U24">
        <v>0.82233502538071068</v>
      </c>
      <c r="V24">
        <v>0.61137653030755545</v>
      </c>
    </row>
    <row r="25" spans="1:28">
      <c r="C25">
        <v>24</v>
      </c>
      <c r="D25">
        <v>1</v>
      </c>
      <c r="E25">
        <v>1</v>
      </c>
      <c r="F25">
        <v>1</v>
      </c>
      <c r="G25">
        <v>1</v>
      </c>
      <c r="H25">
        <v>1</v>
      </c>
      <c r="I25">
        <v>1</v>
      </c>
      <c r="J25">
        <v>1</v>
      </c>
      <c r="K25">
        <v>1</v>
      </c>
      <c r="L25">
        <v>0.9544341594505813</v>
      </c>
      <c r="M25">
        <v>0.89365482233502358</v>
      </c>
      <c r="N25">
        <v>0.88191997611227146</v>
      </c>
      <c r="O25">
        <v>0.95241863242758884</v>
      </c>
      <c r="P25">
        <v>0.37167020884197244</v>
      </c>
      <c r="Q25">
        <v>0.86825918184532858</v>
      </c>
      <c r="R25">
        <v>0.60574051955807628</v>
      </c>
      <c r="S25">
        <v>0.75684283865830793</v>
      </c>
      <c r="T25">
        <v>0.65141833383099623</v>
      </c>
      <c r="U25">
        <v>0.73096446700507611</v>
      </c>
      <c r="V25">
        <v>0.4788892206628852</v>
      </c>
    </row>
    <row r="26" spans="1:28">
      <c r="C26">
        <v>23</v>
      </c>
      <c r="D26">
        <v>1</v>
      </c>
      <c r="E26">
        <v>1</v>
      </c>
      <c r="F26">
        <v>1</v>
      </c>
      <c r="G26">
        <v>1</v>
      </c>
      <c r="H26">
        <v>1</v>
      </c>
      <c r="I26">
        <v>0.99838757838160652</v>
      </c>
      <c r="J26">
        <v>1</v>
      </c>
      <c r="K26">
        <v>1</v>
      </c>
      <c r="L26">
        <v>0.9544341594505813</v>
      </c>
      <c r="M26">
        <v>0.88147208121827236</v>
      </c>
      <c r="N26">
        <v>0.83150194087787344</v>
      </c>
      <c r="O26">
        <v>0.95241863242758884</v>
      </c>
      <c r="P26">
        <v>0.22762721093214855</v>
      </c>
      <c r="Q26">
        <v>0.86825918184532858</v>
      </c>
      <c r="R26">
        <v>0.60352343983278534</v>
      </c>
      <c r="S26">
        <v>0.65661391460137453</v>
      </c>
      <c r="T26">
        <v>0.55171693042699455</v>
      </c>
      <c r="U26">
        <v>0.73096446700507611</v>
      </c>
      <c r="V26">
        <v>0.43320394147506791</v>
      </c>
    </row>
    <row r="27" spans="1:28">
      <c r="C27">
        <v>22</v>
      </c>
      <c r="D27">
        <v>1</v>
      </c>
      <c r="E27">
        <v>1</v>
      </c>
      <c r="F27">
        <v>1</v>
      </c>
      <c r="G27">
        <v>1</v>
      </c>
      <c r="H27">
        <v>0.99516273514481957</v>
      </c>
      <c r="I27">
        <v>0.99140041803523482</v>
      </c>
      <c r="J27">
        <v>1</v>
      </c>
      <c r="K27">
        <v>1</v>
      </c>
      <c r="L27">
        <v>0.95255300089578876</v>
      </c>
      <c r="M27">
        <v>0.86691783909741893</v>
      </c>
      <c r="N27">
        <v>0.69334129590922666</v>
      </c>
      <c r="O27">
        <v>0.93923559271424362</v>
      </c>
      <c r="P27">
        <v>0.16071171376881596</v>
      </c>
      <c r="Q27">
        <v>0.86825918184532858</v>
      </c>
      <c r="R27">
        <v>0.59835025380710649</v>
      </c>
      <c r="S27">
        <v>0.62400716631830488</v>
      </c>
      <c r="T27">
        <v>0.54311734846222881</v>
      </c>
      <c r="U27">
        <v>0.64873096446700451</v>
      </c>
      <c r="V27">
        <v>0.43320394147506791</v>
      </c>
    </row>
    <row r="28" spans="1:28">
      <c r="A28" s="241" t="s">
        <v>828</v>
      </c>
      <c r="C28">
        <v>21</v>
      </c>
      <c r="D28">
        <v>1</v>
      </c>
      <c r="E28">
        <v>1</v>
      </c>
      <c r="F28">
        <v>1</v>
      </c>
      <c r="G28">
        <v>1</v>
      </c>
      <c r="H28">
        <v>0.99140041803523482</v>
      </c>
      <c r="I28">
        <v>0.99140041803523482</v>
      </c>
      <c r="J28">
        <v>0.99570020901761702</v>
      </c>
      <c r="K28">
        <v>1</v>
      </c>
      <c r="L28">
        <v>0.92433562257390212</v>
      </c>
      <c r="M28">
        <v>0.81976445997927505</v>
      </c>
      <c r="N28">
        <v>0.69334129590922666</v>
      </c>
      <c r="O28">
        <v>0.93063601074947966</v>
      </c>
      <c r="P28">
        <v>8.0621080919677512E-2</v>
      </c>
      <c r="Q28">
        <v>0.84541654225142182</v>
      </c>
      <c r="R28">
        <v>0.56333980292624508</v>
      </c>
      <c r="S28">
        <v>0.61289937294714969</v>
      </c>
      <c r="T28">
        <v>0.50764407285757018</v>
      </c>
      <c r="U28">
        <v>0.63959390862944165</v>
      </c>
      <c r="V28">
        <v>0.42863541355628615</v>
      </c>
    </row>
    <row r="29" spans="1:28">
      <c r="A29" s="237" t="s">
        <v>844</v>
      </c>
      <c r="B29" s="252" t="e">
        <v>#REF!</v>
      </c>
      <c r="C29">
        <v>20</v>
      </c>
      <c r="D29">
        <v>1</v>
      </c>
      <c r="E29">
        <v>1</v>
      </c>
      <c r="F29">
        <v>1</v>
      </c>
      <c r="G29">
        <v>1</v>
      </c>
      <c r="H29">
        <v>0.99140041803523482</v>
      </c>
      <c r="I29">
        <v>0.99140041803523482</v>
      </c>
      <c r="J29">
        <v>0.99570020901761702</v>
      </c>
      <c r="K29">
        <v>1</v>
      </c>
      <c r="L29">
        <v>0.92433562257390212</v>
      </c>
      <c r="M29">
        <v>0.79001692047377425</v>
      </c>
      <c r="N29">
        <v>0.69334129590922666</v>
      </c>
      <c r="O29">
        <v>0.9050462824723815</v>
      </c>
      <c r="P29">
        <v>4.9985070170200062E-2</v>
      </c>
      <c r="Q29">
        <v>0.83171095849507592</v>
      </c>
      <c r="R29">
        <v>0.54372200656912506</v>
      </c>
      <c r="S29">
        <v>0.58181546730367451</v>
      </c>
      <c r="T29">
        <v>0.45228426395939114</v>
      </c>
      <c r="U29">
        <v>0.57563451776649721</v>
      </c>
      <c r="V29">
        <v>0.35553896685577779</v>
      </c>
    </row>
    <row r="30" spans="1:28">
      <c r="A30" s="237" t="s">
        <v>826</v>
      </c>
      <c r="B30" t="e">
        <v>#REF!</v>
      </c>
      <c r="C30">
        <v>19</v>
      </c>
      <c r="D30">
        <v>1</v>
      </c>
      <c r="E30">
        <v>1</v>
      </c>
      <c r="F30">
        <v>1</v>
      </c>
      <c r="G30">
        <v>1</v>
      </c>
      <c r="H30">
        <v>0.99140041803523482</v>
      </c>
      <c r="I30">
        <v>0.99086294416243703</v>
      </c>
      <c r="J30">
        <v>0.97850104508808611</v>
      </c>
      <c r="K30">
        <v>0.99946252612720221</v>
      </c>
      <c r="L30">
        <v>0.87703792176769046</v>
      </c>
      <c r="M30">
        <v>0.78391559669553224</v>
      </c>
      <c r="N30">
        <v>0.64948979591836731</v>
      </c>
      <c r="O30">
        <v>0.87011048074051822</v>
      </c>
      <c r="P30">
        <v>4.9985070170200062E-2</v>
      </c>
      <c r="Q30">
        <v>0.83171095849507592</v>
      </c>
      <c r="R30">
        <v>0.51268289041504889</v>
      </c>
      <c r="S30">
        <v>0.56192893401015409</v>
      </c>
      <c r="T30">
        <v>0.43320394147506758</v>
      </c>
      <c r="U30">
        <v>0.54822335025380708</v>
      </c>
      <c r="V30">
        <v>0.32355927142430646</v>
      </c>
    </row>
    <row r="31" spans="1:28">
      <c r="A31" s="237" t="s">
        <v>827</v>
      </c>
      <c r="B31" t="e">
        <v>#REF!</v>
      </c>
      <c r="C31">
        <v>18</v>
      </c>
      <c r="D31">
        <v>1</v>
      </c>
      <c r="E31">
        <v>1</v>
      </c>
      <c r="F31">
        <v>1</v>
      </c>
      <c r="G31">
        <v>1</v>
      </c>
      <c r="H31">
        <v>0.98708657544833467</v>
      </c>
      <c r="I31">
        <v>0.98333830994326699</v>
      </c>
      <c r="J31">
        <v>0.9494774559570025</v>
      </c>
      <c r="K31">
        <v>0.99892505225440442</v>
      </c>
      <c r="L31">
        <v>0.87016273514481901</v>
      </c>
      <c r="M31">
        <v>0.72317109584950834</v>
      </c>
      <c r="N31">
        <v>0.5888355342136854</v>
      </c>
      <c r="O31">
        <v>0.81528814571513764</v>
      </c>
      <c r="P31">
        <v>2.6873693639892504E-2</v>
      </c>
      <c r="Q31">
        <v>0.83009853687668234</v>
      </c>
      <c r="R31">
        <v>0.42137951627351306</v>
      </c>
      <c r="S31">
        <v>0.49080322484323807</v>
      </c>
      <c r="T31">
        <v>0.37085697223051717</v>
      </c>
      <c r="U31">
        <v>0.45685279187817257</v>
      </c>
      <c r="V31">
        <v>0.32355927142430646</v>
      </c>
    </row>
    <row r="32" spans="1:28">
      <c r="A32" s="237" t="s">
        <v>829</v>
      </c>
      <c r="B32" t="e">
        <v>#REF!</v>
      </c>
      <c r="C32">
        <v>17</v>
      </c>
      <c r="D32">
        <v>1</v>
      </c>
      <c r="E32">
        <v>1</v>
      </c>
      <c r="F32">
        <v>1</v>
      </c>
      <c r="G32">
        <v>1</v>
      </c>
      <c r="H32">
        <v>0.97470886831890258</v>
      </c>
      <c r="I32">
        <v>0.96828904150492701</v>
      </c>
      <c r="J32">
        <v>0.91231096200797446</v>
      </c>
      <c r="K32">
        <v>0.91400418035234399</v>
      </c>
      <c r="L32">
        <v>0.83585662094040392</v>
      </c>
      <c r="M32">
        <v>0.70597193191997687</v>
      </c>
      <c r="N32">
        <v>0.55102040816326525</v>
      </c>
      <c r="O32">
        <v>0.80158256195879352</v>
      </c>
      <c r="P32">
        <v>2.6873693639892504E-2</v>
      </c>
      <c r="Q32">
        <v>0.83009853687668234</v>
      </c>
      <c r="R32">
        <v>0.39584950731561508</v>
      </c>
      <c r="S32">
        <v>0.46930426993132407</v>
      </c>
      <c r="T32">
        <v>0.34720812182741134</v>
      </c>
      <c r="U32">
        <v>0.45685279187817257</v>
      </c>
      <c r="V32">
        <v>0.24938787697820283</v>
      </c>
    </row>
    <row r="33" spans="1:23">
      <c r="A33" s="237" t="s">
        <v>830</v>
      </c>
      <c r="B33" t="e">
        <v>#REF!</v>
      </c>
      <c r="C33">
        <v>16</v>
      </c>
      <c r="D33">
        <v>1</v>
      </c>
      <c r="E33">
        <v>1</v>
      </c>
      <c r="F33">
        <v>1</v>
      </c>
      <c r="G33">
        <v>1</v>
      </c>
      <c r="H33">
        <v>0.97363392057330689</v>
      </c>
      <c r="I33">
        <v>0.93224491946674271</v>
      </c>
      <c r="J33">
        <v>0.86332531220908659</v>
      </c>
      <c r="K33">
        <v>0.91346495002898154</v>
      </c>
      <c r="L33">
        <v>0.80878444838669994</v>
      </c>
      <c r="M33">
        <v>0.66843833980292766</v>
      </c>
      <c r="N33">
        <v>0.54129651860744288</v>
      </c>
      <c r="O33">
        <v>0.75583756345177744</v>
      </c>
      <c r="P33">
        <v>2.6873693639892504E-2</v>
      </c>
      <c r="Q33">
        <v>0.82714243057629444</v>
      </c>
      <c r="R33">
        <v>0.35822633621976663</v>
      </c>
      <c r="S33">
        <v>0.43660794266945435</v>
      </c>
      <c r="T33">
        <v>0.34720812182741134</v>
      </c>
      <c r="U33">
        <v>0.45577784413257688</v>
      </c>
      <c r="V33">
        <v>0.27303672738130835</v>
      </c>
    </row>
    <row r="34" spans="1:23">
      <c r="A34" s="237" t="s">
        <v>831</v>
      </c>
      <c r="B34" t="e">
        <v>#REF!</v>
      </c>
      <c r="C34">
        <v>15</v>
      </c>
      <c r="D34">
        <v>1</v>
      </c>
      <c r="E34">
        <v>1</v>
      </c>
      <c r="F34">
        <v>1</v>
      </c>
      <c r="G34">
        <v>1</v>
      </c>
      <c r="H34">
        <v>0.96288444311734966</v>
      </c>
      <c r="I34">
        <v>0.89408427449809524</v>
      </c>
      <c r="J34">
        <v>0.83938664746280767</v>
      </c>
      <c r="K34">
        <v>0.90052342226828042</v>
      </c>
      <c r="L34">
        <v>0.75246342191699034</v>
      </c>
      <c r="M34">
        <v>0.6493580173186041</v>
      </c>
      <c r="N34">
        <v>0.48781512605041977</v>
      </c>
      <c r="O34">
        <v>0.70316512391758867</v>
      </c>
      <c r="P34">
        <v>2.6873693639892504E-2</v>
      </c>
      <c r="Q34">
        <v>0.82553000895790085</v>
      </c>
      <c r="R34">
        <v>0.35822633621976663</v>
      </c>
      <c r="S34">
        <v>0.41725888324873189</v>
      </c>
      <c r="T34">
        <v>0.34720812182741134</v>
      </c>
      <c r="U34">
        <v>0.43857868020304541</v>
      </c>
      <c r="V34">
        <v>0.24025082114063925</v>
      </c>
    </row>
    <row r="35" spans="1:23">
      <c r="A35" s="237" t="s">
        <v>832</v>
      </c>
      <c r="B35" t="e">
        <v>#REF!</v>
      </c>
      <c r="C35">
        <v>14</v>
      </c>
      <c r="D35">
        <v>0.95700209017617199</v>
      </c>
      <c r="E35">
        <v>1</v>
      </c>
      <c r="F35">
        <v>1</v>
      </c>
      <c r="G35">
        <v>0.97312630636010755</v>
      </c>
      <c r="H35">
        <v>0.89778335938734999</v>
      </c>
      <c r="I35">
        <v>0.81430804630003806</v>
      </c>
      <c r="J35">
        <v>0.74305762914302598</v>
      </c>
      <c r="K35">
        <v>0.80836070468796684</v>
      </c>
      <c r="L35">
        <v>0.67856076440728641</v>
      </c>
      <c r="M35">
        <v>0.56067482830695847</v>
      </c>
      <c r="N35">
        <v>0.43487394957983178</v>
      </c>
      <c r="O35">
        <v>0.63051657211107814</v>
      </c>
      <c r="P35">
        <v>2.6873693639892504E-2</v>
      </c>
      <c r="Q35">
        <v>0.83171095849507692</v>
      </c>
      <c r="R35">
        <v>0.3266497461928935</v>
      </c>
      <c r="S35">
        <v>0.33744401313825045</v>
      </c>
      <c r="T35">
        <v>0.28217378321887099</v>
      </c>
      <c r="U35">
        <v>0.36091370558375663</v>
      </c>
      <c r="V35">
        <v>0.26766198865332935</v>
      </c>
    </row>
    <row r="36" spans="1:23">
      <c r="A36" s="237" t="s">
        <v>833</v>
      </c>
      <c r="B36" t="e">
        <v>#REF!</v>
      </c>
      <c r="C36">
        <v>13</v>
      </c>
      <c r="D36">
        <v>0.95700209017617199</v>
      </c>
      <c r="E36">
        <v>1</v>
      </c>
      <c r="F36">
        <v>1</v>
      </c>
      <c r="G36">
        <v>0.94195282173783212</v>
      </c>
      <c r="H36">
        <v>0.86816960286652733</v>
      </c>
      <c r="I36">
        <v>0.72182741116751326</v>
      </c>
      <c r="J36">
        <v>0.74305762914302598</v>
      </c>
      <c r="K36">
        <v>0.69925350851000312</v>
      </c>
      <c r="L36">
        <v>0.64322185727082815</v>
      </c>
      <c r="M36">
        <v>0.5368468199462535</v>
      </c>
      <c r="N36">
        <v>0.45918367346938777</v>
      </c>
      <c r="O36">
        <v>0.58934010152284266</v>
      </c>
      <c r="P36">
        <v>2.6873693639892504E-2</v>
      </c>
      <c r="Q36">
        <v>0.83171095849507692</v>
      </c>
      <c r="R36">
        <v>0.31831890116452699</v>
      </c>
      <c r="S36">
        <v>0.32741116751269056</v>
      </c>
      <c r="T36">
        <v>0.25959988056136146</v>
      </c>
      <c r="U36">
        <v>0.36091370558375663</v>
      </c>
      <c r="V36">
        <v>0.23917587339504329</v>
      </c>
      <c r="W36">
        <v>0.60653158226510839</v>
      </c>
    </row>
    <row r="37" spans="1:23">
      <c r="A37" s="237" t="s">
        <v>834</v>
      </c>
      <c r="B37" t="e">
        <v>#REF!</v>
      </c>
      <c r="C37">
        <v>12</v>
      </c>
      <c r="D37">
        <v>0.94087787399223644</v>
      </c>
      <c r="E37">
        <v>0.91400418035234399</v>
      </c>
      <c r="F37">
        <v>1</v>
      </c>
      <c r="G37">
        <v>0.92206628844431182</v>
      </c>
      <c r="H37">
        <v>0.86816960286652733</v>
      </c>
      <c r="I37">
        <v>0.70677814272917383</v>
      </c>
      <c r="J37">
        <v>0.73795162735144793</v>
      </c>
      <c r="K37">
        <v>0.63959390862944165</v>
      </c>
      <c r="L37">
        <v>0.58880262765004576</v>
      </c>
      <c r="M37">
        <v>0.48202448492087291</v>
      </c>
      <c r="N37">
        <v>0.36734693877551022</v>
      </c>
      <c r="O37">
        <v>0.603045685279187</v>
      </c>
      <c r="P37">
        <v>2.6873693639892504E-2</v>
      </c>
      <c r="Q37">
        <v>0.8225739026575134</v>
      </c>
      <c r="R37">
        <v>0.3055538966855777</v>
      </c>
      <c r="S37">
        <v>0.30304568527918813</v>
      </c>
      <c r="T37">
        <v>0.18650343386085411</v>
      </c>
      <c r="U37">
        <v>0.27411167512690354</v>
      </c>
      <c r="V37">
        <v>5.6434756643774252E-2</v>
      </c>
    </row>
    <row r="38" spans="1:23">
      <c r="A38" s="237" t="s">
        <v>835</v>
      </c>
      <c r="B38" t="e">
        <v>#REF!</v>
      </c>
      <c r="C38">
        <v>11</v>
      </c>
      <c r="D38">
        <v>0.89245253192348895</v>
      </c>
      <c r="E38">
        <v>0.91400418035234399</v>
      </c>
      <c r="F38">
        <v>0.97957599283368169</v>
      </c>
      <c r="G38">
        <v>0.81696028665273213</v>
      </c>
      <c r="H38">
        <v>0.86816960286652733</v>
      </c>
      <c r="I38">
        <v>0.66754255001493013</v>
      </c>
      <c r="J38">
        <v>0.68742908330845021</v>
      </c>
      <c r="K38">
        <v>0.63368169602866531</v>
      </c>
      <c r="L38">
        <v>0.54365482233502693</v>
      </c>
      <c r="M38">
        <v>0.4265750970438944</v>
      </c>
      <c r="N38">
        <v>0.31818727490996424</v>
      </c>
      <c r="O38">
        <v>0.61218274111675253</v>
      </c>
      <c r="P38">
        <v>2.6873693639892504E-2</v>
      </c>
      <c r="Q38">
        <v>0.81343684681994954</v>
      </c>
      <c r="R38">
        <v>0.29386383995222465</v>
      </c>
      <c r="S38">
        <v>0.27411167512690354</v>
      </c>
      <c r="T38">
        <v>0.16822932218572695</v>
      </c>
      <c r="U38">
        <v>0.27411167512690354</v>
      </c>
      <c r="V38">
        <v>4.9447596297402203E-2</v>
      </c>
    </row>
    <row r="39" spans="1:23">
      <c r="A39" s="237" t="s">
        <v>836</v>
      </c>
      <c r="B39" t="e">
        <v>#REF!</v>
      </c>
      <c r="C39">
        <v>10</v>
      </c>
      <c r="D39">
        <v>0.84393936732650654</v>
      </c>
      <c r="E39">
        <v>0.91400418035234399</v>
      </c>
      <c r="F39">
        <v>0.91983559622714417</v>
      </c>
      <c r="G39">
        <v>0.80997312630636009</v>
      </c>
      <c r="H39">
        <v>0.81970913178648597</v>
      </c>
      <c r="I39">
        <v>0.63260674828307017</v>
      </c>
      <c r="J39">
        <v>0.68527918781725883</v>
      </c>
      <c r="K39">
        <v>0.63368169602866531</v>
      </c>
      <c r="L39">
        <v>0.4705583756345183</v>
      </c>
      <c r="M39">
        <v>0.36996118244252058</v>
      </c>
      <c r="N39">
        <v>0.31008403361344561</v>
      </c>
      <c r="O39">
        <v>0.53451776649746374</v>
      </c>
      <c r="P39">
        <v>2.6873693639892504E-2</v>
      </c>
      <c r="Q39">
        <v>0.81343684681994954</v>
      </c>
      <c r="R39">
        <v>0.26537772469393905</v>
      </c>
      <c r="S39">
        <v>0.24105703194983555</v>
      </c>
      <c r="T39">
        <v>0.1209316213795163</v>
      </c>
      <c r="U39">
        <v>0.27411167512690354</v>
      </c>
      <c r="V39">
        <v>1.2899372947148402E-2</v>
      </c>
    </row>
    <row r="40" spans="1:23">
      <c r="A40" s="237" t="s">
        <v>837</v>
      </c>
      <c r="B40" t="e">
        <v>#REF!</v>
      </c>
      <c r="C40">
        <v>9</v>
      </c>
      <c r="D40">
        <v>0.79008659301283968</v>
      </c>
      <c r="E40">
        <v>0.91400418035234399</v>
      </c>
      <c r="F40">
        <v>0.85255651379691921</v>
      </c>
      <c r="G40">
        <v>0.73096446700507611</v>
      </c>
      <c r="H40">
        <v>0.82240528340329855</v>
      </c>
      <c r="I40">
        <v>0.59337115556882647</v>
      </c>
      <c r="J40">
        <v>0.6675425500149299</v>
      </c>
      <c r="K40">
        <v>0.54822335025380708</v>
      </c>
      <c r="L40">
        <v>0.43057031949835767</v>
      </c>
      <c r="M40">
        <v>0.36161242161839396</v>
      </c>
      <c r="N40">
        <v>0.29387755102040841</v>
      </c>
      <c r="O40">
        <v>0.43857868020304674</v>
      </c>
      <c r="P40">
        <v>2.6873693639892504E-2</v>
      </c>
      <c r="Q40">
        <v>0.726545237384294</v>
      </c>
      <c r="R40">
        <v>0.26403404001194442</v>
      </c>
      <c r="S40">
        <v>0.21928934010152304</v>
      </c>
      <c r="T40">
        <v>0.1015825619587936</v>
      </c>
      <c r="U40">
        <v>0.21015228426395913</v>
      </c>
      <c r="V40">
        <v>1.2899372947148402E-2</v>
      </c>
    </row>
    <row r="41" spans="1:23">
      <c r="A41" s="237" t="s">
        <v>838</v>
      </c>
      <c r="B41" t="e">
        <v>#REF!</v>
      </c>
      <c r="C41">
        <v>8</v>
      </c>
      <c r="D41">
        <v>0.74440131382502239</v>
      </c>
      <c r="E41">
        <v>0.91400418035234399</v>
      </c>
      <c r="F41">
        <v>0.77503732457449992</v>
      </c>
      <c r="G41">
        <v>0.72558972827709767</v>
      </c>
      <c r="H41">
        <v>0.75515079128097928</v>
      </c>
      <c r="I41">
        <v>0.56918483129292385</v>
      </c>
      <c r="J41">
        <v>0.62561958793669703</v>
      </c>
      <c r="K41">
        <v>0.5471484025082114</v>
      </c>
      <c r="L41">
        <v>0.35303971334726786</v>
      </c>
      <c r="M41">
        <v>0.33509704389370004</v>
      </c>
      <c r="N41">
        <v>0.23013205282112861</v>
      </c>
      <c r="O41">
        <v>0.43857868020304674</v>
      </c>
      <c r="P41">
        <v>2.6873693639892504E-2</v>
      </c>
      <c r="Q41">
        <v>0.60761421319796993</v>
      </c>
      <c r="R41">
        <v>0.19409525231412375</v>
      </c>
      <c r="S41">
        <v>0.15837563451776659</v>
      </c>
      <c r="T41">
        <v>6.2346969244550597E-2</v>
      </c>
      <c r="U41">
        <v>9.1370558375634514E-2</v>
      </c>
      <c r="V41">
        <v>1.2899372947148402E-2</v>
      </c>
    </row>
    <row r="42" spans="1:23">
      <c r="A42" s="237" t="s">
        <v>839</v>
      </c>
      <c r="B42" t="e">
        <v>#REF!</v>
      </c>
      <c r="C42">
        <v>7</v>
      </c>
      <c r="D42">
        <v>0.67184234099731255</v>
      </c>
      <c r="E42">
        <v>0.8196476560167214</v>
      </c>
      <c r="F42">
        <v>0.73096446700507611</v>
      </c>
      <c r="G42">
        <v>0.64389369961182441</v>
      </c>
      <c r="H42">
        <v>0.75515079128097928</v>
      </c>
      <c r="I42">
        <v>0.52994923857867993</v>
      </c>
      <c r="J42">
        <v>0.58638399522245443</v>
      </c>
      <c r="K42">
        <v>0.52188713048671243</v>
      </c>
      <c r="L42">
        <v>0.29512690355329918</v>
      </c>
      <c r="M42">
        <v>0.29989250522544064</v>
      </c>
      <c r="N42">
        <v>0.16206482593037208</v>
      </c>
      <c r="O42">
        <v>0.43857868020304674</v>
      </c>
      <c r="P42">
        <v>2.6873693639892504E-2</v>
      </c>
      <c r="Q42">
        <v>0.46357121528814632</v>
      </c>
      <c r="R42">
        <v>0.1520379217676921</v>
      </c>
      <c r="S42">
        <v>0.1326664676022693</v>
      </c>
      <c r="T42">
        <v>2.0424007166318304E-2</v>
      </c>
      <c r="U42">
        <v>2.1498954911914003E-2</v>
      </c>
      <c r="V42">
        <v>1.2899372947148402E-2</v>
      </c>
    </row>
    <row r="43" spans="1:23">
      <c r="A43" s="237" t="s">
        <v>840</v>
      </c>
      <c r="B43" t="e">
        <v>#REF!</v>
      </c>
      <c r="C43">
        <v>6</v>
      </c>
      <c r="D43">
        <v>0.62078232308151693</v>
      </c>
      <c r="E43">
        <v>0.8196476560167214</v>
      </c>
      <c r="F43">
        <v>0.67506718423409962</v>
      </c>
      <c r="G43">
        <v>0.58584652134965653</v>
      </c>
      <c r="H43">
        <v>0.69871603463720544</v>
      </c>
      <c r="I43">
        <v>0.50630038817557566</v>
      </c>
      <c r="J43">
        <v>0.54446103314422245</v>
      </c>
      <c r="K43">
        <v>0.45685279187817257</v>
      </c>
      <c r="L43">
        <v>0.26443714541654245</v>
      </c>
      <c r="M43">
        <v>0.2502657509704389</v>
      </c>
      <c r="N43">
        <v>0.13073229291716684</v>
      </c>
      <c r="O43">
        <v>0.31522842639593934</v>
      </c>
      <c r="P43">
        <v>2.6873693639892504E-2</v>
      </c>
      <c r="Q43">
        <v>0.44368468199462568</v>
      </c>
      <c r="R43">
        <v>0.13893699611824448</v>
      </c>
      <c r="S43">
        <v>7.9725291131681031E-2</v>
      </c>
      <c r="T43">
        <v>2.0424007166318304E-2</v>
      </c>
      <c r="U43">
        <v>2.1498954911914003E-2</v>
      </c>
      <c r="V43">
        <v>1.2899372947148402E-2</v>
      </c>
    </row>
    <row r="44" spans="1:23">
      <c r="A44" s="237" t="s">
        <v>841</v>
      </c>
      <c r="B44" t="e">
        <v>#REF!</v>
      </c>
      <c r="C44">
        <v>5</v>
      </c>
    </row>
    <row r="45" spans="1:23">
      <c r="A45" s="237" t="s">
        <v>842</v>
      </c>
      <c r="B45" t="e">
        <v>#REF!</v>
      </c>
      <c r="C45">
        <v>4</v>
      </c>
    </row>
    <row r="46" spans="1:23">
      <c r="A46" s="237" t="s">
        <v>843</v>
      </c>
      <c r="B46" t="e">
        <v>#REF!</v>
      </c>
      <c r="C46">
        <v>3</v>
      </c>
    </row>
    <row r="47" spans="1:23">
      <c r="C47">
        <v>2</v>
      </c>
    </row>
    <row r="48" spans="1:23">
      <c r="C48">
        <v>1</v>
      </c>
    </row>
  </sheetData>
  <phoneticPr fontId="28" type="noConversion"/>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D8BA7-D44F-4136-AD0A-C1D3F0215182}">
  <dimension ref="A4:J48"/>
  <sheetViews>
    <sheetView topLeftCell="A48" workbookViewId="0">
      <selection activeCell="E54" sqref="E54"/>
    </sheetView>
  </sheetViews>
  <sheetFormatPr baseColWidth="10" defaultRowHeight="12.75"/>
  <cols>
    <col min="1" max="1" width="17.85546875" bestFit="1" customWidth="1"/>
    <col min="2" max="10" width="15" bestFit="1" customWidth="1"/>
    <col min="11" max="11" width="13.140625" bestFit="1" customWidth="1"/>
  </cols>
  <sheetData>
    <row r="4" spans="1:10">
      <c r="A4" s="241" t="s">
        <v>800</v>
      </c>
      <c r="B4" t="s">
        <v>975</v>
      </c>
      <c r="C4" t="s">
        <v>976</v>
      </c>
      <c r="D4" t="s">
        <v>977</v>
      </c>
      <c r="E4" t="s">
        <v>978</v>
      </c>
      <c r="F4" t="s">
        <v>983</v>
      </c>
      <c r="G4" t="s">
        <v>979</v>
      </c>
      <c r="H4" t="s">
        <v>980</v>
      </c>
      <c r="I4" t="s">
        <v>981</v>
      </c>
      <c r="J4" t="s">
        <v>982</v>
      </c>
    </row>
    <row r="5" spans="1:10">
      <c r="A5" s="237" t="s">
        <v>126</v>
      </c>
      <c r="B5" s="2">
        <v>0.24062500000000001</v>
      </c>
      <c r="C5" s="2">
        <v>0.11697674418604653</v>
      </c>
      <c r="D5" s="2">
        <v>9.0909090909090905E-3</v>
      </c>
      <c r="E5" s="2">
        <v>0</v>
      </c>
      <c r="F5" s="2">
        <v>0</v>
      </c>
      <c r="G5" s="2">
        <v>0</v>
      </c>
      <c r="H5" s="2">
        <v>0</v>
      </c>
      <c r="I5" s="2">
        <v>0</v>
      </c>
      <c r="J5" s="2">
        <v>0</v>
      </c>
    </row>
    <row r="6" spans="1:10">
      <c r="A6" s="237" t="s">
        <v>801</v>
      </c>
      <c r="B6" s="2">
        <v>0.24062500000000001</v>
      </c>
      <c r="C6" s="2">
        <v>0.11697674418604653</v>
      </c>
      <c r="D6" s="2">
        <v>9.0909090909090905E-3</v>
      </c>
      <c r="E6" s="2">
        <v>0</v>
      </c>
      <c r="F6" s="2">
        <v>0</v>
      </c>
      <c r="G6" s="2">
        <v>0</v>
      </c>
      <c r="H6" s="2">
        <v>0</v>
      </c>
      <c r="I6" s="2">
        <v>0</v>
      </c>
      <c r="J6" s="2">
        <v>0</v>
      </c>
    </row>
    <row r="9" spans="1:10">
      <c r="A9" s="241" t="s">
        <v>800</v>
      </c>
      <c r="B9" t="s">
        <v>975</v>
      </c>
      <c r="C9" t="s">
        <v>976</v>
      </c>
      <c r="D9" t="s">
        <v>977</v>
      </c>
      <c r="E9" t="s">
        <v>978</v>
      </c>
      <c r="F9" t="s">
        <v>983</v>
      </c>
      <c r="G9" t="s">
        <v>979</v>
      </c>
      <c r="H9" t="s">
        <v>980</v>
      </c>
      <c r="I9" t="s">
        <v>981</v>
      </c>
      <c r="J9" t="s">
        <v>982</v>
      </c>
    </row>
    <row r="10" spans="1:10">
      <c r="A10" s="237" t="s">
        <v>45</v>
      </c>
      <c r="B10" s="2">
        <v>0</v>
      </c>
      <c r="C10" s="2">
        <v>0</v>
      </c>
      <c r="D10" s="2">
        <v>0</v>
      </c>
      <c r="E10" s="2">
        <v>0</v>
      </c>
      <c r="F10" s="2">
        <v>0</v>
      </c>
      <c r="G10" s="2">
        <v>0</v>
      </c>
      <c r="H10" s="2">
        <v>0</v>
      </c>
      <c r="I10" s="2">
        <v>0</v>
      </c>
      <c r="J10" s="2">
        <v>0</v>
      </c>
    </row>
    <row r="11" spans="1:10">
      <c r="A11" s="237" t="s">
        <v>801</v>
      </c>
      <c r="B11" s="2">
        <v>0</v>
      </c>
      <c r="C11" s="2">
        <v>0</v>
      </c>
      <c r="D11" s="2">
        <v>0</v>
      </c>
      <c r="E11" s="2">
        <v>0</v>
      </c>
      <c r="F11" s="2">
        <v>0</v>
      </c>
      <c r="G11" s="2">
        <v>0</v>
      </c>
      <c r="H11" s="2">
        <v>0</v>
      </c>
      <c r="I11" s="2">
        <v>0</v>
      </c>
      <c r="J11" s="2">
        <v>0</v>
      </c>
    </row>
    <row r="13" spans="1:10">
      <c r="A13" s="241" t="s">
        <v>800</v>
      </c>
      <c r="B13" t="s">
        <v>975</v>
      </c>
      <c r="C13" t="s">
        <v>976</v>
      </c>
      <c r="D13" t="s">
        <v>977</v>
      </c>
      <c r="E13" t="s">
        <v>978</v>
      </c>
      <c r="F13" t="s">
        <v>983</v>
      </c>
      <c r="G13" t="s">
        <v>979</v>
      </c>
      <c r="H13" t="s">
        <v>980</v>
      </c>
      <c r="I13" t="s">
        <v>981</v>
      </c>
      <c r="J13" t="s">
        <v>982</v>
      </c>
    </row>
    <row r="14" spans="1:10">
      <c r="A14" s="237" t="s">
        <v>46</v>
      </c>
      <c r="B14" s="2">
        <v>0</v>
      </c>
      <c r="C14" s="2">
        <v>0</v>
      </c>
      <c r="D14" s="2">
        <v>0</v>
      </c>
      <c r="E14" s="2">
        <v>0</v>
      </c>
      <c r="F14" s="2">
        <v>0</v>
      </c>
      <c r="G14" s="2">
        <v>0</v>
      </c>
      <c r="H14" s="2">
        <v>0</v>
      </c>
      <c r="I14" s="2">
        <v>0</v>
      </c>
      <c r="J14" s="2">
        <v>0</v>
      </c>
    </row>
    <row r="15" spans="1:10">
      <c r="A15" s="237" t="s">
        <v>801</v>
      </c>
      <c r="B15" s="2">
        <v>0</v>
      </c>
      <c r="C15" s="2">
        <v>0</v>
      </c>
      <c r="D15" s="2">
        <v>0</v>
      </c>
      <c r="E15" s="2">
        <v>0</v>
      </c>
      <c r="F15" s="2">
        <v>0</v>
      </c>
      <c r="G15" s="2">
        <v>0</v>
      </c>
      <c r="H15" s="2">
        <v>0</v>
      </c>
      <c r="I15" s="2">
        <v>0</v>
      </c>
      <c r="J15" s="2">
        <v>0</v>
      </c>
    </row>
    <row r="17" spans="1:10">
      <c r="A17" s="241" t="s">
        <v>800</v>
      </c>
      <c r="B17" t="s">
        <v>975</v>
      </c>
      <c r="C17" t="s">
        <v>976</v>
      </c>
      <c r="D17" t="s">
        <v>977</v>
      </c>
      <c r="E17" t="s">
        <v>978</v>
      </c>
      <c r="F17" t="s">
        <v>983</v>
      </c>
      <c r="G17" t="s">
        <v>979</v>
      </c>
      <c r="H17" t="s">
        <v>980</v>
      </c>
      <c r="I17" t="s">
        <v>981</v>
      </c>
      <c r="J17" t="s">
        <v>982</v>
      </c>
    </row>
    <row r="18" spans="1:10">
      <c r="A18" s="237" t="s">
        <v>47</v>
      </c>
      <c r="B18" s="2">
        <v>0</v>
      </c>
      <c r="C18" s="2">
        <v>0</v>
      </c>
      <c r="D18" s="2">
        <v>0</v>
      </c>
      <c r="E18" s="2">
        <v>0</v>
      </c>
      <c r="F18" s="2">
        <v>0</v>
      </c>
      <c r="G18" s="2">
        <v>0</v>
      </c>
      <c r="H18" s="2">
        <v>0</v>
      </c>
      <c r="I18" s="2">
        <v>0</v>
      </c>
      <c r="J18" s="2">
        <v>0</v>
      </c>
    </row>
    <row r="19" spans="1:10">
      <c r="A19" s="237" t="s">
        <v>801</v>
      </c>
      <c r="B19" s="2">
        <v>0</v>
      </c>
      <c r="C19" s="2">
        <v>0</v>
      </c>
      <c r="D19" s="2">
        <v>0</v>
      </c>
      <c r="E19" s="2">
        <v>0</v>
      </c>
      <c r="F19" s="2">
        <v>0</v>
      </c>
      <c r="G19" s="2">
        <v>0</v>
      </c>
      <c r="H19" s="2">
        <v>0</v>
      </c>
      <c r="I19" s="2">
        <v>0</v>
      </c>
      <c r="J19" s="2">
        <v>0</v>
      </c>
    </row>
    <row r="22" spans="1:10">
      <c r="A22" s="241" t="s">
        <v>800</v>
      </c>
      <c r="B22" t="s">
        <v>975</v>
      </c>
      <c r="C22" t="s">
        <v>976</v>
      </c>
      <c r="D22" t="s">
        <v>977</v>
      </c>
      <c r="E22" t="s">
        <v>978</v>
      </c>
      <c r="F22" t="s">
        <v>983</v>
      </c>
      <c r="G22" t="s">
        <v>979</v>
      </c>
      <c r="H22" t="s">
        <v>980</v>
      </c>
      <c r="I22" t="s">
        <v>981</v>
      </c>
      <c r="J22" t="s">
        <v>982</v>
      </c>
    </row>
    <row r="23" spans="1:10">
      <c r="A23" s="237" t="s">
        <v>47</v>
      </c>
      <c r="B23" s="2">
        <v>0</v>
      </c>
      <c r="C23" s="2">
        <v>0</v>
      </c>
      <c r="D23" s="2">
        <v>0</v>
      </c>
      <c r="E23" s="2">
        <v>0</v>
      </c>
      <c r="F23" s="2">
        <v>0</v>
      </c>
      <c r="G23" s="2">
        <v>0</v>
      </c>
      <c r="H23" s="2">
        <v>0</v>
      </c>
      <c r="I23" s="2">
        <v>0</v>
      </c>
      <c r="J23" s="2">
        <v>0</v>
      </c>
    </row>
    <row r="24" spans="1:10">
      <c r="A24" s="237" t="s">
        <v>801</v>
      </c>
      <c r="B24" s="2">
        <v>0</v>
      </c>
      <c r="C24" s="2">
        <v>0</v>
      </c>
      <c r="D24" s="2">
        <v>0</v>
      </c>
      <c r="E24" s="2">
        <v>0</v>
      </c>
      <c r="F24" s="2">
        <v>0</v>
      </c>
      <c r="G24" s="2">
        <v>0</v>
      </c>
      <c r="H24" s="2">
        <v>0</v>
      </c>
      <c r="I24" s="2">
        <v>0</v>
      </c>
      <c r="J24" s="2">
        <v>0</v>
      </c>
    </row>
    <row r="47" spans="1:9">
      <c r="A47" t="s">
        <v>975</v>
      </c>
      <c r="B47" t="s">
        <v>976</v>
      </c>
      <c r="C47" t="s">
        <v>977</v>
      </c>
      <c r="D47" t="s">
        <v>978</v>
      </c>
      <c r="E47" t="s">
        <v>983</v>
      </c>
      <c r="F47" t="s">
        <v>979</v>
      </c>
      <c r="G47" t="s">
        <v>980</v>
      </c>
      <c r="H47" t="s">
        <v>981</v>
      </c>
      <c r="I47" t="s">
        <v>982</v>
      </c>
    </row>
    <row r="48" spans="1:9">
      <c r="A48" s="2">
        <v>6.0156250000000001E-2</v>
      </c>
      <c r="B48" s="2">
        <v>2.9244186046511633E-2</v>
      </c>
      <c r="C48" s="2">
        <v>2.2727272727272726E-3</v>
      </c>
      <c r="D48" s="2">
        <v>0</v>
      </c>
      <c r="E48" s="2">
        <v>0</v>
      </c>
      <c r="F48" s="2">
        <v>0</v>
      </c>
      <c r="G48" s="2">
        <v>0</v>
      </c>
      <c r="H48" s="2">
        <v>0</v>
      </c>
      <c r="I48" s="2">
        <v>0</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40BA7-3490-4118-B785-F3CA070AA6BE}">
  <sheetPr codeName="Hoja2">
    <tabColor theme="7"/>
    <pageSetUpPr fitToPage="1"/>
  </sheetPr>
  <dimension ref="A1:AA538"/>
  <sheetViews>
    <sheetView view="pageBreakPreview" zoomScale="70" zoomScaleNormal="70" zoomScaleSheetLayoutView="70" workbookViewId="0">
      <pane xSplit="2" ySplit="6" topLeftCell="D54" activePane="bottomRight" state="frozen"/>
      <selection pane="topRight" activeCell="D1" sqref="D1"/>
      <selection pane="bottomLeft" activeCell="A7" sqref="A7"/>
      <selection pane="bottomRight" activeCell="M61" sqref="M61"/>
    </sheetView>
  </sheetViews>
  <sheetFormatPr baseColWidth="10" defaultColWidth="10.7109375" defaultRowHeight="12.75"/>
  <cols>
    <col min="1" max="1" width="16.28515625" style="148" bestFit="1" customWidth="1"/>
    <col min="2" max="2" width="20.7109375" style="275" customWidth="1"/>
    <col min="3" max="3" width="23.7109375" style="148" customWidth="1"/>
    <col min="4" max="4" width="26.140625" style="148" bestFit="1" customWidth="1"/>
    <col min="5" max="5" width="16" style="148" bestFit="1" customWidth="1"/>
    <col min="6" max="6" width="17.85546875" style="148" bestFit="1" customWidth="1"/>
    <col min="7" max="7" width="18.28515625" style="148" customWidth="1"/>
    <col min="8" max="8" width="20.85546875" style="148" bestFit="1" customWidth="1"/>
    <col min="9" max="9" width="17.28515625" style="148" bestFit="1" customWidth="1"/>
    <col min="10" max="10" width="21.7109375" style="148" bestFit="1" customWidth="1"/>
    <col min="11" max="11" width="19.140625" style="148" bestFit="1" customWidth="1"/>
    <col min="12" max="12" width="27.5703125" style="148" customWidth="1"/>
    <col min="13" max="13" width="20.42578125" style="148" bestFit="1" customWidth="1"/>
    <col min="14" max="14" width="15.5703125" style="148" customWidth="1"/>
    <col min="15" max="15" width="18.28515625" style="148" bestFit="1" customWidth="1"/>
    <col min="16" max="17" width="15.5703125" style="148" bestFit="1" customWidth="1"/>
    <col min="18" max="18" width="16.5703125" style="148" bestFit="1" customWidth="1"/>
    <col min="19" max="29" width="10.7109375" style="148"/>
    <col min="30" max="30" width="16.140625" style="148" bestFit="1" customWidth="1"/>
    <col min="31" max="16384" width="10.7109375" style="148"/>
  </cols>
  <sheetData>
    <row r="1" spans="1:15" ht="13.5" thickBot="1">
      <c r="A1" s="207"/>
      <c r="C1" s="207"/>
      <c r="D1" s="207"/>
      <c r="E1" s="207"/>
      <c r="F1" s="207"/>
      <c r="G1" s="207"/>
      <c r="O1" s="508" t="s">
        <v>0</v>
      </c>
    </row>
    <row r="2" spans="1:15" ht="16.5" customHeight="1" thickBot="1">
      <c r="A2" s="207"/>
      <c r="C2" s="519" t="s">
        <v>974</v>
      </c>
      <c r="D2" s="520"/>
      <c r="E2" s="520"/>
      <c r="F2" s="520"/>
      <c r="G2" s="520"/>
      <c r="H2" s="520"/>
      <c r="I2" s="520"/>
      <c r="J2" s="520"/>
      <c r="K2" s="521"/>
      <c r="L2" s="397"/>
      <c r="M2" s="397"/>
      <c r="N2" s="397"/>
      <c r="O2" s="509"/>
    </row>
    <row r="3" spans="1:15" ht="12.75" customHeight="1" thickTop="1">
      <c r="A3" s="207"/>
      <c r="C3" s="522"/>
      <c r="D3" s="523"/>
      <c r="E3" s="523"/>
      <c r="F3" s="523"/>
      <c r="G3" s="523"/>
      <c r="H3" s="523"/>
      <c r="I3" s="523"/>
      <c r="J3" s="523"/>
      <c r="K3" s="524"/>
      <c r="L3" s="397"/>
      <c r="M3" s="528" t="s">
        <v>1</v>
      </c>
      <c r="N3" s="530">
        <v>359</v>
      </c>
      <c r="O3" s="510">
        <f>+AVERAGE(C33,C79,C126,C173,C220,C267,C314,C361,C405)</f>
        <v>0</v>
      </c>
    </row>
    <row r="4" spans="1:15" ht="11.25" customHeight="1" thickBot="1">
      <c r="A4" s="207"/>
      <c r="C4" s="525"/>
      <c r="D4" s="526"/>
      <c r="E4" s="526"/>
      <c r="F4" s="526"/>
      <c r="G4" s="526"/>
      <c r="H4" s="526"/>
      <c r="I4" s="526"/>
      <c r="J4" s="526"/>
      <c r="K4" s="527"/>
      <c r="L4" s="398"/>
      <c r="M4" s="529"/>
      <c r="N4" s="531"/>
      <c r="O4" s="511"/>
    </row>
    <row r="5" spans="1:15" ht="13.5" thickBot="1">
      <c r="A5" s="207"/>
      <c r="C5" s="396">
        <v>1</v>
      </c>
      <c r="D5" s="395">
        <v>2</v>
      </c>
      <c r="E5" s="395">
        <v>3</v>
      </c>
      <c r="F5" s="395">
        <v>4</v>
      </c>
      <c r="G5" s="395">
        <v>5</v>
      </c>
      <c r="H5" s="395">
        <v>6</v>
      </c>
      <c r="I5" s="395">
        <v>7</v>
      </c>
      <c r="J5" s="395">
        <v>8</v>
      </c>
      <c r="K5" s="395">
        <v>9</v>
      </c>
      <c r="L5" s="287">
        <v>10</v>
      </c>
      <c r="M5" s="287">
        <v>11</v>
      </c>
      <c r="N5" s="287">
        <v>12</v>
      </c>
    </row>
    <row r="6" spans="1:15" ht="39" thickBot="1">
      <c r="A6" s="207"/>
      <c r="B6" s="352" t="s">
        <v>2</v>
      </c>
      <c r="C6" s="353" t="s">
        <v>731</v>
      </c>
      <c r="D6" s="353" t="s">
        <v>732</v>
      </c>
      <c r="E6" s="353" t="s">
        <v>953</v>
      </c>
      <c r="F6" s="353" t="s">
        <v>805</v>
      </c>
      <c r="G6" s="353" t="s">
        <v>740</v>
      </c>
      <c r="H6" s="353" t="s">
        <v>741</v>
      </c>
      <c r="I6" s="353" t="s">
        <v>742</v>
      </c>
      <c r="J6" s="353" t="s">
        <v>743</v>
      </c>
      <c r="K6" s="353" t="s">
        <v>744</v>
      </c>
      <c r="L6" s="353" t="s">
        <v>955</v>
      </c>
      <c r="M6" s="353" t="s">
        <v>951</v>
      </c>
      <c r="N6" s="353" t="s">
        <v>747</v>
      </c>
      <c r="O6" s="352" t="s">
        <v>13</v>
      </c>
    </row>
    <row r="7" spans="1:15" ht="15" customHeight="1">
      <c r="A7" s="500" t="s">
        <v>682</v>
      </c>
      <c r="B7" s="354" t="s">
        <v>860</v>
      </c>
      <c r="C7" s="292">
        <v>0</v>
      </c>
      <c r="D7" s="292">
        <v>0</v>
      </c>
      <c r="E7" s="292">
        <v>0</v>
      </c>
      <c r="F7" s="292">
        <v>0</v>
      </c>
      <c r="G7" s="292">
        <v>0</v>
      </c>
      <c r="H7" s="292">
        <v>0</v>
      </c>
      <c r="I7" s="292">
        <v>0</v>
      </c>
      <c r="J7" s="292">
        <v>0</v>
      </c>
      <c r="K7" s="292">
        <v>0</v>
      </c>
      <c r="L7" s="292">
        <v>0</v>
      </c>
      <c r="M7" s="292">
        <v>0</v>
      </c>
      <c r="N7" s="292">
        <v>0</v>
      </c>
      <c r="O7" s="293">
        <f t="shared" ref="O7:O30" si="0">+AVERAGE(C7:N7)</f>
        <v>0</v>
      </c>
    </row>
    <row r="8" spans="1:15" ht="15" customHeight="1">
      <c r="A8" s="501"/>
      <c r="B8" s="355" t="s">
        <v>861</v>
      </c>
      <c r="C8" s="298">
        <v>0</v>
      </c>
      <c r="D8" s="298">
        <v>0</v>
      </c>
      <c r="E8" s="298">
        <v>0</v>
      </c>
      <c r="F8" s="298">
        <v>0</v>
      </c>
      <c r="G8" s="298">
        <v>0</v>
      </c>
      <c r="H8" s="298">
        <v>0</v>
      </c>
      <c r="I8" s="298">
        <v>0</v>
      </c>
      <c r="J8" s="298">
        <v>0</v>
      </c>
      <c r="K8" s="298">
        <v>0</v>
      </c>
      <c r="L8" s="298">
        <v>0</v>
      </c>
      <c r="M8" s="298">
        <v>0</v>
      </c>
      <c r="N8" s="298">
        <v>0</v>
      </c>
      <c r="O8" s="295">
        <f t="shared" si="0"/>
        <v>0</v>
      </c>
    </row>
    <row r="9" spans="1:15" ht="15" customHeight="1">
      <c r="A9" s="501"/>
      <c r="B9" s="355" t="s">
        <v>862</v>
      </c>
      <c r="C9" s="298">
        <v>0</v>
      </c>
      <c r="D9" s="298">
        <v>0</v>
      </c>
      <c r="E9" s="298">
        <v>0</v>
      </c>
      <c r="F9" s="298">
        <v>0</v>
      </c>
      <c r="G9" s="298">
        <v>0</v>
      </c>
      <c r="H9" s="298">
        <v>0</v>
      </c>
      <c r="I9" s="298">
        <v>0</v>
      </c>
      <c r="J9" s="298">
        <v>0</v>
      </c>
      <c r="K9" s="298">
        <v>0</v>
      </c>
      <c r="L9" s="298">
        <v>0</v>
      </c>
      <c r="M9" s="298">
        <v>0</v>
      </c>
      <c r="N9" s="298">
        <v>0</v>
      </c>
      <c r="O9" s="295">
        <f t="shared" si="0"/>
        <v>0</v>
      </c>
    </row>
    <row r="10" spans="1:15" ht="15" customHeight="1">
      <c r="A10" s="501"/>
      <c r="B10" s="355" t="s">
        <v>863</v>
      </c>
      <c r="C10" s="298">
        <v>0</v>
      </c>
      <c r="D10" s="298">
        <v>0</v>
      </c>
      <c r="E10" s="298">
        <v>0</v>
      </c>
      <c r="F10" s="298">
        <v>0</v>
      </c>
      <c r="G10" s="298">
        <v>0</v>
      </c>
      <c r="H10" s="298">
        <v>0</v>
      </c>
      <c r="I10" s="298">
        <v>0</v>
      </c>
      <c r="J10" s="298">
        <v>0</v>
      </c>
      <c r="K10" s="298">
        <v>0</v>
      </c>
      <c r="L10" s="298">
        <v>0</v>
      </c>
      <c r="M10" s="298">
        <v>0</v>
      </c>
      <c r="N10" s="298">
        <v>0</v>
      </c>
      <c r="O10" s="295">
        <f t="shared" si="0"/>
        <v>0</v>
      </c>
    </row>
    <row r="11" spans="1:15" ht="15" customHeight="1">
      <c r="A11" s="501"/>
      <c r="B11" s="355" t="s">
        <v>864</v>
      </c>
      <c r="C11" s="298">
        <v>0</v>
      </c>
      <c r="D11" s="298">
        <v>0</v>
      </c>
      <c r="E11" s="298">
        <v>0</v>
      </c>
      <c r="F11" s="298">
        <v>0</v>
      </c>
      <c r="G11" s="298">
        <v>0</v>
      </c>
      <c r="H11" s="298">
        <v>0</v>
      </c>
      <c r="I11" s="298">
        <v>0</v>
      </c>
      <c r="J11" s="298">
        <v>0</v>
      </c>
      <c r="K11" s="298">
        <v>0</v>
      </c>
      <c r="L11" s="298">
        <v>0</v>
      </c>
      <c r="M11" s="298">
        <v>0</v>
      </c>
      <c r="N11" s="298">
        <v>0</v>
      </c>
      <c r="O11" s="295">
        <f t="shared" si="0"/>
        <v>0</v>
      </c>
    </row>
    <row r="12" spans="1:15" ht="15" customHeight="1">
      <c r="A12" s="501"/>
      <c r="B12" s="355" t="s">
        <v>865</v>
      </c>
      <c r="C12" s="298">
        <v>0</v>
      </c>
      <c r="D12" s="298">
        <v>0</v>
      </c>
      <c r="E12" s="298">
        <v>0</v>
      </c>
      <c r="F12" s="298">
        <v>0</v>
      </c>
      <c r="G12" s="298">
        <v>0</v>
      </c>
      <c r="H12" s="298">
        <v>0</v>
      </c>
      <c r="I12" s="298">
        <v>0</v>
      </c>
      <c r="J12" s="298">
        <v>0</v>
      </c>
      <c r="K12" s="298">
        <v>0</v>
      </c>
      <c r="L12" s="298">
        <v>0</v>
      </c>
      <c r="M12" s="298">
        <v>0</v>
      </c>
      <c r="N12" s="298">
        <v>0</v>
      </c>
      <c r="O12" s="295">
        <f t="shared" si="0"/>
        <v>0</v>
      </c>
    </row>
    <row r="13" spans="1:15" ht="15" customHeight="1">
      <c r="A13" s="501"/>
      <c r="B13" s="355" t="s">
        <v>866</v>
      </c>
      <c r="C13" s="298">
        <v>0</v>
      </c>
      <c r="D13" s="298">
        <v>0</v>
      </c>
      <c r="E13" s="298">
        <v>0</v>
      </c>
      <c r="F13" s="298">
        <v>0</v>
      </c>
      <c r="G13" s="298">
        <v>0</v>
      </c>
      <c r="H13" s="298">
        <v>0</v>
      </c>
      <c r="I13" s="298">
        <v>0</v>
      </c>
      <c r="J13" s="298">
        <v>0</v>
      </c>
      <c r="K13" s="298">
        <v>0</v>
      </c>
      <c r="L13" s="298">
        <v>0</v>
      </c>
      <c r="M13" s="298">
        <v>0</v>
      </c>
      <c r="N13" s="298">
        <v>0</v>
      </c>
      <c r="O13" s="295">
        <f t="shared" si="0"/>
        <v>0</v>
      </c>
    </row>
    <row r="14" spans="1:15" ht="15" customHeight="1">
      <c r="A14" s="501"/>
      <c r="B14" s="356" t="s">
        <v>867</v>
      </c>
      <c r="C14" s="298">
        <v>0</v>
      </c>
      <c r="D14" s="298">
        <v>0</v>
      </c>
      <c r="E14" s="298">
        <v>0</v>
      </c>
      <c r="F14" s="298">
        <v>0</v>
      </c>
      <c r="G14" s="298">
        <v>0</v>
      </c>
      <c r="H14" s="298">
        <v>0</v>
      </c>
      <c r="I14" s="298">
        <v>0</v>
      </c>
      <c r="J14" s="298">
        <v>0</v>
      </c>
      <c r="K14" s="298">
        <v>0</v>
      </c>
      <c r="L14" s="298">
        <v>0</v>
      </c>
      <c r="M14" s="298">
        <v>0</v>
      </c>
      <c r="N14" s="298">
        <v>0</v>
      </c>
      <c r="O14" s="295">
        <f t="shared" si="0"/>
        <v>0</v>
      </c>
    </row>
    <row r="15" spans="1:15" ht="15" customHeight="1">
      <c r="A15" s="501"/>
      <c r="B15" s="356" t="s">
        <v>868</v>
      </c>
      <c r="C15" s="298">
        <v>0</v>
      </c>
      <c r="D15" s="298">
        <v>0</v>
      </c>
      <c r="E15" s="298">
        <v>0</v>
      </c>
      <c r="F15" s="298">
        <v>0</v>
      </c>
      <c r="G15" s="298">
        <v>0</v>
      </c>
      <c r="H15" s="298">
        <v>0</v>
      </c>
      <c r="I15" s="298">
        <v>0</v>
      </c>
      <c r="J15" s="298">
        <v>0</v>
      </c>
      <c r="K15" s="298">
        <v>0</v>
      </c>
      <c r="L15" s="298">
        <v>0</v>
      </c>
      <c r="M15" s="298">
        <v>0</v>
      </c>
      <c r="N15" s="298">
        <v>0</v>
      </c>
      <c r="O15" s="295">
        <f t="shared" si="0"/>
        <v>0</v>
      </c>
    </row>
    <row r="16" spans="1:15" ht="15" customHeight="1">
      <c r="A16" s="501"/>
      <c r="B16" s="356" t="s">
        <v>869</v>
      </c>
      <c r="C16" s="298">
        <v>0</v>
      </c>
      <c r="D16" s="298">
        <v>0</v>
      </c>
      <c r="E16" s="298">
        <v>0</v>
      </c>
      <c r="F16" s="298">
        <v>0</v>
      </c>
      <c r="G16" s="298">
        <v>0</v>
      </c>
      <c r="H16" s="298">
        <v>0</v>
      </c>
      <c r="I16" s="298">
        <v>0</v>
      </c>
      <c r="J16" s="298">
        <v>0</v>
      </c>
      <c r="K16" s="298">
        <v>0</v>
      </c>
      <c r="L16" s="298">
        <v>0</v>
      </c>
      <c r="M16" s="298">
        <v>0</v>
      </c>
      <c r="N16" s="298">
        <v>0</v>
      </c>
      <c r="O16" s="295">
        <f t="shared" si="0"/>
        <v>0</v>
      </c>
    </row>
    <row r="17" spans="1:15" ht="15" customHeight="1">
      <c r="A17" s="501"/>
      <c r="B17" s="356" t="s">
        <v>870</v>
      </c>
      <c r="C17" s="298">
        <v>0</v>
      </c>
      <c r="D17" s="298">
        <v>0</v>
      </c>
      <c r="E17" s="298">
        <v>0</v>
      </c>
      <c r="F17" s="298">
        <v>0</v>
      </c>
      <c r="G17" s="298">
        <v>0</v>
      </c>
      <c r="H17" s="298">
        <v>0</v>
      </c>
      <c r="I17" s="298">
        <v>0</v>
      </c>
      <c r="J17" s="298">
        <v>0</v>
      </c>
      <c r="K17" s="298">
        <v>0</v>
      </c>
      <c r="L17" s="298">
        <v>0</v>
      </c>
      <c r="M17" s="298">
        <v>0</v>
      </c>
      <c r="N17" s="298">
        <v>0</v>
      </c>
      <c r="O17" s="295">
        <f t="shared" si="0"/>
        <v>0</v>
      </c>
    </row>
    <row r="18" spans="1:15" ht="15" customHeight="1">
      <c r="A18" s="501"/>
      <c r="B18" s="356" t="s">
        <v>871</v>
      </c>
      <c r="C18" s="298">
        <v>0</v>
      </c>
      <c r="D18" s="298">
        <v>0</v>
      </c>
      <c r="E18" s="298">
        <v>0</v>
      </c>
      <c r="F18" s="298">
        <v>0</v>
      </c>
      <c r="G18" s="298">
        <v>0</v>
      </c>
      <c r="H18" s="298">
        <v>0</v>
      </c>
      <c r="I18" s="298">
        <v>0</v>
      </c>
      <c r="J18" s="298">
        <v>0</v>
      </c>
      <c r="K18" s="298">
        <v>0</v>
      </c>
      <c r="L18" s="298">
        <v>0</v>
      </c>
      <c r="M18" s="298">
        <v>0</v>
      </c>
      <c r="N18" s="298">
        <v>0</v>
      </c>
      <c r="O18" s="295">
        <f t="shared" si="0"/>
        <v>0</v>
      </c>
    </row>
    <row r="19" spans="1:15" ht="15" customHeight="1">
      <c r="A19" s="501"/>
      <c r="B19" s="356" t="s">
        <v>872</v>
      </c>
      <c r="C19" s="298">
        <v>0</v>
      </c>
      <c r="D19" s="298">
        <v>0</v>
      </c>
      <c r="E19" s="298">
        <v>0</v>
      </c>
      <c r="F19" s="298">
        <v>0</v>
      </c>
      <c r="G19" s="298">
        <v>0</v>
      </c>
      <c r="H19" s="298">
        <v>0</v>
      </c>
      <c r="I19" s="298">
        <v>0</v>
      </c>
      <c r="J19" s="298">
        <v>0</v>
      </c>
      <c r="K19" s="298">
        <v>0</v>
      </c>
      <c r="L19" s="298">
        <v>0</v>
      </c>
      <c r="M19" s="298">
        <v>0</v>
      </c>
      <c r="N19" s="298">
        <v>0</v>
      </c>
      <c r="O19" s="295">
        <f t="shared" si="0"/>
        <v>0</v>
      </c>
    </row>
    <row r="20" spans="1:15" ht="15" customHeight="1">
      <c r="A20" s="501"/>
      <c r="B20" s="356" t="s">
        <v>873</v>
      </c>
      <c r="C20" s="298">
        <v>0</v>
      </c>
      <c r="D20" s="298">
        <v>0</v>
      </c>
      <c r="E20" s="298">
        <v>0</v>
      </c>
      <c r="F20" s="298">
        <v>0</v>
      </c>
      <c r="G20" s="298">
        <v>0</v>
      </c>
      <c r="H20" s="298">
        <v>0</v>
      </c>
      <c r="I20" s="298">
        <v>0</v>
      </c>
      <c r="J20" s="298">
        <v>0</v>
      </c>
      <c r="K20" s="298">
        <v>0</v>
      </c>
      <c r="L20" s="298">
        <v>0</v>
      </c>
      <c r="M20" s="298">
        <v>0</v>
      </c>
      <c r="N20" s="298">
        <v>0</v>
      </c>
      <c r="O20" s="295">
        <f t="shared" si="0"/>
        <v>0</v>
      </c>
    </row>
    <row r="21" spans="1:15" ht="15" customHeight="1">
      <c r="A21" s="501"/>
      <c r="B21" s="356" t="s">
        <v>874</v>
      </c>
      <c r="C21" s="298">
        <v>0</v>
      </c>
      <c r="D21" s="298">
        <v>0</v>
      </c>
      <c r="E21" s="298">
        <v>0</v>
      </c>
      <c r="F21" s="298">
        <v>0</v>
      </c>
      <c r="G21" s="298">
        <v>0</v>
      </c>
      <c r="H21" s="298">
        <v>0</v>
      </c>
      <c r="I21" s="298">
        <v>0</v>
      </c>
      <c r="J21" s="298">
        <v>0</v>
      </c>
      <c r="K21" s="298">
        <v>0</v>
      </c>
      <c r="L21" s="298">
        <v>0</v>
      </c>
      <c r="M21" s="298">
        <v>0</v>
      </c>
      <c r="N21" s="298">
        <v>0</v>
      </c>
      <c r="O21" s="295">
        <f t="shared" si="0"/>
        <v>0</v>
      </c>
    </row>
    <row r="22" spans="1:15" ht="15" customHeight="1">
      <c r="A22" s="501"/>
      <c r="B22" s="356" t="s">
        <v>875</v>
      </c>
      <c r="C22" s="298">
        <v>0</v>
      </c>
      <c r="D22" s="298">
        <v>0</v>
      </c>
      <c r="E22" s="298">
        <v>0</v>
      </c>
      <c r="F22" s="298">
        <v>0</v>
      </c>
      <c r="G22" s="298">
        <v>0</v>
      </c>
      <c r="H22" s="298">
        <v>0</v>
      </c>
      <c r="I22" s="298">
        <v>0</v>
      </c>
      <c r="J22" s="298">
        <v>0</v>
      </c>
      <c r="K22" s="298">
        <v>0</v>
      </c>
      <c r="L22" s="298">
        <v>0</v>
      </c>
      <c r="M22" s="298">
        <v>0</v>
      </c>
      <c r="N22" s="298">
        <v>0</v>
      </c>
      <c r="O22" s="295">
        <f t="shared" si="0"/>
        <v>0</v>
      </c>
    </row>
    <row r="23" spans="1:15" ht="15" customHeight="1">
      <c r="A23" s="501"/>
      <c r="B23" s="356" t="s">
        <v>876</v>
      </c>
      <c r="C23" s="298">
        <v>0</v>
      </c>
      <c r="D23" s="298">
        <v>0</v>
      </c>
      <c r="E23" s="298">
        <v>0</v>
      </c>
      <c r="F23" s="298">
        <v>0</v>
      </c>
      <c r="G23" s="298">
        <v>0</v>
      </c>
      <c r="H23" s="298">
        <v>0</v>
      </c>
      <c r="I23" s="298">
        <v>0</v>
      </c>
      <c r="J23" s="298">
        <v>0</v>
      </c>
      <c r="K23" s="298">
        <v>0</v>
      </c>
      <c r="L23" s="298">
        <v>0</v>
      </c>
      <c r="M23" s="298">
        <v>0</v>
      </c>
      <c r="N23" s="298">
        <v>0</v>
      </c>
      <c r="O23" s="295">
        <f t="shared" si="0"/>
        <v>0</v>
      </c>
    </row>
    <row r="24" spans="1:15" ht="15" customHeight="1">
      <c r="A24" s="501"/>
      <c r="B24" s="356" t="s">
        <v>877</v>
      </c>
      <c r="C24" s="298">
        <v>0</v>
      </c>
      <c r="D24" s="298">
        <v>0</v>
      </c>
      <c r="E24" s="298">
        <v>0</v>
      </c>
      <c r="F24" s="298">
        <v>0</v>
      </c>
      <c r="G24" s="298">
        <v>0</v>
      </c>
      <c r="H24" s="298">
        <v>0</v>
      </c>
      <c r="I24" s="298">
        <v>0</v>
      </c>
      <c r="J24" s="298">
        <v>0</v>
      </c>
      <c r="K24" s="298">
        <v>0</v>
      </c>
      <c r="L24" s="298">
        <v>0</v>
      </c>
      <c r="M24" s="298">
        <v>0</v>
      </c>
      <c r="N24" s="298">
        <v>0</v>
      </c>
      <c r="O24" s="295">
        <f t="shared" si="0"/>
        <v>0</v>
      </c>
    </row>
    <row r="25" spans="1:15" ht="15" customHeight="1">
      <c r="A25" s="501"/>
      <c r="B25" s="356" t="s">
        <v>878</v>
      </c>
      <c r="C25" s="298">
        <v>0</v>
      </c>
      <c r="D25" s="298">
        <v>0</v>
      </c>
      <c r="E25" s="298">
        <v>0</v>
      </c>
      <c r="F25" s="298">
        <v>0</v>
      </c>
      <c r="G25" s="298">
        <v>0</v>
      </c>
      <c r="H25" s="298">
        <v>0</v>
      </c>
      <c r="I25" s="298">
        <v>0</v>
      </c>
      <c r="J25" s="298">
        <v>0</v>
      </c>
      <c r="K25" s="298">
        <v>0</v>
      </c>
      <c r="L25" s="298">
        <v>0</v>
      </c>
      <c r="M25" s="298">
        <v>0</v>
      </c>
      <c r="N25" s="298">
        <v>0</v>
      </c>
      <c r="O25" s="295">
        <f t="shared" si="0"/>
        <v>0</v>
      </c>
    </row>
    <row r="26" spans="1:15" ht="15" customHeight="1">
      <c r="A26" s="501"/>
      <c r="B26" s="356" t="s">
        <v>879</v>
      </c>
      <c r="C26" s="298">
        <v>0</v>
      </c>
      <c r="D26" s="298">
        <v>0</v>
      </c>
      <c r="E26" s="298">
        <v>0</v>
      </c>
      <c r="F26" s="298">
        <v>0</v>
      </c>
      <c r="G26" s="298">
        <v>0</v>
      </c>
      <c r="H26" s="298">
        <v>0</v>
      </c>
      <c r="I26" s="298">
        <v>0</v>
      </c>
      <c r="J26" s="298">
        <v>0</v>
      </c>
      <c r="K26" s="298">
        <v>0</v>
      </c>
      <c r="L26" s="298">
        <v>0</v>
      </c>
      <c r="M26" s="298">
        <v>0</v>
      </c>
      <c r="N26" s="298">
        <v>0</v>
      </c>
      <c r="O26" s="295">
        <f t="shared" si="0"/>
        <v>0</v>
      </c>
    </row>
    <row r="27" spans="1:15" ht="15" customHeight="1">
      <c r="A27" s="501"/>
      <c r="B27" s="356" t="s">
        <v>880</v>
      </c>
      <c r="C27" s="298">
        <v>0</v>
      </c>
      <c r="D27" s="298">
        <v>0</v>
      </c>
      <c r="E27" s="298">
        <v>0</v>
      </c>
      <c r="F27" s="298">
        <v>0</v>
      </c>
      <c r="G27" s="298">
        <v>0</v>
      </c>
      <c r="H27" s="298">
        <v>0</v>
      </c>
      <c r="I27" s="298">
        <v>0</v>
      </c>
      <c r="J27" s="298">
        <v>0</v>
      </c>
      <c r="K27" s="298">
        <v>0</v>
      </c>
      <c r="L27" s="298">
        <v>0</v>
      </c>
      <c r="M27" s="298">
        <v>0</v>
      </c>
      <c r="N27" s="298">
        <v>0</v>
      </c>
      <c r="O27" s="295">
        <f t="shared" si="0"/>
        <v>0</v>
      </c>
    </row>
    <row r="28" spans="1:15" ht="15" customHeight="1">
      <c r="A28" s="501"/>
      <c r="B28" s="357" t="s">
        <v>881</v>
      </c>
      <c r="C28" s="298">
        <v>0</v>
      </c>
      <c r="D28" s="298">
        <v>0</v>
      </c>
      <c r="E28" s="298">
        <v>0</v>
      </c>
      <c r="F28" s="298">
        <v>0</v>
      </c>
      <c r="G28" s="298">
        <v>0</v>
      </c>
      <c r="H28" s="298">
        <v>0</v>
      </c>
      <c r="I28" s="298">
        <v>0</v>
      </c>
      <c r="J28" s="298">
        <v>0</v>
      </c>
      <c r="K28" s="298">
        <v>0</v>
      </c>
      <c r="L28" s="298">
        <v>0</v>
      </c>
      <c r="M28" s="298">
        <v>0</v>
      </c>
      <c r="N28" s="298">
        <v>0</v>
      </c>
      <c r="O28" s="295">
        <f t="shared" si="0"/>
        <v>0</v>
      </c>
    </row>
    <row r="29" spans="1:15" ht="15" customHeight="1">
      <c r="A29" s="501"/>
      <c r="B29" s="357" t="s">
        <v>882</v>
      </c>
      <c r="C29" s="298">
        <v>0</v>
      </c>
      <c r="D29" s="298">
        <v>0</v>
      </c>
      <c r="E29" s="298">
        <v>0</v>
      </c>
      <c r="F29" s="298">
        <v>0</v>
      </c>
      <c r="G29" s="298">
        <v>0</v>
      </c>
      <c r="H29" s="298">
        <v>0</v>
      </c>
      <c r="I29" s="298">
        <v>0</v>
      </c>
      <c r="J29" s="298">
        <v>0</v>
      </c>
      <c r="K29" s="298">
        <v>0</v>
      </c>
      <c r="L29" s="298">
        <v>0</v>
      </c>
      <c r="M29" s="298">
        <v>0</v>
      </c>
      <c r="N29" s="298">
        <v>0</v>
      </c>
      <c r="O29" s="295">
        <f t="shared" si="0"/>
        <v>0</v>
      </c>
    </row>
    <row r="30" spans="1:15" ht="15" customHeight="1" thickBot="1">
      <c r="A30" s="501"/>
      <c r="B30" s="358" t="s">
        <v>883</v>
      </c>
      <c r="C30" s="298">
        <v>0</v>
      </c>
      <c r="D30" s="298">
        <v>0</v>
      </c>
      <c r="E30" s="298">
        <v>0</v>
      </c>
      <c r="F30" s="298">
        <v>0</v>
      </c>
      <c r="G30" s="298">
        <v>0</v>
      </c>
      <c r="H30" s="298">
        <v>0</v>
      </c>
      <c r="I30" s="298">
        <v>0</v>
      </c>
      <c r="J30" s="298">
        <v>0</v>
      </c>
      <c r="K30" s="298">
        <v>0</v>
      </c>
      <c r="L30" s="298">
        <v>0</v>
      </c>
      <c r="M30" s="298">
        <v>0</v>
      </c>
      <c r="N30" s="298">
        <v>0</v>
      </c>
      <c r="O30" s="295">
        <f t="shared" si="0"/>
        <v>0</v>
      </c>
    </row>
    <row r="31" spans="1:15" ht="15" customHeight="1" thickBot="1">
      <c r="A31" s="506" t="s">
        <v>755</v>
      </c>
      <c r="B31" s="507"/>
      <c r="C31" s="296"/>
      <c r="D31" s="296"/>
      <c r="E31" s="296"/>
      <c r="F31" s="296"/>
      <c r="G31" s="296"/>
      <c r="H31" s="296"/>
      <c r="I31" s="296"/>
      <c r="J31" s="296"/>
      <c r="K31" s="296"/>
      <c r="L31" s="296"/>
      <c r="M31" s="296"/>
      <c r="N31" s="296"/>
      <c r="O31" s="512"/>
    </row>
    <row r="32" spans="1:15" ht="15" customHeight="1" thickBot="1">
      <c r="A32" s="506" t="s">
        <v>754</v>
      </c>
      <c r="B32" s="507"/>
      <c r="C32" s="296">
        <f>+AVERAGE(C7:C30)</f>
        <v>0</v>
      </c>
      <c r="D32" s="296">
        <f t="shared" ref="D32:N32" si="1">+AVERAGE(D7:D30)</f>
        <v>0</v>
      </c>
      <c r="E32" s="296">
        <f t="shared" si="1"/>
        <v>0</v>
      </c>
      <c r="F32" s="296">
        <f t="shared" si="1"/>
        <v>0</v>
      </c>
      <c r="G32" s="296">
        <f t="shared" si="1"/>
        <v>0</v>
      </c>
      <c r="H32" s="296">
        <f t="shared" si="1"/>
        <v>0</v>
      </c>
      <c r="I32" s="296">
        <f t="shared" si="1"/>
        <v>0</v>
      </c>
      <c r="J32" s="296">
        <f t="shared" si="1"/>
        <v>0</v>
      </c>
      <c r="K32" s="296">
        <f t="shared" si="1"/>
        <v>0</v>
      </c>
      <c r="L32" s="296">
        <f t="shared" si="1"/>
        <v>0</v>
      </c>
      <c r="M32" s="296">
        <f t="shared" si="1"/>
        <v>0</v>
      </c>
      <c r="N32" s="296">
        <f t="shared" si="1"/>
        <v>0</v>
      </c>
      <c r="O32" s="513"/>
    </row>
    <row r="33" spans="1:15" ht="15" customHeight="1" thickBot="1">
      <c r="A33" s="506" t="s">
        <v>753</v>
      </c>
      <c r="B33" s="515"/>
      <c r="C33" s="516">
        <f>+AVERAGE(C32:N32)</f>
        <v>0</v>
      </c>
      <c r="D33" s="517"/>
      <c r="E33" s="517"/>
      <c r="F33" s="517"/>
      <c r="G33" s="517"/>
      <c r="H33" s="517"/>
      <c r="I33" s="517"/>
      <c r="J33" s="517"/>
      <c r="K33" s="517"/>
      <c r="L33" s="517"/>
      <c r="M33" s="517"/>
      <c r="N33" s="518"/>
      <c r="O33" s="514"/>
    </row>
    <row r="34" spans="1:15" ht="15" customHeight="1">
      <c r="A34" s="500" t="s">
        <v>900</v>
      </c>
      <c r="B34" s="359" t="s">
        <v>1027</v>
      </c>
      <c r="C34" s="294">
        <v>0</v>
      </c>
      <c r="D34" s="294">
        <v>0</v>
      </c>
      <c r="E34" s="294">
        <v>0</v>
      </c>
      <c r="F34" s="294">
        <v>0</v>
      </c>
      <c r="G34" s="294">
        <v>0</v>
      </c>
      <c r="H34" s="294">
        <v>0</v>
      </c>
      <c r="I34" s="294">
        <v>0</v>
      </c>
      <c r="J34" s="294">
        <v>0</v>
      </c>
      <c r="K34" s="294">
        <v>0</v>
      </c>
      <c r="L34" s="294">
        <v>0</v>
      </c>
      <c r="M34" s="294">
        <v>0</v>
      </c>
      <c r="N34" s="294">
        <v>0</v>
      </c>
      <c r="O34" s="293">
        <f t="shared" ref="O34:O76" si="2">+AVERAGE(C34:N34)</f>
        <v>0</v>
      </c>
    </row>
    <row r="35" spans="1:15" ht="15" customHeight="1">
      <c r="A35" s="501"/>
      <c r="B35" s="356" t="s">
        <v>552</v>
      </c>
      <c r="C35" s="294">
        <v>0</v>
      </c>
      <c r="D35" s="294">
        <v>0</v>
      </c>
      <c r="E35" s="294">
        <v>0</v>
      </c>
      <c r="F35" s="294">
        <v>0</v>
      </c>
      <c r="G35" s="294">
        <v>0</v>
      </c>
      <c r="H35" s="294">
        <v>0</v>
      </c>
      <c r="I35" s="294">
        <v>0</v>
      </c>
      <c r="J35" s="294">
        <v>0</v>
      </c>
      <c r="K35" s="294">
        <v>0</v>
      </c>
      <c r="L35" s="294">
        <v>0</v>
      </c>
      <c r="M35" s="294">
        <v>0</v>
      </c>
      <c r="N35" s="294">
        <v>0</v>
      </c>
      <c r="O35" s="295">
        <f t="shared" si="2"/>
        <v>0</v>
      </c>
    </row>
    <row r="36" spans="1:15" ht="15" customHeight="1">
      <c r="A36" s="501"/>
      <c r="B36" s="356" t="s">
        <v>553</v>
      </c>
      <c r="C36" s="294">
        <v>0</v>
      </c>
      <c r="D36" s="294">
        <v>0</v>
      </c>
      <c r="E36" s="294">
        <v>0</v>
      </c>
      <c r="F36" s="294">
        <v>0</v>
      </c>
      <c r="G36" s="294">
        <v>0</v>
      </c>
      <c r="H36" s="294">
        <v>0</v>
      </c>
      <c r="I36" s="294">
        <v>0</v>
      </c>
      <c r="J36" s="294">
        <v>0</v>
      </c>
      <c r="K36" s="294">
        <v>0</v>
      </c>
      <c r="L36" s="294">
        <v>0</v>
      </c>
      <c r="M36" s="294">
        <v>0</v>
      </c>
      <c r="N36" s="294">
        <v>0</v>
      </c>
      <c r="O36" s="295">
        <f t="shared" si="2"/>
        <v>0</v>
      </c>
    </row>
    <row r="37" spans="1:15" ht="15" customHeight="1">
      <c r="A37" s="501"/>
      <c r="B37" s="356" t="s">
        <v>554</v>
      </c>
      <c r="C37" s="294">
        <v>0</v>
      </c>
      <c r="D37" s="294">
        <v>0</v>
      </c>
      <c r="E37" s="294">
        <v>0</v>
      </c>
      <c r="F37" s="294">
        <v>0</v>
      </c>
      <c r="G37" s="294">
        <v>0</v>
      </c>
      <c r="H37" s="294">
        <v>0</v>
      </c>
      <c r="I37" s="294">
        <v>0</v>
      </c>
      <c r="J37" s="294">
        <v>0</v>
      </c>
      <c r="K37" s="294">
        <v>0</v>
      </c>
      <c r="L37" s="294">
        <v>0</v>
      </c>
      <c r="M37" s="294">
        <v>0</v>
      </c>
      <c r="N37" s="294">
        <v>0</v>
      </c>
      <c r="O37" s="295">
        <f t="shared" si="2"/>
        <v>0</v>
      </c>
    </row>
    <row r="38" spans="1:15" ht="15" customHeight="1">
      <c r="A38" s="501"/>
      <c r="B38" s="356" t="s">
        <v>555</v>
      </c>
      <c r="C38" s="294">
        <v>0</v>
      </c>
      <c r="D38" s="294">
        <v>0</v>
      </c>
      <c r="E38" s="294">
        <v>0</v>
      </c>
      <c r="F38" s="294">
        <v>0</v>
      </c>
      <c r="G38" s="294">
        <v>0</v>
      </c>
      <c r="H38" s="294">
        <v>0</v>
      </c>
      <c r="I38" s="294">
        <v>0</v>
      </c>
      <c r="J38" s="294">
        <v>0</v>
      </c>
      <c r="K38" s="294">
        <v>0</v>
      </c>
      <c r="L38" s="294">
        <v>0</v>
      </c>
      <c r="M38" s="294">
        <v>0</v>
      </c>
      <c r="N38" s="294">
        <v>0</v>
      </c>
      <c r="O38" s="295">
        <f t="shared" si="2"/>
        <v>0</v>
      </c>
    </row>
    <row r="39" spans="1:15" ht="15" customHeight="1">
      <c r="A39" s="501"/>
      <c r="B39" s="356" t="s">
        <v>556</v>
      </c>
      <c r="C39" s="294">
        <v>0</v>
      </c>
      <c r="D39" s="294">
        <v>0</v>
      </c>
      <c r="E39" s="294">
        <v>0</v>
      </c>
      <c r="F39" s="294">
        <v>0</v>
      </c>
      <c r="G39" s="294">
        <v>0</v>
      </c>
      <c r="H39" s="294">
        <v>0</v>
      </c>
      <c r="I39" s="294">
        <v>0</v>
      </c>
      <c r="J39" s="294">
        <v>0</v>
      </c>
      <c r="K39" s="294">
        <v>0</v>
      </c>
      <c r="L39" s="294">
        <v>0</v>
      </c>
      <c r="M39" s="294">
        <v>0</v>
      </c>
      <c r="N39" s="294">
        <v>0</v>
      </c>
      <c r="O39" s="295">
        <f t="shared" si="2"/>
        <v>0</v>
      </c>
    </row>
    <row r="40" spans="1:15" ht="15" customHeight="1">
      <c r="A40" s="501"/>
      <c r="B40" s="356" t="s">
        <v>557</v>
      </c>
      <c r="C40" s="294">
        <v>0</v>
      </c>
      <c r="D40" s="294">
        <v>0</v>
      </c>
      <c r="E40" s="294">
        <v>0</v>
      </c>
      <c r="F40" s="294">
        <v>0</v>
      </c>
      <c r="G40" s="294">
        <v>0</v>
      </c>
      <c r="H40" s="294">
        <v>0</v>
      </c>
      <c r="I40" s="294">
        <v>0</v>
      </c>
      <c r="J40" s="294">
        <v>0</v>
      </c>
      <c r="K40" s="294">
        <v>0</v>
      </c>
      <c r="L40" s="294">
        <v>0</v>
      </c>
      <c r="M40" s="294">
        <v>0</v>
      </c>
      <c r="N40" s="294">
        <v>0</v>
      </c>
      <c r="O40" s="295">
        <f t="shared" si="2"/>
        <v>0</v>
      </c>
    </row>
    <row r="41" spans="1:15" ht="15" customHeight="1">
      <c r="A41" s="501"/>
      <c r="B41" s="356" t="s">
        <v>558</v>
      </c>
      <c r="C41" s="294">
        <v>0</v>
      </c>
      <c r="D41" s="294">
        <v>0</v>
      </c>
      <c r="E41" s="294">
        <v>0</v>
      </c>
      <c r="F41" s="294">
        <v>0</v>
      </c>
      <c r="G41" s="294">
        <v>0</v>
      </c>
      <c r="H41" s="294">
        <v>0</v>
      </c>
      <c r="I41" s="294">
        <v>0</v>
      </c>
      <c r="J41" s="294">
        <v>0</v>
      </c>
      <c r="K41" s="294">
        <v>0</v>
      </c>
      <c r="L41" s="294">
        <v>0</v>
      </c>
      <c r="M41" s="294">
        <v>0</v>
      </c>
      <c r="N41" s="294">
        <v>0</v>
      </c>
      <c r="O41" s="295">
        <f t="shared" si="2"/>
        <v>0</v>
      </c>
    </row>
    <row r="42" spans="1:15" ht="15" customHeight="1">
      <c r="A42" s="501"/>
      <c r="B42" s="356" t="s">
        <v>559</v>
      </c>
      <c r="C42" s="294">
        <v>0</v>
      </c>
      <c r="D42" s="294">
        <v>0</v>
      </c>
      <c r="E42" s="294">
        <v>0</v>
      </c>
      <c r="F42" s="294">
        <v>0</v>
      </c>
      <c r="G42" s="294">
        <v>0</v>
      </c>
      <c r="H42" s="294">
        <v>0</v>
      </c>
      <c r="I42" s="294">
        <v>0</v>
      </c>
      <c r="J42" s="294">
        <v>0</v>
      </c>
      <c r="K42" s="294">
        <v>0</v>
      </c>
      <c r="L42" s="294">
        <v>0</v>
      </c>
      <c r="M42" s="294">
        <v>0</v>
      </c>
      <c r="N42" s="294">
        <v>0</v>
      </c>
      <c r="O42" s="295">
        <f t="shared" si="2"/>
        <v>0</v>
      </c>
    </row>
    <row r="43" spans="1:15" ht="15" customHeight="1">
      <c r="A43" s="501"/>
      <c r="B43" s="356" t="s">
        <v>764</v>
      </c>
      <c r="C43" s="294">
        <v>0</v>
      </c>
      <c r="D43" s="294">
        <v>0</v>
      </c>
      <c r="E43" s="294">
        <v>0</v>
      </c>
      <c r="F43" s="294">
        <v>0</v>
      </c>
      <c r="G43" s="294">
        <v>0</v>
      </c>
      <c r="H43" s="294">
        <v>0</v>
      </c>
      <c r="I43" s="294">
        <v>0</v>
      </c>
      <c r="J43" s="294">
        <v>0</v>
      </c>
      <c r="K43" s="294">
        <v>0</v>
      </c>
      <c r="L43" s="294">
        <v>0</v>
      </c>
      <c r="M43" s="294">
        <v>0</v>
      </c>
      <c r="N43" s="294">
        <v>0</v>
      </c>
      <c r="O43" s="295">
        <f t="shared" si="2"/>
        <v>0</v>
      </c>
    </row>
    <row r="44" spans="1:15" ht="15" customHeight="1">
      <c r="A44" s="501"/>
      <c r="B44" s="356" t="s">
        <v>765</v>
      </c>
      <c r="C44" s="294">
        <v>0</v>
      </c>
      <c r="D44" s="294">
        <v>0</v>
      </c>
      <c r="E44" s="294">
        <v>0</v>
      </c>
      <c r="F44" s="294">
        <v>0</v>
      </c>
      <c r="G44" s="294">
        <v>0</v>
      </c>
      <c r="H44" s="294">
        <v>0</v>
      </c>
      <c r="I44" s="294">
        <v>0</v>
      </c>
      <c r="J44" s="294">
        <v>0</v>
      </c>
      <c r="K44" s="294">
        <v>0</v>
      </c>
      <c r="L44" s="294">
        <v>0</v>
      </c>
      <c r="M44" s="294">
        <v>0</v>
      </c>
      <c r="N44" s="294">
        <v>0</v>
      </c>
      <c r="O44" s="295">
        <f t="shared" si="2"/>
        <v>0</v>
      </c>
    </row>
    <row r="45" spans="1:15" ht="15" customHeight="1">
      <c r="A45" s="501"/>
      <c r="B45" s="356" t="s">
        <v>560</v>
      </c>
      <c r="C45" s="294">
        <v>0</v>
      </c>
      <c r="D45" s="294">
        <v>0</v>
      </c>
      <c r="E45" s="294">
        <v>0</v>
      </c>
      <c r="F45" s="294">
        <v>0</v>
      </c>
      <c r="G45" s="294">
        <v>0</v>
      </c>
      <c r="H45" s="294">
        <v>0</v>
      </c>
      <c r="I45" s="294">
        <v>0</v>
      </c>
      <c r="J45" s="294">
        <v>0</v>
      </c>
      <c r="K45" s="294">
        <v>0</v>
      </c>
      <c r="L45" s="294">
        <v>0</v>
      </c>
      <c r="M45" s="294">
        <v>0</v>
      </c>
      <c r="N45" s="294">
        <v>0</v>
      </c>
      <c r="O45" s="295">
        <f t="shared" si="2"/>
        <v>0</v>
      </c>
    </row>
    <row r="46" spans="1:15" ht="15" customHeight="1">
      <c r="A46" s="501"/>
      <c r="B46" s="356" t="s">
        <v>561</v>
      </c>
      <c r="C46" s="294">
        <v>0</v>
      </c>
      <c r="D46" s="294">
        <v>0</v>
      </c>
      <c r="E46" s="294">
        <v>0</v>
      </c>
      <c r="F46" s="294">
        <v>0</v>
      </c>
      <c r="G46" s="294">
        <v>0</v>
      </c>
      <c r="H46" s="294">
        <v>0</v>
      </c>
      <c r="I46" s="294">
        <v>0</v>
      </c>
      <c r="J46" s="294">
        <v>0</v>
      </c>
      <c r="K46" s="294">
        <v>0</v>
      </c>
      <c r="L46" s="294">
        <v>0</v>
      </c>
      <c r="M46" s="294">
        <v>0</v>
      </c>
      <c r="N46" s="294">
        <v>0</v>
      </c>
      <c r="O46" s="295">
        <f t="shared" si="2"/>
        <v>0</v>
      </c>
    </row>
    <row r="47" spans="1:15" ht="15" customHeight="1">
      <c r="A47" s="501"/>
      <c r="B47" s="356" t="s">
        <v>562</v>
      </c>
      <c r="C47" s="294">
        <v>0</v>
      </c>
      <c r="D47" s="294">
        <v>0</v>
      </c>
      <c r="E47" s="294">
        <v>0</v>
      </c>
      <c r="F47" s="294">
        <v>0</v>
      </c>
      <c r="G47" s="294">
        <v>0</v>
      </c>
      <c r="H47" s="294">
        <v>0</v>
      </c>
      <c r="I47" s="294">
        <v>0</v>
      </c>
      <c r="J47" s="294">
        <v>0</v>
      </c>
      <c r="K47" s="294">
        <v>0</v>
      </c>
      <c r="L47" s="294">
        <v>0</v>
      </c>
      <c r="M47" s="294">
        <v>0</v>
      </c>
      <c r="N47" s="294">
        <v>0</v>
      </c>
      <c r="O47" s="295">
        <f t="shared" si="2"/>
        <v>0</v>
      </c>
    </row>
    <row r="48" spans="1:15" ht="15" customHeight="1">
      <c r="A48" s="501"/>
      <c r="B48" s="356" t="s">
        <v>563</v>
      </c>
      <c r="C48" s="294">
        <v>0</v>
      </c>
      <c r="D48" s="294">
        <v>0</v>
      </c>
      <c r="E48" s="294">
        <v>0</v>
      </c>
      <c r="F48" s="294">
        <v>0</v>
      </c>
      <c r="G48" s="294">
        <v>0</v>
      </c>
      <c r="H48" s="294">
        <v>0</v>
      </c>
      <c r="I48" s="294">
        <v>0</v>
      </c>
      <c r="J48" s="294">
        <v>0</v>
      </c>
      <c r="K48" s="294">
        <v>0</v>
      </c>
      <c r="L48" s="294">
        <v>0</v>
      </c>
      <c r="M48" s="294">
        <v>0</v>
      </c>
      <c r="N48" s="294">
        <v>0</v>
      </c>
      <c r="O48" s="295">
        <f t="shared" si="2"/>
        <v>0</v>
      </c>
    </row>
    <row r="49" spans="1:15" ht="15" customHeight="1">
      <c r="A49" s="501"/>
      <c r="B49" s="356" t="s">
        <v>564</v>
      </c>
      <c r="C49" s="294">
        <v>0</v>
      </c>
      <c r="D49" s="294">
        <v>0</v>
      </c>
      <c r="E49" s="294">
        <v>0</v>
      </c>
      <c r="F49" s="294">
        <v>0</v>
      </c>
      <c r="G49" s="294">
        <v>0</v>
      </c>
      <c r="H49" s="294">
        <v>0</v>
      </c>
      <c r="I49" s="294">
        <v>0</v>
      </c>
      <c r="J49" s="294">
        <v>0</v>
      </c>
      <c r="K49" s="294">
        <v>0</v>
      </c>
      <c r="L49" s="294">
        <v>0</v>
      </c>
      <c r="M49" s="294">
        <v>0</v>
      </c>
      <c r="N49" s="294">
        <v>0</v>
      </c>
      <c r="O49" s="295">
        <f t="shared" si="2"/>
        <v>0</v>
      </c>
    </row>
    <row r="50" spans="1:15" ht="15" customHeight="1">
      <c r="A50" s="501"/>
      <c r="B50" s="356" t="s">
        <v>894</v>
      </c>
      <c r="C50" s="294">
        <v>0</v>
      </c>
      <c r="D50" s="294">
        <v>0</v>
      </c>
      <c r="E50" s="294">
        <v>0</v>
      </c>
      <c r="F50" s="294">
        <v>0</v>
      </c>
      <c r="G50" s="294">
        <v>0</v>
      </c>
      <c r="H50" s="294">
        <v>0</v>
      </c>
      <c r="I50" s="294">
        <v>0</v>
      </c>
      <c r="J50" s="294">
        <v>0</v>
      </c>
      <c r="K50" s="294">
        <v>0</v>
      </c>
      <c r="L50" s="294">
        <v>0</v>
      </c>
      <c r="M50" s="294">
        <v>0</v>
      </c>
      <c r="N50" s="294">
        <v>0</v>
      </c>
      <c r="O50" s="295">
        <f t="shared" si="2"/>
        <v>0</v>
      </c>
    </row>
    <row r="51" spans="1:15" ht="15" customHeight="1">
      <c r="A51" s="501"/>
      <c r="B51" s="356" t="s">
        <v>895</v>
      </c>
      <c r="C51" s="294">
        <v>0</v>
      </c>
      <c r="D51" s="294">
        <v>0</v>
      </c>
      <c r="E51" s="294">
        <v>0</v>
      </c>
      <c r="F51" s="294">
        <v>0</v>
      </c>
      <c r="G51" s="294">
        <v>0</v>
      </c>
      <c r="H51" s="294">
        <v>0</v>
      </c>
      <c r="I51" s="294">
        <v>0</v>
      </c>
      <c r="J51" s="294">
        <v>0</v>
      </c>
      <c r="K51" s="294">
        <v>0</v>
      </c>
      <c r="L51" s="294">
        <v>0</v>
      </c>
      <c r="M51" s="294">
        <v>0</v>
      </c>
      <c r="N51" s="294">
        <v>0</v>
      </c>
      <c r="O51" s="295">
        <f t="shared" si="2"/>
        <v>0</v>
      </c>
    </row>
    <row r="52" spans="1:15" ht="15" customHeight="1">
      <c r="A52" s="501"/>
      <c r="B52" s="356" t="s">
        <v>896</v>
      </c>
      <c r="C52" s="294">
        <v>0</v>
      </c>
      <c r="D52" s="294">
        <v>0</v>
      </c>
      <c r="E52" s="294">
        <v>0</v>
      </c>
      <c r="F52" s="294">
        <v>0</v>
      </c>
      <c r="G52" s="294">
        <v>0</v>
      </c>
      <c r="H52" s="294">
        <v>0</v>
      </c>
      <c r="I52" s="294">
        <v>0</v>
      </c>
      <c r="J52" s="294">
        <v>0</v>
      </c>
      <c r="K52" s="294">
        <v>0</v>
      </c>
      <c r="L52" s="294">
        <v>0</v>
      </c>
      <c r="M52" s="294">
        <v>0</v>
      </c>
      <c r="N52" s="294">
        <v>0</v>
      </c>
      <c r="O52" s="295">
        <f t="shared" si="2"/>
        <v>0</v>
      </c>
    </row>
    <row r="53" spans="1:15" ht="15" customHeight="1">
      <c r="A53" s="501"/>
      <c r="B53" s="356" t="s">
        <v>897</v>
      </c>
      <c r="C53" s="294">
        <v>0</v>
      </c>
      <c r="D53" s="294">
        <v>0</v>
      </c>
      <c r="E53" s="294">
        <v>0</v>
      </c>
      <c r="F53" s="294">
        <v>0</v>
      </c>
      <c r="G53" s="294">
        <v>0</v>
      </c>
      <c r="H53" s="294">
        <v>0</v>
      </c>
      <c r="I53" s="294">
        <v>0</v>
      </c>
      <c r="J53" s="294">
        <v>0</v>
      </c>
      <c r="K53" s="294">
        <v>0</v>
      </c>
      <c r="L53" s="294">
        <v>0</v>
      </c>
      <c r="M53" s="294">
        <v>0</v>
      </c>
      <c r="N53" s="294">
        <v>0</v>
      </c>
      <c r="O53" s="295">
        <f t="shared" si="2"/>
        <v>0</v>
      </c>
    </row>
    <row r="54" spans="1:15" ht="15" customHeight="1">
      <c r="A54" s="501"/>
      <c r="B54" s="356" t="s">
        <v>898</v>
      </c>
      <c r="C54" s="294">
        <v>0</v>
      </c>
      <c r="D54" s="294">
        <v>0</v>
      </c>
      <c r="E54" s="294">
        <v>0</v>
      </c>
      <c r="F54" s="294">
        <v>0</v>
      </c>
      <c r="G54" s="294">
        <v>0</v>
      </c>
      <c r="H54" s="294">
        <v>0</v>
      </c>
      <c r="I54" s="294">
        <v>0</v>
      </c>
      <c r="J54" s="294">
        <v>0</v>
      </c>
      <c r="K54" s="294">
        <v>0</v>
      </c>
      <c r="L54" s="294">
        <v>0</v>
      </c>
      <c r="M54" s="294">
        <v>0</v>
      </c>
      <c r="N54" s="294">
        <v>0</v>
      </c>
      <c r="O54" s="295">
        <f t="shared" si="2"/>
        <v>0</v>
      </c>
    </row>
    <row r="55" spans="1:15" ht="15" customHeight="1" thickBot="1">
      <c r="A55" s="501"/>
      <c r="B55" s="356" t="s">
        <v>899</v>
      </c>
      <c r="C55" s="294">
        <v>0</v>
      </c>
      <c r="D55" s="294">
        <v>0</v>
      </c>
      <c r="E55" s="294">
        <v>0</v>
      </c>
      <c r="F55" s="294">
        <v>0</v>
      </c>
      <c r="G55" s="294">
        <v>0</v>
      </c>
      <c r="H55" s="294">
        <v>0</v>
      </c>
      <c r="I55" s="294">
        <v>0</v>
      </c>
      <c r="J55" s="294">
        <v>0</v>
      </c>
      <c r="K55" s="294">
        <v>0</v>
      </c>
      <c r="L55" s="294">
        <v>0</v>
      </c>
      <c r="M55" s="294">
        <v>0</v>
      </c>
      <c r="N55" s="294">
        <v>0</v>
      </c>
      <c r="O55" s="295">
        <f t="shared" si="2"/>
        <v>0</v>
      </c>
    </row>
    <row r="56" spans="1:15" ht="15" customHeight="1">
      <c r="A56" s="500" t="s">
        <v>901</v>
      </c>
      <c r="B56" s="356" t="s">
        <v>550</v>
      </c>
      <c r="C56" s="294">
        <v>0</v>
      </c>
      <c r="D56" s="294">
        <v>0</v>
      </c>
      <c r="E56" s="294">
        <v>0</v>
      </c>
      <c r="F56" s="294">
        <v>0</v>
      </c>
      <c r="G56" s="294">
        <v>0</v>
      </c>
      <c r="H56" s="294">
        <v>0</v>
      </c>
      <c r="I56" s="294">
        <v>0</v>
      </c>
      <c r="J56" s="294">
        <v>0</v>
      </c>
      <c r="K56" s="294">
        <v>0</v>
      </c>
      <c r="L56" s="294">
        <v>0</v>
      </c>
      <c r="M56" s="294">
        <v>0</v>
      </c>
      <c r="N56" s="294">
        <v>0</v>
      </c>
      <c r="O56" s="295">
        <f t="shared" si="2"/>
        <v>0</v>
      </c>
    </row>
    <row r="57" spans="1:15" ht="15" customHeight="1">
      <c r="A57" s="501"/>
      <c r="B57" s="356" t="s">
        <v>551</v>
      </c>
      <c r="C57" s="294">
        <v>0</v>
      </c>
      <c r="D57" s="294">
        <v>0</v>
      </c>
      <c r="E57" s="294">
        <v>0</v>
      </c>
      <c r="F57" s="294">
        <v>0</v>
      </c>
      <c r="G57" s="294">
        <v>0</v>
      </c>
      <c r="H57" s="294">
        <v>0</v>
      </c>
      <c r="I57" s="294">
        <v>0</v>
      </c>
      <c r="J57" s="294">
        <v>0</v>
      </c>
      <c r="K57" s="294">
        <v>0</v>
      </c>
      <c r="L57" s="294">
        <v>0</v>
      </c>
      <c r="M57" s="294">
        <v>0</v>
      </c>
      <c r="N57" s="294">
        <v>0</v>
      </c>
      <c r="O57" s="295">
        <f t="shared" si="2"/>
        <v>0</v>
      </c>
    </row>
    <row r="58" spans="1:15" ht="15" customHeight="1">
      <c r="A58" s="501"/>
      <c r="B58" s="356" t="s">
        <v>552</v>
      </c>
      <c r="C58" s="294">
        <v>0</v>
      </c>
      <c r="D58" s="294">
        <v>0</v>
      </c>
      <c r="E58" s="294">
        <v>0</v>
      </c>
      <c r="F58" s="294">
        <v>0</v>
      </c>
      <c r="G58" s="294">
        <v>0</v>
      </c>
      <c r="H58" s="294">
        <v>0</v>
      </c>
      <c r="I58" s="294">
        <v>0</v>
      </c>
      <c r="J58" s="294">
        <v>0</v>
      </c>
      <c r="K58" s="294">
        <v>0</v>
      </c>
      <c r="L58" s="294">
        <v>0</v>
      </c>
      <c r="M58" s="294">
        <v>0</v>
      </c>
      <c r="N58" s="294">
        <v>0</v>
      </c>
      <c r="O58" s="295">
        <f t="shared" si="2"/>
        <v>0</v>
      </c>
    </row>
    <row r="59" spans="1:15" ht="15" customHeight="1">
      <c r="A59" s="501"/>
      <c r="B59" s="356" t="s">
        <v>553</v>
      </c>
      <c r="C59" s="294">
        <v>0</v>
      </c>
      <c r="D59" s="294">
        <v>0</v>
      </c>
      <c r="E59" s="294">
        <v>0</v>
      </c>
      <c r="F59" s="294">
        <v>0</v>
      </c>
      <c r="G59" s="294">
        <v>0</v>
      </c>
      <c r="H59" s="294">
        <v>0</v>
      </c>
      <c r="I59" s="294">
        <v>0</v>
      </c>
      <c r="J59" s="294">
        <v>0</v>
      </c>
      <c r="K59" s="294">
        <v>0</v>
      </c>
      <c r="L59" s="294">
        <v>0</v>
      </c>
      <c r="M59" s="294">
        <v>0</v>
      </c>
      <c r="N59" s="294">
        <v>0</v>
      </c>
      <c r="O59" s="295">
        <f t="shared" si="2"/>
        <v>0</v>
      </c>
    </row>
    <row r="60" spans="1:15" ht="15" customHeight="1">
      <c r="A60" s="501"/>
      <c r="B60" s="356" t="s">
        <v>554</v>
      </c>
      <c r="C60" s="294">
        <v>0</v>
      </c>
      <c r="D60" s="294">
        <v>0</v>
      </c>
      <c r="E60" s="294">
        <v>0</v>
      </c>
      <c r="F60" s="294">
        <v>0</v>
      </c>
      <c r="G60" s="294">
        <v>0</v>
      </c>
      <c r="H60" s="294">
        <v>0</v>
      </c>
      <c r="I60" s="294">
        <v>0</v>
      </c>
      <c r="J60" s="294">
        <v>0</v>
      </c>
      <c r="K60" s="294">
        <v>0</v>
      </c>
      <c r="L60" s="294">
        <v>0</v>
      </c>
      <c r="M60" s="294">
        <v>0</v>
      </c>
      <c r="N60" s="294">
        <v>0</v>
      </c>
      <c r="O60" s="295">
        <f t="shared" si="2"/>
        <v>0</v>
      </c>
    </row>
    <row r="61" spans="1:15" ht="15" customHeight="1">
      <c r="A61" s="501"/>
      <c r="B61" s="356" t="s">
        <v>555</v>
      </c>
      <c r="C61" s="294">
        <v>0</v>
      </c>
      <c r="D61" s="294">
        <v>0</v>
      </c>
      <c r="E61" s="294">
        <v>0</v>
      </c>
      <c r="F61" s="294">
        <v>0</v>
      </c>
      <c r="G61" s="294">
        <v>0</v>
      </c>
      <c r="H61" s="294">
        <v>0</v>
      </c>
      <c r="I61" s="294">
        <v>0</v>
      </c>
      <c r="J61" s="294">
        <v>0</v>
      </c>
      <c r="K61" s="294">
        <v>0</v>
      </c>
      <c r="L61" s="294">
        <v>0</v>
      </c>
      <c r="M61" s="294">
        <v>0</v>
      </c>
      <c r="N61" s="294">
        <v>0</v>
      </c>
      <c r="O61" s="295">
        <f t="shared" si="2"/>
        <v>0</v>
      </c>
    </row>
    <row r="62" spans="1:15" ht="15" customHeight="1">
      <c r="A62" s="501"/>
      <c r="B62" s="356" t="s">
        <v>556</v>
      </c>
      <c r="C62" s="294">
        <v>0</v>
      </c>
      <c r="D62" s="294">
        <v>0</v>
      </c>
      <c r="E62" s="294">
        <v>0</v>
      </c>
      <c r="F62" s="294">
        <v>0</v>
      </c>
      <c r="G62" s="294">
        <v>0</v>
      </c>
      <c r="H62" s="294">
        <v>0</v>
      </c>
      <c r="I62" s="294">
        <v>0</v>
      </c>
      <c r="J62" s="294">
        <v>0</v>
      </c>
      <c r="K62" s="294">
        <v>0</v>
      </c>
      <c r="L62" s="294">
        <v>0</v>
      </c>
      <c r="M62" s="294">
        <v>0</v>
      </c>
      <c r="N62" s="294">
        <v>0</v>
      </c>
      <c r="O62" s="295">
        <f t="shared" si="2"/>
        <v>0</v>
      </c>
    </row>
    <row r="63" spans="1:15" ht="15" customHeight="1">
      <c r="A63" s="501"/>
      <c r="B63" s="356" t="s">
        <v>557</v>
      </c>
      <c r="C63" s="294">
        <v>0</v>
      </c>
      <c r="D63" s="294">
        <v>0</v>
      </c>
      <c r="E63" s="294">
        <v>0</v>
      </c>
      <c r="F63" s="294">
        <v>0</v>
      </c>
      <c r="G63" s="294">
        <v>0</v>
      </c>
      <c r="H63" s="294">
        <v>0</v>
      </c>
      <c r="I63" s="294">
        <v>0</v>
      </c>
      <c r="J63" s="294">
        <v>0</v>
      </c>
      <c r="K63" s="294">
        <v>0</v>
      </c>
      <c r="L63" s="294">
        <v>0</v>
      </c>
      <c r="M63" s="294">
        <v>0</v>
      </c>
      <c r="N63" s="294">
        <v>0</v>
      </c>
      <c r="O63" s="295">
        <f t="shared" si="2"/>
        <v>0</v>
      </c>
    </row>
    <row r="64" spans="1:15" ht="15" customHeight="1">
      <c r="A64" s="501"/>
      <c r="B64" s="356" t="s">
        <v>558</v>
      </c>
      <c r="C64" s="294">
        <v>0</v>
      </c>
      <c r="D64" s="294">
        <v>0</v>
      </c>
      <c r="E64" s="294">
        <v>0</v>
      </c>
      <c r="F64" s="294">
        <v>0</v>
      </c>
      <c r="G64" s="294">
        <v>0</v>
      </c>
      <c r="H64" s="294">
        <v>0</v>
      </c>
      <c r="I64" s="294">
        <v>0</v>
      </c>
      <c r="J64" s="294">
        <v>0</v>
      </c>
      <c r="K64" s="294">
        <v>0</v>
      </c>
      <c r="L64" s="294">
        <v>0</v>
      </c>
      <c r="M64" s="294">
        <v>0</v>
      </c>
      <c r="N64" s="294">
        <v>0</v>
      </c>
      <c r="O64" s="295">
        <f t="shared" si="2"/>
        <v>0</v>
      </c>
    </row>
    <row r="65" spans="1:15" ht="14.25" customHeight="1">
      <c r="A65" s="501"/>
      <c r="B65" s="356" t="s">
        <v>559</v>
      </c>
      <c r="C65" s="294">
        <v>0</v>
      </c>
      <c r="D65" s="294">
        <v>0</v>
      </c>
      <c r="E65" s="294">
        <v>0</v>
      </c>
      <c r="F65" s="294">
        <v>0</v>
      </c>
      <c r="G65" s="294">
        <v>0</v>
      </c>
      <c r="H65" s="294">
        <v>0</v>
      </c>
      <c r="I65" s="294">
        <v>0</v>
      </c>
      <c r="J65" s="294">
        <v>0</v>
      </c>
      <c r="K65" s="294">
        <v>0</v>
      </c>
      <c r="L65" s="294">
        <v>0</v>
      </c>
      <c r="M65" s="294">
        <v>0</v>
      </c>
      <c r="N65" s="294">
        <v>0</v>
      </c>
      <c r="O65" s="295">
        <f t="shared" si="2"/>
        <v>0</v>
      </c>
    </row>
    <row r="66" spans="1:15" ht="15" customHeight="1">
      <c r="A66" s="501"/>
      <c r="B66" s="356" t="s">
        <v>764</v>
      </c>
      <c r="C66" s="294">
        <v>0</v>
      </c>
      <c r="D66" s="294">
        <v>0</v>
      </c>
      <c r="E66" s="294">
        <v>0</v>
      </c>
      <c r="F66" s="294">
        <v>0</v>
      </c>
      <c r="G66" s="294">
        <v>0</v>
      </c>
      <c r="H66" s="294">
        <v>0</v>
      </c>
      <c r="I66" s="294">
        <v>0</v>
      </c>
      <c r="J66" s="294">
        <v>0</v>
      </c>
      <c r="K66" s="294">
        <v>0</v>
      </c>
      <c r="L66" s="294">
        <v>0</v>
      </c>
      <c r="M66" s="294">
        <v>0</v>
      </c>
      <c r="N66" s="294">
        <v>0</v>
      </c>
      <c r="O66" s="295">
        <f t="shared" si="2"/>
        <v>0</v>
      </c>
    </row>
    <row r="67" spans="1:15" ht="15" customHeight="1">
      <c r="A67" s="501"/>
      <c r="B67" s="356" t="s">
        <v>765</v>
      </c>
      <c r="C67" s="294">
        <v>0</v>
      </c>
      <c r="D67" s="294">
        <v>0</v>
      </c>
      <c r="E67" s="294">
        <v>0</v>
      </c>
      <c r="F67" s="294">
        <v>0</v>
      </c>
      <c r="G67" s="294">
        <v>0</v>
      </c>
      <c r="H67" s="294">
        <v>0</v>
      </c>
      <c r="I67" s="294">
        <v>0</v>
      </c>
      <c r="J67" s="294">
        <v>0</v>
      </c>
      <c r="K67" s="294">
        <v>0</v>
      </c>
      <c r="L67" s="294">
        <v>0</v>
      </c>
      <c r="M67" s="294">
        <v>0</v>
      </c>
      <c r="N67" s="294">
        <v>0</v>
      </c>
      <c r="O67" s="295">
        <f t="shared" si="2"/>
        <v>0</v>
      </c>
    </row>
    <row r="68" spans="1:15" ht="15" customHeight="1">
      <c r="A68" s="501"/>
      <c r="B68" s="356" t="s">
        <v>560</v>
      </c>
      <c r="C68" s="294">
        <v>0</v>
      </c>
      <c r="D68" s="294">
        <v>0</v>
      </c>
      <c r="E68" s="294">
        <v>0</v>
      </c>
      <c r="F68" s="294">
        <v>0</v>
      </c>
      <c r="G68" s="294">
        <v>0</v>
      </c>
      <c r="H68" s="294">
        <v>0</v>
      </c>
      <c r="I68" s="294">
        <v>0</v>
      </c>
      <c r="J68" s="294">
        <v>0</v>
      </c>
      <c r="K68" s="294">
        <v>0</v>
      </c>
      <c r="L68" s="294">
        <v>0</v>
      </c>
      <c r="M68" s="294">
        <v>0</v>
      </c>
      <c r="N68" s="294">
        <v>0</v>
      </c>
      <c r="O68" s="295">
        <f t="shared" si="2"/>
        <v>0</v>
      </c>
    </row>
    <row r="69" spans="1:15" ht="15" customHeight="1">
      <c r="A69" s="501"/>
      <c r="B69" s="356" t="s">
        <v>561</v>
      </c>
      <c r="C69" s="294">
        <v>0</v>
      </c>
      <c r="D69" s="294">
        <v>0</v>
      </c>
      <c r="E69" s="294">
        <v>0</v>
      </c>
      <c r="F69" s="294">
        <v>0</v>
      </c>
      <c r="G69" s="294">
        <v>0</v>
      </c>
      <c r="H69" s="294">
        <v>0</v>
      </c>
      <c r="I69" s="294">
        <v>0</v>
      </c>
      <c r="J69" s="294">
        <v>0</v>
      </c>
      <c r="K69" s="294">
        <v>0</v>
      </c>
      <c r="L69" s="294">
        <v>0</v>
      </c>
      <c r="M69" s="294">
        <v>0</v>
      </c>
      <c r="N69" s="294">
        <v>0</v>
      </c>
      <c r="O69" s="295">
        <f t="shared" si="2"/>
        <v>0</v>
      </c>
    </row>
    <row r="70" spans="1:15" ht="15" customHeight="1">
      <c r="A70" s="501"/>
      <c r="B70" s="356" t="s">
        <v>562</v>
      </c>
      <c r="C70" s="294">
        <v>0</v>
      </c>
      <c r="D70" s="294">
        <v>0</v>
      </c>
      <c r="E70" s="294">
        <v>0</v>
      </c>
      <c r="F70" s="294">
        <v>0</v>
      </c>
      <c r="G70" s="294">
        <v>0</v>
      </c>
      <c r="H70" s="294">
        <v>0</v>
      </c>
      <c r="I70" s="294">
        <v>0</v>
      </c>
      <c r="J70" s="294">
        <v>0</v>
      </c>
      <c r="K70" s="294">
        <v>0</v>
      </c>
      <c r="L70" s="294">
        <v>0</v>
      </c>
      <c r="M70" s="294">
        <v>0</v>
      </c>
      <c r="N70" s="294">
        <v>0</v>
      </c>
      <c r="O70" s="295">
        <f t="shared" si="2"/>
        <v>0</v>
      </c>
    </row>
    <row r="71" spans="1:15" ht="15" customHeight="1">
      <c r="A71" s="501"/>
      <c r="B71" s="356" t="s">
        <v>563</v>
      </c>
      <c r="C71" s="294">
        <v>0</v>
      </c>
      <c r="D71" s="294">
        <v>0</v>
      </c>
      <c r="E71" s="294">
        <v>0</v>
      </c>
      <c r="F71" s="294">
        <v>0</v>
      </c>
      <c r="G71" s="294">
        <v>0</v>
      </c>
      <c r="H71" s="294">
        <v>0</v>
      </c>
      <c r="I71" s="294">
        <v>0</v>
      </c>
      <c r="J71" s="294">
        <v>0</v>
      </c>
      <c r="K71" s="294">
        <v>0</v>
      </c>
      <c r="L71" s="294">
        <v>0</v>
      </c>
      <c r="M71" s="294">
        <v>0</v>
      </c>
      <c r="N71" s="294">
        <v>0</v>
      </c>
      <c r="O71" s="295">
        <f t="shared" si="2"/>
        <v>0</v>
      </c>
    </row>
    <row r="72" spans="1:15" ht="15" customHeight="1">
      <c r="A72" s="501"/>
      <c r="B72" s="356" t="s">
        <v>564</v>
      </c>
      <c r="C72" s="294">
        <v>0</v>
      </c>
      <c r="D72" s="294">
        <v>0</v>
      </c>
      <c r="E72" s="294">
        <v>0</v>
      </c>
      <c r="F72" s="294">
        <v>0</v>
      </c>
      <c r="G72" s="294">
        <v>0</v>
      </c>
      <c r="H72" s="294">
        <v>0</v>
      </c>
      <c r="I72" s="294">
        <v>0</v>
      </c>
      <c r="J72" s="294">
        <v>0</v>
      </c>
      <c r="K72" s="294">
        <v>0</v>
      </c>
      <c r="L72" s="294">
        <v>0</v>
      </c>
      <c r="M72" s="294">
        <v>0</v>
      </c>
      <c r="N72" s="294">
        <v>0</v>
      </c>
      <c r="O72" s="295">
        <f t="shared" si="2"/>
        <v>0</v>
      </c>
    </row>
    <row r="73" spans="1:15" ht="15" customHeight="1">
      <c r="A73" s="501"/>
      <c r="B73" s="356" t="s">
        <v>894</v>
      </c>
      <c r="C73" s="294">
        <v>0</v>
      </c>
      <c r="D73" s="294">
        <v>0</v>
      </c>
      <c r="E73" s="294">
        <v>0</v>
      </c>
      <c r="F73" s="294">
        <v>0</v>
      </c>
      <c r="G73" s="294">
        <v>0</v>
      </c>
      <c r="H73" s="294">
        <v>0</v>
      </c>
      <c r="I73" s="294">
        <v>0</v>
      </c>
      <c r="J73" s="294">
        <v>0</v>
      </c>
      <c r="K73" s="294">
        <v>0</v>
      </c>
      <c r="L73" s="294">
        <v>0</v>
      </c>
      <c r="M73" s="294">
        <v>0</v>
      </c>
      <c r="N73" s="294">
        <v>0</v>
      </c>
      <c r="O73" s="295">
        <f t="shared" si="2"/>
        <v>0</v>
      </c>
    </row>
    <row r="74" spans="1:15" ht="15" customHeight="1">
      <c r="A74" s="501"/>
      <c r="B74" s="356" t="s">
        <v>895</v>
      </c>
      <c r="C74" s="294">
        <v>0</v>
      </c>
      <c r="D74" s="294">
        <v>0</v>
      </c>
      <c r="E74" s="294">
        <v>0</v>
      </c>
      <c r="F74" s="294">
        <v>0</v>
      </c>
      <c r="G74" s="294">
        <v>0</v>
      </c>
      <c r="H74" s="294">
        <v>0</v>
      </c>
      <c r="I74" s="294">
        <v>0</v>
      </c>
      <c r="J74" s="294">
        <v>0</v>
      </c>
      <c r="K74" s="294">
        <v>0</v>
      </c>
      <c r="L74" s="294">
        <v>0</v>
      </c>
      <c r="M74" s="294">
        <v>0</v>
      </c>
      <c r="N74" s="294">
        <v>0</v>
      </c>
      <c r="O74" s="295">
        <f t="shared" si="2"/>
        <v>0</v>
      </c>
    </row>
    <row r="75" spans="1:15" ht="15" customHeight="1">
      <c r="A75" s="501"/>
      <c r="B75" s="356" t="s">
        <v>896</v>
      </c>
      <c r="C75" s="294">
        <v>0</v>
      </c>
      <c r="D75" s="294">
        <v>0</v>
      </c>
      <c r="E75" s="294">
        <v>0</v>
      </c>
      <c r="F75" s="294">
        <v>0</v>
      </c>
      <c r="G75" s="294">
        <v>0</v>
      </c>
      <c r="H75" s="294">
        <v>0</v>
      </c>
      <c r="I75" s="294">
        <v>0</v>
      </c>
      <c r="J75" s="294">
        <v>0</v>
      </c>
      <c r="K75" s="294">
        <v>0</v>
      </c>
      <c r="L75" s="294">
        <v>0</v>
      </c>
      <c r="M75" s="294">
        <v>0</v>
      </c>
      <c r="N75" s="294">
        <v>0</v>
      </c>
      <c r="O75" s="295">
        <f t="shared" si="2"/>
        <v>0</v>
      </c>
    </row>
    <row r="76" spans="1:15" ht="15" customHeight="1" thickBot="1">
      <c r="A76" s="502"/>
      <c r="B76" s="356" t="s">
        <v>897</v>
      </c>
      <c r="C76" s="294">
        <v>0</v>
      </c>
      <c r="D76" s="294">
        <v>0</v>
      </c>
      <c r="E76" s="294">
        <v>0</v>
      </c>
      <c r="F76" s="294">
        <v>0</v>
      </c>
      <c r="G76" s="294">
        <v>0</v>
      </c>
      <c r="H76" s="294">
        <v>0</v>
      </c>
      <c r="I76" s="294">
        <v>0</v>
      </c>
      <c r="J76" s="294">
        <v>0</v>
      </c>
      <c r="K76" s="294">
        <v>0</v>
      </c>
      <c r="L76" s="294">
        <v>0</v>
      </c>
      <c r="M76" s="294">
        <v>0</v>
      </c>
      <c r="N76" s="294">
        <v>0</v>
      </c>
      <c r="O76" s="295">
        <f t="shared" si="2"/>
        <v>0</v>
      </c>
    </row>
    <row r="77" spans="1:15" ht="15" customHeight="1" thickBot="1">
      <c r="A77" s="506" t="s">
        <v>755</v>
      </c>
      <c r="B77" s="507"/>
      <c r="C77" s="296"/>
      <c r="D77" s="296"/>
      <c r="E77" s="296"/>
      <c r="F77" s="296"/>
      <c r="G77" s="296"/>
      <c r="H77" s="296"/>
      <c r="I77" s="296"/>
      <c r="J77" s="296"/>
      <c r="K77" s="296"/>
      <c r="L77" s="296"/>
      <c r="M77" s="296"/>
      <c r="N77" s="296"/>
      <c r="O77" s="512"/>
    </row>
    <row r="78" spans="1:15" ht="15" customHeight="1" thickBot="1">
      <c r="A78" s="506" t="s">
        <v>754</v>
      </c>
      <c r="B78" s="507"/>
      <c r="C78" s="296">
        <f>+AVERAGE(C34:C76)</f>
        <v>0</v>
      </c>
      <c r="D78" s="296">
        <f t="shared" ref="D78:N78" si="3">+AVERAGE(D34:D76)</f>
        <v>0</v>
      </c>
      <c r="E78" s="296">
        <f t="shared" si="3"/>
        <v>0</v>
      </c>
      <c r="F78" s="296">
        <f t="shared" si="3"/>
        <v>0</v>
      </c>
      <c r="G78" s="296">
        <f t="shared" si="3"/>
        <v>0</v>
      </c>
      <c r="H78" s="296">
        <f t="shared" si="3"/>
        <v>0</v>
      </c>
      <c r="I78" s="296">
        <f t="shared" si="3"/>
        <v>0</v>
      </c>
      <c r="J78" s="296">
        <f t="shared" si="3"/>
        <v>0</v>
      </c>
      <c r="K78" s="296">
        <f t="shared" si="3"/>
        <v>0</v>
      </c>
      <c r="L78" s="296">
        <f t="shared" si="3"/>
        <v>0</v>
      </c>
      <c r="M78" s="296">
        <f t="shared" si="3"/>
        <v>0</v>
      </c>
      <c r="N78" s="296">
        <f t="shared" si="3"/>
        <v>0</v>
      </c>
      <c r="O78" s="513"/>
    </row>
    <row r="79" spans="1:15" ht="15" customHeight="1" thickBot="1">
      <c r="A79" s="506" t="s">
        <v>756</v>
      </c>
      <c r="B79" s="515"/>
      <c r="C79" s="516">
        <f>+AVERAGE(C78:N78)</f>
        <v>0</v>
      </c>
      <c r="D79" s="517"/>
      <c r="E79" s="517"/>
      <c r="F79" s="517"/>
      <c r="G79" s="517"/>
      <c r="H79" s="517"/>
      <c r="I79" s="517"/>
      <c r="J79" s="517"/>
      <c r="K79" s="517"/>
      <c r="L79" s="517"/>
      <c r="M79" s="517"/>
      <c r="N79" s="518"/>
      <c r="O79" s="514"/>
    </row>
    <row r="80" spans="1:15" ht="15" customHeight="1">
      <c r="A80" s="500" t="s">
        <v>892</v>
      </c>
      <c r="B80" s="359" t="s">
        <v>890</v>
      </c>
      <c r="C80" s="294">
        <v>0</v>
      </c>
      <c r="D80" s="294">
        <v>0</v>
      </c>
      <c r="E80" s="294">
        <v>0</v>
      </c>
      <c r="F80" s="294">
        <v>0</v>
      </c>
      <c r="G80" s="294">
        <v>0</v>
      </c>
      <c r="H80" s="294">
        <v>0</v>
      </c>
      <c r="I80" s="294">
        <v>0</v>
      </c>
      <c r="J80" s="294">
        <v>0</v>
      </c>
      <c r="K80" s="294">
        <v>0</v>
      </c>
      <c r="L80" s="294">
        <v>0</v>
      </c>
      <c r="M80" s="294">
        <v>0</v>
      </c>
      <c r="N80" s="294">
        <v>0</v>
      </c>
      <c r="O80" s="293">
        <f>+AVERAGE(C80:N80)</f>
        <v>0</v>
      </c>
    </row>
    <row r="81" spans="1:15" ht="15" customHeight="1">
      <c r="A81" s="501"/>
      <c r="B81" s="356" t="s">
        <v>891</v>
      </c>
      <c r="C81" s="294">
        <v>0</v>
      </c>
      <c r="D81" s="294">
        <v>0</v>
      </c>
      <c r="E81" s="294">
        <v>0</v>
      </c>
      <c r="F81" s="294">
        <v>0</v>
      </c>
      <c r="G81" s="294">
        <v>0</v>
      </c>
      <c r="H81" s="294">
        <v>0</v>
      </c>
      <c r="I81" s="294">
        <v>0</v>
      </c>
      <c r="J81" s="294">
        <v>0</v>
      </c>
      <c r="K81" s="294">
        <v>0</v>
      </c>
      <c r="L81" s="294">
        <v>0</v>
      </c>
      <c r="M81" s="294">
        <v>0</v>
      </c>
      <c r="N81" s="294">
        <v>0</v>
      </c>
      <c r="O81" s="308"/>
    </row>
    <row r="82" spans="1:15" ht="15" customHeight="1">
      <c r="A82" s="501"/>
      <c r="B82" s="356" t="s">
        <v>565</v>
      </c>
      <c r="C82" s="294">
        <v>0</v>
      </c>
      <c r="D82" s="294">
        <v>0</v>
      </c>
      <c r="E82" s="294">
        <v>0</v>
      </c>
      <c r="F82" s="294">
        <v>0</v>
      </c>
      <c r="G82" s="294">
        <v>0</v>
      </c>
      <c r="H82" s="294">
        <v>0</v>
      </c>
      <c r="I82" s="294">
        <v>0</v>
      </c>
      <c r="J82" s="294">
        <v>0</v>
      </c>
      <c r="K82" s="294">
        <v>0</v>
      </c>
      <c r="L82" s="294">
        <v>0</v>
      </c>
      <c r="M82" s="294">
        <v>0</v>
      </c>
      <c r="N82" s="294">
        <v>0</v>
      </c>
      <c r="O82" s="308"/>
    </row>
    <row r="83" spans="1:15" ht="15" customHeight="1">
      <c r="A83" s="501"/>
      <c r="B83" s="356" t="s">
        <v>566</v>
      </c>
      <c r="C83" s="294">
        <v>0</v>
      </c>
      <c r="D83" s="294">
        <v>0</v>
      </c>
      <c r="E83" s="294">
        <v>0</v>
      </c>
      <c r="F83" s="294">
        <v>0</v>
      </c>
      <c r="G83" s="294">
        <v>0</v>
      </c>
      <c r="H83" s="294">
        <v>0</v>
      </c>
      <c r="I83" s="294">
        <v>0</v>
      </c>
      <c r="J83" s="294">
        <v>0</v>
      </c>
      <c r="K83" s="294">
        <v>0</v>
      </c>
      <c r="L83" s="294">
        <v>0</v>
      </c>
      <c r="M83" s="294">
        <v>0</v>
      </c>
      <c r="N83" s="294">
        <v>0</v>
      </c>
      <c r="O83" s="308"/>
    </row>
    <row r="84" spans="1:15" ht="15" customHeight="1">
      <c r="A84" s="501"/>
      <c r="B84" s="356" t="s">
        <v>567</v>
      </c>
      <c r="C84" s="294">
        <v>0</v>
      </c>
      <c r="D84" s="294">
        <v>0</v>
      </c>
      <c r="E84" s="294">
        <v>0</v>
      </c>
      <c r="F84" s="294">
        <v>0</v>
      </c>
      <c r="G84" s="294">
        <v>0</v>
      </c>
      <c r="H84" s="294">
        <v>0</v>
      </c>
      <c r="I84" s="294">
        <v>0</v>
      </c>
      <c r="J84" s="294">
        <v>0</v>
      </c>
      <c r="K84" s="294">
        <v>0</v>
      </c>
      <c r="L84" s="294">
        <v>0</v>
      </c>
      <c r="M84" s="294">
        <v>0</v>
      </c>
      <c r="N84" s="294">
        <v>0</v>
      </c>
      <c r="O84" s="308"/>
    </row>
    <row r="85" spans="1:15" ht="15" customHeight="1">
      <c r="A85" s="501"/>
      <c r="B85" s="356" t="s">
        <v>568</v>
      </c>
      <c r="C85" s="294">
        <v>0</v>
      </c>
      <c r="D85" s="294">
        <v>0</v>
      </c>
      <c r="E85" s="294">
        <v>0</v>
      </c>
      <c r="F85" s="294">
        <v>0</v>
      </c>
      <c r="G85" s="294">
        <v>0</v>
      </c>
      <c r="H85" s="294">
        <v>0</v>
      </c>
      <c r="I85" s="294">
        <v>0</v>
      </c>
      <c r="J85" s="294">
        <v>0</v>
      </c>
      <c r="K85" s="294">
        <v>0</v>
      </c>
      <c r="L85" s="294">
        <v>0</v>
      </c>
      <c r="M85" s="294">
        <v>0</v>
      </c>
      <c r="N85" s="294">
        <v>0</v>
      </c>
      <c r="O85" s="308"/>
    </row>
    <row r="86" spans="1:15" ht="15" customHeight="1">
      <c r="A86" s="501"/>
      <c r="B86" s="356" t="s">
        <v>569</v>
      </c>
      <c r="C86" s="294">
        <v>0</v>
      </c>
      <c r="D86" s="294">
        <v>0</v>
      </c>
      <c r="E86" s="294">
        <v>0</v>
      </c>
      <c r="F86" s="294">
        <v>0</v>
      </c>
      <c r="G86" s="294">
        <v>0</v>
      </c>
      <c r="H86" s="294">
        <v>0</v>
      </c>
      <c r="I86" s="294">
        <v>0</v>
      </c>
      <c r="J86" s="294">
        <v>0</v>
      </c>
      <c r="K86" s="294">
        <v>0</v>
      </c>
      <c r="L86" s="294">
        <v>0</v>
      </c>
      <c r="M86" s="294">
        <v>0</v>
      </c>
      <c r="N86" s="294">
        <v>0</v>
      </c>
      <c r="O86" s="308"/>
    </row>
    <row r="87" spans="1:15" ht="15" customHeight="1">
      <c r="A87" s="501"/>
      <c r="B87" s="356" t="s">
        <v>570</v>
      </c>
      <c r="C87" s="294">
        <v>0</v>
      </c>
      <c r="D87" s="294">
        <v>0</v>
      </c>
      <c r="E87" s="294">
        <v>0</v>
      </c>
      <c r="F87" s="294">
        <v>0</v>
      </c>
      <c r="G87" s="294">
        <v>0</v>
      </c>
      <c r="H87" s="294">
        <v>0</v>
      </c>
      <c r="I87" s="294">
        <v>0</v>
      </c>
      <c r="J87" s="294">
        <v>0</v>
      </c>
      <c r="K87" s="294">
        <v>0</v>
      </c>
      <c r="L87" s="294">
        <v>0</v>
      </c>
      <c r="M87" s="294">
        <v>0</v>
      </c>
      <c r="N87" s="294">
        <v>0</v>
      </c>
      <c r="O87" s="308"/>
    </row>
    <row r="88" spans="1:15" ht="15" customHeight="1">
      <c r="A88" s="501"/>
      <c r="B88" s="356" t="s">
        <v>571</v>
      </c>
      <c r="C88" s="294">
        <v>0</v>
      </c>
      <c r="D88" s="294">
        <v>0</v>
      </c>
      <c r="E88" s="294">
        <v>0</v>
      </c>
      <c r="F88" s="294">
        <v>0</v>
      </c>
      <c r="G88" s="294">
        <v>0</v>
      </c>
      <c r="H88" s="294">
        <v>0</v>
      </c>
      <c r="I88" s="294">
        <v>0</v>
      </c>
      <c r="J88" s="294">
        <v>0</v>
      </c>
      <c r="K88" s="294">
        <v>0</v>
      </c>
      <c r="L88" s="294">
        <v>0</v>
      </c>
      <c r="M88" s="294">
        <v>0</v>
      </c>
      <c r="N88" s="294">
        <v>0</v>
      </c>
      <c r="O88" s="308"/>
    </row>
    <row r="89" spans="1:15" ht="15" customHeight="1">
      <c r="A89" s="501"/>
      <c r="B89" s="356" t="s">
        <v>572</v>
      </c>
      <c r="C89" s="294">
        <v>0</v>
      </c>
      <c r="D89" s="294">
        <v>0</v>
      </c>
      <c r="E89" s="294">
        <v>0</v>
      </c>
      <c r="F89" s="294">
        <v>0</v>
      </c>
      <c r="G89" s="294">
        <v>0</v>
      </c>
      <c r="H89" s="294">
        <v>0</v>
      </c>
      <c r="I89" s="294">
        <v>0</v>
      </c>
      <c r="J89" s="294">
        <v>0</v>
      </c>
      <c r="K89" s="294">
        <v>0</v>
      </c>
      <c r="L89" s="294">
        <v>0</v>
      </c>
      <c r="M89" s="294">
        <v>0</v>
      </c>
      <c r="N89" s="294">
        <v>0</v>
      </c>
      <c r="O89" s="295">
        <f t="shared" ref="O89:O123" si="4">+AVERAGE(C89:N89)</f>
        <v>0</v>
      </c>
    </row>
    <row r="90" spans="1:15" ht="15" customHeight="1">
      <c r="A90" s="501"/>
      <c r="B90" s="356" t="s">
        <v>573</v>
      </c>
      <c r="C90" s="294">
        <v>0</v>
      </c>
      <c r="D90" s="294">
        <v>0</v>
      </c>
      <c r="E90" s="294">
        <v>0</v>
      </c>
      <c r="F90" s="294">
        <v>0</v>
      </c>
      <c r="G90" s="294">
        <v>0</v>
      </c>
      <c r="H90" s="294">
        <v>0</v>
      </c>
      <c r="I90" s="294">
        <v>0</v>
      </c>
      <c r="J90" s="294">
        <v>0</v>
      </c>
      <c r="K90" s="294">
        <v>0</v>
      </c>
      <c r="L90" s="294">
        <v>0</v>
      </c>
      <c r="M90" s="294">
        <v>0</v>
      </c>
      <c r="N90" s="294">
        <v>0</v>
      </c>
      <c r="O90" s="295">
        <f t="shared" si="4"/>
        <v>0</v>
      </c>
    </row>
    <row r="91" spans="1:15" ht="15" customHeight="1">
      <c r="A91" s="501"/>
      <c r="B91" s="356" t="s">
        <v>574</v>
      </c>
      <c r="C91" s="294">
        <v>0</v>
      </c>
      <c r="D91" s="294">
        <v>0</v>
      </c>
      <c r="E91" s="294">
        <v>0</v>
      </c>
      <c r="F91" s="294">
        <v>0</v>
      </c>
      <c r="G91" s="294">
        <v>0</v>
      </c>
      <c r="H91" s="294">
        <v>0</v>
      </c>
      <c r="I91" s="294">
        <v>0</v>
      </c>
      <c r="J91" s="294">
        <v>0</v>
      </c>
      <c r="K91" s="294">
        <v>0</v>
      </c>
      <c r="L91" s="294">
        <v>0</v>
      </c>
      <c r="M91" s="294">
        <v>0</v>
      </c>
      <c r="N91" s="294">
        <v>0</v>
      </c>
      <c r="O91" s="295">
        <f t="shared" si="4"/>
        <v>0</v>
      </c>
    </row>
    <row r="92" spans="1:15" ht="15" customHeight="1">
      <c r="A92" s="501"/>
      <c r="B92" s="356" t="s">
        <v>575</v>
      </c>
      <c r="C92" s="294">
        <v>0</v>
      </c>
      <c r="D92" s="294">
        <v>0</v>
      </c>
      <c r="E92" s="294">
        <v>0</v>
      </c>
      <c r="F92" s="294">
        <v>0</v>
      </c>
      <c r="G92" s="294">
        <v>0</v>
      </c>
      <c r="H92" s="294">
        <v>0</v>
      </c>
      <c r="I92" s="294">
        <v>0</v>
      </c>
      <c r="J92" s="294">
        <v>0</v>
      </c>
      <c r="K92" s="294">
        <v>0</v>
      </c>
      <c r="L92" s="294">
        <v>0</v>
      </c>
      <c r="M92" s="294">
        <v>0</v>
      </c>
      <c r="N92" s="294">
        <v>0</v>
      </c>
      <c r="O92" s="295">
        <f t="shared" si="4"/>
        <v>0</v>
      </c>
    </row>
    <row r="93" spans="1:15" ht="15" customHeight="1">
      <c r="A93" s="501"/>
      <c r="B93" s="356" t="s">
        <v>576</v>
      </c>
      <c r="C93" s="294">
        <v>0</v>
      </c>
      <c r="D93" s="294">
        <v>0</v>
      </c>
      <c r="E93" s="294">
        <v>0</v>
      </c>
      <c r="F93" s="294">
        <v>0</v>
      </c>
      <c r="G93" s="294">
        <v>0</v>
      </c>
      <c r="H93" s="294">
        <v>0</v>
      </c>
      <c r="I93" s="294">
        <v>0</v>
      </c>
      <c r="J93" s="294">
        <v>0</v>
      </c>
      <c r="K93" s="294">
        <v>0</v>
      </c>
      <c r="L93" s="294">
        <v>0</v>
      </c>
      <c r="M93" s="294">
        <v>0</v>
      </c>
      <c r="N93" s="294">
        <v>0</v>
      </c>
      <c r="O93" s="295">
        <f t="shared" si="4"/>
        <v>0</v>
      </c>
    </row>
    <row r="94" spans="1:15" ht="15" customHeight="1">
      <c r="A94" s="501"/>
      <c r="B94" s="356" t="s">
        <v>577</v>
      </c>
      <c r="C94" s="294">
        <v>0</v>
      </c>
      <c r="D94" s="294">
        <v>0</v>
      </c>
      <c r="E94" s="294">
        <v>0</v>
      </c>
      <c r="F94" s="294">
        <v>0</v>
      </c>
      <c r="G94" s="294">
        <v>0</v>
      </c>
      <c r="H94" s="294">
        <v>0</v>
      </c>
      <c r="I94" s="294">
        <v>0</v>
      </c>
      <c r="J94" s="294">
        <v>0</v>
      </c>
      <c r="K94" s="294">
        <v>0</v>
      </c>
      <c r="L94" s="294">
        <v>0</v>
      </c>
      <c r="M94" s="294">
        <v>0</v>
      </c>
      <c r="N94" s="294">
        <v>0</v>
      </c>
      <c r="O94" s="295">
        <f t="shared" si="4"/>
        <v>0</v>
      </c>
    </row>
    <row r="95" spans="1:15" ht="15" customHeight="1">
      <c r="A95" s="501"/>
      <c r="B95" s="356" t="s">
        <v>578</v>
      </c>
      <c r="C95" s="294">
        <v>0</v>
      </c>
      <c r="D95" s="294">
        <v>0</v>
      </c>
      <c r="E95" s="294">
        <v>0</v>
      </c>
      <c r="F95" s="294">
        <v>0</v>
      </c>
      <c r="G95" s="294">
        <v>0</v>
      </c>
      <c r="H95" s="294">
        <v>0</v>
      </c>
      <c r="I95" s="294">
        <v>0</v>
      </c>
      <c r="J95" s="294">
        <v>0</v>
      </c>
      <c r="K95" s="294">
        <v>0</v>
      </c>
      <c r="L95" s="294">
        <v>0</v>
      </c>
      <c r="M95" s="294">
        <v>0</v>
      </c>
      <c r="N95" s="294">
        <v>0</v>
      </c>
      <c r="O95" s="295">
        <f t="shared" si="4"/>
        <v>0</v>
      </c>
    </row>
    <row r="96" spans="1:15" ht="15" customHeight="1">
      <c r="A96" s="501"/>
      <c r="B96" s="356" t="s">
        <v>579</v>
      </c>
      <c r="C96" s="294">
        <v>0</v>
      </c>
      <c r="D96" s="294">
        <v>0</v>
      </c>
      <c r="E96" s="294">
        <v>0</v>
      </c>
      <c r="F96" s="294">
        <v>0</v>
      </c>
      <c r="G96" s="294">
        <v>0</v>
      </c>
      <c r="H96" s="294">
        <v>0</v>
      </c>
      <c r="I96" s="294">
        <v>0</v>
      </c>
      <c r="J96" s="294">
        <v>0</v>
      </c>
      <c r="K96" s="294">
        <v>0</v>
      </c>
      <c r="L96" s="294">
        <v>0</v>
      </c>
      <c r="M96" s="294">
        <v>0</v>
      </c>
      <c r="N96" s="294">
        <v>0</v>
      </c>
      <c r="O96" s="295">
        <f t="shared" si="4"/>
        <v>0</v>
      </c>
    </row>
    <row r="97" spans="1:15" ht="15" customHeight="1">
      <c r="A97" s="501"/>
      <c r="B97" s="356" t="s">
        <v>884</v>
      </c>
      <c r="C97" s="294">
        <v>0</v>
      </c>
      <c r="D97" s="294">
        <v>0</v>
      </c>
      <c r="E97" s="294">
        <v>0</v>
      </c>
      <c r="F97" s="294">
        <v>0</v>
      </c>
      <c r="G97" s="294">
        <v>0</v>
      </c>
      <c r="H97" s="294">
        <v>0</v>
      </c>
      <c r="I97" s="294">
        <v>0</v>
      </c>
      <c r="J97" s="294">
        <v>0</v>
      </c>
      <c r="K97" s="294">
        <v>0</v>
      </c>
      <c r="L97" s="294">
        <v>0</v>
      </c>
      <c r="M97" s="294">
        <v>0</v>
      </c>
      <c r="N97" s="294">
        <v>0</v>
      </c>
      <c r="O97" s="295">
        <f t="shared" si="4"/>
        <v>0</v>
      </c>
    </row>
    <row r="98" spans="1:15" ht="15" customHeight="1">
      <c r="A98" s="501"/>
      <c r="B98" s="356" t="s">
        <v>885</v>
      </c>
      <c r="C98" s="294">
        <v>0</v>
      </c>
      <c r="D98" s="294">
        <v>0</v>
      </c>
      <c r="E98" s="294">
        <v>0</v>
      </c>
      <c r="F98" s="294">
        <v>0</v>
      </c>
      <c r="G98" s="294">
        <v>0</v>
      </c>
      <c r="H98" s="294">
        <v>0</v>
      </c>
      <c r="I98" s="294">
        <v>0</v>
      </c>
      <c r="J98" s="294">
        <v>0</v>
      </c>
      <c r="K98" s="294">
        <v>0</v>
      </c>
      <c r="L98" s="294">
        <v>0</v>
      </c>
      <c r="M98" s="294">
        <v>0</v>
      </c>
      <c r="N98" s="294">
        <v>0</v>
      </c>
      <c r="O98" s="295">
        <f t="shared" si="4"/>
        <v>0</v>
      </c>
    </row>
    <row r="99" spans="1:15" ht="15" customHeight="1">
      <c r="A99" s="501"/>
      <c r="B99" s="356" t="s">
        <v>886</v>
      </c>
      <c r="C99" s="294">
        <v>0</v>
      </c>
      <c r="D99" s="294">
        <v>0</v>
      </c>
      <c r="E99" s="294">
        <v>0</v>
      </c>
      <c r="F99" s="294">
        <v>0</v>
      </c>
      <c r="G99" s="294">
        <v>0</v>
      </c>
      <c r="H99" s="294">
        <v>0</v>
      </c>
      <c r="I99" s="294">
        <v>0</v>
      </c>
      <c r="J99" s="294">
        <v>0</v>
      </c>
      <c r="K99" s="294">
        <v>0</v>
      </c>
      <c r="L99" s="294">
        <v>0</v>
      </c>
      <c r="M99" s="294">
        <v>0</v>
      </c>
      <c r="N99" s="294">
        <v>0</v>
      </c>
      <c r="O99" s="295">
        <f t="shared" si="4"/>
        <v>0</v>
      </c>
    </row>
    <row r="100" spans="1:15" ht="15" customHeight="1">
      <c r="A100" s="501"/>
      <c r="B100" s="356" t="s">
        <v>887</v>
      </c>
      <c r="C100" s="294">
        <v>0</v>
      </c>
      <c r="D100" s="294">
        <v>0</v>
      </c>
      <c r="E100" s="294">
        <v>0</v>
      </c>
      <c r="F100" s="294">
        <v>0</v>
      </c>
      <c r="G100" s="294">
        <v>0</v>
      </c>
      <c r="H100" s="294">
        <v>0</v>
      </c>
      <c r="I100" s="294">
        <v>0</v>
      </c>
      <c r="J100" s="294">
        <v>0</v>
      </c>
      <c r="K100" s="294">
        <v>0</v>
      </c>
      <c r="L100" s="294">
        <v>0</v>
      </c>
      <c r="M100" s="294">
        <v>0</v>
      </c>
      <c r="N100" s="294">
        <v>0</v>
      </c>
      <c r="O100" s="295">
        <f t="shared" si="4"/>
        <v>0</v>
      </c>
    </row>
    <row r="101" spans="1:15" ht="15" customHeight="1">
      <c r="A101" s="501"/>
      <c r="B101" s="356" t="s">
        <v>888</v>
      </c>
      <c r="C101" s="294">
        <v>0</v>
      </c>
      <c r="D101" s="294">
        <v>0</v>
      </c>
      <c r="E101" s="294">
        <v>0</v>
      </c>
      <c r="F101" s="294">
        <v>0</v>
      </c>
      <c r="G101" s="294">
        <v>0</v>
      </c>
      <c r="H101" s="294">
        <v>0</v>
      </c>
      <c r="I101" s="294">
        <v>0</v>
      </c>
      <c r="J101" s="294">
        <v>0</v>
      </c>
      <c r="K101" s="294">
        <v>0</v>
      </c>
      <c r="L101" s="294">
        <v>0</v>
      </c>
      <c r="M101" s="294">
        <v>0</v>
      </c>
      <c r="N101" s="294">
        <v>0</v>
      </c>
      <c r="O101" s="295">
        <f t="shared" si="4"/>
        <v>0</v>
      </c>
    </row>
    <row r="102" spans="1:15" ht="15" customHeight="1" thickBot="1">
      <c r="A102" s="501"/>
      <c r="B102" s="356" t="s">
        <v>889</v>
      </c>
      <c r="C102" s="294">
        <v>0</v>
      </c>
      <c r="D102" s="294">
        <v>0</v>
      </c>
      <c r="E102" s="294">
        <v>0</v>
      </c>
      <c r="F102" s="294">
        <v>0</v>
      </c>
      <c r="G102" s="294">
        <v>0</v>
      </c>
      <c r="H102" s="294">
        <v>0</v>
      </c>
      <c r="I102" s="294">
        <v>0</v>
      </c>
      <c r="J102" s="294">
        <v>0</v>
      </c>
      <c r="K102" s="294">
        <v>0</v>
      </c>
      <c r="L102" s="294">
        <v>0</v>
      </c>
      <c r="M102" s="294">
        <v>0</v>
      </c>
      <c r="N102" s="294">
        <v>0</v>
      </c>
      <c r="O102" s="295">
        <f t="shared" si="4"/>
        <v>0</v>
      </c>
    </row>
    <row r="103" spans="1:15" ht="15" customHeight="1">
      <c r="A103" s="500" t="s">
        <v>893</v>
      </c>
      <c r="B103" s="356" t="s">
        <v>890</v>
      </c>
      <c r="C103" s="294">
        <v>0</v>
      </c>
      <c r="D103" s="294">
        <v>0</v>
      </c>
      <c r="E103" s="294">
        <v>0</v>
      </c>
      <c r="F103" s="294">
        <v>0</v>
      </c>
      <c r="G103" s="294">
        <v>0</v>
      </c>
      <c r="H103" s="294">
        <v>0</v>
      </c>
      <c r="I103" s="294">
        <v>0</v>
      </c>
      <c r="J103" s="294">
        <v>0</v>
      </c>
      <c r="K103" s="294">
        <v>0</v>
      </c>
      <c r="L103" s="294">
        <v>0</v>
      </c>
      <c r="M103" s="294">
        <v>0</v>
      </c>
      <c r="N103" s="294">
        <v>0</v>
      </c>
      <c r="O103" s="295">
        <f t="shared" si="4"/>
        <v>0</v>
      </c>
    </row>
    <row r="104" spans="1:15" ht="15" customHeight="1">
      <c r="A104" s="501"/>
      <c r="B104" s="356" t="s">
        <v>891</v>
      </c>
      <c r="C104" s="294">
        <v>0</v>
      </c>
      <c r="D104" s="294">
        <v>0</v>
      </c>
      <c r="E104" s="294">
        <v>0</v>
      </c>
      <c r="F104" s="294">
        <v>0</v>
      </c>
      <c r="G104" s="294">
        <v>0</v>
      </c>
      <c r="H104" s="294">
        <v>0</v>
      </c>
      <c r="I104" s="294">
        <v>0</v>
      </c>
      <c r="J104" s="294">
        <v>0</v>
      </c>
      <c r="K104" s="294">
        <v>0</v>
      </c>
      <c r="L104" s="294">
        <v>0</v>
      </c>
      <c r="M104" s="294">
        <v>0</v>
      </c>
      <c r="N104" s="294">
        <v>0</v>
      </c>
      <c r="O104" s="295">
        <f t="shared" si="4"/>
        <v>0</v>
      </c>
    </row>
    <row r="105" spans="1:15" ht="15" customHeight="1">
      <c r="A105" s="501"/>
      <c r="B105" s="356" t="s">
        <v>565</v>
      </c>
      <c r="C105" s="294">
        <v>0</v>
      </c>
      <c r="D105" s="294">
        <v>0</v>
      </c>
      <c r="E105" s="294">
        <v>0</v>
      </c>
      <c r="F105" s="294">
        <v>0</v>
      </c>
      <c r="G105" s="294">
        <v>0</v>
      </c>
      <c r="H105" s="294">
        <v>0</v>
      </c>
      <c r="I105" s="294">
        <v>0</v>
      </c>
      <c r="J105" s="294">
        <v>0</v>
      </c>
      <c r="K105" s="294">
        <v>0</v>
      </c>
      <c r="L105" s="294">
        <v>0</v>
      </c>
      <c r="M105" s="294">
        <v>0</v>
      </c>
      <c r="N105" s="294">
        <v>0</v>
      </c>
      <c r="O105" s="295">
        <f t="shared" si="4"/>
        <v>0</v>
      </c>
    </row>
    <row r="106" spans="1:15" ht="15" customHeight="1">
      <c r="A106" s="501"/>
      <c r="B106" s="356" t="s">
        <v>566</v>
      </c>
      <c r="C106" s="294">
        <v>0</v>
      </c>
      <c r="D106" s="294">
        <v>0</v>
      </c>
      <c r="E106" s="294">
        <v>0</v>
      </c>
      <c r="F106" s="294">
        <v>0</v>
      </c>
      <c r="G106" s="294">
        <v>0</v>
      </c>
      <c r="H106" s="294">
        <v>0</v>
      </c>
      <c r="I106" s="294">
        <v>0</v>
      </c>
      <c r="J106" s="294">
        <v>0</v>
      </c>
      <c r="K106" s="294">
        <v>0</v>
      </c>
      <c r="L106" s="294">
        <v>0</v>
      </c>
      <c r="M106" s="294">
        <v>0</v>
      </c>
      <c r="N106" s="294">
        <v>0</v>
      </c>
      <c r="O106" s="295">
        <f t="shared" si="4"/>
        <v>0</v>
      </c>
    </row>
    <row r="107" spans="1:15" ht="15" customHeight="1">
      <c r="A107" s="501"/>
      <c r="B107" s="356" t="s">
        <v>567</v>
      </c>
      <c r="C107" s="294">
        <v>0</v>
      </c>
      <c r="D107" s="294">
        <v>0</v>
      </c>
      <c r="E107" s="294">
        <v>0</v>
      </c>
      <c r="F107" s="294">
        <v>0</v>
      </c>
      <c r="G107" s="294">
        <v>0</v>
      </c>
      <c r="H107" s="294">
        <v>0</v>
      </c>
      <c r="I107" s="294">
        <v>0</v>
      </c>
      <c r="J107" s="294">
        <v>0</v>
      </c>
      <c r="K107" s="294">
        <v>0</v>
      </c>
      <c r="L107" s="294">
        <v>0</v>
      </c>
      <c r="M107" s="294">
        <v>0</v>
      </c>
      <c r="N107" s="294">
        <v>0</v>
      </c>
      <c r="O107" s="295">
        <f t="shared" si="4"/>
        <v>0</v>
      </c>
    </row>
    <row r="108" spans="1:15" ht="15" customHeight="1">
      <c r="A108" s="501"/>
      <c r="B108" s="356" t="s">
        <v>568</v>
      </c>
      <c r="C108" s="294">
        <v>0</v>
      </c>
      <c r="D108" s="294">
        <v>0</v>
      </c>
      <c r="E108" s="294">
        <v>0</v>
      </c>
      <c r="F108" s="294">
        <v>0</v>
      </c>
      <c r="G108" s="294">
        <v>0</v>
      </c>
      <c r="H108" s="294">
        <v>0</v>
      </c>
      <c r="I108" s="294">
        <v>0</v>
      </c>
      <c r="J108" s="294">
        <v>0</v>
      </c>
      <c r="K108" s="294">
        <v>0</v>
      </c>
      <c r="L108" s="294">
        <v>0</v>
      </c>
      <c r="M108" s="294">
        <v>0</v>
      </c>
      <c r="N108" s="294">
        <v>0</v>
      </c>
      <c r="O108" s="295">
        <f t="shared" si="4"/>
        <v>0</v>
      </c>
    </row>
    <row r="109" spans="1:15" ht="15" customHeight="1">
      <c r="A109" s="501"/>
      <c r="B109" s="356" t="s">
        <v>569</v>
      </c>
      <c r="C109" s="294">
        <v>0</v>
      </c>
      <c r="D109" s="294">
        <v>0</v>
      </c>
      <c r="E109" s="294">
        <v>0</v>
      </c>
      <c r="F109" s="294">
        <v>0</v>
      </c>
      <c r="G109" s="294">
        <v>0</v>
      </c>
      <c r="H109" s="294">
        <v>0</v>
      </c>
      <c r="I109" s="294">
        <v>0</v>
      </c>
      <c r="J109" s="294">
        <v>0</v>
      </c>
      <c r="K109" s="294">
        <v>0</v>
      </c>
      <c r="L109" s="294">
        <v>0</v>
      </c>
      <c r="M109" s="294">
        <v>0</v>
      </c>
      <c r="N109" s="294">
        <v>0</v>
      </c>
      <c r="O109" s="295">
        <f t="shared" si="4"/>
        <v>0</v>
      </c>
    </row>
    <row r="110" spans="1:15" ht="15" customHeight="1">
      <c r="A110" s="501"/>
      <c r="B110" s="356" t="s">
        <v>570</v>
      </c>
      <c r="C110" s="294">
        <v>0</v>
      </c>
      <c r="D110" s="294">
        <v>0</v>
      </c>
      <c r="E110" s="294">
        <v>0</v>
      </c>
      <c r="F110" s="294">
        <v>0</v>
      </c>
      <c r="G110" s="294">
        <v>0</v>
      </c>
      <c r="H110" s="294">
        <v>0</v>
      </c>
      <c r="I110" s="294">
        <v>0</v>
      </c>
      <c r="J110" s="294">
        <v>0</v>
      </c>
      <c r="K110" s="294">
        <v>0</v>
      </c>
      <c r="L110" s="294">
        <v>0</v>
      </c>
      <c r="M110" s="294">
        <v>0</v>
      </c>
      <c r="N110" s="294">
        <v>0</v>
      </c>
      <c r="O110" s="295">
        <f t="shared" si="4"/>
        <v>0</v>
      </c>
    </row>
    <row r="111" spans="1:15" ht="15" customHeight="1">
      <c r="A111" s="501"/>
      <c r="B111" s="356" t="s">
        <v>571</v>
      </c>
      <c r="C111" s="294">
        <v>0</v>
      </c>
      <c r="D111" s="294">
        <v>0</v>
      </c>
      <c r="E111" s="294">
        <v>0</v>
      </c>
      <c r="F111" s="294">
        <v>0</v>
      </c>
      <c r="G111" s="294">
        <v>0</v>
      </c>
      <c r="H111" s="294">
        <v>0</v>
      </c>
      <c r="I111" s="294">
        <v>0</v>
      </c>
      <c r="J111" s="294">
        <v>0</v>
      </c>
      <c r="K111" s="294">
        <v>0</v>
      </c>
      <c r="L111" s="294">
        <v>0</v>
      </c>
      <c r="M111" s="294">
        <v>0</v>
      </c>
      <c r="N111" s="294">
        <v>0</v>
      </c>
      <c r="O111" s="295">
        <f t="shared" si="4"/>
        <v>0</v>
      </c>
    </row>
    <row r="112" spans="1:15" ht="15" customHeight="1">
      <c r="A112" s="501"/>
      <c r="B112" s="356" t="s">
        <v>572</v>
      </c>
      <c r="C112" s="294">
        <v>0</v>
      </c>
      <c r="D112" s="294">
        <v>0</v>
      </c>
      <c r="E112" s="294">
        <v>0</v>
      </c>
      <c r="F112" s="294">
        <v>0</v>
      </c>
      <c r="G112" s="294">
        <v>0</v>
      </c>
      <c r="H112" s="294">
        <v>0</v>
      </c>
      <c r="I112" s="294">
        <v>0</v>
      </c>
      <c r="J112" s="294">
        <v>0</v>
      </c>
      <c r="K112" s="294">
        <v>0</v>
      </c>
      <c r="L112" s="294">
        <v>0</v>
      </c>
      <c r="M112" s="294">
        <v>0</v>
      </c>
      <c r="N112" s="294">
        <v>0</v>
      </c>
      <c r="O112" s="295">
        <f t="shared" si="4"/>
        <v>0</v>
      </c>
    </row>
    <row r="113" spans="1:27" ht="15" customHeight="1">
      <c r="A113" s="501"/>
      <c r="B113" s="356" t="s">
        <v>573</v>
      </c>
      <c r="C113" s="294">
        <v>0</v>
      </c>
      <c r="D113" s="294">
        <v>0</v>
      </c>
      <c r="E113" s="294">
        <v>0</v>
      </c>
      <c r="F113" s="294">
        <v>0</v>
      </c>
      <c r="G113" s="294">
        <v>0</v>
      </c>
      <c r="H113" s="294">
        <v>0</v>
      </c>
      <c r="I113" s="294">
        <v>0</v>
      </c>
      <c r="J113" s="294">
        <v>0</v>
      </c>
      <c r="K113" s="294">
        <v>0</v>
      </c>
      <c r="L113" s="294">
        <v>0</v>
      </c>
      <c r="M113" s="294">
        <v>0</v>
      </c>
      <c r="N113" s="294">
        <v>0</v>
      </c>
      <c r="O113" s="295">
        <f t="shared" si="4"/>
        <v>0</v>
      </c>
    </row>
    <row r="114" spans="1:27" ht="15" customHeight="1">
      <c r="A114" s="501"/>
      <c r="B114" s="356" t="s">
        <v>574</v>
      </c>
      <c r="C114" s="294">
        <v>0</v>
      </c>
      <c r="D114" s="294">
        <v>0</v>
      </c>
      <c r="E114" s="294">
        <v>0</v>
      </c>
      <c r="F114" s="294">
        <v>0</v>
      </c>
      <c r="G114" s="294">
        <v>0</v>
      </c>
      <c r="H114" s="294">
        <v>0</v>
      </c>
      <c r="I114" s="294">
        <v>0</v>
      </c>
      <c r="J114" s="294">
        <v>0</v>
      </c>
      <c r="K114" s="294">
        <v>0</v>
      </c>
      <c r="L114" s="294">
        <v>0</v>
      </c>
      <c r="M114" s="294">
        <v>0</v>
      </c>
      <c r="N114" s="294">
        <v>0</v>
      </c>
      <c r="O114" s="295">
        <f t="shared" si="4"/>
        <v>0</v>
      </c>
    </row>
    <row r="115" spans="1:27" ht="15" customHeight="1">
      <c r="A115" s="501"/>
      <c r="B115" s="356" t="s">
        <v>575</v>
      </c>
      <c r="C115" s="294">
        <v>0</v>
      </c>
      <c r="D115" s="294">
        <v>0</v>
      </c>
      <c r="E115" s="294">
        <v>0</v>
      </c>
      <c r="F115" s="294">
        <v>0</v>
      </c>
      <c r="G115" s="294">
        <v>0</v>
      </c>
      <c r="H115" s="294">
        <v>0</v>
      </c>
      <c r="I115" s="294">
        <v>0</v>
      </c>
      <c r="J115" s="294">
        <v>0</v>
      </c>
      <c r="K115" s="294">
        <v>0</v>
      </c>
      <c r="L115" s="294">
        <v>0</v>
      </c>
      <c r="M115" s="294">
        <v>0</v>
      </c>
      <c r="N115" s="294">
        <v>0</v>
      </c>
      <c r="O115" s="295">
        <f t="shared" si="4"/>
        <v>0</v>
      </c>
    </row>
    <row r="116" spans="1:27" ht="15" customHeight="1">
      <c r="A116" s="501"/>
      <c r="B116" s="356" t="s">
        <v>576</v>
      </c>
      <c r="C116" s="294">
        <v>0</v>
      </c>
      <c r="D116" s="294">
        <v>0</v>
      </c>
      <c r="E116" s="294">
        <v>0</v>
      </c>
      <c r="F116" s="294">
        <v>0</v>
      </c>
      <c r="G116" s="294">
        <v>0</v>
      </c>
      <c r="H116" s="294">
        <v>0</v>
      </c>
      <c r="I116" s="294">
        <v>0</v>
      </c>
      <c r="J116" s="294">
        <v>0</v>
      </c>
      <c r="K116" s="294">
        <v>0</v>
      </c>
      <c r="L116" s="294">
        <v>0</v>
      </c>
      <c r="M116" s="294">
        <v>0</v>
      </c>
      <c r="N116" s="294">
        <v>0</v>
      </c>
      <c r="O116" s="295">
        <f t="shared" si="4"/>
        <v>0</v>
      </c>
    </row>
    <row r="117" spans="1:27" ht="15" customHeight="1">
      <c r="A117" s="501"/>
      <c r="B117" s="356" t="s">
        <v>577</v>
      </c>
      <c r="C117" s="294">
        <v>0</v>
      </c>
      <c r="D117" s="294">
        <v>0</v>
      </c>
      <c r="E117" s="294">
        <v>0</v>
      </c>
      <c r="F117" s="294">
        <v>0</v>
      </c>
      <c r="G117" s="294">
        <v>0</v>
      </c>
      <c r="H117" s="294">
        <v>0</v>
      </c>
      <c r="I117" s="294">
        <v>0</v>
      </c>
      <c r="J117" s="294">
        <v>0</v>
      </c>
      <c r="K117" s="294">
        <v>0</v>
      </c>
      <c r="L117" s="294">
        <v>0</v>
      </c>
      <c r="M117" s="294">
        <v>0</v>
      </c>
      <c r="N117" s="294">
        <v>0</v>
      </c>
      <c r="O117" s="295">
        <f t="shared" si="4"/>
        <v>0</v>
      </c>
    </row>
    <row r="118" spans="1:27" ht="15" customHeight="1">
      <c r="A118" s="501"/>
      <c r="B118" s="356" t="s">
        <v>578</v>
      </c>
      <c r="C118" s="294">
        <v>0</v>
      </c>
      <c r="D118" s="294">
        <v>0</v>
      </c>
      <c r="E118" s="294">
        <v>0</v>
      </c>
      <c r="F118" s="294">
        <v>0</v>
      </c>
      <c r="G118" s="294">
        <v>0</v>
      </c>
      <c r="H118" s="294">
        <v>0</v>
      </c>
      <c r="I118" s="294">
        <v>0</v>
      </c>
      <c r="J118" s="294">
        <v>0</v>
      </c>
      <c r="K118" s="294">
        <v>0</v>
      </c>
      <c r="L118" s="294">
        <v>0</v>
      </c>
      <c r="M118" s="294">
        <v>0</v>
      </c>
      <c r="N118" s="294">
        <v>0</v>
      </c>
      <c r="O118" s="295">
        <f t="shared" si="4"/>
        <v>0</v>
      </c>
    </row>
    <row r="119" spans="1:27" ht="15" customHeight="1">
      <c r="A119" s="501"/>
      <c r="B119" s="356" t="s">
        <v>579</v>
      </c>
      <c r="C119" s="294">
        <v>0</v>
      </c>
      <c r="D119" s="294">
        <v>0</v>
      </c>
      <c r="E119" s="294">
        <v>0</v>
      </c>
      <c r="F119" s="294">
        <v>0</v>
      </c>
      <c r="G119" s="294">
        <v>0</v>
      </c>
      <c r="H119" s="294">
        <v>0</v>
      </c>
      <c r="I119" s="294">
        <v>0</v>
      </c>
      <c r="J119" s="294">
        <v>0</v>
      </c>
      <c r="K119" s="294">
        <v>0</v>
      </c>
      <c r="L119" s="294">
        <v>0</v>
      </c>
      <c r="M119" s="294">
        <v>0</v>
      </c>
      <c r="N119" s="294">
        <v>0</v>
      </c>
      <c r="O119" s="295">
        <f t="shared" si="4"/>
        <v>0</v>
      </c>
    </row>
    <row r="120" spans="1:27" ht="15" customHeight="1">
      <c r="A120" s="501"/>
      <c r="B120" s="356" t="s">
        <v>884</v>
      </c>
      <c r="C120" s="294">
        <v>0</v>
      </c>
      <c r="D120" s="294">
        <v>0</v>
      </c>
      <c r="E120" s="294">
        <v>0</v>
      </c>
      <c r="F120" s="294">
        <v>0</v>
      </c>
      <c r="G120" s="294">
        <v>0</v>
      </c>
      <c r="H120" s="294">
        <v>0</v>
      </c>
      <c r="I120" s="294">
        <v>0</v>
      </c>
      <c r="J120" s="294">
        <v>0</v>
      </c>
      <c r="K120" s="294">
        <v>0</v>
      </c>
      <c r="L120" s="294">
        <v>0</v>
      </c>
      <c r="M120" s="294">
        <v>0</v>
      </c>
      <c r="N120" s="294">
        <v>0</v>
      </c>
      <c r="O120" s="295">
        <f t="shared" si="4"/>
        <v>0</v>
      </c>
    </row>
    <row r="121" spans="1:27" ht="15" customHeight="1">
      <c r="A121" s="501"/>
      <c r="B121" s="356" t="s">
        <v>885</v>
      </c>
      <c r="C121" s="294">
        <v>0</v>
      </c>
      <c r="D121" s="294">
        <v>0</v>
      </c>
      <c r="E121" s="294">
        <v>0</v>
      </c>
      <c r="F121" s="294">
        <v>0</v>
      </c>
      <c r="G121" s="294">
        <v>0</v>
      </c>
      <c r="H121" s="294">
        <v>0</v>
      </c>
      <c r="I121" s="294">
        <v>0</v>
      </c>
      <c r="J121" s="294">
        <v>0</v>
      </c>
      <c r="K121" s="294">
        <v>0</v>
      </c>
      <c r="L121" s="294">
        <v>0</v>
      </c>
      <c r="M121" s="294">
        <v>0</v>
      </c>
      <c r="N121" s="294">
        <v>0</v>
      </c>
      <c r="O121" s="295">
        <f t="shared" si="4"/>
        <v>0</v>
      </c>
    </row>
    <row r="122" spans="1:27" ht="15" customHeight="1">
      <c r="A122" s="501"/>
      <c r="B122" s="356" t="s">
        <v>886</v>
      </c>
      <c r="C122" s="294">
        <v>0</v>
      </c>
      <c r="D122" s="294">
        <v>0</v>
      </c>
      <c r="E122" s="294">
        <v>0</v>
      </c>
      <c r="F122" s="294">
        <v>0</v>
      </c>
      <c r="G122" s="294">
        <v>0</v>
      </c>
      <c r="H122" s="294">
        <v>0</v>
      </c>
      <c r="I122" s="294">
        <v>0</v>
      </c>
      <c r="J122" s="294">
        <v>0</v>
      </c>
      <c r="K122" s="294">
        <v>0</v>
      </c>
      <c r="L122" s="294">
        <v>0</v>
      </c>
      <c r="M122" s="294">
        <v>0</v>
      </c>
      <c r="N122" s="294">
        <v>0</v>
      </c>
      <c r="O122" s="295">
        <f t="shared" si="4"/>
        <v>0</v>
      </c>
    </row>
    <row r="123" spans="1:27" ht="15" customHeight="1" thickBot="1">
      <c r="A123" s="502"/>
      <c r="B123" s="356" t="s">
        <v>887</v>
      </c>
      <c r="C123" s="294">
        <v>0</v>
      </c>
      <c r="D123" s="294">
        <v>0</v>
      </c>
      <c r="E123" s="294">
        <v>0</v>
      </c>
      <c r="F123" s="294">
        <v>0</v>
      </c>
      <c r="G123" s="294">
        <v>0</v>
      </c>
      <c r="H123" s="294">
        <v>0</v>
      </c>
      <c r="I123" s="294">
        <v>0</v>
      </c>
      <c r="J123" s="294">
        <v>0</v>
      </c>
      <c r="K123" s="294">
        <v>0</v>
      </c>
      <c r="L123" s="294">
        <v>0</v>
      </c>
      <c r="M123" s="294">
        <v>0</v>
      </c>
      <c r="N123" s="294">
        <v>0</v>
      </c>
      <c r="O123" s="295">
        <f t="shared" si="4"/>
        <v>0</v>
      </c>
    </row>
    <row r="124" spans="1:27" ht="15" customHeight="1" thickBot="1">
      <c r="A124" s="506" t="s">
        <v>755</v>
      </c>
      <c r="B124" s="507"/>
      <c r="C124" s="296"/>
      <c r="D124" s="296"/>
      <c r="E124" s="296"/>
      <c r="F124" s="296"/>
      <c r="G124" s="296"/>
      <c r="H124" s="296"/>
      <c r="I124" s="296"/>
      <c r="J124" s="296"/>
      <c r="K124" s="296"/>
      <c r="L124" s="296"/>
      <c r="M124" s="296"/>
      <c r="N124" s="296"/>
      <c r="O124" s="512"/>
    </row>
    <row r="125" spans="1:27" ht="15" customHeight="1" thickBot="1">
      <c r="A125" s="506" t="s">
        <v>754</v>
      </c>
      <c r="B125" s="507"/>
      <c r="C125" s="296">
        <f>+AVERAGE(C80:C123)</f>
        <v>0</v>
      </c>
      <c r="D125" s="296">
        <f t="shared" ref="D125:N125" si="5">+AVERAGE(D80:D123)</f>
        <v>0</v>
      </c>
      <c r="E125" s="296">
        <f t="shared" si="5"/>
        <v>0</v>
      </c>
      <c r="F125" s="296">
        <f t="shared" si="5"/>
        <v>0</v>
      </c>
      <c r="G125" s="296">
        <f t="shared" si="5"/>
        <v>0</v>
      </c>
      <c r="H125" s="296">
        <f t="shared" si="5"/>
        <v>0</v>
      </c>
      <c r="I125" s="296">
        <f t="shared" si="5"/>
        <v>0</v>
      </c>
      <c r="J125" s="296">
        <f t="shared" si="5"/>
        <v>0</v>
      </c>
      <c r="K125" s="296">
        <f t="shared" si="5"/>
        <v>0</v>
      </c>
      <c r="L125" s="296">
        <f t="shared" si="5"/>
        <v>0</v>
      </c>
      <c r="M125" s="296">
        <f t="shared" si="5"/>
        <v>0</v>
      </c>
      <c r="N125" s="296">
        <f t="shared" si="5"/>
        <v>0</v>
      </c>
      <c r="O125" s="513"/>
    </row>
    <row r="126" spans="1:27" ht="15" customHeight="1" thickBot="1">
      <c r="A126" s="506" t="s">
        <v>757</v>
      </c>
      <c r="B126" s="515"/>
      <c r="C126" s="516">
        <f>+AVERAGE(C125:N125)</f>
        <v>0</v>
      </c>
      <c r="D126" s="517"/>
      <c r="E126" s="517"/>
      <c r="F126" s="517"/>
      <c r="G126" s="517"/>
      <c r="H126" s="517"/>
      <c r="I126" s="517"/>
      <c r="J126" s="517"/>
      <c r="K126" s="517"/>
      <c r="L126" s="517"/>
      <c r="M126" s="517"/>
      <c r="N126" s="518"/>
      <c r="O126" s="514"/>
    </row>
    <row r="127" spans="1:27" ht="15" customHeight="1">
      <c r="A127" s="500" t="s">
        <v>908</v>
      </c>
      <c r="B127" s="359" t="s">
        <v>580</v>
      </c>
      <c r="C127" s="292">
        <v>0</v>
      </c>
      <c r="D127" s="292">
        <v>0</v>
      </c>
      <c r="E127" s="292">
        <v>0</v>
      </c>
      <c r="F127" s="292">
        <v>0</v>
      </c>
      <c r="G127" s="292">
        <v>0</v>
      </c>
      <c r="H127" s="292">
        <v>0</v>
      </c>
      <c r="I127" s="292">
        <v>0</v>
      </c>
      <c r="J127" s="292">
        <v>0</v>
      </c>
      <c r="K127" s="292">
        <v>0</v>
      </c>
      <c r="L127" s="292">
        <v>0</v>
      </c>
      <c r="M127" s="292">
        <v>0</v>
      </c>
      <c r="N127" s="292">
        <v>0</v>
      </c>
      <c r="O127" s="293">
        <f t="shared" ref="O127:O170" si="6">+AVERAGE(C127:N127)</f>
        <v>0</v>
      </c>
      <c r="AA127" s="276"/>
    </row>
    <row r="128" spans="1:27" ht="15" customHeight="1">
      <c r="A128" s="501"/>
      <c r="B128" s="356" t="s">
        <v>581</v>
      </c>
      <c r="C128" s="298">
        <v>0</v>
      </c>
      <c r="D128" s="298">
        <v>0</v>
      </c>
      <c r="E128" s="298">
        <v>0</v>
      </c>
      <c r="F128" s="298">
        <v>0</v>
      </c>
      <c r="G128" s="298">
        <v>0</v>
      </c>
      <c r="H128" s="298">
        <v>0</v>
      </c>
      <c r="I128" s="298">
        <v>0</v>
      </c>
      <c r="J128" s="298">
        <v>0</v>
      </c>
      <c r="K128" s="298">
        <v>0</v>
      </c>
      <c r="L128" s="298">
        <v>0</v>
      </c>
      <c r="M128" s="298">
        <v>0</v>
      </c>
      <c r="N128" s="298">
        <v>0</v>
      </c>
      <c r="O128" s="295">
        <f t="shared" si="6"/>
        <v>0</v>
      </c>
      <c r="AA128" s="276"/>
    </row>
    <row r="129" spans="1:27" ht="15" customHeight="1">
      <c r="A129" s="501"/>
      <c r="B129" s="356" t="s">
        <v>582</v>
      </c>
      <c r="C129" s="298">
        <v>0</v>
      </c>
      <c r="D129" s="298">
        <v>0</v>
      </c>
      <c r="E129" s="298">
        <v>0</v>
      </c>
      <c r="F129" s="298">
        <v>0</v>
      </c>
      <c r="G129" s="298">
        <v>0</v>
      </c>
      <c r="H129" s="298">
        <v>0</v>
      </c>
      <c r="I129" s="298">
        <v>0</v>
      </c>
      <c r="J129" s="298">
        <v>0</v>
      </c>
      <c r="K129" s="298">
        <v>0</v>
      </c>
      <c r="L129" s="298">
        <v>0</v>
      </c>
      <c r="M129" s="298">
        <v>0</v>
      </c>
      <c r="N129" s="298">
        <v>0</v>
      </c>
      <c r="O129" s="295">
        <f t="shared" si="6"/>
        <v>0</v>
      </c>
      <c r="AA129" s="276"/>
    </row>
    <row r="130" spans="1:27" ht="15" customHeight="1">
      <c r="A130" s="501"/>
      <c r="B130" s="356" t="s">
        <v>583</v>
      </c>
      <c r="C130" s="298">
        <v>0</v>
      </c>
      <c r="D130" s="298">
        <v>0</v>
      </c>
      <c r="E130" s="298">
        <v>0</v>
      </c>
      <c r="F130" s="298">
        <v>0</v>
      </c>
      <c r="G130" s="298">
        <v>0</v>
      </c>
      <c r="H130" s="298">
        <v>0</v>
      </c>
      <c r="I130" s="298">
        <v>0</v>
      </c>
      <c r="J130" s="298">
        <v>0</v>
      </c>
      <c r="K130" s="298">
        <v>0</v>
      </c>
      <c r="L130" s="298">
        <v>0</v>
      </c>
      <c r="M130" s="298">
        <v>0</v>
      </c>
      <c r="N130" s="298">
        <v>0</v>
      </c>
      <c r="O130" s="295">
        <f t="shared" si="6"/>
        <v>0</v>
      </c>
      <c r="AA130" s="276"/>
    </row>
    <row r="131" spans="1:27" ht="15" customHeight="1">
      <c r="A131" s="501"/>
      <c r="B131" s="356" t="s">
        <v>584</v>
      </c>
      <c r="C131" s="298">
        <v>0</v>
      </c>
      <c r="D131" s="298">
        <v>0</v>
      </c>
      <c r="E131" s="298">
        <v>0</v>
      </c>
      <c r="F131" s="298">
        <v>0</v>
      </c>
      <c r="G131" s="298">
        <v>0</v>
      </c>
      <c r="H131" s="298">
        <v>0</v>
      </c>
      <c r="I131" s="298">
        <v>0</v>
      </c>
      <c r="J131" s="298">
        <v>0</v>
      </c>
      <c r="K131" s="298">
        <v>0</v>
      </c>
      <c r="L131" s="298">
        <v>0</v>
      </c>
      <c r="M131" s="298">
        <v>0</v>
      </c>
      <c r="N131" s="298">
        <v>0</v>
      </c>
      <c r="O131" s="295">
        <f t="shared" si="6"/>
        <v>0</v>
      </c>
      <c r="AA131" s="276"/>
    </row>
    <row r="132" spans="1:27" ht="15" customHeight="1">
      <c r="A132" s="501"/>
      <c r="B132" s="356" t="s">
        <v>585</v>
      </c>
      <c r="C132" s="298">
        <v>0</v>
      </c>
      <c r="D132" s="298">
        <v>0</v>
      </c>
      <c r="E132" s="298">
        <v>0</v>
      </c>
      <c r="F132" s="298">
        <v>0</v>
      </c>
      <c r="G132" s="298">
        <v>0</v>
      </c>
      <c r="H132" s="298">
        <v>0</v>
      </c>
      <c r="I132" s="298">
        <v>0</v>
      </c>
      <c r="J132" s="298">
        <v>0</v>
      </c>
      <c r="K132" s="298">
        <v>0</v>
      </c>
      <c r="L132" s="298">
        <v>0</v>
      </c>
      <c r="M132" s="298">
        <v>0</v>
      </c>
      <c r="N132" s="298">
        <v>0</v>
      </c>
      <c r="O132" s="295">
        <f t="shared" si="6"/>
        <v>0</v>
      </c>
      <c r="AA132" s="276"/>
    </row>
    <row r="133" spans="1:27" ht="15" customHeight="1">
      <c r="A133" s="501"/>
      <c r="B133" s="356" t="s">
        <v>586</v>
      </c>
      <c r="C133" s="298">
        <v>0</v>
      </c>
      <c r="D133" s="298">
        <v>0</v>
      </c>
      <c r="E133" s="298">
        <v>0</v>
      </c>
      <c r="F133" s="298">
        <v>0</v>
      </c>
      <c r="G133" s="298">
        <v>0</v>
      </c>
      <c r="H133" s="298">
        <v>0</v>
      </c>
      <c r="I133" s="298">
        <v>0</v>
      </c>
      <c r="J133" s="298">
        <v>0</v>
      </c>
      <c r="K133" s="298">
        <v>0</v>
      </c>
      <c r="L133" s="298">
        <v>0</v>
      </c>
      <c r="M133" s="298">
        <v>0</v>
      </c>
      <c r="N133" s="298">
        <v>0</v>
      </c>
      <c r="O133" s="295">
        <f t="shared" si="6"/>
        <v>0</v>
      </c>
      <c r="AA133" s="276"/>
    </row>
    <row r="134" spans="1:27" ht="15" customHeight="1">
      <c r="A134" s="501"/>
      <c r="B134" s="356" t="s">
        <v>587</v>
      </c>
      <c r="C134" s="298">
        <v>0</v>
      </c>
      <c r="D134" s="298">
        <v>0</v>
      </c>
      <c r="E134" s="298">
        <v>0</v>
      </c>
      <c r="F134" s="298">
        <v>0</v>
      </c>
      <c r="G134" s="298">
        <v>0</v>
      </c>
      <c r="H134" s="298">
        <v>0</v>
      </c>
      <c r="I134" s="298">
        <v>0</v>
      </c>
      <c r="J134" s="298">
        <v>0</v>
      </c>
      <c r="K134" s="298">
        <v>0</v>
      </c>
      <c r="L134" s="298">
        <v>0</v>
      </c>
      <c r="M134" s="298">
        <v>0</v>
      </c>
      <c r="N134" s="298">
        <v>0</v>
      </c>
      <c r="O134" s="295">
        <f t="shared" si="6"/>
        <v>0</v>
      </c>
      <c r="AA134" s="276"/>
    </row>
    <row r="135" spans="1:27" ht="15" customHeight="1">
      <c r="A135" s="501"/>
      <c r="B135" s="356" t="s">
        <v>588</v>
      </c>
      <c r="C135" s="298">
        <v>0</v>
      </c>
      <c r="D135" s="298">
        <v>0</v>
      </c>
      <c r="E135" s="298">
        <v>0</v>
      </c>
      <c r="F135" s="298">
        <v>0</v>
      </c>
      <c r="G135" s="298">
        <v>0</v>
      </c>
      <c r="H135" s="298">
        <v>0</v>
      </c>
      <c r="I135" s="298">
        <v>0</v>
      </c>
      <c r="J135" s="298">
        <v>0</v>
      </c>
      <c r="K135" s="298">
        <v>0</v>
      </c>
      <c r="L135" s="298">
        <v>0</v>
      </c>
      <c r="M135" s="298">
        <v>0</v>
      </c>
      <c r="N135" s="298">
        <v>0</v>
      </c>
      <c r="O135" s="295">
        <f t="shared" si="6"/>
        <v>0</v>
      </c>
      <c r="AA135" s="276"/>
    </row>
    <row r="136" spans="1:27" ht="15" customHeight="1">
      <c r="A136" s="501"/>
      <c r="B136" s="356" t="s">
        <v>589</v>
      </c>
      <c r="C136" s="298">
        <v>0</v>
      </c>
      <c r="D136" s="298">
        <v>0</v>
      </c>
      <c r="E136" s="298">
        <v>0</v>
      </c>
      <c r="F136" s="298">
        <v>0</v>
      </c>
      <c r="G136" s="298">
        <v>0</v>
      </c>
      <c r="H136" s="298">
        <v>0</v>
      </c>
      <c r="I136" s="298">
        <v>0</v>
      </c>
      <c r="J136" s="298">
        <v>0</v>
      </c>
      <c r="K136" s="298">
        <v>0</v>
      </c>
      <c r="L136" s="298">
        <v>0</v>
      </c>
      <c r="M136" s="298">
        <v>0</v>
      </c>
      <c r="N136" s="298">
        <v>0</v>
      </c>
      <c r="O136" s="295">
        <f t="shared" si="6"/>
        <v>0</v>
      </c>
      <c r="AA136" s="276"/>
    </row>
    <row r="137" spans="1:27" ht="15" customHeight="1">
      <c r="A137" s="501"/>
      <c r="B137" s="356" t="s">
        <v>590</v>
      </c>
      <c r="C137" s="298">
        <v>0</v>
      </c>
      <c r="D137" s="298">
        <v>0</v>
      </c>
      <c r="E137" s="298">
        <v>0</v>
      </c>
      <c r="F137" s="298">
        <v>0</v>
      </c>
      <c r="G137" s="298">
        <v>0</v>
      </c>
      <c r="H137" s="298">
        <v>0</v>
      </c>
      <c r="I137" s="298">
        <v>0</v>
      </c>
      <c r="J137" s="298">
        <v>0</v>
      </c>
      <c r="K137" s="298">
        <v>0</v>
      </c>
      <c r="L137" s="298">
        <v>0</v>
      </c>
      <c r="M137" s="298">
        <v>0</v>
      </c>
      <c r="N137" s="298">
        <v>0</v>
      </c>
      <c r="O137" s="295">
        <f t="shared" si="6"/>
        <v>0</v>
      </c>
      <c r="AA137" s="276"/>
    </row>
    <row r="138" spans="1:27" ht="15" customHeight="1">
      <c r="A138" s="501"/>
      <c r="B138" s="356" t="s">
        <v>591</v>
      </c>
      <c r="C138" s="298">
        <v>0</v>
      </c>
      <c r="D138" s="298">
        <v>0</v>
      </c>
      <c r="E138" s="298">
        <v>0</v>
      </c>
      <c r="F138" s="298">
        <v>0</v>
      </c>
      <c r="G138" s="298">
        <v>0</v>
      </c>
      <c r="H138" s="298">
        <v>0</v>
      </c>
      <c r="I138" s="298">
        <v>0</v>
      </c>
      <c r="J138" s="298">
        <v>0</v>
      </c>
      <c r="K138" s="298">
        <v>0</v>
      </c>
      <c r="L138" s="298">
        <v>0</v>
      </c>
      <c r="M138" s="298">
        <v>0</v>
      </c>
      <c r="N138" s="298">
        <v>0</v>
      </c>
      <c r="O138" s="295">
        <f t="shared" si="6"/>
        <v>0</v>
      </c>
      <c r="AA138" s="276"/>
    </row>
    <row r="139" spans="1:27" ht="15" customHeight="1">
      <c r="A139" s="501"/>
      <c r="B139" s="356" t="s">
        <v>592</v>
      </c>
      <c r="C139" s="298">
        <v>0</v>
      </c>
      <c r="D139" s="298">
        <v>0</v>
      </c>
      <c r="E139" s="298">
        <v>0</v>
      </c>
      <c r="F139" s="298">
        <v>0</v>
      </c>
      <c r="G139" s="298">
        <v>0</v>
      </c>
      <c r="H139" s="298">
        <v>0</v>
      </c>
      <c r="I139" s="298">
        <v>0</v>
      </c>
      <c r="J139" s="298">
        <v>0</v>
      </c>
      <c r="K139" s="298">
        <v>0</v>
      </c>
      <c r="L139" s="298">
        <v>0</v>
      </c>
      <c r="M139" s="298">
        <v>0</v>
      </c>
      <c r="N139" s="298">
        <v>0</v>
      </c>
      <c r="O139" s="295">
        <f t="shared" si="6"/>
        <v>0</v>
      </c>
      <c r="AA139" s="276"/>
    </row>
    <row r="140" spans="1:27" ht="15" customHeight="1">
      <c r="A140" s="501"/>
      <c r="B140" s="356" t="s">
        <v>593</v>
      </c>
      <c r="C140" s="298">
        <v>0</v>
      </c>
      <c r="D140" s="298">
        <v>0</v>
      </c>
      <c r="E140" s="298">
        <v>0</v>
      </c>
      <c r="F140" s="298">
        <v>0</v>
      </c>
      <c r="G140" s="298">
        <v>0</v>
      </c>
      <c r="H140" s="298">
        <v>0</v>
      </c>
      <c r="I140" s="298">
        <v>0</v>
      </c>
      <c r="J140" s="298">
        <v>0</v>
      </c>
      <c r="K140" s="298">
        <v>0</v>
      </c>
      <c r="L140" s="298">
        <v>0</v>
      </c>
      <c r="M140" s="298">
        <v>0</v>
      </c>
      <c r="N140" s="298">
        <v>0</v>
      </c>
      <c r="O140" s="295">
        <f t="shared" si="6"/>
        <v>0</v>
      </c>
      <c r="AA140" s="276"/>
    </row>
    <row r="141" spans="1:27" ht="15" customHeight="1">
      <c r="A141" s="501"/>
      <c r="B141" s="356" t="s">
        <v>594</v>
      </c>
      <c r="C141" s="298">
        <v>0</v>
      </c>
      <c r="D141" s="298">
        <v>0</v>
      </c>
      <c r="E141" s="298">
        <v>0</v>
      </c>
      <c r="F141" s="298">
        <v>0</v>
      </c>
      <c r="G141" s="298">
        <v>0</v>
      </c>
      <c r="H141" s="298">
        <v>0</v>
      </c>
      <c r="I141" s="298">
        <v>0</v>
      </c>
      <c r="J141" s="298">
        <v>0</v>
      </c>
      <c r="K141" s="298">
        <v>0</v>
      </c>
      <c r="L141" s="298">
        <v>0</v>
      </c>
      <c r="M141" s="298">
        <v>0</v>
      </c>
      <c r="N141" s="298">
        <v>0</v>
      </c>
      <c r="O141" s="295">
        <f t="shared" si="6"/>
        <v>0</v>
      </c>
      <c r="AA141" s="276"/>
    </row>
    <row r="142" spans="1:27" ht="15" customHeight="1">
      <c r="A142" s="501"/>
      <c r="B142" s="356" t="s">
        <v>595</v>
      </c>
      <c r="C142" s="298">
        <v>0</v>
      </c>
      <c r="D142" s="298">
        <v>0</v>
      </c>
      <c r="E142" s="298">
        <v>0</v>
      </c>
      <c r="F142" s="298">
        <v>0</v>
      </c>
      <c r="G142" s="298">
        <v>0</v>
      </c>
      <c r="H142" s="298">
        <v>0</v>
      </c>
      <c r="I142" s="298">
        <v>0</v>
      </c>
      <c r="J142" s="298">
        <v>0</v>
      </c>
      <c r="K142" s="298">
        <v>0</v>
      </c>
      <c r="L142" s="298">
        <v>0</v>
      </c>
      <c r="M142" s="298">
        <v>0</v>
      </c>
      <c r="N142" s="298">
        <v>0</v>
      </c>
      <c r="O142" s="295">
        <f t="shared" si="6"/>
        <v>0</v>
      </c>
      <c r="AA142" s="276"/>
    </row>
    <row r="143" spans="1:27" ht="15" customHeight="1">
      <c r="A143" s="501"/>
      <c r="B143" s="356" t="s">
        <v>596</v>
      </c>
      <c r="C143" s="298">
        <v>0</v>
      </c>
      <c r="D143" s="298">
        <v>0</v>
      </c>
      <c r="E143" s="298">
        <v>0</v>
      </c>
      <c r="F143" s="298">
        <v>0</v>
      </c>
      <c r="G143" s="298">
        <v>0</v>
      </c>
      <c r="H143" s="298">
        <v>0</v>
      </c>
      <c r="I143" s="298">
        <v>0</v>
      </c>
      <c r="J143" s="298">
        <v>0</v>
      </c>
      <c r="K143" s="298">
        <v>0</v>
      </c>
      <c r="L143" s="298">
        <v>0</v>
      </c>
      <c r="M143" s="298">
        <v>0</v>
      </c>
      <c r="N143" s="298">
        <v>0</v>
      </c>
      <c r="O143" s="295">
        <f t="shared" si="6"/>
        <v>0</v>
      </c>
      <c r="AA143" s="276"/>
    </row>
    <row r="144" spans="1:27" ht="15" customHeight="1">
      <c r="A144" s="501"/>
      <c r="B144" s="356" t="s">
        <v>902</v>
      </c>
      <c r="C144" s="298">
        <v>0</v>
      </c>
      <c r="D144" s="298">
        <v>0</v>
      </c>
      <c r="E144" s="298">
        <v>0</v>
      </c>
      <c r="F144" s="298">
        <v>0</v>
      </c>
      <c r="G144" s="298">
        <v>0</v>
      </c>
      <c r="H144" s="298">
        <v>0</v>
      </c>
      <c r="I144" s="298">
        <v>0</v>
      </c>
      <c r="J144" s="298">
        <v>0</v>
      </c>
      <c r="K144" s="298">
        <v>0</v>
      </c>
      <c r="L144" s="298">
        <v>0</v>
      </c>
      <c r="M144" s="298">
        <v>0</v>
      </c>
      <c r="N144" s="298">
        <v>0</v>
      </c>
      <c r="O144" s="295">
        <f t="shared" si="6"/>
        <v>0</v>
      </c>
      <c r="AA144" s="276"/>
    </row>
    <row r="145" spans="1:27" ht="15" customHeight="1">
      <c r="A145" s="501"/>
      <c r="B145" s="356" t="s">
        <v>903</v>
      </c>
      <c r="C145" s="298">
        <v>0</v>
      </c>
      <c r="D145" s="298">
        <v>0</v>
      </c>
      <c r="E145" s="298">
        <v>0</v>
      </c>
      <c r="F145" s="298">
        <v>0</v>
      </c>
      <c r="G145" s="298">
        <v>0</v>
      </c>
      <c r="H145" s="298">
        <v>0</v>
      </c>
      <c r="I145" s="298">
        <v>0</v>
      </c>
      <c r="J145" s="298">
        <v>0</v>
      </c>
      <c r="K145" s="298">
        <v>0</v>
      </c>
      <c r="L145" s="298">
        <v>0</v>
      </c>
      <c r="M145" s="298">
        <v>0</v>
      </c>
      <c r="N145" s="298">
        <v>0</v>
      </c>
      <c r="O145" s="295">
        <f t="shared" si="6"/>
        <v>0</v>
      </c>
      <c r="AA145" s="276"/>
    </row>
    <row r="146" spans="1:27" ht="15" customHeight="1">
      <c r="A146" s="501"/>
      <c r="B146" s="356" t="s">
        <v>904</v>
      </c>
      <c r="C146" s="298">
        <v>0</v>
      </c>
      <c r="D146" s="298">
        <v>0</v>
      </c>
      <c r="E146" s="298">
        <v>0</v>
      </c>
      <c r="F146" s="298">
        <v>0</v>
      </c>
      <c r="G146" s="298">
        <v>0</v>
      </c>
      <c r="H146" s="298">
        <v>0</v>
      </c>
      <c r="I146" s="298">
        <v>0</v>
      </c>
      <c r="J146" s="298">
        <v>0</v>
      </c>
      <c r="K146" s="298">
        <v>0</v>
      </c>
      <c r="L146" s="298">
        <v>0</v>
      </c>
      <c r="M146" s="298">
        <v>0</v>
      </c>
      <c r="N146" s="298">
        <v>0</v>
      </c>
      <c r="O146" s="295">
        <f t="shared" si="6"/>
        <v>0</v>
      </c>
      <c r="AA146" s="276"/>
    </row>
    <row r="147" spans="1:27" ht="15" customHeight="1">
      <c r="A147" s="501"/>
      <c r="B147" s="356" t="s">
        <v>905</v>
      </c>
      <c r="C147" s="298">
        <v>0</v>
      </c>
      <c r="D147" s="298">
        <v>0</v>
      </c>
      <c r="E147" s="298">
        <v>0</v>
      </c>
      <c r="F147" s="298">
        <v>0</v>
      </c>
      <c r="G147" s="298">
        <v>0</v>
      </c>
      <c r="H147" s="298">
        <v>0</v>
      </c>
      <c r="I147" s="298">
        <v>0</v>
      </c>
      <c r="J147" s="298">
        <v>0</v>
      </c>
      <c r="K147" s="298">
        <v>0</v>
      </c>
      <c r="L147" s="298">
        <v>0</v>
      </c>
      <c r="M147" s="298">
        <v>0</v>
      </c>
      <c r="N147" s="298">
        <v>0</v>
      </c>
      <c r="O147" s="295">
        <f t="shared" si="6"/>
        <v>0</v>
      </c>
      <c r="AA147" s="276"/>
    </row>
    <row r="148" spans="1:27" ht="15" customHeight="1">
      <c r="A148" s="501"/>
      <c r="B148" s="356" t="s">
        <v>906</v>
      </c>
      <c r="C148" s="298">
        <v>0</v>
      </c>
      <c r="D148" s="298">
        <v>0</v>
      </c>
      <c r="E148" s="298">
        <v>0</v>
      </c>
      <c r="F148" s="298">
        <v>0</v>
      </c>
      <c r="G148" s="298">
        <v>0</v>
      </c>
      <c r="H148" s="298">
        <v>0</v>
      </c>
      <c r="I148" s="298">
        <v>0</v>
      </c>
      <c r="J148" s="298">
        <v>0</v>
      </c>
      <c r="K148" s="298">
        <v>0</v>
      </c>
      <c r="L148" s="298">
        <v>0</v>
      </c>
      <c r="M148" s="298">
        <v>0</v>
      </c>
      <c r="N148" s="298">
        <v>0</v>
      </c>
      <c r="O148" s="295">
        <f t="shared" si="6"/>
        <v>0</v>
      </c>
      <c r="AA148" s="276"/>
    </row>
    <row r="149" spans="1:27" ht="15" customHeight="1" thickBot="1">
      <c r="A149" s="502"/>
      <c r="B149" s="356" t="s">
        <v>907</v>
      </c>
      <c r="C149" s="298">
        <v>0</v>
      </c>
      <c r="D149" s="298">
        <v>0</v>
      </c>
      <c r="E149" s="298">
        <v>0</v>
      </c>
      <c r="F149" s="298">
        <v>0</v>
      </c>
      <c r="G149" s="298">
        <v>0</v>
      </c>
      <c r="H149" s="298">
        <v>0</v>
      </c>
      <c r="I149" s="298">
        <v>0</v>
      </c>
      <c r="J149" s="298">
        <v>0</v>
      </c>
      <c r="K149" s="298">
        <v>0</v>
      </c>
      <c r="L149" s="298">
        <v>0</v>
      </c>
      <c r="M149" s="298">
        <v>0</v>
      </c>
      <c r="N149" s="298">
        <v>0</v>
      </c>
      <c r="O149" s="295">
        <f t="shared" si="6"/>
        <v>0</v>
      </c>
      <c r="AA149" s="276"/>
    </row>
    <row r="150" spans="1:27" ht="15" customHeight="1">
      <c r="A150" s="501" t="s">
        <v>909</v>
      </c>
      <c r="B150" s="356" t="s">
        <v>580</v>
      </c>
      <c r="C150" s="298">
        <v>0</v>
      </c>
      <c r="D150" s="298">
        <v>0</v>
      </c>
      <c r="E150" s="298">
        <v>0</v>
      </c>
      <c r="F150" s="298">
        <v>0</v>
      </c>
      <c r="G150" s="298">
        <v>0</v>
      </c>
      <c r="H150" s="298">
        <v>0</v>
      </c>
      <c r="I150" s="298">
        <v>0</v>
      </c>
      <c r="J150" s="298">
        <v>0</v>
      </c>
      <c r="K150" s="298">
        <v>0</v>
      </c>
      <c r="L150" s="298">
        <v>0</v>
      </c>
      <c r="M150" s="298">
        <v>0</v>
      </c>
      <c r="N150" s="298">
        <v>0</v>
      </c>
      <c r="O150" s="295">
        <f t="shared" si="6"/>
        <v>0</v>
      </c>
      <c r="AA150" s="276"/>
    </row>
    <row r="151" spans="1:27" ht="15" customHeight="1">
      <c r="A151" s="501"/>
      <c r="B151" s="356" t="s">
        <v>581</v>
      </c>
      <c r="C151" s="298">
        <v>0</v>
      </c>
      <c r="D151" s="298">
        <v>0</v>
      </c>
      <c r="E151" s="298">
        <v>0</v>
      </c>
      <c r="F151" s="298">
        <v>0</v>
      </c>
      <c r="G151" s="298">
        <v>0</v>
      </c>
      <c r="H151" s="298">
        <v>0</v>
      </c>
      <c r="I151" s="298">
        <v>0</v>
      </c>
      <c r="J151" s="298">
        <v>0</v>
      </c>
      <c r="K151" s="298">
        <v>0</v>
      </c>
      <c r="L151" s="298">
        <v>0</v>
      </c>
      <c r="M151" s="298">
        <v>0</v>
      </c>
      <c r="N151" s="298">
        <v>0</v>
      </c>
      <c r="O151" s="295">
        <f t="shared" si="6"/>
        <v>0</v>
      </c>
      <c r="AA151" s="276"/>
    </row>
    <row r="152" spans="1:27" ht="15" customHeight="1">
      <c r="A152" s="501"/>
      <c r="B152" s="356" t="s">
        <v>582</v>
      </c>
      <c r="C152" s="298">
        <v>0</v>
      </c>
      <c r="D152" s="298">
        <v>0</v>
      </c>
      <c r="E152" s="298">
        <v>0</v>
      </c>
      <c r="F152" s="298">
        <v>0</v>
      </c>
      <c r="G152" s="298">
        <v>0</v>
      </c>
      <c r="H152" s="298">
        <v>0</v>
      </c>
      <c r="I152" s="298">
        <v>0</v>
      </c>
      <c r="J152" s="298">
        <v>0</v>
      </c>
      <c r="K152" s="298">
        <v>0</v>
      </c>
      <c r="L152" s="298">
        <v>0</v>
      </c>
      <c r="M152" s="298">
        <v>0</v>
      </c>
      <c r="N152" s="298">
        <v>0</v>
      </c>
      <c r="O152" s="295">
        <f t="shared" si="6"/>
        <v>0</v>
      </c>
      <c r="AA152" s="276"/>
    </row>
    <row r="153" spans="1:27" ht="15" customHeight="1">
      <c r="A153" s="501"/>
      <c r="B153" s="356" t="s">
        <v>583</v>
      </c>
      <c r="C153" s="298">
        <v>0</v>
      </c>
      <c r="D153" s="298">
        <v>0</v>
      </c>
      <c r="E153" s="298">
        <v>0</v>
      </c>
      <c r="F153" s="298">
        <v>0</v>
      </c>
      <c r="G153" s="298">
        <v>0</v>
      </c>
      <c r="H153" s="298">
        <v>0</v>
      </c>
      <c r="I153" s="298">
        <v>0</v>
      </c>
      <c r="J153" s="298">
        <v>0</v>
      </c>
      <c r="K153" s="298">
        <v>0</v>
      </c>
      <c r="L153" s="298">
        <v>0</v>
      </c>
      <c r="M153" s="298">
        <v>0</v>
      </c>
      <c r="N153" s="298">
        <v>0</v>
      </c>
      <c r="O153" s="295">
        <f t="shared" si="6"/>
        <v>0</v>
      </c>
      <c r="AA153" s="276"/>
    </row>
    <row r="154" spans="1:27" ht="15" customHeight="1">
      <c r="A154" s="501"/>
      <c r="B154" s="356" t="s">
        <v>584</v>
      </c>
      <c r="C154" s="298">
        <v>0</v>
      </c>
      <c r="D154" s="298">
        <v>0</v>
      </c>
      <c r="E154" s="298">
        <v>0</v>
      </c>
      <c r="F154" s="298">
        <v>0</v>
      </c>
      <c r="G154" s="298">
        <v>0</v>
      </c>
      <c r="H154" s="298">
        <v>0</v>
      </c>
      <c r="I154" s="298">
        <v>0</v>
      </c>
      <c r="J154" s="298">
        <v>0</v>
      </c>
      <c r="K154" s="298">
        <v>0</v>
      </c>
      <c r="L154" s="298">
        <v>0</v>
      </c>
      <c r="M154" s="298">
        <v>0</v>
      </c>
      <c r="N154" s="298">
        <v>0</v>
      </c>
      <c r="O154" s="295">
        <f t="shared" si="6"/>
        <v>0</v>
      </c>
      <c r="AA154" s="276"/>
    </row>
    <row r="155" spans="1:27" ht="15" customHeight="1">
      <c r="A155" s="501"/>
      <c r="B155" s="356" t="s">
        <v>585</v>
      </c>
      <c r="C155" s="298">
        <v>0</v>
      </c>
      <c r="D155" s="298">
        <v>0</v>
      </c>
      <c r="E155" s="298">
        <v>0</v>
      </c>
      <c r="F155" s="298">
        <v>0</v>
      </c>
      <c r="G155" s="298">
        <v>0</v>
      </c>
      <c r="H155" s="298">
        <v>0</v>
      </c>
      <c r="I155" s="298">
        <v>0</v>
      </c>
      <c r="J155" s="298">
        <v>0</v>
      </c>
      <c r="K155" s="298">
        <v>0</v>
      </c>
      <c r="L155" s="298">
        <v>0</v>
      </c>
      <c r="M155" s="298">
        <v>0</v>
      </c>
      <c r="N155" s="298">
        <v>0</v>
      </c>
      <c r="O155" s="295">
        <f t="shared" si="6"/>
        <v>0</v>
      </c>
      <c r="AA155" s="276"/>
    </row>
    <row r="156" spans="1:27" ht="15" customHeight="1">
      <c r="A156" s="501"/>
      <c r="B156" s="356" t="s">
        <v>586</v>
      </c>
      <c r="C156" s="298">
        <v>0</v>
      </c>
      <c r="D156" s="298">
        <v>0</v>
      </c>
      <c r="E156" s="298">
        <v>0</v>
      </c>
      <c r="F156" s="298">
        <v>0</v>
      </c>
      <c r="G156" s="298">
        <v>0</v>
      </c>
      <c r="H156" s="298">
        <v>0</v>
      </c>
      <c r="I156" s="298">
        <v>0</v>
      </c>
      <c r="J156" s="298">
        <v>0</v>
      </c>
      <c r="K156" s="298">
        <v>0</v>
      </c>
      <c r="L156" s="298">
        <v>0</v>
      </c>
      <c r="M156" s="298">
        <v>0</v>
      </c>
      <c r="N156" s="298">
        <v>0</v>
      </c>
      <c r="O156" s="295">
        <f t="shared" si="6"/>
        <v>0</v>
      </c>
      <c r="AA156" s="276"/>
    </row>
    <row r="157" spans="1:27" ht="15" customHeight="1">
      <c r="A157" s="501"/>
      <c r="B157" s="356" t="s">
        <v>587</v>
      </c>
      <c r="C157" s="298">
        <v>0</v>
      </c>
      <c r="D157" s="298">
        <v>0</v>
      </c>
      <c r="E157" s="298">
        <v>0</v>
      </c>
      <c r="F157" s="298">
        <v>0</v>
      </c>
      <c r="G157" s="298">
        <v>0</v>
      </c>
      <c r="H157" s="298">
        <v>0</v>
      </c>
      <c r="I157" s="298">
        <v>0</v>
      </c>
      <c r="J157" s="298">
        <v>0</v>
      </c>
      <c r="K157" s="298">
        <v>0</v>
      </c>
      <c r="L157" s="298">
        <v>0</v>
      </c>
      <c r="M157" s="298">
        <v>0</v>
      </c>
      <c r="N157" s="298">
        <v>0</v>
      </c>
      <c r="O157" s="295">
        <f t="shared" si="6"/>
        <v>0</v>
      </c>
      <c r="AA157" s="276"/>
    </row>
    <row r="158" spans="1:27" ht="15" customHeight="1">
      <c r="A158" s="501"/>
      <c r="B158" s="356" t="s">
        <v>588</v>
      </c>
      <c r="C158" s="298">
        <v>0</v>
      </c>
      <c r="D158" s="298">
        <v>0</v>
      </c>
      <c r="E158" s="298">
        <v>0</v>
      </c>
      <c r="F158" s="298">
        <v>0</v>
      </c>
      <c r="G158" s="298">
        <v>0</v>
      </c>
      <c r="H158" s="298">
        <v>0</v>
      </c>
      <c r="I158" s="298">
        <v>0</v>
      </c>
      <c r="J158" s="298">
        <v>0</v>
      </c>
      <c r="K158" s="298">
        <v>0</v>
      </c>
      <c r="L158" s="298">
        <v>0</v>
      </c>
      <c r="M158" s="298">
        <v>0</v>
      </c>
      <c r="N158" s="298">
        <v>0</v>
      </c>
      <c r="O158" s="295">
        <f t="shared" si="6"/>
        <v>0</v>
      </c>
      <c r="AA158" s="276"/>
    </row>
    <row r="159" spans="1:27" ht="15" customHeight="1">
      <c r="A159" s="501"/>
      <c r="B159" s="356" t="s">
        <v>589</v>
      </c>
      <c r="C159" s="298">
        <v>0</v>
      </c>
      <c r="D159" s="298">
        <v>0</v>
      </c>
      <c r="E159" s="298">
        <v>0</v>
      </c>
      <c r="F159" s="298">
        <v>0</v>
      </c>
      <c r="G159" s="298">
        <v>0</v>
      </c>
      <c r="H159" s="298">
        <v>0</v>
      </c>
      <c r="I159" s="298">
        <v>0</v>
      </c>
      <c r="J159" s="298">
        <v>0</v>
      </c>
      <c r="K159" s="298">
        <v>0</v>
      </c>
      <c r="L159" s="298">
        <v>0</v>
      </c>
      <c r="M159" s="298">
        <v>0</v>
      </c>
      <c r="N159" s="298">
        <v>0</v>
      </c>
      <c r="O159" s="295">
        <f t="shared" si="6"/>
        <v>0</v>
      </c>
      <c r="AA159" s="276"/>
    </row>
    <row r="160" spans="1:27" ht="15" customHeight="1">
      <c r="A160" s="501"/>
      <c r="B160" s="356" t="s">
        <v>590</v>
      </c>
      <c r="C160" s="298">
        <v>0</v>
      </c>
      <c r="D160" s="298">
        <v>0</v>
      </c>
      <c r="E160" s="298">
        <v>0</v>
      </c>
      <c r="F160" s="298">
        <v>0</v>
      </c>
      <c r="G160" s="298">
        <v>0</v>
      </c>
      <c r="H160" s="298">
        <v>0</v>
      </c>
      <c r="I160" s="298">
        <v>0</v>
      </c>
      <c r="J160" s="298">
        <v>0</v>
      </c>
      <c r="K160" s="298">
        <v>0</v>
      </c>
      <c r="L160" s="298">
        <v>0</v>
      </c>
      <c r="M160" s="298">
        <v>0</v>
      </c>
      <c r="N160" s="298">
        <v>0</v>
      </c>
      <c r="O160" s="295">
        <f t="shared" si="6"/>
        <v>0</v>
      </c>
      <c r="AA160" s="276"/>
    </row>
    <row r="161" spans="1:27" ht="15" customHeight="1">
      <c r="A161" s="501"/>
      <c r="B161" s="356" t="s">
        <v>591</v>
      </c>
      <c r="C161" s="298">
        <v>0</v>
      </c>
      <c r="D161" s="298">
        <v>0</v>
      </c>
      <c r="E161" s="298">
        <v>0</v>
      </c>
      <c r="F161" s="298">
        <v>0</v>
      </c>
      <c r="G161" s="298">
        <v>0</v>
      </c>
      <c r="H161" s="298">
        <v>0</v>
      </c>
      <c r="I161" s="298">
        <v>0</v>
      </c>
      <c r="J161" s="298">
        <v>0</v>
      </c>
      <c r="K161" s="298">
        <v>0</v>
      </c>
      <c r="L161" s="298">
        <v>0</v>
      </c>
      <c r="M161" s="298">
        <v>0</v>
      </c>
      <c r="N161" s="298">
        <v>0</v>
      </c>
      <c r="O161" s="295">
        <f t="shared" si="6"/>
        <v>0</v>
      </c>
      <c r="AA161" s="276"/>
    </row>
    <row r="162" spans="1:27" ht="15" customHeight="1">
      <c r="A162" s="501"/>
      <c r="B162" s="356" t="s">
        <v>592</v>
      </c>
      <c r="C162" s="298">
        <v>0</v>
      </c>
      <c r="D162" s="298">
        <v>0</v>
      </c>
      <c r="E162" s="298">
        <v>0</v>
      </c>
      <c r="F162" s="298">
        <v>0</v>
      </c>
      <c r="G162" s="298">
        <v>0</v>
      </c>
      <c r="H162" s="298">
        <v>0</v>
      </c>
      <c r="I162" s="298">
        <v>0</v>
      </c>
      <c r="J162" s="298">
        <v>0</v>
      </c>
      <c r="K162" s="298">
        <v>0</v>
      </c>
      <c r="L162" s="298">
        <v>0</v>
      </c>
      <c r="M162" s="298">
        <v>0</v>
      </c>
      <c r="N162" s="298">
        <v>0</v>
      </c>
      <c r="O162" s="295">
        <f t="shared" si="6"/>
        <v>0</v>
      </c>
      <c r="AA162" s="276"/>
    </row>
    <row r="163" spans="1:27" ht="15" customHeight="1">
      <c r="A163" s="501"/>
      <c r="B163" s="356" t="s">
        <v>593</v>
      </c>
      <c r="C163" s="298">
        <v>0</v>
      </c>
      <c r="D163" s="298">
        <v>0</v>
      </c>
      <c r="E163" s="298">
        <v>0</v>
      </c>
      <c r="F163" s="298">
        <v>0</v>
      </c>
      <c r="G163" s="298">
        <v>0</v>
      </c>
      <c r="H163" s="298">
        <v>0</v>
      </c>
      <c r="I163" s="298">
        <v>0</v>
      </c>
      <c r="J163" s="298">
        <v>0</v>
      </c>
      <c r="K163" s="298">
        <v>0</v>
      </c>
      <c r="L163" s="298">
        <v>0</v>
      </c>
      <c r="M163" s="298">
        <v>0</v>
      </c>
      <c r="N163" s="298">
        <v>0</v>
      </c>
      <c r="O163" s="295">
        <f t="shared" si="6"/>
        <v>0</v>
      </c>
      <c r="AA163" s="276"/>
    </row>
    <row r="164" spans="1:27" ht="15" customHeight="1">
      <c r="A164" s="501"/>
      <c r="B164" s="356" t="s">
        <v>594</v>
      </c>
      <c r="C164" s="298">
        <v>0</v>
      </c>
      <c r="D164" s="298">
        <v>0</v>
      </c>
      <c r="E164" s="298">
        <v>0</v>
      </c>
      <c r="F164" s="298">
        <v>0</v>
      </c>
      <c r="G164" s="298">
        <v>0</v>
      </c>
      <c r="H164" s="298">
        <v>0</v>
      </c>
      <c r="I164" s="298">
        <v>0</v>
      </c>
      <c r="J164" s="298">
        <v>0</v>
      </c>
      <c r="K164" s="298">
        <v>0</v>
      </c>
      <c r="L164" s="298">
        <v>0</v>
      </c>
      <c r="M164" s="298">
        <v>0</v>
      </c>
      <c r="N164" s="298">
        <v>0</v>
      </c>
      <c r="O164" s="295">
        <f t="shared" si="6"/>
        <v>0</v>
      </c>
      <c r="AA164" s="276"/>
    </row>
    <row r="165" spans="1:27" ht="15" customHeight="1">
      <c r="A165" s="501"/>
      <c r="B165" s="356" t="s">
        <v>595</v>
      </c>
      <c r="C165" s="298">
        <v>0</v>
      </c>
      <c r="D165" s="298">
        <v>0</v>
      </c>
      <c r="E165" s="298">
        <v>0</v>
      </c>
      <c r="F165" s="298">
        <v>0</v>
      </c>
      <c r="G165" s="298">
        <v>0</v>
      </c>
      <c r="H165" s="298">
        <v>0</v>
      </c>
      <c r="I165" s="298">
        <v>0</v>
      </c>
      <c r="J165" s="298">
        <v>0</v>
      </c>
      <c r="K165" s="298">
        <v>0</v>
      </c>
      <c r="L165" s="298">
        <v>0</v>
      </c>
      <c r="M165" s="298">
        <v>0</v>
      </c>
      <c r="N165" s="298">
        <v>0</v>
      </c>
      <c r="O165" s="295">
        <f t="shared" si="6"/>
        <v>0</v>
      </c>
      <c r="AA165" s="276"/>
    </row>
    <row r="166" spans="1:27" ht="15" customHeight="1">
      <c r="A166" s="501"/>
      <c r="B166" s="356" t="s">
        <v>596</v>
      </c>
      <c r="C166" s="298">
        <v>0</v>
      </c>
      <c r="D166" s="298">
        <v>0</v>
      </c>
      <c r="E166" s="298">
        <v>0</v>
      </c>
      <c r="F166" s="298">
        <v>0</v>
      </c>
      <c r="G166" s="298">
        <v>0</v>
      </c>
      <c r="H166" s="298">
        <v>0</v>
      </c>
      <c r="I166" s="298">
        <v>0</v>
      </c>
      <c r="J166" s="298">
        <v>0</v>
      </c>
      <c r="K166" s="298">
        <v>0</v>
      </c>
      <c r="L166" s="298">
        <v>0</v>
      </c>
      <c r="M166" s="298">
        <v>0</v>
      </c>
      <c r="N166" s="298">
        <v>0</v>
      </c>
      <c r="O166" s="295">
        <f t="shared" si="6"/>
        <v>0</v>
      </c>
      <c r="AA166" s="276"/>
    </row>
    <row r="167" spans="1:27" ht="15" customHeight="1">
      <c r="A167" s="501"/>
      <c r="B167" s="356" t="s">
        <v>902</v>
      </c>
      <c r="C167" s="298">
        <v>0</v>
      </c>
      <c r="D167" s="298">
        <v>0</v>
      </c>
      <c r="E167" s="298">
        <v>0</v>
      </c>
      <c r="F167" s="298">
        <v>0</v>
      </c>
      <c r="G167" s="298">
        <v>0</v>
      </c>
      <c r="H167" s="298">
        <v>0</v>
      </c>
      <c r="I167" s="298">
        <v>0</v>
      </c>
      <c r="J167" s="298">
        <v>0</v>
      </c>
      <c r="K167" s="298">
        <v>0</v>
      </c>
      <c r="L167" s="298">
        <v>0</v>
      </c>
      <c r="M167" s="298">
        <v>0</v>
      </c>
      <c r="N167" s="298">
        <v>0</v>
      </c>
      <c r="O167" s="295">
        <f t="shared" si="6"/>
        <v>0</v>
      </c>
      <c r="AA167" s="276"/>
    </row>
    <row r="168" spans="1:27" ht="15" customHeight="1">
      <c r="A168" s="501"/>
      <c r="B168" s="356" t="s">
        <v>903</v>
      </c>
      <c r="C168" s="298">
        <v>0</v>
      </c>
      <c r="D168" s="298">
        <v>0</v>
      </c>
      <c r="E168" s="298">
        <v>0</v>
      </c>
      <c r="F168" s="298">
        <v>0</v>
      </c>
      <c r="G168" s="298">
        <v>0</v>
      </c>
      <c r="H168" s="298">
        <v>0</v>
      </c>
      <c r="I168" s="298">
        <v>0</v>
      </c>
      <c r="J168" s="298">
        <v>0</v>
      </c>
      <c r="K168" s="298">
        <v>0</v>
      </c>
      <c r="L168" s="298">
        <v>0</v>
      </c>
      <c r="M168" s="298">
        <v>0</v>
      </c>
      <c r="N168" s="298">
        <v>0</v>
      </c>
      <c r="O168" s="295">
        <f t="shared" si="6"/>
        <v>0</v>
      </c>
      <c r="AA168" s="276"/>
    </row>
    <row r="169" spans="1:27" ht="15" customHeight="1">
      <c r="A169" s="501"/>
      <c r="B169" s="356" t="s">
        <v>904</v>
      </c>
      <c r="C169" s="298">
        <v>0</v>
      </c>
      <c r="D169" s="298">
        <v>0</v>
      </c>
      <c r="E169" s="298">
        <v>0</v>
      </c>
      <c r="F169" s="298">
        <v>0</v>
      </c>
      <c r="G169" s="298">
        <v>0</v>
      </c>
      <c r="H169" s="298">
        <v>0</v>
      </c>
      <c r="I169" s="298">
        <v>0</v>
      </c>
      <c r="J169" s="298">
        <v>0</v>
      </c>
      <c r="K169" s="298">
        <v>0</v>
      </c>
      <c r="L169" s="298">
        <v>0</v>
      </c>
      <c r="M169" s="298">
        <v>0</v>
      </c>
      <c r="N169" s="298">
        <v>0</v>
      </c>
      <c r="O169" s="295">
        <f t="shared" si="6"/>
        <v>0</v>
      </c>
      <c r="AA169" s="276"/>
    </row>
    <row r="170" spans="1:27" ht="15" customHeight="1" thickBot="1">
      <c r="A170" s="502"/>
      <c r="B170" s="358" t="s">
        <v>905</v>
      </c>
      <c r="C170" s="298">
        <v>0</v>
      </c>
      <c r="D170" s="298">
        <v>0</v>
      </c>
      <c r="E170" s="298">
        <v>0</v>
      </c>
      <c r="F170" s="298">
        <v>0</v>
      </c>
      <c r="G170" s="298">
        <v>0</v>
      </c>
      <c r="H170" s="298">
        <v>0</v>
      </c>
      <c r="I170" s="298">
        <v>0</v>
      </c>
      <c r="J170" s="298">
        <v>0</v>
      </c>
      <c r="K170" s="298">
        <v>0</v>
      </c>
      <c r="L170" s="298">
        <v>0</v>
      </c>
      <c r="M170" s="298">
        <v>0</v>
      </c>
      <c r="N170" s="298">
        <v>0</v>
      </c>
      <c r="O170" s="295">
        <f t="shared" si="6"/>
        <v>0</v>
      </c>
      <c r="AA170" s="276"/>
    </row>
    <row r="171" spans="1:27" ht="15" customHeight="1" thickBot="1">
      <c r="A171" s="506" t="s">
        <v>755</v>
      </c>
      <c r="B171" s="507"/>
      <c r="C171" s="296"/>
      <c r="D171" s="296"/>
      <c r="E171" s="296"/>
      <c r="F171" s="296"/>
      <c r="G171" s="296"/>
      <c r="H171" s="296"/>
      <c r="I171" s="296"/>
      <c r="J171" s="296"/>
      <c r="K171" s="296"/>
      <c r="L171" s="296"/>
      <c r="M171" s="296"/>
      <c r="N171" s="296"/>
      <c r="O171" s="512"/>
      <c r="AA171" s="276"/>
    </row>
    <row r="172" spans="1:27" ht="15" customHeight="1" thickBot="1">
      <c r="A172" s="506" t="s">
        <v>754</v>
      </c>
      <c r="B172" s="507"/>
      <c r="C172" s="296">
        <f>+AVERAGE(C127:C170)</f>
        <v>0</v>
      </c>
      <c r="D172" s="296">
        <f t="shared" ref="D172:N172" si="7">+AVERAGE(D127:D170)</f>
        <v>0</v>
      </c>
      <c r="E172" s="296">
        <f t="shared" si="7"/>
        <v>0</v>
      </c>
      <c r="F172" s="296">
        <f t="shared" si="7"/>
        <v>0</v>
      </c>
      <c r="G172" s="296">
        <f t="shared" si="7"/>
        <v>0</v>
      </c>
      <c r="H172" s="296">
        <f t="shared" si="7"/>
        <v>0</v>
      </c>
      <c r="I172" s="296">
        <f t="shared" si="7"/>
        <v>0</v>
      </c>
      <c r="J172" s="296">
        <f t="shared" si="7"/>
        <v>0</v>
      </c>
      <c r="K172" s="296">
        <f t="shared" si="7"/>
        <v>0</v>
      </c>
      <c r="L172" s="296">
        <f t="shared" si="7"/>
        <v>0</v>
      </c>
      <c r="M172" s="296">
        <f t="shared" si="7"/>
        <v>0</v>
      </c>
      <c r="N172" s="296">
        <f t="shared" si="7"/>
        <v>0</v>
      </c>
      <c r="O172" s="513"/>
      <c r="AA172" s="276"/>
    </row>
    <row r="173" spans="1:27" ht="15" customHeight="1" thickBot="1">
      <c r="A173" s="506" t="s">
        <v>758</v>
      </c>
      <c r="B173" s="515"/>
      <c r="C173" s="516">
        <f>+AVERAGE(C172:N172)</f>
        <v>0</v>
      </c>
      <c r="D173" s="517"/>
      <c r="E173" s="517"/>
      <c r="F173" s="517"/>
      <c r="G173" s="517"/>
      <c r="H173" s="517"/>
      <c r="I173" s="517"/>
      <c r="J173" s="517"/>
      <c r="K173" s="517"/>
      <c r="L173" s="517"/>
      <c r="M173" s="517"/>
      <c r="N173" s="518"/>
      <c r="O173" s="514"/>
      <c r="AA173" s="276"/>
    </row>
    <row r="174" spans="1:27" ht="15" customHeight="1">
      <c r="A174" s="500" t="s">
        <v>916</v>
      </c>
      <c r="B174" s="359" t="s">
        <v>597</v>
      </c>
      <c r="C174" s="301">
        <v>0</v>
      </c>
      <c r="D174" s="301">
        <v>0</v>
      </c>
      <c r="E174" s="301">
        <v>0</v>
      </c>
      <c r="F174" s="301">
        <v>0</v>
      </c>
      <c r="G174" s="301">
        <v>0</v>
      </c>
      <c r="H174" s="301">
        <v>0</v>
      </c>
      <c r="I174" s="301">
        <v>0</v>
      </c>
      <c r="J174" s="301">
        <v>0</v>
      </c>
      <c r="K174" s="301">
        <v>0</v>
      </c>
      <c r="L174" s="301">
        <v>0</v>
      </c>
      <c r="M174" s="301">
        <v>0</v>
      </c>
      <c r="N174" s="301">
        <v>0</v>
      </c>
      <c r="O174" s="293">
        <f>+AVERAGE(C174:N174)</f>
        <v>0</v>
      </c>
      <c r="AA174" s="276"/>
    </row>
    <row r="175" spans="1:27" ht="15" customHeight="1">
      <c r="A175" s="501"/>
      <c r="B175" s="356" t="s">
        <v>598</v>
      </c>
      <c r="C175" s="302">
        <v>0</v>
      </c>
      <c r="D175" s="302">
        <v>0</v>
      </c>
      <c r="E175" s="302">
        <v>0</v>
      </c>
      <c r="F175" s="302">
        <v>0</v>
      </c>
      <c r="G175" s="302">
        <v>0</v>
      </c>
      <c r="H175" s="302">
        <v>0</v>
      </c>
      <c r="I175" s="302">
        <v>0</v>
      </c>
      <c r="J175" s="302">
        <v>0</v>
      </c>
      <c r="K175" s="302">
        <v>0</v>
      </c>
      <c r="L175" s="302">
        <v>0</v>
      </c>
      <c r="M175" s="302">
        <v>0</v>
      </c>
      <c r="N175" s="302">
        <v>0</v>
      </c>
      <c r="O175" s="308"/>
      <c r="AA175" s="276"/>
    </row>
    <row r="176" spans="1:27" ht="15" customHeight="1">
      <c r="A176" s="501"/>
      <c r="B176" s="356" t="s">
        <v>599</v>
      </c>
      <c r="C176" s="302">
        <v>0</v>
      </c>
      <c r="D176" s="302">
        <v>0</v>
      </c>
      <c r="E176" s="302">
        <v>0</v>
      </c>
      <c r="F176" s="302">
        <v>0</v>
      </c>
      <c r="G176" s="302">
        <v>0</v>
      </c>
      <c r="H176" s="302">
        <v>0</v>
      </c>
      <c r="I176" s="302">
        <v>0</v>
      </c>
      <c r="J176" s="302">
        <v>0</v>
      </c>
      <c r="K176" s="302">
        <v>0</v>
      </c>
      <c r="L176" s="302">
        <v>0</v>
      </c>
      <c r="M176" s="302">
        <v>0</v>
      </c>
      <c r="N176" s="302">
        <v>0</v>
      </c>
      <c r="O176" s="308"/>
      <c r="AA176" s="276"/>
    </row>
    <row r="177" spans="1:27" ht="15" customHeight="1">
      <c r="A177" s="501"/>
      <c r="B177" s="356" t="s">
        <v>600</v>
      </c>
      <c r="C177" s="302">
        <v>0</v>
      </c>
      <c r="D177" s="302">
        <v>0</v>
      </c>
      <c r="E177" s="302">
        <v>0</v>
      </c>
      <c r="F177" s="302">
        <v>0</v>
      </c>
      <c r="G177" s="302">
        <v>0</v>
      </c>
      <c r="H177" s="302">
        <v>0</v>
      </c>
      <c r="I177" s="302">
        <v>0</v>
      </c>
      <c r="J177" s="302">
        <v>0</v>
      </c>
      <c r="K177" s="302">
        <v>0</v>
      </c>
      <c r="L177" s="302">
        <v>0</v>
      </c>
      <c r="M177" s="302">
        <v>0</v>
      </c>
      <c r="N177" s="302">
        <v>0</v>
      </c>
      <c r="O177" s="308"/>
      <c r="AA177" s="276"/>
    </row>
    <row r="178" spans="1:27" ht="15" customHeight="1">
      <c r="A178" s="501"/>
      <c r="B178" s="356" t="s">
        <v>601</v>
      </c>
      <c r="C178" s="302">
        <v>0</v>
      </c>
      <c r="D178" s="302">
        <v>0</v>
      </c>
      <c r="E178" s="302">
        <v>0</v>
      </c>
      <c r="F178" s="302">
        <v>0</v>
      </c>
      <c r="G178" s="302">
        <v>0</v>
      </c>
      <c r="H178" s="302">
        <v>0</v>
      </c>
      <c r="I178" s="302">
        <v>0</v>
      </c>
      <c r="J178" s="302">
        <v>0</v>
      </c>
      <c r="K178" s="302">
        <v>0</v>
      </c>
      <c r="L178" s="302">
        <v>0</v>
      </c>
      <c r="M178" s="302">
        <v>0</v>
      </c>
      <c r="N178" s="302">
        <v>0</v>
      </c>
      <c r="O178" s="308"/>
      <c r="AA178" s="276"/>
    </row>
    <row r="179" spans="1:27" ht="15" customHeight="1">
      <c r="A179" s="501"/>
      <c r="B179" s="356" t="s">
        <v>602</v>
      </c>
      <c r="C179" s="302">
        <v>0</v>
      </c>
      <c r="D179" s="302">
        <v>0</v>
      </c>
      <c r="E179" s="302">
        <v>0</v>
      </c>
      <c r="F179" s="302">
        <v>0</v>
      </c>
      <c r="G179" s="302">
        <v>0</v>
      </c>
      <c r="H179" s="302">
        <v>0</v>
      </c>
      <c r="I179" s="302">
        <v>0</v>
      </c>
      <c r="J179" s="302">
        <v>0</v>
      </c>
      <c r="K179" s="302">
        <v>0</v>
      </c>
      <c r="L179" s="302">
        <v>0</v>
      </c>
      <c r="M179" s="302">
        <v>0</v>
      </c>
      <c r="N179" s="302">
        <v>0</v>
      </c>
      <c r="O179" s="308"/>
      <c r="AA179" s="276"/>
    </row>
    <row r="180" spans="1:27" ht="15" customHeight="1">
      <c r="A180" s="501"/>
      <c r="B180" s="356" t="s">
        <v>603</v>
      </c>
      <c r="C180" s="302">
        <v>0</v>
      </c>
      <c r="D180" s="302">
        <v>0</v>
      </c>
      <c r="E180" s="302">
        <v>0</v>
      </c>
      <c r="F180" s="302">
        <v>0</v>
      </c>
      <c r="G180" s="302">
        <v>0</v>
      </c>
      <c r="H180" s="302">
        <v>0</v>
      </c>
      <c r="I180" s="302">
        <v>0</v>
      </c>
      <c r="J180" s="302">
        <v>0</v>
      </c>
      <c r="K180" s="302">
        <v>0</v>
      </c>
      <c r="L180" s="302">
        <v>0</v>
      </c>
      <c r="M180" s="302">
        <v>0</v>
      </c>
      <c r="N180" s="302">
        <v>0</v>
      </c>
      <c r="O180" s="308"/>
      <c r="AA180" s="276"/>
    </row>
    <row r="181" spans="1:27" ht="15" customHeight="1">
      <c r="A181" s="501"/>
      <c r="B181" s="356" t="s">
        <v>604</v>
      </c>
      <c r="C181" s="302">
        <v>0</v>
      </c>
      <c r="D181" s="302">
        <v>0</v>
      </c>
      <c r="E181" s="302">
        <v>0</v>
      </c>
      <c r="F181" s="302">
        <v>0</v>
      </c>
      <c r="G181" s="302">
        <v>0</v>
      </c>
      <c r="H181" s="302">
        <v>0</v>
      </c>
      <c r="I181" s="302">
        <v>0</v>
      </c>
      <c r="J181" s="302">
        <v>0</v>
      </c>
      <c r="K181" s="302">
        <v>0</v>
      </c>
      <c r="L181" s="302">
        <v>0</v>
      </c>
      <c r="M181" s="302">
        <v>0</v>
      </c>
      <c r="N181" s="302">
        <v>0</v>
      </c>
      <c r="O181" s="308"/>
      <c r="AA181" s="276"/>
    </row>
    <row r="182" spans="1:27" ht="15" customHeight="1">
      <c r="A182" s="501"/>
      <c r="B182" s="356" t="s">
        <v>605</v>
      </c>
      <c r="C182" s="302">
        <v>0</v>
      </c>
      <c r="D182" s="302">
        <v>0</v>
      </c>
      <c r="E182" s="302">
        <v>0</v>
      </c>
      <c r="F182" s="302">
        <v>0</v>
      </c>
      <c r="G182" s="302">
        <v>0</v>
      </c>
      <c r="H182" s="302">
        <v>0</v>
      </c>
      <c r="I182" s="302">
        <v>0</v>
      </c>
      <c r="J182" s="302">
        <v>0</v>
      </c>
      <c r="K182" s="302">
        <v>0</v>
      </c>
      <c r="L182" s="302">
        <v>0</v>
      </c>
      <c r="M182" s="302">
        <v>0</v>
      </c>
      <c r="N182" s="302">
        <v>0</v>
      </c>
      <c r="O182" s="308"/>
      <c r="AA182" s="276"/>
    </row>
    <row r="183" spans="1:27" ht="15" customHeight="1">
      <c r="A183" s="501"/>
      <c r="B183" s="356" t="s">
        <v>606</v>
      </c>
      <c r="C183" s="302">
        <v>0</v>
      </c>
      <c r="D183" s="302">
        <v>0</v>
      </c>
      <c r="E183" s="302">
        <v>0</v>
      </c>
      <c r="F183" s="302">
        <v>0</v>
      </c>
      <c r="G183" s="302">
        <v>0</v>
      </c>
      <c r="H183" s="302">
        <v>0</v>
      </c>
      <c r="I183" s="302">
        <v>0</v>
      </c>
      <c r="J183" s="302">
        <v>0</v>
      </c>
      <c r="K183" s="302">
        <v>0</v>
      </c>
      <c r="L183" s="302">
        <v>0</v>
      </c>
      <c r="M183" s="302">
        <v>0</v>
      </c>
      <c r="N183" s="302">
        <v>0</v>
      </c>
      <c r="O183" s="295">
        <f t="shared" ref="O183:O217" si="8">+AVERAGE(C183:N183)</f>
        <v>0</v>
      </c>
      <c r="AA183" s="276"/>
    </row>
    <row r="184" spans="1:27" ht="15" customHeight="1">
      <c r="A184" s="501"/>
      <c r="B184" s="356" t="s">
        <v>607</v>
      </c>
      <c r="C184" s="302">
        <v>0</v>
      </c>
      <c r="D184" s="302">
        <v>0</v>
      </c>
      <c r="E184" s="302">
        <v>0</v>
      </c>
      <c r="F184" s="302">
        <v>0</v>
      </c>
      <c r="G184" s="302">
        <v>0</v>
      </c>
      <c r="H184" s="302">
        <v>0</v>
      </c>
      <c r="I184" s="302">
        <v>0</v>
      </c>
      <c r="J184" s="302">
        <v>0</v>
      </c>
      <c r="K184" s="302">
        <v>0</v>
      </c>
      <c r="L184" s="302">
        <v>0</v>
      </c>
      <c r="M184" s="302">
        <v>0</v>
      </c>
      <c r="N184" s="302">
        <v>0</v>
      </c>
      <c r="O184" s="295">
        <f t="shared" si="8"/>
        <v>0</v>
      </c>
      <c r="AA184" s="276"/>
    </row>
    <row r="185" spans="1:27" ht="15" customHeight="1">
      <c r="A185" s="501"/>
      <c r="B185" s="356" t="s">
        <v>608</v>
      </c>
      <c r="C185" s="302">
        <v>0</v>
      </c>
      <c r="D185" s="302">
        <v>0</v>
      </c>
      <c r="E185" s="302">
        <v>0</v>
      </c>
      <c r="F185" s="302">
        <v>0</v>
      </c>
      <c r="G185" s="302">
        <v>0</v>
      </c>
      <c r="H185" s="302">
        <v>0</v>
      </c>
      <c r="I185" s="302">
        <v>0</v>
      </c>
      <c r="J185" s="302">
        <v>0</v>
      </c>
      <c r="K185" s="302">
        <v>0</v>
      </c>
      <c r="L185" s="302">
        <v>0</v>
      </c>
      <c r="M185" s="302">
        <v>0</v>
      </c>
      <c r="N185" s="302">
        <v>0</v>
      </c>
      <c r="O185" s="295">
        <f t="shared" si="8"/>
        <v>0</v>
      </c>
      <c r="AA185" s="276"/>
    </row>
    <row r="186" spans="1:27" ht="15" customHeight="1">
      <c r="A186" s="501"/>
      <c r="B186" s="356" t="s">
        <v>609</v>
      </c>
      <c r="C186" s="302">
        <v>0</v>
      </c>
      <c r="D186" s="302">
        <v>0</v>
      </c>
      <c r="E186" s="302">
        <v>0</v>
      </c>
      <c r="F186" s="302">
        <v>0</v>
      </c>
      <c r="G186" s="302">
        <v>0</v>
      </c>
      <c r="H186" s="302">
        <v>0</v>
      </c>
      <c r="I186" s="302">
        <v>0</v>
      </c>
      <c r="J186" s="302">
        <v>0</v>
      </c>
      <c r="K186" s="302">
        <v>0</v>
      </c>
      <c r="L186" s="302">
        <v>0</v>
      </c>
      <c r="M186" s="302">
        <v>0</v>
      </c>
      <c r="N186" s="302">
        <v>0</v>
      </c>
      <c r="O186" s="295">
        <f t="shared" si="8"/>
        <v>0</v>
      </c>
      <c r="AA186" s="276"/>
    </row>
    <row r="187" spans="1:27" ht="15" customHeight="1">
      <c r="A187" s="501"/>
      <c r="B187" s="356" t="s">
        <v>610</v>
      </c>
      <c r="C187" s="302">
        <v>0</v>
      </c>
      <c r="D187" s="302">
        <v>0</v>
      </c>
      <c r="E187" s="302">
        <v>0</v>
      </c>
      <c r="F187" s="302">
        <v>0</v>
      </c>
      <c r="G187" s="302">
        <v>0</v>
      </c>
      <c r="H187" s="302">
        <v>0</v>
      </c>
      <c r="I187" s="302">
        <v>0</v>
      </c>
      <c r="J187" s="302">
        <v>0</v>
      </c>
      <c r="K187" s="302">
        <v>0</v>
      </c>
      <c r="L187" s="302">
        <v>0</v>
      </c>
      <c r="M187" s="302">
        <v>0</v>
      </c>
      <c r="N187" s="302">
        <v>0</v>
      </c>
      <c r="O187" s="295">
        <f t="shared" si="8"/>
        <v>0</v>
      </c>
      <c r="AA187" s="276"/>
    </row>
    <row r="188" spans="1:27" ht="15" customHeight="1">
      <c r="A188" s="501"/>
      <c r="B188" s="356" t="s">
        <v>611</v>
      </c>
      <c r="C188" s="302">
        <v>0</v>
      </c>
      <c r="D188" s="302">
        <v>0</v>
      </c>
      <c r="E188" s="302">
        <v>0</v>
      </c>
      <c r="F188" s="302">
        <v>0</v>
      </c>
      <c r="G188" s="302">
        <v>0</v>
      </c>
      <c r="H188" s="302">
        <v>0</v>
      </c>
      <c r="I188" s="302">
        <v>0</v>
      </c>
      <c r="J188" s="302">
        <v>0</v>
      </c>
      <c r="K188" s="302">
        <v>0</v>
      </c>
      <c r="L188" s="302">
        <v>0</v>
      </c>
      <c r="M188" s="302">
        <v>0</v>
      </c>
      <c r="N188" s="302">
        <v>0</v>
      </c>
      <c r="O188" s="295">
        <f t="shared" si="8"/>
        <v>0</v>
      </c>
      <c r="AA188" s="276"/>
    </row>
    <row r="189" spans="1:27" ht="15" customHeight="1">
      <c r="A189" s="501"/>
      <c r="B189" s="356" t="s">
        <v>612</v>
      </c>
      <c r="C189" s="302">
        <v>0</v>
      </c>
      <c r="D189" s="302">
        <v>0</v>
      </c>
      <c r="E189" s="302">
        <v>0</v>
      </c>
      <c r="F189" s="302">
        <v>0</v>
      </c>
      <c r="G189" s="302">
        <v>0</v>
      </c>
      <c r="H189" s="302">
        <v>0</v>
      </c>
      <c r="I189" s="302">
        <v>0</v>
      </c>
      <c r="J189" s="302">
        <v>0</v>
      </c>
      <c r="K189" s="302">
        <v>0</v>
      </c>
      <c r="L189" s="302">
        <v>0</v>
      </c>
      <c r="M189" s="302">
        <v>0</v>
      </c>
      <c r="N189" s="302">
        <v>0</v>
      </c>
      <c r="O189" s="295">
        <f t="shared" si="8"/>
        <v>0</v>
      </c>
      <c r="AA189" s="276"/>
    </row>
    <row r="190" spans="1:27" ht="15" customHeight="1">
      <c r="A190" s="501"/>
      <c r="B190" s="356" t="s">
        <v>613</v>
      </c>
      <c r="C190" s="302">
        <v>0</v>
      </c>
      <c r="D190" s="302">
        <v>0</v>
      </c>
      <c r="E190" s="302">
        <v>0</v>
      </c>
      <c r="F190" s="302">
        <v>0</v>
      </c>
      <c r="G190" s="302">
        <v>0</v>
      </c>
      <c r="H190" s="302">
        <v>0</v>
      </c>
      <c r="I190" s="302">
        <v>0</v>
      </c>
      <c r="J190" s="302">
        <v>0</v>
      </c>
      <c r="K190" s="302">
        <v>0</v>
      </c>
      <c r="L190" s="302">
        <v>0</v>
      </c>
      <c r="M190" s="302">
        <v>0</v>
      </c>
      <c r="N190" s="302">
        <v>0</v>
      </c>
      <c r="O190" s="295">
        <f t="shared" si="8"/>
        <v>0</v>
      </c>
      <c r="AA190" s="276"/>
    </row>
    <row r="191" spans="1:27" ht="15" customHeight="1">
      <c r="A191" s="501"/>
      <c r="B191" s="356" t="s">
        <v>910</v>
      </c>
      <c r="C191" s="302">
        <v>0</v>
      </c>
      <c r="D191" s="302">
        <v>0</v>
      </c>
      <c r="E191" s="302">
        <v>0</v>
      </c>
      <c r="F191" s="302">
        <v>0</v>
      </c>
      <c r="G191" s="302">
        <v>0</v>
      </c>
      <c r="H191" s="302">
        <v>0</v>
      </c>
      <c r="I191" s="302">
        <v>0</v>
      </c>
      <c r="J191" s="302">
        <v>0</v>
      </c>
      <c r="K191" s="302">
        <v>0</v>
      </c>
      <c r="L191" s="302">
        <v>0</v>
      </c>
      <c r="M191" s="302">
        <v>0</v>
      </c>
      <c r="N191" s="302">
        <v>0</v>
      </c>
      <c r="O191" s="295">
        <f t="shared" si="8"/>
        <v>0</v>
      </c>
      <c r="AA191" s="276"/>
    </row>
    <row r="192" spans="1:27" ht="15" customHeight="1">
      <c r="A192" s="501"/>
      <c r="B192" s="356" t="s">
        <v>911</v>
      </c>
      <c r="C192" s="302">
        <v>0</v>
      </c>
      <c r="D192" s="302">
        <v>0</v>
      </c>
      <c r="E192" s="302">
        <v>0</v>
      </c>
      <c r="F192" s="302">
        <v>0</v>
      </c>
      <c r="G192" s="302">
        <v>0</v>
      </c>
      <c r="H192" s="302">
        <v>0</v>
      </c>
      <c r="I192" s="302">
        <v>0</v>
      </c>
      <c r="J192" s="302">
        <v>0</v>
      </c>
      <c r="K192" s="302">
        <v>0</v>
      </c>
      <c r="L192" s="302">
        <v>0</v>
      </c>
      <c r="M192" s="302">
        <v>0</v>
      </c>
      <c r="N192" s="302">
        <v>0</v>
      </c>
      <c r="O192" s="295">
        <f t="shared" si="8"/>
        <v>0</v>
      </c>
      <c r="AA192" s="276"/>
    </row>
    <row r="193" spans="1:27" ht="15" customHeight="1">
      <c r="A193" s="501"/>
      <c r="B193" s="356" t="s">
        <v>912</v>
      </c>
      <c r="C193" s="302">
        <v>0</v>
      </c>
      <c r="D193" s="302">
        <v>0</v>
      </c>
      <c r="E193" s="302">
        <v>0</v>
      </c>
      <c r="F193" s="302">
        <v>0</v>
      </c>
      <c r="G193" s="302">
        <v>0</v>
      </c>
      <c r="H193" s="302">
        <v>0</v>
      </c>
      <c r="I193" s="302">
        <v>0</v>
      </c>
      <c r="J193" s="302">
        <v>0</v>
      </c>
      <c r="K193" s="302">
        <v>0</v>
      </c>
      <c r="L193" s="302">
        <v>0</v>
      </c>
      <c r="M193" s="302">
        <v>0</v>
      </c>
      <c r="N193" s="302">
        <v>0</v>
      </c>
      <c r="O193" s="295">
        <f t="shared" si="8"/>
        <v>0</v>
      </c>
      <c r="AA193" s="276"/>
    </row>
    <row r="194" spans="1:27" ht="15" customHeight="1">
      <c r="A194" s="501"/>
      <c r="B194" s="356" t="s">
        <v>913</v>
      </c>
      <c r="C194" s="302">
        <v>0</v>
      </c>
      <c r="D194" s="302">
        <v>0</v>
      </c>
      <c r="E194" s="302">
        <v>0</v>
      </c>
      <c r="F194" s="302">
        <v>0</v>
      </c>
      <c r="G194" s="302">
        <v>0</v>
      </c>
      <c r="H194" s="302">
        <v>0</v>
      </c>
      <c r="I194" s="302">
        <v>0</v>
      </c>
      <c r="J194" s="302">
        <v>0</v>
      </c>
      <c r="K194" s="302">
        <v>0</v>
      </c>
      <c r="L194" s="302">
        <v>0</v>
      </c>
      <c r="M194" s="302">
        <v>0</v>
      </c>
      <c r="N194" s="302">
        <v>0</v>
      </c>
      <c r="O194" s="295">
        <f t="shared" si="8"/>
        <v>0</v>
      </c>
      <c r="AA194" s="276"/>
    </row>
    <row r="195" spans="1:27" ht="15" customHeight="1">
      <c r="A195" s="501"/>
      <c r="B195" s="356" t="s">
        <v>914</v>
      </c>
      <c r="C195" s="302">
        <v>0</v>
      </c>
      <c r="D195" s="302">
        <v>0</v>
      </c>
      <c r="E195" s="302">
        <v>0</v>
      </c>
      <c r="F195" s="302">
        <v>0</v>
      </c>
      <c r="G195" s="302">
        <v>0</v>
      </c>
      <c r="H195" s="302">
        <v>0</v>
      </c>
      <c r="I195" s="302">
        <v>0</v>
      </c>
      <c r="J195" s="302">
        <v>0</v>
      </c>
      <c r="K195" s="302">
        <v>0</v>
      </c>
      <c r="L195" s="302">
        <v>0</v>
      </c>
      <c r="M195" s="302">
        <v>0</v>
      </c>
      <c r="N195" s="302">
        <v>0</v>
      </c>
      <c r="O195" s="295">
        <f t="shared" si="8"/>
        <v>0</v>
      </c>
      <c r="AA195" s="276"/>
    </row>
    <row r="196" spans="1:27" ht="15" customHeight="1" thickBot="1">
      <c r="A196" s="502"/>
      <c r="B196" s="356" t="s">
        <v>915</v>
      </c>
      <c r="C196" s="302">
        <v>0</v>
      </c>
      <c r="D196" s="302">
        <v>0</v>
      </c>
      <c r="E196" s="302">
        <v>0</v>
      </c>
      <c r="F196" s="302">
        <v>0</v>
      </c>
      <c r="G196" s="302">
        <v>0</v>
      </c>
      <c r="H196" s="302">
        <v>0</v>
      </c>
      <c r="I196" s="302">
        <v>0</v>
      </c>
      <c r="J196" s="302">
        <v>0</v>
      </c>
      <c r="K196" s="302">
        <v>0</v>
      </c>
      <c r="L196" s="302">
        <v>0</v>
      </c>
      <c r="M196" s="302">
        <v>0</v>
      </c>
      <c r="N196" s="302">
        <v>0</v>
      </c>
      <c r="O196" s="295">
        <f t="shared" si="8"/>
        <v>0</v>
      </c>
      <c r="AA196" s="276"/>
    </row>
    <row r="197" spans="1:27" ht="15" customHeight="1">
      <c r="A197" s="501" t="s">
        <v>917</v>
      </c>
      <c r="B197" s="356" t="s">
        <v>597</v>
      </c>
      <c r="C197" s="302">
        <v>0</v>
      </c>
      <c r="D197" s="302">
        <v>0</v>
      </c>
      <c r="E197" s="302">
        <v>0</v>
      </c>
      <c r="F197" s="302">
        <v>0</v>
      </c>
      <c r="G197" s="302">
        <v>0</v>
      </c>
      <c r="H197" s="302">
        <v>0</v>
      </c>
      <c r="I197" s="302">
        <v>0</v>
      </c>
      <c r="J197" s="302">
        <v>0</v>
      </c>
      <c r="K197" s="302">
        <v>0</v>
      </c>
      <c r="L197" s="302">
        <v>0</v>
      </c>
      <c r="M197" s="302">
        <v>0</v>
      </c>
      <c r="N197" s="302">
        <v>0</v>
      </c>
      <c r="O197" s="295">
        <f t="shared" si="8"/>
        <v>0</v>
      </c>
      <c r="AA197" s="276"/>
    </row>
    <row r="198" spans="1:27" ht="15" customHeight="1">
      <c r="A198" s="501"/>
      <c r="B198" s="356" t="s">
        <v>598</v>
      </c>
      <c r="C198" s="302">
        <v>0</v>
      </c>
      <c r="D198" s="302">
        <v>0</v>
      </c>
      <c r="E198" s="302">
        <v>0</v>
      </c>
      <c r="F198" s="302">
        <v>0</v>
      </c>
      <c r="G198" s="302">
        <v>0</v>
      </c>
      <c r="H198" s="302">
        <v>0</v>
      </c>
      <c r="I198" s="302">
        <v>0</v>
      </c>
      <c r="J198" s="302">
        <v>0</v>
      </c>
      <c r="K198" s="302">
        <v>0</v>
      </c>
      <c r="L198" s="302">
        <v>0</v>
      </c>
      <c r="M198" s="302">
        <v>0</v>
      </c>
      <c r="N198" s="302">
        <v>0</v>
      </c>
      <c r="O198" s="295">
        <f t="shared" si="8"/>
        <v>0</v>
      </c>
      <c r="AA198" s="276"/>
    </row>
    <row r="199" spans="1:27" ht="15" customHeight="1">
      <c r="A199" s="501"/>
      <c r="B199" s="356" t="s">
        <v>599</v>
      </c>
      <c r="C199" s="302">
        <v>0</v>
      </c>
      <c r="D199" s="302">
        <v>0</v>
      </c>
      <c r="E199" s="302">
        <v>0</v>
      </c>
      <c r="F199" s="302">
        <v>0</v>
      </c>
      <c r="G199" s="302">
        <v>0</v>
      </c>
      <c r="H199" s="302">
        <v>0</v>
      </c>
      <c r="I199" s="302">
        <v>0</v>
      </c>
      <c r="J199" s="302">
        <v>0</v>
      </c>
      <c r="K199" s="302">
        <v>0</v>
      </c>
      <c r="L199" s="302">
        <v>0</v>
      </c>
      <c r="M199" s="302">
        <v>0</v>
      </c>
      <c r="N199" s="302">
        <v>0</v>
      </c>
      <c r="O199" s="295">
        <f t="shared" si="8"/>
        <v>0</v>
      </c>
      <c r="AA199" s="276"/>
    </row>
    <row r="200" spans="1:27" ht="15" customHeight="1">
      <c r="A200" s="501"/>
      <c r="B200" s="356" t="s">
        <v>600</v>
      </c>
      <c r="C200" s="302">
        <v>0</v>
      </c>
      <c r="D200" s="302">
        <v>0</v>
      </c>
      <c r="E200" s="302">
        <v>0</v>
      </c>
      <c r="F200" s="302">
        <v>0</v>
      </c>
      <c r="G200" s="302">
        <v>0</v>
      </c>
      <c r="H200" s="302">
        <v>0</v>
      </c>
      <c r="I200" s="302">
        <v>0</v>
      </c>
      <c r="J200" s="302">
        <v>0</v>
      </c>
      <c r="K200" s="302">
        <v>0</v>
      </c>
      <c r="L200" s="302">
        <v>0</v>
      </c>
      <c r="M200" s="302">
        <v>0</v>
      </c>
      <c r="N200" s="302">
        <v>0</v>
      </c>
      <c r="O200" s="295">
        <f t="shared" si="8"/>
        <v>0</v>
      </c>
      <c r="AA200" s="276"/>
    </row>
    <row r="201" spans="1:27" ht="15" customHeight="1">
      <c r="A201" s="501"/>
      <c r="B201" s="356" t="s">
        <v>601</v>
      </c>
      <c r="C201" s="302">
        <v>0</v>
      </c>
      <c r="D201" s="302">
        <v>0</v>
      </c>
      <c r="E201" s="302">
        <v>0</v>
      </c>
      <c r="F201" s="302">
        <v>0</v>
      </c>
      <c r="G201" s="302">
        <v>0</v>
      </c>
      <c r="H201" s="302">
        <v>0</v>
      </c>
      <c r="I201" s="302">
        <v>0</v>
      </c>
      <c r="J201" s="302">
        <v>0</v>
      </c>
      <c r="K201" s="302">
        <v>0</v>
      </c>
      <c r="L201" s="302">
        <v>0</v>
      </c>
      <c r="M201" s="302">
        <v>0</v>
      </c>
      <c r="N201" s="302">
        <v>0</v>
      </c>
      <c r="O201" s="295">
        <f t="shared" si="8"/>
        <v>0</v>
      </c>
      <c r="AA201" s="276"/>
    </row>
    <row r="202" spans="1:27" ht="15" customHeight="1">
      <c r="A202" s="501"/>
      <c r="B202" s="356" t="s">
        <v>602</v>
      </c>
      <c r="C202" s="302">
        <v>0</v>
      </c>
      <c r="D202" s="302">
        <v>0</v>
      </c>
      <c r="E202" s="302">
        <v>0</v>
      </c>
      <c r="F202" s="302">
        <v>0</v>
      </c>
      <c r="G202" s="302">
        <v>0</v>
      </c>
      <c r="H202" s="302">
        <v>0</v>
      </c>
      <c r="I202" s="302">
        <v>0</v>
      </c>
      <c r="J202" s="302">
        <v>0</v>
      </c>
      <c r="K202" s="302">
        <v>0</v>
      </c>
      <c r="L202" s="302">
        <v>0</v>
      </c>
      <c r="M202" s="302">
        <v>0</v>
      </c>
      <c r="N202" s="302">
        <v>0</v>
      </c>
      <c r="O202" s="295">
        <f t="shared" si="8"/>
        <v>0</v>
      </c>
      <c r="AA202" s="276"/>
    </row>
    <row r="203" spans="1:27" ht="15" customHeight="1">
      <c r="A203" s="501"/>
      <c r="B203" s="356" t="s">
        <v>603</v>
      </c>
      <c r="C203" s="302">
        <v>0</v>
      </c>
      <c r="D203" s="302">
        <v>0</v>
      </c>
      <c r="E203" s="302">
        <v>0</v>
      </c>
      <c r="F203" s="302">
        <v>0</v>
      </c>
      <c r="G203" s="302">
        <v>0</v>
      </c>
      <c r="H203" s="302">
        <v>0</v>
      </c>
      <c r="I203" s="302">
        <v>0</v>
      </c>
      <c r="J203" s="302">
        <v>0</v>
      </c>
      <c r="K203" s="302">
        <v>0</v>
      </c>
      <c r="L203" s="302">
        <v>0</v>
      </c>
      <c r="M203" s="302">
        <v>0</v>
      </c>
      <c r="N203" s="302">
        <v>0</v>
      </c>
      <c r="O203" s="295">
        <f t="shared" si="8"/>
        <v>0</v>
      </c>
      <c r="AA203" s="276"/>
    </row>
    <row r="204" spans="1:27" ht="15" customHeight="1">
      <c r="A204" s="501"/>
      <c r="B204" s="356" t="s">
        <v>604</v>
      </c>
      <c r="C204" s="302">
        <v>0</v>
      </c>
      <c r="D204" s="302">
        <v>0</v>
      </c>
      <c r="E204" s="302">
        <v>0</v>
      </c>
      <c r="F204" s="302">
        <v>0</v>
      </c>
      <c r="G204" s="302">
        <v>0</v>
      </c>
      <c r="H204" s="302">
        <v>0</v>
      </c>
      <c r="I204" s="302">
        <v>0</v>
      </c>
      <c r="J204" s="302">
        <v>0</v>
      </c>
      <c r="K204" s="302">
        <v>0</v>
      </c>
      <c r="L204" s="302">
        <v>0</v>
      </c>
      <c r="M204" s="302">
        <v>0</v>
      </c>
      <c r="N204" s="302">
        <v>0</v>
      </c>
      <c r="O204" s="295">
        <f t="shared" si="8"/>
        <v>0</v>
      </c>
      <c r="AA204" s="276"/>
    </row>
    <row r="205" spans="1:27" ht="15" customHeight="1">
      <c r="A205" s="501"/>
      <c r="B205" s="356" t="s">
        <v>605</v>
      </c>
      <c r="C205" s="302">
        <v>0</v>
      </c>
      <c r="D205" s="302">
        <v>0</v>
      </c>
      <c r="E205" s="302">
        <v>0</v>
      </c>
      <c r="F205" s="302">
        <v>0</v>
      </c>
      <c r="G205" s="302">
        <v>0</v>
      </c>
      <c r="H205" s="302">
        <v>0</v>
      </c>
      <c r="I205" s="302">
        <v>0</v>
      </c>
      <c r="J205" s="302">
        <v>0</v>
      </c>
      <c r="K205" s="302">
        <v>0</v>
      </c>
      <c r="L205" s="302">
        <v>0</v>
      </c>
      <c r="M205" s="302">
        <v>0</v>
      </c>
      <c r="N205" s="302">
        <v>0</v>
      </c>
      <c r="O205" s="295">
        <f t="shared" si="8"/>
        <v>0</v>
      </c>
      <c r="AA205" s="276"/>
    </row>
    <row r="206" spans="1:27" ht="15" customHeight="1">
      <c r="A206" s="501"/>
      <c r="B206" s="356" t="s">
        <v>606</v>
      </c>
      <c r="C206" s="302">
        <v>0</v>
      </c>
      <c r="D206" s="302">
        <v>0</v>
      </c>
      <c r="E206" s="302">
        <v>0</v>
      </c>
      <c r="F206" s="302">
        <v>0</v>
      </c>
      <c r="G206" s="302">
        <v>0</v>
      </c>
      <c r="H206" s="302">
        <v>0</v>
      </c>
      <c r="I206" s="302">
        <v>0</v>
      </c>
      <c r="J206" s="302">
        <v>0</v>
      </c>
      <c r="K206" s="302">
        <v>0</v>
      </c>
      <c r="L206" s="302">
        <v>0</v>
      </c>
      <c r="M206" s="302">
        <v>0</v>
      </c>
      <c r="N206" s="302">
        <v>0</v>
      </c>
      <c r="O206" s="295">
        <f t="shared" si="8"/>
        <v>0</v>
      </c>
      <c r="AA206" s="276"/>
    </row>
    <row r="207" spans="1:27" ht="15" customHeight="1">
      <c r="A207" s="501"/>
      <c r="B207" s="356" t="s">
        <v>607</v>
      </c>
      <c r="C207" s="302">
        <v>0</v>
      </c>
      <c r="D207" s="302">
        <v>0</v>
      </c>
      <c r="E207" s="302">
        <v>0</v>
      </c>
      <c r="F207" s="302">
        <v>0</v>
      </c>
      <c r="G207" s="302">
        <v>0</v>
      </c>
      <c r="H207" s="302">
        <v>0</v>
      </c>
      <c r="I207" s="302">
        <v>0</v>
      </c>
      <c r="J207" s="302">
        <v>0</v>
      </c>
      <c r="K207" s="302">
        <v>0</v>
      </c>
      <c r="L207" s="302">
        <v>0</v>
      </c>
      <c r="M207" s="302">
        <v>0</v>
      </c>
      <c r="N207" s="302">
        <v>0</v>
      </c>
      <c r="O207" s="295">
        <f t="shared" si="8"/>
        <v>0</v>
      </c>
      <c r="AA207" s="276"/>
    </row>
    <row r="208" spans="1:27" ht="15" customHeight="1">
      <c r="A208" s="501"/>
      <c r="B208" s="356" t="s">
        <v>608</v>
      </c>
      <c r="C208" s="302">
        <v>0</v>
      </c>
      <c r="D208" s="302">
        <v>0</v>
      </c>
      <c r="E208" s="302">
        <v>0</v>
      </c>
      <c r="F208" s="302">
        <v>0</v>
      </c>
      <c r="G208" s="302">
        <v>0</v>
      </c>
      <c r="H208" s="302">
        <v>0</v>
      </c>
      <c r="I208" s="302">
        <v>0</v>
      </c>
      <c r="J208" s="302">
        <v>0</v>
      </c>
      <c r="K208" s="302">
        <v>0</v>
      </c>
      <c r="L208" s="302">
        <v>0</v>
      </c>
      <c r="M208" s="302">
        <v>0</v>
      </c>
      <c r="N208" s="302">
        <v>0</v>
      </c>
      <c r="O208" s="295">
        <f t="shared" si="8"/>
        <v>0</v>
      </c>
      <c r="AA208" s="276"/>
    </row>
    <row r="209" spans="1:27" ht="15" customHeight="1">
      <c r="A209" s="501"/>
      <c r="B209" s="356" t="s">
        <v>609</v>
      </c>
      <c r="C209" s="302">
        <v>0</v>
      </c>
      <c r="D209" s="302">
        <v>0</v>
      </c>
      <c r="E209" s="302">
        <v>0</v>
      </c>
      <c r="F209" s="302">
        <v>0</v>
      </c>
      <c r="G209" s="302">
        <v>0</v>
      </c>
      <c r="H209" s="302">
        <v>0</v>
      </c>
      <c r="I209" s="302">
        <v>0</v>
      </c>
      <c r="J209" s="302">
        <v>0</v>
      </c>
      <c r="K209" s="302">
        <v>0</v>
      </c>
      <c r="L209" s="302">
        <v>0</v>
      </c>
      <c r="M209" s="302">
        <v>0</v>
      </c>
      <c r="N209" s="302">
        <v>0</v>
      </c>
      <c r="O209" s="295">
        <f t="shared" si="8"/>
        <v>0</v>
      </c>
      <c r="AA209" s="276"/>
    </row>
    <row r="210" spans="1:27" ht="15" customHeight="1">
      <c r="A210" s="501"/>
      <c r="B210" s="356" t="s">
        <v>610</v>
      </c>
      <c r="C210" s="302">
        <v>0</v>
      </c>
      <c r="D210" s="302">
        <v>0</v>
      </c>
      <c r="E210" s="302">
        <v>0</v>
      </c>
      <c r="F210" s="302">
        <v>0</v>
      </c>
      <c r="G210" s="302">
        <v>0</v>
      </c>
      <c r="H210" s="302">
        <v>0</v>
      </c>
      <c r="I210" s="302">
        <v>0</v>
      </c>
      <c r="J210" s="302">
        <v>0</v>
      </c>
      <c r="K210" s="302">
        <v>0</v>
      </c>
      <c r="L210" s="302">
        <v>0</v>
      </c>
      <c r="M210" s="302">
        <v>0</v>
      </c>
      <c r="N210" s="302">
        <v>0</v>
      </c>
      <c r="O210" s="295">
        <f t="shared" si="8"/>
        <v>0</v>
      </c>
      <c r="AA210" s="276"/>
    </row>
    <row r="211" spans="1:27" ht="15" customHeight="1">
      <c r="A211" s="501"/>
      <c r="B211" s="356" t="s">
        <v>611</v>
      </c>
      <c r="C211" s="302">
        <v>0</v>
      </c>
      <c r="D211" s="302">
        <v>0</v>
      </c>
      <c r="E211" s="302">
        <v>0</v>
      </c>
      <c r="F211" s="302">
        <v>0</v>
      </c>
      <c r="G211" s="302">
        <v>0</v>
      </c>
      <c r="H211" s="302">
        <v>0</v>
      </c>
      <c r="I211" s="302">
        <v>0</v>
      </c>
      <c r="J211" s="302">
        <v>0</v>
      </c>
      <c r="K211" s="302">
        <v>0</v>
      </c>
      <c r="L211" s="302">
        <v>0</v>
      </c>
      <c r="M211" s="302">
        <v>0</v>
      </c>
      <c r="N211" s="302">
        <v>0</v>
      </c>
      <c r="O211" s="295">
        <f t="shared" si="8"/>
        <v>0</v>
      </c>
      <c r="AA211" s="276"/>
    </row>
    <row r="212" spans="1:27" ht="15" customHeight="1">
      <c r="A212" s="501"/>
      <c r="B212" s="356" t="s">
        <v>612</v>
      </c>
      <c r="C212" s="302">
        <v>0</v>
      </c>
      <c r="D212" s="302">
        <v>0</v>
      </c>
      <c r="E212" s="302">
        <v>0</v>
      </c>
      <c r="F212" s="302">
        <v>0</v>
      </c>
      <c r="G212" s="302">
        <v>0</v>
      </c>
      <c r="H212" s="302">
        <v>0</v>
      </c>
      <c r="I212" s="302">
        <v>0</v>
      </c>
      <c r="J212" s="302">
        <v>0</v>
      </c>
      <c r="K212" s="302">
        <v>0</v>
      </c>
      <c r="L212" s="302">
        <v>0</v>
      </c>
      <c r="M212" s="302">
        <v>0</v>
      </c>
      <c r="N212" s="302">
        <v>0</v>
      </c>
      <c r="O212" s="295">
        <f t="shared" si="8"/>
        <v>0</v>
      </c>
      <c r="AA212" s="276"/>
    </row>
    <row r="213" spans="1:27" ht="15" customHeight="1">
      <c r="A213" s="501"/>
      <c r="B213" s="356" t="s">
        <v>613</v>
      </c>
      <c r="C213" s="302">
        <v>0</v>
      </c>
      <c r="D213" s="302">
        <v>0</v>
      </c>
      <c r="E213" s="302">
        <v>0</v>
      </c>
      <c r="F213" s="302">
        <v>0</v>
      </c>
      <c r="G213" s="302">
        <v>0</v>
      </c>
      <c r="H213" s="302">
        <v>0</v>
      </c>
      <c r="I213" s="302">
        <v>0</v>
      </c>
      <c r="J213" s="302">
        <v>0</v>
      </c>
      <c r="K213" s="302">
        <v>0</v>
      </c>
      <c r="L213" s="302">
        <v>0</v>
      </c>
      <c r="M213" s="302">
        <v>0</v>
      </c>
      <c r="N213" s="302">
        <v>0</v>
      </c>
      <c r="O213" s="295">
        <f t="shared" si="8"/>
        <v>0</v>
      </c>
      <c r="AA213" s="276"/>
    </row>
    <row r="214" spans="1:27" ht="15" customHeight="1">
      <c r="A214" s="501"/>
      <c r="B214" s="356" t="s">
        <v>910</v>
      </c>
      <c r="C214" s="302">
        <v>0</v>
      </c>
      <c r="D214" s="302">
        <v>0</v>
      </c>
      <c r="E214" s="302">
        <v>0</v>
      </c>
      <c r="F214" s="302">
        <v>0</v>
      </c>
      <c r="G214" s="302">
        <v>0</v>
      </c>
      <c r="H214" s="302">
        <v>0</v>
      </c>
      <c r="I214" s="302">
        <v>0</v>
      </c>
      <c r="J214" s="302">
        <v>0</v>
      </c>
      <c r="K214" s="302">
        <v>0</v>
      </c>
      <c r="L214" s="302">
        <v>0</v>
      </c>
      <c r="M214" s="302">
        <v>0</v>
      </c>
      <c r="N214" s="302">
        <v>0</v>
      </c>
      <c r="O214" s="295">
        <f t="shared" si="8"/>
        <v>0</v>
      </c>
      <c r="AA214" s="276"/>
    </row>
    <row r="215" spans="1:27" ht="15" customHeight="1">
      <c r="A215" s="501"/>
      <c r="B215" s="356" t="s">
        <v>911</v>
      </c>
      <c r="C215" s="302">
        <v>0</v>
      </c>
      <c r="D215" s="302">
        <v>0</v>
      </c>
      <c r="E215" s="302">
        <v>0</v>
      </c>
      <c r="F215" s="302">
        <v>0</v>
      </c>
      <c r="G215" s="302">
        <v>0</v>
      </c>
      <c r="H215" s="302">
        <v>0</v>
      </c>
      <c r="I215" s="302">
        <v>0</v>
      </c>
      <c r="J215" s="302">
        <v>0</v>
      </c>
      <c r="K215" s="302">
        <v>0</v>
      </c>
      <c r="L215" s="302">
        <v>0</v>
      </c>
      <c r="M215" s="302">
        <v>0</v>
      </c>
      <c r="N215" s="302">
        <v>0</v>
      </c>
      <c r="O215" s="295">
        <f t="shared" si="8"/>
        <v>0</v>
      </c>
      <c r="AA215" s="276"/>
    </row>
    <row r="216" spans="1:27" ht="15" customHeight="1">
      <c r="A216" s="501"/>
      <c r="B216" s="356" t="s">
        <v>912</v>
      </c>
      <c r="C216" s="302">
        <v>0</v>
      </c>
      <c r="D216" s="302">
        <v>0</v>
      </c>
      <c r="E216" s="302">
        <v>0</v>
      </c>
      <c r="F216" s="302">
        <v>0</v>
      </c>
      <c r="G216" s="302">
        <v>0</v>
      </c>
      <c r="H216" s="302">
        <v>0</v>
      </c>
      <c r="I216" s="302">
        <v>0</v>
      </c>
      <c r="J216" s="302">
        <v>0</v>
      </c>
      <c r="K216" s="302">
        <v>0</v>
      </c>
      <c r="L216" s="302">
        <v>0</v>
      </c>
      <c r="M216" s="302">
        <v>0</v>
      </c>
      <c r="N216" s="302">
        <v>0</v>
      </c>
      <c r="O216" s="295">
        <f t="shared" si="8"/>
        <v>0</v>
      </c>
      <c r="AA216" s="276"/>
    </row>
    <row r="217" spans="1:27" ht="15" customHeight="1" thickBot="1">
      <c r="A217" s="502"/>
      <c r="B217" s="356" t="s">
        <v>913</v>
      </c>
      <c r="C217" s="302">
        <v>0</v>
      </c>
      <c r="D217" s="302">
        <v>0</v>
      </c>
      <c r="E217" s="302">
        <v>0</v>
      </c>
      <c r="F217" s="302">
        <v>0</v>
      </c>
      <c r="G217" s="302">
        <v>0</v>
      </c>
      <c r="H217" s="302">
        <v>0</v>
      </c>
      <c r="I217" s="302">
        <v>0</v>
      </c>
      <c r="J217" s="302">
        <v>0</v>
      </c>
      <c r="K217" s="302">
        <v>0</v>
      </c>
      <c r="L217" s="302">
        <v>0</v>
      </c>
      <c r="M217" s="302">
        <v>0</v>
      </c>
      <c r="N217" s="302">
        <v>0</v>
      </c>
      <c r="O217" s="295">
        <f t="shared" si="8"/>
        <v>0</v>
      </c>
      <c r="AA217" s="276"/>
    </row>
    <row r="218" spans="1:27" ht="15" customHeight="1" thickBot="1">
      <c r="A218" s="506" t="s">
        <v>755</v>
      </c>
      <c r="B218" s="507"/>
      <c r="C218" s="296"/>
      <c r="D218" s="296"/>
      <c r="E218" s="296"/>
      <c r="F218" s="296"/>
      <c r="G218" s="296"/>
      <c r="H218" s="296"/>
      <c r="I218" s="296"/>
      <c r="J218" s="296"/>
      <c r="K218" s="296"/>
      <c r="L218" s="296"/>
      <c r="M218" s="296"/>
      <c r="N218" s="296"/>
      <c r="O218" s="512"/>
    </row>
    <row r="219" spans="1:27" ht="15" customHeight="1" thickBot="1">
      <c r="A219" s="506" t="s">
        <v>754</v>
      </c>
      <c r="B219" s="507"/>
      <c r="C219" s="296">
        <f>+AVERAGE(C174:C217)</f>
        <v>0</v>
      </c>
      <c r="D219" s="296">
        <f t="shared" ref="D219:N219" si="9">+AVERAGE(D174:D217)</f>
        <v>0</v>
      </c>
      <c r="E219" s="296">
        <f t="shared" si="9"/>
        <v>0</v>
      </c>
      <c r="F219" s="296">
        <f t="shared" si="9"/>
        <v>0</v>
      </c>
      <c r="G219" s="296">
        <f t="shared" si="9"/>
        <v>0</v>
      </c>
      <c r="H219" s="296">
        <f t="shared" si="9"/>
        <v>0</v>
      </c>
      <c r="I219" s="296">
        <f t="shared" si="9"/>
        <v>0</v>
      </c>
      <c r="J219" s="296">
        <f t="shared" si="9"/>
        <v>0</v>
      </c>
      <c r="K219" s="296">
        <f t="shared" si="9"/>
        <v>0</v>
      </c>
      <c r="L219" s="296">
        <f t="shared" si="9"/>
        <v>0</v>
      </c>
      <c r="M219" s="296">
        <f t="shared" si="9"/>
        <v>0</v>
      </c>
      <c r="N219" s="296">
        <f t="shared" si="9"/>
        <v>0</v>
      </c>
      <c r="O219" s="513"/>
      <c r="AA219" s="276"/>
    </row>
    <row r="220" spans="1:27" ht="15" customHeight="1" thickBot="1">
      <c r="A220" s="506" t="s">
        <v>759</v>
      </c>
      <c r="B220" s="515"/>
      <c r="C220" s="516">
        <f>+AVERAGE(C219:N219)</f>
        <v>0</v>
      </c>
      <c r="D220" s="517"/>
      <c r="E220" s="517"/>
      <c r="F220" s="517"/>
      <c r="G220" s="517"/>
      <c r="H220" s="517"/>
      <c r="I220" s="517"/>
      <c r="J220" s="517"/>
      <c r="K220" s="517"/>
      <c r="L220" s="517"/>
      <c r="M220" s="517"/>
      <c r="N220" s="518"/>
      <c r="O220" s="514"/>
      <c r="AA220" s="276"/>
    </row>
    <row r="221" spans="1:27" ht="15" customHeight="1">
      <c r="A221" s="500" t="s">
        <v>924</v>
      </c>
      <c r="B221" s="359" t="s">
        <v>614</v>
      </c>
      <c r="C221" s="301">
        <v>0</v>
      </c>
      <c r="D221" s="301">
        <v>0</v>
      </c>
      <c r="E221" s="301">
        <v>0</v>
      </c>
      <c r="F221" s="301">
        <v>0</v>
      </c>
      <c r="G221" s="301">
        <v>0</v>
      </c>
      <c r="H221" s="301">
        <v>0</v>
      </c>
      <c r="I221" s="301">
        <v>0</v>
      </c>
      <c r="J221" s="301">
        <v>0</v>
      </c>
      <c r="K221" s="301">
        <v>0</v>
      </c>
      <c r="L221" s="301">
        <v>0</v>
      </c>
      <c r="M221" s="301">
        <v>0</v>
      </c>
      <c r="N221" s="301">
        <v>0</v>
      </c>
      <c r="O221" s="293">
        <f t="shared" ref="O221:O264" si="10">+AVERAGE(C221:N221)</f>
        <v>0</v>
      </c>
      <c r="AA221" s="276"/>
    </row>
    <row r="222" spans="1:27" ht="15" customHeight="1">
      <c r="A222" s="501"/>
      <c r="B222" s="356" t="s">
        <v>615</v>
      </c>
      <c r="C222" s="302">
        <v>0</v>
      </c>
      <c r="D222" s="302">
        <v>0</v>
      </c>
      <c r="E222" s="302">
        <v>0</v>
      </c>
      <c r="F222" s="302">
        <v>0</v>
      </c>
      <c r="G222" s="302">
        <v>0</v>
      </c>
      <c r="H222" s="302">
        <v>0</v>
      </c>
      <c r="I222" s="302">
        <v>0</v>
      </c>
      <c r="J222" s="302">
        <v>0</v>
      </c>
      <c r="K222" s="302">
        <v>0</v>
      </c>
      <c r="L222" s="302">
        <v>0</v>
      </c>
      <c r="M222" s="302">
        <v>0</v>
      </c>
      <c r="N222" s="302">
        <v>0</v>
      </c>
      <c r="O222" s="295">
        <f t="shared" si="10"/>
        <v>0</v>
      </c>
      <c r="AA222" s="276"/>
    </row>
    <row r="223" spans="1:27" ht="15" customHeight="1">
      <c r="A223" s="501"/>
      <c r="B223" s="356" t="s">
        <v>616</v>
      </c>
      <c r="C223" s="302">
        <v>0</v>
      </c>
      <c r="D223" s="302">
        <v>0</v>
      </c>
      <c r="E223" s="302">
        <v>0</v>
      </c>
      <c r="F223" s="302">
        <v>0</v>
      </c>
      <c r="G223" s="302">
        <v>0</v>
      </c>
      <c r="H223" s="302">
        <v>0</v>
      </c>
      <c r="I223" s="302">
        <v>0</v>
      </c>
      <c r="J223" s="302">
        <v>0</v>
      </c>
      <c r="K223" s="302">
        <v>0</v>
      </c>
      <c r="L223" s="302">
        <v>0</v>
      </c>
      <c r="M223" s="302">
        <v>0</v>
      </c>
      <c r="N223" s="302">
        <v>0</v>
      </c>
      <c r="O223" s="295">
        <f t="shared" si="10"/>
        <v>0</v>
      </c>
      <c r="AA223" s="276"/>
    </row>
    <row r="224" spans="1:27" ht="15" customHeight="1">
      <c r="A224" s="501"/>
      <c r="B224" s="356" t="s">
        <v>617</v>
      </c>
      <c r="C224" s="302">
        <v>0</v>
      </c>
      <c r="D224" s="302">
        <v>0</v>
      </c>
      <c r="E224" s="302">
        <v>0</v>
      </c>
      <c r="F224" s="302">
        <v>0</v>
      </c>
      <c r="G224" s="302">
        <v>0</v>
      </c>
      <c r="H224" s="302">
        <v>0</v>
      </c>
      <c r="I224" s="302">
        <v>0</v>
      </c>
      <c r="J224" s="302">
        <v>0</v>
      </c>
      <c r="K224" s="302">
        <v>0</v>
      </c>
      <c r="L224" s="302">
        <v>0</v>
      </c>
      <c r="M224" s="302">
        <v>0</v>
      </c>
      <c r="N224" s="302">
        <v>0</v>
      </c>
      <c r="O224" s="295">
        <f t="shared" si="10"/>
        <v>0</v>
      </c>
      <c r="AA224" s="276"/>
    </row>
    <row r="225" spans="1:27" ht="15" customHeight="1">
      <c r="A225" s="501"/>
      <c r="B225" s="356" t="s">
        <v>618</v>
      </c>
      <c r="C225" s="302">
        <v>0</v>
      </c>
      <c r="D225" s="302">
        <v>0</v>
      </c>
      <c r="E225" s="302">
        <v>0</v>
      </c>
      <c r="F225" s="302">
        <v>0</v>
      </c>
      <c r="G225" s="302">
        <v>0</v>
      </c>
      <c r="H225" s="302">
        <v>0</v>
      </c>
      <c r="I225" s="302">
        <v>0</v>
      </c>
      <c r="J225" s="302">
        <v>0</v>
      </c>
      <c r="K225" s="302">
        <v>0</v>
      </c>
      <c r="L225" s="302">
        <v>0</v>
      </c>
      <c r="M225" s="302">
        <v>0</v>
      </c>
      <c r="N225" s="302">
        <v>0</v>
      </c>
      <c r="O225" s="295">
        <f t="shared" si="10"/>
        <v>0</v>
      </c>
      <c r="AA225" s="276"/>
    </row>
    <row r="226" spans="1:27" ht="15" customHeight="1">
      <c r="A226" s="501"/>
      <c r="B226" s="356" t="s">
        <v>619</v>
      </c>
      <c r="C226" s="302">
        <v>0</v>
      </c>
      <c r="D226" s="302">
        <v>0</v>
      </c>
      <c r="E226" s="302">
        <v>0</v>
      </c>
      <c r="F226" s="302">
        <v>0</v>
      </c>
      <c r="G226" s="302">
        <v>0</v>
      </c>
      <c r="H226" s="302">
        <v>0</v>
      </c>
      <c r="I226" s="302">
        <v>0</v>
      </c>
      <c r="J226" s="302">
        <v>0</v>
      </c>
      <c r="K226" s="302">
        <v>0</v>
      </c>
      <c r="L226" s="302">
        <v>0</v>
      </c>
      <c r="M226" s="302">
        <v>0</v>
      </c>
      <c r="N226" s="302">
        <v>0</v>
      </c>
      <c r="O226" s="295">
        <f t="shared" si="10"/>
        <v>0</v>
      </c>
      <c r="AA226" s="276"/>
    </row>
    <row r="227" spans="1:27" ht="15" customHeight="1">
      <c r="A227" s="501"/>
      <c r="B227" s="356" t="s">
        <v>620</v>
      </c>
      <c r="C227" s="302">
        <v>0</v>
      </c>
      <c r="D227" s="302">
        <v>0</v>
      </c>
      <c r="E227" s="302">
        <v>0</v>
      </c>
      <c r="F227" s="302">
        <v>0</v>
      </c>
      <c r="G227" s="302">
        <v>0</v>
      </c>
      <c r="H227" s="302">
        <v>0</v>
      </c>
      <c r="I227" s="302">
        <v>0</v>
      </c>
      <c r="J227" s="302">
        <v>0</v>
      </c>
      <c r="K227" s="302">
        <v>0</v>
      </c>
      <c r="L227" s="302">
        <v>0</v>
      </c>
      <c r="M227" s="302">
        <v>0</v>
      </c>
      <c r="N227" s="302">
        <v>0</v>
      </c>
      <c r="O227" s="295">
        <f t="shared" si="10"/>
        <v>0</v>
      </c>
      <c r="AA227" s="276"/>
    </row>
    <row r="228" spans="1:27" ht="15" customHeight="1">
      <c r="A228" s="501"/>
      <c r="B228" s="356" t="s">
        <v>621</v>
      </c>
      <c r="C228" s="302">
        <v>0</v>
      </c>
      <c r="D228" s="302">
        <v>0</v>
      </c>
      <c r="E228" s="302">
        <v>0</v>
      </c>
      <c r="F228" s="302">
        <v>0</v>
      </c>
      <c r="G228" s="302">
        <v>0</v>
      </c>
      <c r="H228" s="302">
        <v>0</v>
      </c>
      <c r="I228" s="302">
        <v>0</v>
      </c>
      <c r="J228" s="302">
        <v>0</v>
      </c>
      <c r="K228" s="302">
        <v>0</v>
      </c>
      <c r="L228" s="302">
        <v>0</v>
      </c>
      <c r="M228" s="302">
        <v>0</v>
      </c>
      <c r="N228" s="302">
        <v>0</v>
      </c>
      <c r="O228" s="295">
        <f t="shared" si="10"/>
        <v>0</v>
      </c>
      <c r="AA228" s="276"/>
    </row>
    <row r="229" spans="1:27" ht="15" customHeight="1">
      <c r="A229" s="501"/>
      <c r="B229" s="356" t="s">
        <v>622</v>
      </c>
      <c r="C229" s="302">
        <v>0</v>
      </c>
      <c r="D229" s="302">
        <v>0</v>
      </c>
      <c r="E229" s="302">
        <v>0</v>
      </c>
      <c r="F229" s="302">
        <v>0</v>
      </c>
      <c r="G229" s="302">
        <v>0</v>
      </c>
      <c r="H229" s="302">
        <v>0</v>
      </c>
      <c r="I229" s="302">
        <v>0</v>
      </c>
      <c r="J229" s="302">
        <v>0</v>
      </c>
      <c r="K229" s="302">
        <v>0</v>
      </c>
      <c r="L229" s="302">
        <v>0</v>
      </c>
      <c r="M229" s="302">
        <v>0</v>
      </c>
      <c r="N229" s="302">
        <v>0</v>
      </c>
      <c r="O229" s="295">
        <f t="shared" si="10"/>
        <v>0</v>
      </c>
      <c r="AA229" s="276"/>
    </row>
    <row r="230" spans="1:27" ht="15" customHeight="1">
      <c r="A230" s="501"/>
      <c r="B230" s="356" t="s">
        <v>623</v>
      </c>
      <c r="C230" s="302">
        <v>0</v>
      </c>
      <c r="D230" s="302">
        <v>0</v>
      </c>
      <c r="E230" s="302">
        <v>0</v>
      </c>
      <c r="F230" s="302">
        <v>0</v>
      </c>
      <c r="G230" s="302">
        <v>0</v>
      </c>
      <c r="H230" s="302">
        <v>0</v>
      </c>
      <c r="I230" s="302">
        <v>0</v>
      </c>
      <c r="J230" s="302">
        <v>0</v>
      </c>
      <c r="K230" s="302">
        <v>0</v>
      </c>
      <c r="L230" s="302">
        <v>0</v>
      </c>
      <c r="M230" s="302">
        <v>0</v>
      </c>
      <c r="N230" s="302">
        <v>0</v>
      </c>
      <c r="O230" s="295">
        <f t="shared" si="10"/>
        <v>0</v>
      </c>
      <c r="AA230" s="276"/>
    </row>
    <row r="231" spans="1:27" ht="15" customHeight="1">
      <c r="A231" s="501"/>
      <c r="B231" s="356" t="s">
        <v>624</v>
      </c>
      <c r="C231" s="302">
        <v>0</v>
      </c>
      <c r="D231" s="302">
        <v>0</v>
      </c>
      <c r="E231" s="302">
        <v>0</v>
      </c>
      <c r="F231" s="302">
        <v>0</v>
      </c>
      <c r="G231" s="302">
        <v>0</v>
      </c>
      <c r="H231" s="302">
        <v>0</v>
      </c>
      <c r="I231" s="302">
        <v>0</v>
      </c>
      <c r="J231" s="302">
        <v>0</v>
      </c>
      <c r="K231" s="302">
        <v>0</v>
      </c>
      <c r="L231" s="302">
        <v>0</v>
      </c>
      <c r="M231" s="302">
        <v>0</v>
      </c>
      <c r="N231" s="302">
        <v>0</v>
      </c>
      <c r="O231" s="295">
        <f t="shared" si="10"/>
        <v>0</v>
      </c>
      <c r="AA231" s="276"/>
    </row>
    <row r="232" spans="1:27" ht="15" customHeight="1">
      <c r="A232" s="501"/>
      <c r="B232" s="356" t="s">
        <v>625</v>
      </c>
      <c r="C232" s="302">
        <v>0</v>
      </c>
      <c r="D232" s="302">
        <v>0</v>
      </c>
      <c r="E232" s="302">
        <v>0</v>
      </c>
      <c r="F232" s="302">
        <v>0</v>
      </c>
      <c r="G232" s="302">
        <v>0</v>
      </c>
      <c r="H232" s="302">
        <v>0</v>
      </c>
      <c r="I232" s="302">
        <v>0</v>
      </c>
      <c r="J232" s="302">
        <v>0</v>
      </c>
      <c r="K232" s="302">
        <v>0</v>
      </c>
      <c r="L232" s="302">
        <v>0</v>
      </c>
      <c r="M232" s="302">
        <v>0</v>
      </c>
      <c r="N232" s="302">
        <v>0</v>
      </c>
      <c r="O232" s="295">
        <f t="shared" si="10"/>
        <v>0</v>
      </c>
      <c r="AA232" s="276"/>
    </row>
    <row r="233" spans="1:27" ht="15" customHeight="1">
      <c r="A233" s="501"/>
      <c r="B233" s="356" t="s">
        <v>626</v>
      </c>
      <c r="C233" s="302">
        <v>0</v>
      </c>
      <c r="D233" s="302">
        <v>0</v>
      </c>
      <c r="E233" s="302">
        <v>0</v>
      </c>
      <c r="F233" s="302">
        <v>0</v>
      </c>
      <c r="G233" s="302">
        <v>0</v>
      </c>
      <c r="H233" s="302">
        <v>0</v>
      </c>
      <c r="I233" s="302">
        <v>0</v>
      </c>
      <c r="J233" s="302">
        <v>0</v>
      </c>
      <c r="K233" s="302">
        <v>0</v>
      </c>
      <c r="L233" s="302">
        <v>0</v>
      </c>
      <c r="M233" s="302">
        <v>0</v>
      </c>
      <c r="N233" s="302">
        <v>0</v>
      </c>
      <c r="O233" s="295">
        <f t="shared" si="10"/>
        <v>0</v>
      </c>
      <c r="AA233" s="276"/>
    </row>
    <row r="234" spans="1:27" ht="15" customHeight="1">
      <c r="A234" s="501"/>
      <c r="B234" s="356" t="s">
        <v>627</v>
      </c>
      <c r="C234" s="302">
        <v>0</v>
      </c>
      <c r="D234" s="302">
        <v>0</v>
      </c>
      <c r="E234" s="302">
        <v>0</v>
      </c>
      <c r="F234" s="302">
        <v>0</v>
      </c>
      <c r="G234" s="302">
        <v>0</v>
      </c>
      <c r="H234" s="302">
        <v>0</v>
      </c>
      <c r="I234" s="302">
        <v>0</v>
      </c>
      <c r="J234" s="302">
        <v>0</v>
      </c>
      <c r="K234" s="302">
        <v>0</v>
      </c>
      <c r="L234" s="302">
        <v>0</v>
      </c>
      <c r="M234" s="302">
        <v>0</v>
      </c>
      <c r="N234" s="302">
        <v>0</v>
      </c>
      <c r="O234" s="295">
        <f t="shared" si="10"/>
        <v>0</v>
      </c>
      <c r="AA234" s="276"/>
    </row>
    <row r="235" spans="1:27" ht="15" customHeight="1">
      <c r="A235" s="501"/>
      <c r="B235" s="356" t="s">
        <v>628</v>
      </c>
      <c r="C235" s="302">
        <v>0</v>
      </c>
      <c r="D235" s="302">
        <v>0</v>
      </c>
      <c r="E235" s="302">
        <v>0</v>
      </c>
      <c r="F235" s="302">
        <v>0</v>
      </c>
      <c r="G235" s="302">
        <v>0</v>
      </c>
      <c r="H235" s="302">
        <v>0</v>
      </c>
      <c r="I235" s="302">
        <v>0</v>
      </c>
      <c r="J235" s="302">
        <v>0</v>
      </c>
      <c r="K235" s="302">
        <v>0</v>
      </c>
      <c r="L235" s="302">
        <v>0</v>
      </c>
      <c r="M235" s="302">
        <v>0</v>
      </c>
      <c r="N235" s="302">
        <v>0</v>
      </c>
      <c r="O235" s="295">
        <f t="shared" si="10"/>
        <v>0</v>
      </c>
      <c r="AA235" s="276"/>
    </row>
    <row r="236" spans="1:27" ht="15" customHeight="1">
      <c r="A236" s="501"/>
      <c r="B236" s="356" t="s">
        <v>629</v>
      </c>
      <c r="C236" s="302">
        <v>0</v>
      </c>
      <c r="D236" s="302">
        <v>0</v>
      </c>
      <c r="E236" s="302">
        <v>0</v>
      </c>
      <c r="F236" s="302">
        <v>0</v>
      </c>
      <c r="G236" s="302">
        <v>0</v>
      </c>
      <c r="H236" s="302">
        <v>0</v>
      </c>
      <c r="I236" s="302">
        <v>0</v>
      </c>
      <c r="J236" s="302">
        <v>0</v>
      </c>
      <c r="K236" s="302">
        <v>0</v>
      </c>
      <c r="L236" s="302">
        <v>0</v>
      </c>
      <c r="M236" s="302">
        <v>0</v>
      </c>
      <c r="N236" s="302">
        <v>0</v>
      </c>
      <c r="O236" s="295">
        <f t="shared" si="10"/>
        <v>0</v>
      </c>
      <c r="AA236" s="276"/>
    </row>
    <row r="237" spans="1:27" ht="15" customHeight="1">
      <c r="A237" s="501"/>
      <c r="B237" s="356" t="s">
        <v>630</v>
      </c>
      <c r="C237" s="302">
        <v>0</v>
      </c>
      <c r="D237" s="302">
        <v>0</v>
      </c>
      <c r="E237" s="302">
        <v>0</v>
      </c>
      <c r="F237" s="302">
        <v>0</v>
      </c>
      <c r="G237" s="302">
        <v>0</v>
      </c>
      <c r="H237" s="302">
        <v>0</v>
      </c>
      <c r="I237" s="302">
        <v>0</v>
      </c>
      <c r="J237" s="302">
        <v>0</v>
      </c>
      <c r="K237" s="302">
        <v>0</v>
      </c>
      <c r="L237" s="302">
        <v>0</v>
      </c>
      <c r="M237" s="302">
        <v>0</v>
      </c>
      <c r="N237" s="302">
        <v>0</v>
      </c>
      <c r="O237" s="295">
        <f t="shared" si="10"/>
        <v>0</v>
      </c>
      <c r="AA237" s="276"/>
    </row>
    <row r="238" spans="1:27" ht="15" customHeight="1">
      <c r="A238" s="501"/>
      <c r="B238" s="356" t="s">
        <v>918</v>
      </c>
      <c r="C238" s="302">
        <v>0</v>
      </c>
      <c r="D238" s="302">
        <v>0</v>
      </c>
      <c r="E238" s="302">
        <v>0</v>
      </c>
      <c r="F238" s="302">
        <v>0</v>
      </c>
      <c r="G238" s="302">
        <v>0</v>
      </c>
      <c r="H238" s="302">
        <v>0</v>
      </c>
      <c r="I238" s="302">
        <v>0</v>
      </c>
      <c r="J238" s="302">
        <v>0</v>
      </c>
      <c r="K238" s="302">
        <v>0</v>
      </c>
      <c r="L238" s="302">
        <v>0</v>
      </c>
      <c r="M238" s="302">
        <v>0</v>
      </c>
      <c r="N238" s="302">
        <v>0</v>
      </c>
      <c r="O238" s="295">
        <f t="shared" si="10"/>
        <v>0</v>
      </c>
      <c r="AA238" s="276"/>
    </row>
    <row r="239" spans="1:27" ht="15" customHeight="1">
      <c r="A239" s="501"/>
      <c r="B239" s="356" t="s">
        <v>919</v>
      </c>
      <c r="C239" s="302">
        <v>0</v>
      </c>
      <c r="D239" s="302">
        <v>0</v>
      </c>
      <c r="E239" s="302">
        <v>0</v>
      </c>
      <c r="F239" s="302">
        <v>0</v>
      </c>
      <c r="G239" s="302">
        <v>0</v>
      </c>
      <c r="H239" s="302">
        <v>0</v>
      </c>
      <c r="I239" s="302">
        <v>0</v>
      </c>
      <c r="J239" s="302">
        <v>0</v>
      </c>
      <c r="K239" s="302">
        <v>0</v>
      </c>
      <c r="L239" s="302">
        <v>0</v>
      </c>
      <c r="M239" s="302">
        <v>0</v>
      </c>
      <c r="N239" s="302">
        <v>0</v>
      </c>
      <c r="O239" s="295">
        <f t="shared" si="10"/>
        <v>0</v>
      </c>
      <c r="AA239" s="276"/>
    </row>
    <row r="240" spans="1:27" ht="15" customHeight="1">
      <c r="A240" s="501"/>
      <c r="B240" s="356" t="s">
        <v>920</v>
      </c>
      <c r="C240" s="302">
        <v>0</v>
      </c>
      <c r="D240" s="302">
        <v>0</v>
      </c>
      <c r="E240" s="302">
        <v>0</v>
      </c>
      <c r="F240" s="302">
        <v>0</v>
      </c>
      <c r="G240" s="302">
        <v>0</v>
      </c>
      <c r="H240" s="302">
        <v>0</v>
      </c>
      <c r="I240" s="302">
        <v>0</v>
      </c>
      <c r="J240" s="302">
        <v>0</v>
      </c>
      <c r="K240" s="302">
        <v>0</v>
      </c>
      <c r="L240" s="302">
        <v>0</v>
      </c>
      <c r="M240" s="302">
        <v>0</v>
      </c>
      <c r="N240" s="302">
        <v>0</v>
      </c>
      <c r="O240" s="295">
        <f t="shared" si="10"/>
        <v>0</v>
      </c>
      <c r="AA240" s="276"/>
    </row>
    <row r="241" spans="1:27" ht="15" customHeight="1">
      <c r="A241" s="501"/>
      <c r="B241" s="356" t="s">
        <v>921</v>
      </c>
      <c r="C241" s="302">
        <v>0</v>
      </c>
      <c r="D241" s="302">
        <v>0</v>
      </c>
      <c r="E241" s="302">
        <v>0</v>
      </c>
      <c r="F241" s="302">
        <v>0</v>
      </c>
      <c r="G241" s="302">
        <v>0</v>
      </c>
      <c r="H241" s="302">
        <v>0</v>
      </c>
      <c r="I241" s="302">
        <v>0</v>
      </c>
      <c r="J241" s="302">
        <v>0</v>
      </c>
      <c r="K241" s="302">
        <v>0</v>
      </c>
      <c r="L241" s="302">
        <v>0</v>
      </c>
      <c r="M241" s="302">
        <v>0</v>
      </c>
      <c r="N241" s="302">
        <v>0</v>
      </c>
      <c r="O241" s="295">
        <f t="shared" si="10"/>
        <v>0</v>
      </c>
      <c r="AA241" s="276"/>
    </row>
    <row r="242" spans="1:27" ht="15" customHeight="1">
      <c r="A242" s="501"/>
      <c r="B242" s="356" t="s">
        <v>922</v>
      </c>
      <c r="C242" s="302">
        <v>0</v>
      </c>
      <c r="D242" s="302">
        <v>0</v>
      </c>
      <c r="E242" s="302">
        <v>0</v>
      </c>
      <c r="F242" s="302">
        <v>0</v>
      </c>
      <c r="G242" s="302">
        <v>0</v>
      </c>
      <c r="H242" s="302">
        <v>0</v>
      </c>
      <c r="I242" s="302">
        <v>0</v>
      </c>
      <c r="J242" s="302">
        <v>0</v>
      </c>
      <c r="K242" s="302">
        <v>0</v>
      </c>
      <c r="L242" s="302">
        <v>0</v>
      </c>
      <c r="M242" s="302">
        <v>0</v>
      </c>
      <c r="N242" s="302">
        <v>0</v>
      </c>
      <c r="O242" s="295">
        <f t="shared" si="10"/>
        <v>0</v>
      </c>
      <c r="AA242" s="276"/>
    </row>
    <row r="243" spans="1:27" ht="15" customHeight="1" thickBot="1">
      <c r="A243" s="501"/>
      <c r="B243" s="356" t="s">
        <v>923</v>
      </c>
      <c r="C243" s="302">
        <v>0</v>
      </c>
      <c r="D243" s="302">
        <v>0</v>
      </c>
      <c r="E243" s="302">
        <v>0</v>
      </c>
      <c r="F243" s="302">
        <v>0</v>
      </c>
      <c r="G243" s="302">
        <v>0</v>
      </c>
      <c r="H243" s="302">
        <v>0</v>
      </c>
      <c r="I243" s="302">
        <v>0</v>
      </c>
      <c r="J243" s="302">
        <v>0</v>
      </c>
      <c r="K243" s="302">
        <v>0</v>
      </c>
      <c r="L243" s="302">
        <v>0</v>
      </c>
      <c r="M243" s="302">
        <v>0</v>
      </c>
      <c r="N243" s="302">
        <v>0</v>
      </c>
      <c r="O243" s="295">
        <f t="shared" si="10"/>
        <v>0</v>
      </c>
      <c r="AA243" s="276"/>
    </row>
    <row r="244" spans="1:27" ht="15" customHeight="1">
      <c r="A244" s="500" t="s">
        <v>925</v>
      </c>
      <c r="B244" s="356" t="s">
        <v>614</v>
      </c>
      <c r="C244" s="302">
        <v>0</v>
      </c>
      <c r="D244" s="302">
        <v>0</v>
      </c>
      <c r="E244" s="302">
        <v>0</v>
      </c>
      <c r="F244" s="302">
        <v>0</v>
      </c>
      <c r="G244" s="302">
        <v>0</v>
      </c>
      <c r="H244" s="302">
        <v>0</v>
      </c>
      <c r="I244" s="302">
        <v>0</v>
      </c>
      <c r="J244" s="302">
        <v>0</v>
      </c>
      <c r="K244" s="302">
        <v>0</v>
      </c>
      <c r="L244" s="302">
        <v>0</v>
      </c>
      <c r="M244" s="302">
        <v>0</v>
      </c>
      <c r="N244" s="302">
        <v>0</v>
      </c>
      <c r="O244" s="295">
        <f t="shared" si="10"/>
        <v>0</v>
      </c>
      <c r="AA244" s="276"/>
    </row>
    <row r="245" spans="1:27" ht="15" customHeight="1">
      <c r="A245" s="501"/>
      <c r="B245" s="356" t="s">
        <v>615</v>
      </c>
      <c r="C245" s="302">
        <v>0</v>
      </c>
      <c r="D245" s="302">
        <v>0</v>
      </c>
      <c r="E245" s="302">
        <v>0</v>
      </c>
      <c r="F245" s="302">
        <v>0</v>
      </c>
      <c r="G245" s="302">
        <v>0</v>
      </c>
      <c r="H245" s="302">
        <v>0</v>
      </c>
      <c r="I245" s="302">
        <v>0</v>
      </c>
      <c r="J245" s="302">
        <v>0</v>
      </c>
      <c r="K245" s="302">
        <v>0</v>
      </c>
      <c r="L245" s="302">
        <v>0</v>
      </c>
      <c r="M245" s="302">
        <v>0</v>
      </c>
      <c r="N245" s="302">
        <v>0</v>
      </c>
      <c r="O245" s="295">
        <f t="shared" si="10"/>
        <v>0</v>
      </c>
      <c r="AA245" s="276"/>
    </row>
    <row r="246" spans="1:27" ht="15" customHeight="1">
      <c r="A246" s="501"/>
      <c r="B246" s="356" t="s">
        <v>616</v>
      </c>
      <c r="C246" s="302">
        <v>0</v>
      </c>
      <c r="D246" s="302">
        <v>0</v>
      </c>
      <c r="E246" s="302">
        <v>0</v>
      </c>
      <c r="F246" s="302">
        <v>0</v>
      </c>
      <c r="G246" s="302">
        <v>0</v>
      </c>
      <c r="H246" s="302">
        <v>0</v>
      </c>
      <c r="I246" s="302">
        <v>0</v>
      </c>
      <c r="J246" s="302">
        <v>0</v>
      </c>
      <c r="K246" s="302">
        <v>0</v>
      </c>
      <c r="L246" s="302">
        <v>0</v>
      </c>
      <c r="M246" s="302">
        <v>0</v>
      </c>
      <c r="N246" s="302">
        <v>0</v>
      </c>
      <c r="O246" s="295">
        <f t="shared" si="10"/>
        <v>0</v>
      </c>
      <c r="AA246" s="276"/>
    </row>
    <row r="247" spans="1:27" ht="15" customHeight="1">
      <c r="A247" s="501"/>
      <c r="B247" s="356" t="s">
        <v>617</v>
      </c>
      <c r="C247" s="302">
        <v>0</v>
      </c>
      <c r="D247" s="302">
        <v>0</v>
      </c>
      <c r="E247" s="302">
        <v>0</v>
      </c>
      <c r="F247" s="302">
        <v>0</v>
      </c>
      <c r="G247" s="302">
        <v>0</v>
      </c>
      <c r="H247" s="302">
        <v>0</v>
      </c>
      <c r="I247" s="302">
        <v>0</v>
      </c>
      <c r="J247" s="302">
        <v>0</v>
      </c>
      <c r="K247" s="302">
        <v>0</v>
      </c>
      <c r="L247" s="302">
        <v>0</v>
      </c>
      <c r="M247" s="302">
        <v>0</v>
      </c>
      <c r="N247" s="302">
        <v>0</v>
      </c>
      <c r="O247" s="295">
        <f t="shared" si="10"/>
        <v>0</v>
      </c>
      <c r="AA247" s="276"/>
    </row>
    <row r="248" spans="1:27" ht="15" customHeight="1">
      <c r="A248" s="501"/>
      <c r="B248" s="356" t="s">
        <v>618</v>
      </c>
      <c r="C248" s="302">
        <v>0</v>
      </c>
      <c r="D248" s="302">
        <v>0</v>
      </c>
      <c r="E248" s="302">
        <v>0</v>
      </c>
      <c r="F248" s="302">
        <v>0</v>
      </c>
      <c r="G248" s="302">
        <v>0</v>
      </c>
      <c r="H248" s="302">
        <v>0</v>
      </c>
      <c r="I248" s="302">
        <v>0</v>
      </c>
      <c r="J248" s="302">
        <v>0</v>
      </c>
      <c r="K248" s="302">
        <v>0</v>
      </c>
      <c r="L248" s="302">
        <v>0</v>
      </c>
      <c r="M248" s="302">
        <v>0</v>
      </c>
      <c r="N248" s="302">
        <v>0</v>
      </c>
      <c r="O248" s="295">
        <f t="shared" si="10"/>
        <v>0</v>
      </c>
      <c r="AA248" s="276"/>
    </row>
    <row r="249" spans="1:27" ht="15" customHeight="1">
      <c r="A249" s="501"/>
      <c r="B249" s="356" t="s">
        <v>619</v>
      </c>
      <c r="C249" s="302">
        <v>0</v>
      </c>
      <c r="D249" s="302">
        <v>0</v>
      </c>
      <c r="E249" s="302">
        <v>0</v>
      </c>
      <c r="F249" s="302">
        <v>0</v>
      </c>
      <c r="G249" s="302">
        <v>0</v>
      </c>
      <c r="H249" s="302">
        <v>0</v>
      </c>
      <c r="I249" s="302">
        <v>0</v>
      </c>
      <c r="J249" s="302">
        <v>0</v>
      </c>
      <c r="K249" s="302">
        <v>0</v>
      </c>
      <c r="L249" s="302">
        <v>0</v>
      </c>
      <c r="M249" s="302">
        <v>0</v>
      </c>
      <c r="N249" s="302">
        <v>0</v>
      </c>
      <c r="O249" s="295">
        <f t="shared" si="10"/>
        <v>0</v>
      </c>
      <c r="AA249" s="276"/>
    </row>
    <row r="250" spans="1:27" ht="15" customHeight="1">
      <c r="A250" s="501"/>
      <c r="B250" s="356" t="s">
        <v>620</v>
      </c>
      <c r="C250" s="302">
        <v>0</v>
      </c>
      <c r="D250" s="302">
        <v>0</v>
      </c>
      <c r="E250" s="302">
        <v>0</v>
      </c>
      <c r="F250" s="302">
        <v>0</v>
      </c>
      <c r="G250" s="302">
        <v>0</v>
      </c>
      <c r="H250" s="302">
        <v>0</v>
      </c>
      <c r="I250" s="302">
        <v>0</v>
      </c>
      <c r="J250" s="302">
        <v>0</v>
      </c>
      <c r="K250" s="302">
        <v>0</v>
      </c>
      <c r="L250" s="302">
        <v>0</v>
      </c>
      <c r="M250" s="302">
        <v>0</v>
      </c>
      <c r="N250" s="302">
        <v>0</v>
      </c>
      <c r="O250" s="295">
        <f t="shared" si="10"/>
        <v>0</v>
      </c>
      <c r="AA250" s="276"/>
    </row>
    <row r="251" spans="1:27" ht="15" customHeight="1">
      <c r="A251" s="501"/>
      <c r="B251" s="356" t="s">
        <v>621</v>
      </c>
      <c r="C251" s="302">
        <v>0</v>
      </c>
      <c r="D251" s="302">
        <v>0</v>
      </c>
      <c r="E251" s="302">
        <v>0</v>
      </c>
      <c r="F251" s="302">
        <v>0</v>
      </c>
      <c r="G251" s="302">
        <v>0</v>
      </c>
      <c r="H251" s="302">
        <v>0</v>
      </c>
      <c r="I251" s="302">
        <v>0</v>
      </c>
      <c r="J251" s="302">
        <v>0</v>
      </c>
      <c r="K251" s="302">
        <v>0</v>
      </c>
      <c r="L251" s="302">
        <v>0</v>
      </c>
      <c r="M251" s="302">
        <v>0</v>
      </c>
      <c r="N251" s="302">
        <v>0</v>
      </c>
      <c r="O251" s="295">
        <f t="shared" si="10"/>
        <v>0</v>
      </c>
      <c r="AA251" s="276"/>
    </row>
    <row r="252" spans="1:27" ht="15" customHeight="1">
      <c r="A252" s="501"/>
      <c r="B252" s="356" t="s">
        <v>622</v>
      </c>
      <c r="C252" s="302">
        <v>0</v>
      </c>
      <c r="D252" s="302">
        <v>0</v>
      </c>
      <c r="E252" s="302">
        <v>0</v>
      </c>
      <c r="F252" s="302">
        <v>0</v>
      </c>
      <c r="G252" s="302">
        <v>0</v>
      </c>
      <c r="H252" s="302">
        <v>0</v>
      </c>
      <c r="I252" s="302">
        <v>0</v>
      </c>
      <c r="J252" s="302">
        <v>0</v>
      </c>
      <c r="K252" s="302">
        <v>0</v>
      </c>
      <c r="L252" s="302">
        <v>0</v>
      </c>
      <c r="M252" s="302">
        <v>0</v>
      </c>
      <c r="N252" s="302">
        <v>0</v>
      </c>
      <c r="O252" s="295">
        <f t="shared" si="10"/>
        <v>0</v>
      </c>
      <c r="AA252" s="276"/>
    </row>
    <row r="253" spans="1:27" ht="15" customHeight="1">
      <c r="A253" s="501"/>
      <c r="B253" s="356" t="s">
        <v>623</v>
      </c>
      <c r="C253" s="302">
        <v>0</v>
      </c>
      <c r="D253" s="302">
        <v>0</v>
      </c>
      <c r="E253" s="302">
        <v>0</v>
      </c>
      <c r="F253" s="302">
        <v>0</v>
      </c>
      <c r="G253" s="302">
        <v>0</v>
      </c>
      <c r="H253" s="302">
        <v>0</v>
      </c>
      <c r="I253" s="302">
        <v>0</v>
      </c>
      <c r="J253" s="302">
        <v>0</v>
      </c>
      <c r="K253" s="302">
        <v>0</v>
      </c>
      <c r="L253" s="302">
        <v>0</v>
      </c>
      <c r="M253" s="302">
        <v>0</v>
      </c>
      <c r="N253" s="302">
        <v>0</v>
      </c>
      <c r="O253" s="295">
        <f t="shared" si="10"/>
        <v>0</v>
      </c>
      <c r="AA253" s="276"/>
    </row>
    <row r="254" spans="1:27" ht="15" customHeight="1">
      <c r="A254" s="501"/>
      <c r="B254" s="356" t="s">
        <v>624</v>
      </c>
      <c r="C254" s="302">
        <v>0</v>
      </c>
      <c r="D254" s="302">
        <v>0</v>
      </c>
      <c r="E254" s="302">
        <v>0</v>
      </c>
      <c r="F254" s="302">
        <v>0</v>
      </c>
      <c r="G254" s="302">
        <v>0</v>
      </c>
      <c r="H254" s="302">
        <v>0</v>
      </c>
      <c r="I254" s="302">
        <v>0</v>
      </c>
      <c r="J254" s="302">
        <v>0</v>
      </c>
      <c r="K254" s="302">
        <v>0</v>
      </c>
      <c r="L254" s="302">
        <v>0</v>
      </c>
      <c r="M254" s="302">
        <v>0</v>
      </c>
      <c r="N254" s="302">
        <v>0</v>
      </c>
      <c r="O254" s="295">
        <f t="shared" si="10"/>
        <v>0</v>
      </c>
      <c r="AA254" s="276"/>
    </row>
    <row r="255" spans="1:27" ht="15" customHeight="1">
      <c r="A255" s="501"/>
      <c r="B255" s="356" t="s">
        <v>625</v>
      </c>
      <c r="C255" s="302">
        <v>0</v>
      </c>
      <c r="D255" s="302">
        <v>0</v>
      </c>
      <c r="E255" s="302">
        <v>0</v>
      </c>
      <c r="F255" s="302">
        <v>0</v>
      </c>
      <c r="G255" s="302">
        <v>0</v>
      </c>
      <c r="H255" s="302">
        <v>0</v>
      </c>
      <c r="I255" s="302">
        <v>0</v>
      </c>
      <c r="J255" s="302">
        <v>0</v>
      </c>
      <c r="K255" s="302">
        <v>0</v>
      </c>
      <c r="L255" s="302">
        <v>0</v>
      </c>
      <c r="M255" s="302">
        <v>0</v>
      </c>
      <c r="N255" s="302">
        <v>0</v>
      </c>
      <c r="O255" s="295">
        <f t="shared" si="10"/>
        <v>0</v>
      </c>
      <c r="AA255" s="276"/>
    </row>
    <row r="256" spans="1:27" ht="15" customHeight="1">
      <c r="A256" s="501"/>
      <c r="B256" s="356" t="s">
        <v>626</v>
      </c>
      <c r="C256" s="302">
        <v>0</v>
      </c>
      <c r="D256" s="302">
        <v>0</v>
      </c>
      <c r="E256" s="302">
        <v>0</v>
      </c>
      <c r="F256" s="302">
        <v>0</v>
      </c>
      <c r="G256" s="302">
        <v>0</v>
      </c>
      <c r="H256" s="302">
        <v>0</v>
      </c>
      <c r="I256" s="302">
        <v>0</v>
      </c>
      <c r="J256" s="302">
        <v>0</v>
      </c>
      <c r="K256" s="302">
        <v>0</v>
      </c>
      <c r="L256" s="302">
        <v>0</v>
      </c>
      <c r="M256" s="302">
        <v>0</v>
      </c>
      <c r="N256" s="302">
        <v>0</v>
      </c>
      <c r="O256" s="295">
        <f t="shared" si="10"/>
        <v>0</v>
      </c>
      <c r="AA256" s="276"/>
    </row>
    <row r="257" spans="1:27" ht="15" customHeight="1">
      <c r="A257" s="501"/>
      <c r="B257" s="356" t="s">
        <v>627</v>
      </c>
      <c r="C257" s="302">
        <v>0</v>
      </c>
      <c r="D257" s="302">
        <v>0</v>
      </c>
      <c r="E257" s="302">
        <v>0</v>
      </c>
      <c r="F257" s="302">
        <v>0</v>
      </c>
      <c r="G257" s="302">
        <v>0</v>
      </c>
      <c r="H257" s="302">
        <v>0</v>
      </c>
      <c r="I257" s="302">
        <v>0</v>
      </c>
      <c r="J257" s="302">
        <v>0</v>
      </c>
      <c r="K257" s="302">
        <v>0</v>
      </c>
      <c r="L257" s="302">
        <v>0</v>
      </c>
      <c r="M257" s="302">
        <v>0</v>
      </c>
      <c r="N257" s="302">
        <v>0</v>
      </c>
      <c r="O257" s="295">
        <f t="shared" si="10"/>
        <v>0</v>
      </c>
      <c r="AA257" s="276"/>
    </row>
    <row r="258" spans="1:27" ht="15" customHeight="1">
      <c r="A258" s="501"/>
      <c r="B258" s="356" t="s">
        <v>628</v>
      </c>
      <c r="C258" s="302">
        <v>0</v>
      </c>
      <c r="D258" s="302">
        <v>0</v>
      </c>
      <c r="E258" s="302">
        <v>0</v>
      </c>
      <c r="F258" s="302">
        <v>0</v>
      </c>
      <c r="G258" s="302">
        <v>0</v>
      </c>
      <c r="H258" s="302">
        <v>0</v>
      </c>
      <c r="I258" s="302">
        <v>0</v>
      </c>
      <c r="J258" s="302">
        <v>0</v>
      </c>
      <c r="K258" s="302">
        <v>0</v>
      </c>
      <c r="L258" s="302">
        <v>0</v>
      </c>
      <c r="M258" s="302">
        <v>0</v>
      </c>
      <c r="N258" s="302">
        <v>0</v>
      </c>
      <c r="O258" s="295">
        <f t="shared" si="10"/>
        <v>0</v>
      </c>
      <c r="AA258" s="276"/>
    </row>
    <row r="259" spans="1:27" ht="15" customHeight="1">
      <c r="A259" s="501"/>
      <c r="B259" s="356" t="s">
        <v>629</v>
      </c>
      <c r="C259" s="302">
        <v>0</v>
      </c>
      <c r="D259" s="302">
        <v>0</v>
      </c>
      <c r="E259" s="302">
        <v>0</v>
      </c>
      <c r="F259" s="302">
        <v>0</v>
      </c>
      <c r="G259" s="302">
        <v>0</v>
      </c>
      <c r="H259" s="302">
        <v>0</v>
      </c>
      <c r="I259" s="302">
        <v>0</v>
      </c>
      <c r="J259" s="302">
        <v>0</v>
      </c>
      <c r="K259" s="302">
        <v>0</v>
      </c>
      <c r="L259" s="302">
        <v>0</v>
      </c>
      <c r="M259" s="302">
        <v>0</v>
      </c>
      <c r="N259" s="302">
        <v>0</v>
      </c>
      <c r="O259" s="295">
        <f t="shared" si="10"/>
        <v>0</v>
      </c>
      <c r="AA259" s="276"/>
    </row>
    <row r="260" spans="1:27" ht="15" customHeight="1">
      <c r="A260" s="501"/>
      <c r="B260" s="356" t="s">
        <v>630</v>
      </c>
      <c r="C260" s="302">
        <v>0</v>
      </c>
      <c r="D260" s="302">
        <v>0</v>
      </c>
      <c r="E260" s="302">
        <v>0</v>
      </c>
      <c r="F260" s="302">
        <v>0</v>
      </c>
      <c r="G260" s="302">
        <v>0</v>
      </c>
      <c r="H260" s="302">
        <v>0</v>
      </c>
      <c r="I260" s="302">
        <v>0</v>
      </c>
      <c r="J260" s="302">
        <v>0</v>
      </c>
      <c r="K260" s="302">
        <v>0</v>
      </c>
      <c r="L260" s="302">
        <v>0</v>
      </c>
      <c r="M260" s="302">
        <v>0</v>
      </c>
      <c r="N260" s="302">
        <v>0</v>
      </c>
      <c r="O260" s="295">
        <f t="shared" si="10"/>
        <v>0</v>
      </c>
      <c r="AA260" s="276"/>
    </row>
    <row r="261" spans="1:27" ht="15" customHeight="1">
      <c r="A261" s="501"/>
      <c r="B261" s="356" t="s">
        <v>918</v>
      </c>
      <c r="C261" s="302">
        <v>0</v>
      </c>
      <c r="D261" s="302">
        <v>0</v>
      </c>
      <c r="E261" s="302">
        <v>0</v>
      </c>
      <c r="F261" s="302">
        <v>0</v>
      </c>
      <c r="G261" s="302">
        <v>0</v>
      </c>
      <c r="H261" s="302">
        <v>0</v>
      </c>
      <c r="I261" s="302">
        <v>0</v>
      </c>
      <c r="J261" s="302">
        <v>0</v>
      </c>
      <c r="K261" s="302">
        <v>0</v>
      </c>
      <c r="L261" s="302">
        <v>0</v>
      </c>
      <c r="M261" s="302">
        <v>0</v>
      </c>
      <c r="N261" s="302">
        <v>0</v>
      </c>
      <c r="O261" s="295">
        <f t="shared" si="10"/>
        <v>0</v>
      </c>
      <c r="AA261" s="276"/>
    </row>
    <row r="262" spans="1:27" ht="15" customHeight="1">
      <c r="A262" s="501"/>
      <c r="B262" s="356" t="s">
        <v>919</v>
      </c>
      <c r="C262" s="302">
        <v>0</v>
      </c>
      <c r="D262" s="302">
        <v>0</v>
      </c>
      <c r="E262" s="302">
        <v>0</v>
      </c>
      <c r="F262" s="302">
        <v>0</v>
      </c>
      <c r="G262" s="302">
        <v>0</v>
      </c>
      <c r="H262" s="302">
        <v>0</v>
      </c>
      <c r="I262" s="302">
        <v>0</v>
      </c>
      <c r="J262" s="302">
        <v>0</v>
      </c>
      <c r="K262" s="302">
        <v>0</v>
      </c>
      <c r="L262" s="302">
        <v>0</v>
      </c>
      <c r="M262" s="302">
        <v>0</v>
      </c>
      <c r="N262" s="302">
        <v>0</v>
      </c>
      <c r="O262" s="295">
        <f t="shared" si="10"/>
        <v>0</v>
      </c>
      <c r="AA262" s="276"/>
    </row>
    <row r="263" spans="1:27" ht="15" customHeight="1">
      <c r="A263" s="501"/>
      <c r="B263" s="356" t="s">
        <v>920</v>
      </c>
      <c r="C263" s="302">
        <v>0</v>
      </c>
      <c r="D263" s="302">
        <v>0</v>
      </c>
      <c r="E263" s="302">
        <v>0</v>
      </c>
      <c r="F263" s="302">
        <v>0</v>
      </c>
      <c r="G263" s="302">
        <v>0</v>
      </c>
      <c r="H263" s="302">
        <v>0</v>
      </c>
      <c r="I263" s="302">
        <v>0</v>
      </c>
      <c r="J263" s="302">
        <v>0</v>
      </c>
      <c r="K263" s="302">
        <v>0</v>
      </c>
      <c r="L263" s="302">
        <v>0</v>
      </c>
      <c r="M263" s="302">
        <v>0</v>
      </c>
      <c r="N263" s="302">
        <v>0</v>
      </c>
      <c r="O263" s="295">
        <f t="shared" si="10"/>
        <v>0</v>
      </c>
      <c r="AA263" s="276"/>
    </row>
    <row r="264" spans="1:27" ht="15" customHeight="1" thickBot="1">
      <c r="A264" s="502"/>
      <c r="B264" s="356" t="s">
        <v>921</v>
      </c>
      <c r="C264" s="302">
        <v>0</v>
      </c>
      <c r="D264" s="302">
        <v>0</v>
      </c>
      <c r="E264" s="302">
        <v>0</v>
      </c>
      <c r="F264" s="302">
        <v>0</v>
      </c>
      <c r="G264" s="302">
        <v>0</v>
      </c>
      <c r="H264" s="302">
        <v>0</v>
      </c>
      <c r="I264" s="302">
        <v>0</v>
      </c>
      <c r="J264" s="302">
        <v>0</v>
      </c>
      <c r="K264" s="302">
        <v>0</v>
      </c>
      <c r="L264" s="302">
        <v>0</v>
      </c>
      <c r="M264" s="302">
        <v>0</v>
      </c>
      <c r="N264" s="302">
        <v>0</v>
      </c>
      <c r="O264" s="295">
        <f t="shared" si="10"/>
        <v>0</v>
      </c>
      <c r="AA264" s="276"/>
    </row>
    <row r="265" spans="1:27" ht="15" customHeight="1" thickBot="1">
      <c r="A265" s="506" t="s">
        <v>755</v>
      </c>
      <c r="B265" s="507"/>
      <c r="C265" s="296"/>
      <c r="D265" s="296"/>
      <c r="E265" s="296"/>
      <c r="F265" s="296"/>
      <c r="G265" s="296"/>
      <c r="H265" s="296"/>
      <c r="I265" s="296"/>
      <c r="J265" s="307"/>
      <c r="K265" s="296"/>
      <c r="L265" s="296"/>
      <c r="M265" s="296"/>
      <c r="N265" s="296"/>
      <c r="O265" s="512"/>
      <c r="AA265" s="276"/>
    </row>
    <row r="266" spans="1:27" ht="15" customHeight="1" thickBot="1">
      <c r="A266" s="506" t="s">
        <v>754</v>
      </c>
      <c r="B266" s="507"/>
      <c r="C266" s="296">
        <f>+AVERAGE(C221:C264)</f>
        <v>0</v>
      </c>
      <c r="D266" s="296">
        <f t="shared" ref="D266:N266" si="11">+AVERAGE(D221:D264)</f>
        <v>0</v>
      </c>
      <c r="E266" s="296">
        <f t="shared" si="11"/>
        <v>0</v>
      </c>
      <c r="F266" s="296">
        <f t="shared" si="11"/>
        <v>0</v>
      </c>
      <c r="G266" s="296">
        <f t="shared" si="11"/>
        <v>0</v>
      </c>
      <c r="H266" s="296">
        <f t="shared" si="11"/>
        <v>0</v>
      </c>
      <c r="I266" s="296">
        <f t="shared" si="11"/>
        <v>0</v>
      </c>
      <c r="J266" s="296">
        <f t="shared" si="11"/>
        <v>0</v>
      </c>
      <c r="K266" s="296">
        <f t="shared" si="11"/>
        <v>0</v>
      </c>
      <c r="L266" s="296">
        <f t="shared" si="11"/>
        <v>0</v>
      </c>
      <c r="M266" s="296">
        <f t="shared" si="11"/>
        <v>0</v>
      </c>
      <c r="N266" s="296">
        <f t="shared" si="11"/>
        <v>0</v>
      </c>
      <c r="O266" s="513"/>
      <c r="AA266" s="276"/>
    </row>
    <row r="267" spans="1:27" ht="15" customHeight="1" thickBot="1">
      <c r="A267" s="506" t="s">
        <v>760</v>
      </c>
      <c r="B267" s="515"/>
      <c r="C267" s="516">
        <f>+AVERAGE(C266:N266)</f>
        <v>0</v>
      </c>
      <c r="D267" s="517"/>
      <c r="E267" s="517"/>
      <c r="F267" s="517"/>
      <c r="G267" s="517"/>
      <c r="H267" s="517"/>
      <c r="I267" s="517"/>
      <c r="J267" s="517"/>
      <c r="K267" s="517"/>
      <c r="L267" s="517"/>
      <c r="M267" s="517"/>
      <c r="N267" s="518"/>
      <c r="O267" s="514"/>
      <c r="AA267" s="276"/>
    </row>
    <row r="268" spans="1:27" ht="15" customHeight="1">
      <c r="A268" s="500" t="s">
        <v>933</v>
      </c>
      <c r="B268" s="359" t="s">
        <v>631</v>
      </c>
      <c r="C268" s="301">
        <v>0</v>
      </c>
      <c r="D268" s="301">
        <v>0</v>
      </c>
      <c r="E268" s="301">
        <v>0</v>
      </c>
      <c r="F268" s="301">
        <v>0</v>
      </c>
      <c r="G268" s="301">
        <v>0</v>
      </c>
      <c r="H268" s="301">
        <v>0</v>
      </c>
      <c r="I268" s="301">
        <v>0</v>
      </c>
      <c r="J268" s="301">
        <v>0</v>
      </c>
      <c r="K268" s="301">
        <v>0</v>
      </c>
      <c r="L268" s="301">
        <v>0</v>
      </c>
      <c r="M268" s="301">
        <v>0</v>
      </c>
      <c r="N268" s="301">
        <v>0</v>
      </c>
      <c r="O268" s="293">
        <f t="shared" ref="O268:O311" si="12">+AVERAGE(C268:N268)</f>
        <v>0</v>
      </c>
      <c r="AA268" s="276"/>
    </row>
    <row r="269" spans="1:27" ht="15" customHeight="1">
      <c r="A269" s="501"/>
      <c r="B269" s="356" t="s">
        <v>632</v>
      </c>
      <c r="C269" s="302">
        <v>0</v>
      </c>
      <c r="D269" s="302">
        <v>0</v>
      </c>
      <c r="E269" s="302">
        <v>0</v>
      </c>
      <c r="F269" s="302">
        <v>0</v>
      </c>
      <c r="G269" s="302">
        <v>0</v>
      </c>
      <c r="H269" s="302">
        <v>0</v>
      </c>
      <c r="I269" s="302">
        <v>0</v>
      </c>
      <c r="J269" s="302">
        <v>0</v>
      </c>
      <c r="K269" s="302">
        <v>0</v>
      </c>
      <c r="L269" s="302">
        <v>0</v>
      </c>
      <c r="M269" s="302">
        <v>0</v>
      </c>
      <c r="N269" s="302">
        <v>0</v>
      </c>
      <c r="O269" s="295">
        <f t="shared" si="12"/>
        <v>0</v>
      </c>
      <c r="AA269" s="276"/>
    </row>
    <row r="270" spans="1:27" ht="15" customHeight="1">
      <c r="A270" s="501"/>
      <c r="B270" s="356" t="s">
        <v>926</v>
      </c>
      <c r="C270" s="302">
        <v>0</v>
      </c>
      <c r="D270" s="302">
        <v>0</v>
      </c>
      <c r="E270" s="302">
        <v>0</v>
      </c>
      <c r="F270" s="302">
        <v>0</v>
      </c>
      <c r="G270" s="302">
        <v>0</v>
      </c>
      <c r="H270" s="302">
        <v>0</v>
      </c>
      <c r="I270" s="302">
        <v>0</v>
      </c>
      <c r="J270" s="302">
        <v>0</v>
      </c>
      <c r="K270" s="302">
        <v>0</v>
      </c>
      <c r="L270" s="302">
        <v>0</v>
      </c>
      <c r="M270" s="302">
        <v>0</v>
      </c>
      <c r="N270" s="302">
        <v>0</v>
      </c>
      <c r="O270" s="295">
        <f t="shared" si="12"/>
        <v>0</v>
      </c>
      <c r="AA270" s="276"/>
    </row>
    <row r="271" spans="1:27" ht="15" customHeight="1">
      <c r="A271" s="501"/>
      <c r="B271" s="356" t="s">
        <v>634</v>
      </c>
      <c r="C271" s="302">
        <v>0</v>
      </c>
      <c r="D271" s="302">
        <v>0</v>
      </c>
      <c r="E271" s="302">
        <v>0</v>
      </c>
      <c r="F271" s="302">
        <v>0</v>
      </c>
      <c r="G271" s="302">
        <v>0</v>
      </c>
      <c r="H271" s="302">
        <v>0</v>
      </c>
      <c r="I271" s="302">
        <v>0</v>
      </c>
      <c r="J271" s="302">
        <v>0</v>
      </c>
      <c r="K271" s="302">
        <v>0</v>
      </c>
      <c r="L271" s="302">
        <v>0</v>
      </c>
      <c r="M271" s="302">
        <v>0</v>
      </c>
      <c r="N271" s="302">
        <v>0</v>
      </c>
      <c r="O271" s="295">
        <f t="shared" si="12"/>
        <v>0</v>
      </c>
      <c r="AA271" s="276"/>
    </row>
    <row r="272" spans="1:27" ht="15" customHeight="1">
      <c r="A272" s="501"/>
      <c r="B272" s="356" t="s">
        <v>635</v>
      </c>
      <c r="C272" s="302">
        <v>0</v>
      </c>
      <c r="D272" s="302">
        <v>0</v>
      </c>
      <c r="E272" s="302">
        <v>0</v>
      </c>
      <c r="F272" s="302">
        <v>0</v>
      </c>
      <c r="G272" s="302">
        <v>0</v>
      </c>
      <c r="H272" s="302">
        <v>0</v>
      </c>
      <c r="I272" s="302">
        <v>0</v>
      </c>
      <c r="J272" s="302">
        <v>0</v>
      </c>
      <c r="K272" s="302">
        <v>0</v>
      </c>
      <c r="L272" s="302">
        <v>0</v>
      </c>
      <c r="M272" s="302">
        <v>0</v>
      </c>
      <c r="N272" s="302">
        <v>0</v>
      </c>
      <c r="O272" s="295">
        <f t="shared" si="12"/>
        <v>0</v>
      </c>
      <c r="AA272" s="276"/>
    </row>
    <row r="273" spans="1:27" ht="15" customHeight="1">
      <c r="A273" s="501"/>
      <c r="B273" s="356" t="s">
        <v>636</v>
      </c>
      <c r="C273" s="302">
        <v>0</v>
      </c>
      <c r="D273" s="302">
        <v>0</v>
      </c>
      <c r="E273" s="302">
        <v>0</v>
      </c>
      <c r="F273" s="302">
        <v>0</v>
      </c>
      <c r="G273" s="302">
        <v>0</v>
      </c>
      <c r="H273" s="302">
        <v>0</v>
      </c>
      <c r="I273" s="302">
        <v>0</v>
      </c>
      <c r="J273" s="302">
        <v>0</v>
      </c>
      <c r="K273" s="302">
        <v>0</v>
      </c>
      <c r="L273" s="302">
        <v>0</v>
      </c>
      <c r="M273" s="302">
        <v>0</v>
      </c>
      <c r="N273" s="302">
        <v>0</v>
      </c>
      <c r="O273" s="295">
        <f t="shared" si="12"/>
        <v>0</v>
      </c>
      <c r="AA273" s="276"/>
    </row>
    <row r="274" spans="1:27" ht="15" customHeight="1">
      <c r="A274" s="501"/>
      <c r="B274" s="356" t="s">
        <v>637</v>
      </c>
      <c r="C274" s="302">
        <v>0</v>
      </c>
      <c r="D274" s="302">
        <v>0</v>
      </c>
      <c r="E274" s="302">
        <v>0</v>
      </c>
      <c r="F274" s="302">
        <v>0</v>
      </c>
      <c r="G274" s="302">
        <v>0</v>
      </c>
      <c r="H274" s="302">
        <v>0</v>
      </c>
      <c r="I274" s="302">
        <v>0</v>
      </c>
      <c r="J274" s="302">
        <v>0</v>
      </c>
      <c r="K274" s="302">
        <v>0</v>
      </c>
      <c r="L274" s="302">
        <v>0</v>
      </c>
      <c r="M274" s="302">
        <v>0</v>
      </c>
      <c r="N274" s="302">
        <v>0</v>
      </c>
      <c r="O274" s="295">
        <f t="shared" si="12"/>
        <v>0</v>
      </c>
      <c r="AA274" s="276"/>
    </row>
    <row r="275" spans="1:27" ht="15" customHeight="1">
      <c r="A275" s="501"/>
      <c r="B275" s="356" t="s">
        <v>638</v>
      </c>
      <c r="C275" s="302">
        <v>0</v>
      </c>
      <c r="D275" s="302">
        <v>0</v>
      </c>
      <c r="E275" s="302">
        <v>0</v>
      </c>
      <c r="F275" s="302">
        <v>0</v>
      </c>
      <c r="G275" s="302">
        <v>0</v>
      </c>
      <c r="H275" s="302">
        <v>0</v>
      </c>
      <c r="I275" s="302">
        <v>0</v>
      </c>
      <c r="J275" s="302">
        <v>0</v>
      </c>
      <c r="K275" s="302">
        <v>0</v>
      </c>
      <c r="L275" s="302">
        <v>0</v>
      </c>
      <c r="M275" s="302">
        <v>0</v>
      </c>
      <c r="N275" s="302">
        <v>0</v>
      </c>
      <c r="O275" s="295">
        <f t="shared" si="12"/>
        <v>0</v>
      </c>
      <c r="AA275" s="276"/>
    </row>
    <row r="276" spans="1:27" ht="15" customHeight="1">
      <c r="A276" s="501"/>
      <c r="B276" s="356" t="s">
        <v>639</v>
      </c>
      <c r="C276" s="302">
        <v>0</v>
      </c>
      <c r="D276" s="302">
        <v>0</v>
      </c>
      <c r="E276" s="302">
        <v>0</v>
      </c>
      <c r="F276" s="302">
        <v>0</v>
      </c>
      <c r="G276" s="302">
        <v>0</v>
      </c>
      <c r="H276" s="302">
        <v>0</v>
      </c>
      <c r="I276" s="302">
        <v>0</v>
      </c>
      <c r="J276" s="302">
        <v>0</v>
      </c>
      <c r="K276" s="302">
        <v>0</v>
      </c>
      <c r="L276" s="302">
        <v>0</v>
      </c>
      <c r="M276" s="302">
        <v>0</v>
      </c>
      <c r="N276" s="302">
        <v>0</v>
      </c>
      <c r="O276" s="295">
        <f t="shared" si="12"/>
        <v>0</v>
      </c>
      <c r="AA276" s="276"/>
    </row>
    <row r="277" spans="1:27" ht="15" customHeight="1">
      <c r="A277" s="501"/>
      <c r="B277" s="356" t="s">
        <v>640</v>
      </c>
      <c r="C277" s="302">
        <v>0</v>
      </c>
      <c r="D277" s="302">
        <v>0</v>
      </c>
      <c r="E277" s="302">
        <v>0</v>
      </c>
      <c r="F277" s="302">
        <v>0</v>
      </c>
      <c r="G277" s="302">
        <v>0</v>
      </c>
      <c r="H277" s="302">
        <v>0</v>
      </c>
      <c r="I277" s="302">
        <v>0</v>
      </c>
      <c r="J277" s="302">
        <v>0</v>
      </c>
      <c r="K277" s="302">
        <v>0</v>
      </c>
      <c r="L277" s="302">
        <v>0</v>
      </c>
      <c r="M277" s="302">
        <v>0</v>
      </c>
      <c r="N277" s="302">
        <v>0</v>
      </c>
      <c r="O277" s="295">
        <f t="shared" si="12"/>
        <v>0</v>
      </c>
      <c r="AA277" s="276"/>
    </row>
    <row r="278" spans="1:27" ht="15" customHeight="1">
      <c r="A278" s="501"/>
      <c r="B278" s="356" t="s">
        <v>641</v>
      </c>
      <c r="C278" s="302">
        <v>0</v>
      </c>
      <c r="D278" s="302">
        <v>0</v>
      </c>
      <c r="E278" s="302">
        <v>0</v>
      </c>
      <c r="F278" s="302">
        <v>0</v>
      </c>
      <c r="G278" s="302">
        <v>0</v>
      </c>
      <c r="H278" s="302">
        <v>0</v>
      </c>
      <c r="I278" s="302">
        <v>0</v>
      </c>
      <c r="J278" s="302">
        <v>0</v>
      </c>
      <c r="K278" s="302">
        <v>0</v>
      </c>
      <c r="L278" s="302">
        <v>0</v>
      </c>
      <c r="M278" s="302">
        <v>0</v>
      </c>
      <c r="N278" s="302">
        <v>0</v>
      </c>
      <c r="O278" s="295">
        <f t="shared" si="12"/>
        <v>0</v>
      </c>
      <c r="AA278" s="276"/>
    </row>
    <row r="279" spans="1:27" ht="15" customHeight="1">
      <c r="A279" s="501"/>
      <c r="B279" s="356" t="s">
        <v>642</v>
      </c>
      <c r="C279" s="302">
        <v>0</v>
      </c>
      <c r="D279" s="302">
        <v>0</v>
      </c>
      <c r="E279" s="302">
        <v>0</v>
      </c>
      <c r="F279" s="302">
        <v>0</v>
      </c>
      <c r="G279" s="302">
        <v>0</v>
      </c>
      <c r="H279" s="302">
        <v>0</v>
      </c>
      <c r="I279" s="302">
        <v>0</v>
      </c>
      <c r="J279" s="302">
        <v>0</v>
      </c>
      <c r="K279" s="302">
        <v>0</v>
      </c>
      <c r="L279" s="302">
        <v>0</v>
      </c>
      <c r="M279" s="302">
        <v>0</v>
      </c>
      <c r="N279" s="302">
        <v>0</v>
      </c>
      <c r="O279" s="295">
        <f t="shared" si="12"/>
        <v>0</v>
      </c>
      <c r="AA279" s="276"/>
    </row>
    <row r="280" spans="1:27" ht="15" customHeight="1">
      <c r="A280" s="501"/>
      <c r="B280" s="356" t="s">
        <v>643</v>
      </c>
      <c r="C280" s="302">
        <v>0</v>
      </c>
      <c r="D280" s="302">
        <v>0</v>
      </c>
      <c r="E280" s="302">
        <v>0</v>
      </c>
      <c r="F280" s="302">
        <v>0</v>
      </c>
      <c r="G280" s="302">
        <v>0</v>
      </c>
      <c r="H280" s="302">
        <v>0</v>
      </c>
      <c r="I280" s="302">
        <v>0</v>
      </c>
      <c r="J280" s="302">
        <v>0</v>
      </c>
      <c r="K280" s="302">
        <v>0</v>
      </c>
      <c r="L280" s="302">
        <v>0</v>
      </c>
      <c r="M280" s="302">
        <v>0</v>
      </c>
      <c r="N280" s="302">
        <v>0</v>
      </c>
      <c r="O280" s="295">
        <f t="shared" si="12"/>
        <v>0</v>
      </c>
      <c r="AA280" s="276"/>
    </row>
    <row r="281" spans="1:27" ht="15" customHeight="1">
      <c r="A281" s="501"/>
      <c r="B281" s="356" t="s">
        <v>644</v>
      </c>
      <c r="C281" s="302">
        <v>0</v>
      </c>
      <c r="D281" s="302">
        <v>0</v>
      </c>
      <c r="E281" s="302">
        <v>0</v>
      </c>
      <c r="F281" s="302">
        <v>0</v>
      </c>
      <c r="G281" s="302">
        <v>0</v>
      </c>
      <c r="H281" s="302">
        <v>0</v>
      </c>
      <c r="I281" s="302">
        <v>0</v>
      </c>
      <c r="J281" s="302">
        <v>0</v>
      </c>
      <c r="K281" s="302">
        <v>0</v>
      </c>
      <c r="L281" s="302">
        <v>0</v>
      </c>
      <c r="M281" s="302">
        <v>0</v>
      </c>
      <c r="N281" s="302">
        <v>0</v>
      </c>
      <c r="O281" s="295">
        <f t="shared" si="12"/>
        <v>0</v>
      </c>
      <c r="AA281" s="276"/>
    </row>
    <row r="282" spans="1:27" ht="15" customHeight="1">
      <c r="A282" s="501"/>
      <c r="B282" s="356" t="s">
        <v>645</v>
      </c>
      <c r="C282" s="302">
        <v>0</v>
      </c>
      <c r="D282" s="302">
        <v>0</v>
      </c>
      <c r="E282" s="302">
        <v>0</v>
      </c>
      <c r="F282" s="302">
        <v>0</v>
      </c>
      <c r="G282" s="302">
        <v>0</v>
      </c>
      <c r="H282" s="302">
        <v>0</v>
      </c>
      <c r="I282" s="302">
        <v>0</v>
      </c>
      <c r="J282" s="302">
        <v>0</v>
      </c>
      <c r="K282" s="302">
        <v>0</v>
      </c>
      <c r="L282" s="302">
        <v>0</v>
      </c>
      <c r="M282" s="302">
        <v>0</v>
      </c>
      <c r="N282" s="302">
        <v>0</v>
      </c>
      <c r="O282" s="295">
        <f t="shared" si="12"/>
        <v>0</v>
      </c>
      <c r="AA282" s="276"/>
    </row>
    <row r="283" spans="1:27" ht="15" customHeight="1">
      <c r="A283" s="501"/>
      <c r="B283" s="356" t="s">
        <v>646</v>
      </c>
      <c r="C283" s="302">
        <v>0</v>
      </c>
      <c r="D283" s="302">
        <v>0</v>
      </c>
      <c r="E283" s="302">
        <v>0</v>
      </c>
      <c r="F283" s="302">
        <v>0</v>
      </c>
      <c r="G283" s="302">
        <v>0</v>
      </c>
      <c r="H283" s="302">
        <v>0</v>
      </c>
      <c r="I283" s="302">
        <v>0</v>
      </c>
      <c r="J283" s="302">
        <v>0</v>
      </c>
      <c r="K283" s="302">
        <v>0</v>
      </c>
      <c r="L283" s="302">
        <v>0</v>
      </c>
      <c r="M283" s="302">
        <v>0</v>
      </c>
      <c r="N283" s="302">
        <v>0</v>
      </c>
      <c r="O283" s="295">
        <f t="shared" si="12"/>
        <v>0</v>
      </c>
      <c r="AA283" s="276"/>
    </row>
    <row r="284" spans="1:27" ht="15" customHeight="1">
      <c r="A284" s="501"/>
      <c r="B284" s="356" t="s">
        <v>647</v>
      </c>
      <c r="C284" s="302">
        <v>0</v>
      </c>
      <c r="D284" s="302">
        <v>0</v>
      </c>
      <c r="E284" s="302">
        <v>0</v>
      </c>
      <c r="F284" s="302">
        <v>0</v>
      </c>
      <c r="G284" s="302">
        <v>0</v>
      </c>
      <c r="H284" s="302">
        <v>0</v>
      </c>
      <c r="I284" s="302">
        <v>0</v>
      </c>
      <c r="J284" s="302">
        <v>0</v>
      </c>
      <c r="K284" s="302">
        <v>0</v>
      </c>
      <c r="L284" s="302">
        <v>0</v>
      </c>
      <c r="M284" s="302">
        <v>0</v>
      </c>
      <c r="N284" s="302">
        <v>0</v>
      </c>
      <c r="O284" s="295">
        <f t="shared" si="12"/>
        <v>0</v>
      </c>
      <c r="AA284" s="276"/>
    </row>
    <row r="285" spans="1:27" ht="15" customHeight="1">
      <c r="A285" s="501"/>
      <c r="B285" s="356" t="s">
        <v>927</v>
      </c>
      <c r="C285" s="302">
        <v>0</v>
      </c>
      <c r="D285" s="302">
        <v>0</v>
      </c>
      <c r="E285" s="302">
        <v>0</v>
      </c>
      <c r="F285" s="302">
        <v>0</v>
      </c>
      <c r="G285" s="302">
        <v>0</v>
      </c>
      <c r="H285" s="302">
        <v>0</v>
      </c>
      <c r="I285" s="302">
        <v>0</v>
      </c>
      <c r="J285" s="302">
        <v>0</v>
      </c>
      <c r="K285" s="302">
        <v>0</v>
      </c>
      <c r="L285" s="302">
        <v>0</v>
      </c>
      <c r="M285" s="302">
        <v>0</v>
      </c>
      <c r="N285" s="302">
        <v>0</v>
      </c>
      <c r="O285" s="295">
        <f t="shared" si="12"/>
        <v>0</v>
      </c>
      <c r="AA285" s="276"/>
    </row>
    <row r="286" spans="1:27" ht="15" customHeight="1">
      <c r="A286" s="501"/>
      <c r="B286" s="356" t="s">
        <v>928</v>
      </c>
      <c r="C286" s="302">
        <v>0</v>
      </c>
      <c r="D286" s="302">
        <v>0</v>
      </c>
      <c r="E286" s="302">
        <v>0</v>
      </c>
      <c r="F286" s="302">
        <v>0</v>
      </c>
      <c r="G286" s="302">
        <v>0</v>
      </c>
      <c r="H286" s="302">
        <v>0</v>
      </c>
      <c r="I286" s="302">
        <v>0</v>
      </c>
      <c r="J286" s="302">
        <v>0</v>
      </c>
      <c r="K286" s="302">
        <v>0</v>
      </c>
      <c r="L286" s="302">
        <v>0</v>
      </c>
      <c r="M286" s="302">
        <v>0</v>
      </c>
      <c r="N286" s="302">
        <v>0</v>
      </c>
      <c r="O286" s="295">
        <f t="shared" si="12"/>
        <v>0</v>
      </c>
      <c r="AA286" s="276"/>
    </row>
    <row r="287" spans="1:27" ht="15" customHeight="1">
      <c r="A287" s="501"/>
      <c r="B287" s="356" t="s">
        <v>929</v>
      </c>
      <c r="C287" s="302">
        <v>0</v>
      </c>
      <c r="D287" s="302">
        <v>0</v>
      </c>
      <c r="E287" s="302">
        <v>0</v>
      </c>
      <c r="F287" s="302">
        <v>0</v>
      </c>
      <c r="G287" s="302">
        <v>0</v>
      </c>
      <c r="H287" s="302">
        <v>0</v>
      </c>
      <c r="I287" s="302">
        <v>0</v>
      </c>
      <c r="J287" s="302">
        <v>0</v>
      </c>
      <c r="K287" s="302">
        <v>0</v>
      </c>
      <c r="L287" s="302">
        <v>0</v>
      </c>
      <c r="M287" s="302">
        <v>0</v>
      </c>
      <c r="N287" s="302">
        <v>0</v>
      </c>
      <c r="O287" s="295">
        <f t="shared" si="12"/>
        <v>0</v>
      </c>
      <c r="AA287" s="276"/>
    </row>
    <row r="288" spans="1:27" ht="15" customHeight="1">
      <c r="A288" s="501"/>
      <c r="B288" s="356" t="s">
        <v>930</v>
      </c>
      <c r="C288" s="302">
        <v>0</v>
      </c>
      <c r="D288" s="302">
        <v>0</v>
      </c>
      <c r="E288" s="302">
        <v>0</v>
      </c>
      <c r="F288" s="302">
        <v>0</v>
      </c>
      <c r="G288" s="302">
        <v>0</v>
      </c>
      <c r="H288" s="302">
        <v>0</v>
      </c>
      <c r="I288" s="302">
        <v>0</v>
      </c>
      <c r="J288" s="302">
        <v>0</v>
      </c>
      <c r="K288" s="302">
        <v>0</v>
      </c>
      <c r="L288" s="302">
        <v>0</v>
      </c>
      <c r="M288" s="302">
        <v>0</v>
      </c>
      <c r="N288" s="302">
        <v>0</v>
      </c>
      <c r="O288" s="295">
        <f t="shared" si="12"/>
        <v>0</v>
      </c>
      <c r="AA288" s="276"/>
    </row>
    <row r="289" spans="1:27" ht="15" customHeight="1">
      <c r="A289" s="501"/>
      <c r="B289" s="356" t="s">
        <v>931</v>
      </c>
      <c r="C289" s="302">
        <v>0</v>
      </c>
      <c r="D289" s="302">
        <v>0</v>
      </c>
      <c r="E289" s="302">
        <v>0</v>
      </c>
      <c r="F289" s="302">
        <v>0</v>
      </c>
      <c r="G289" s="302">
        <v>0</v>
      </c>
      <c r="H289" s="302">
        <v>0</v>
      </c>
      <c r="I289" s="302">
        <v>0</v>
      </c>
      <c r="J289" s="302">
        <v>0</v>
      </c>
      <c r="K289" s="302">
        <v>0</v>
      </c>
      <c r="L289" s="302">
        <v>0</v>
      </c>
      <c r="M289" s="302">
        <v>0</v>
      </c>
      <c r="N289" s="302">
        <v>0</v>
      </c>
      <c r="O289" s="295">
        <f t="shared" si="12"/>
        <v>0</v>
      </c>
      <c r="AA289" s="276"/>
    </row>
    <row r="290" spans="1:27" ht="15" customHeight="1" thickBot="1">
      <c r="A290" s="501"/>
      <c r="B290" s="356" t="s">
        <v>932</v>
      </c>
      <c r="C290" s="302">
        <v>0</v>
      </c>
      <c r="D290" s="302">
        <v>0</v>
      </c>
      <c r="E290" s="302">
        <v>0</v>
      </c>
      <c r="F290" s="302">
        <v>0</v>
      </c>
      <c r="G290" s="302">
        <v>0</v>
      </c>
      <c r="H290" s="302">
        <v>0</v>
      </c>
      <c r="I290" s="302">
        <v>0</v>
      </c>
      <c r="J290" s="302">
        <v>0</v>
      </c>
      <c r="K290" s="302">
        <v>0</v>
      </c>
      <c r="L290" s="302">
        <v>0</v>
      </c>
      <c r="M290" s="302">
        <v>0</v>
      </c>
      <c r="N290" s="302">
        <v>0</v>
      </c>
      <c r="O290" s="295">
        <f t="shared" si="12"/>
        <v>0</v>
      </c>
      <c r="AA290" s="276"/>
    </row>
    <row r="291" spans="1:27" ht="15" customHeight="1">
      <c r="A291" s="500" t="s">
        <v>934</v>
      </c>
      <c r="B291" s="356" t="s">
        <v>631</v>
      </c>
      <c r="C291" s="302">
        <v>0</v>
      </c>
      <c r="D291" s="302">
        <v>0</v>
      </c>
      <c r="E291" s="302">
        <v>0</v>
      </c>
      <c r="F291" s="302">
        <v>0</v>
      </c>
      <c r="G291" s="302">
        <v>0</v>
      </c>
      <c r="H291" s="302">
        <v>0</v>
      </c>
      <c r="I291" s="302">
        <v>0</v>
      </c>
      <c r="J291" s="302">
        <v>0</v>
      </c>
      <c r="K291" s="302">
        <v>0</v>
      </c>
      <c r="L291" s="302">
        <v>0</v>
      </c>
      <c r="M291" s="302">
        <v>0</v>
      </c>
      <c r="N291" s="302">
        <v>0</v>
      </c>
      <c r="O291" s="295">
        <f t="shared" si="12"/>
        <v>0</v>
      </c>
      <c r="AA291" s="276"/>
    </row>
    <row r="292" spans="1:27" ht="15" customHeight="1">
      <c r="A292" s="501"/>
      <c r="B292" s="356" t="s">
        <v>632</v>
      </c>
      <c r="C292" s="302">
        <v>0</v>
      </c>
      <c r="D292" s="302">
        <v>0</v>
      </c>
      <c r="E292" s="302">
        <v>0</v>
      </c>
      <c r="F292" s="302">
        <v>0</v>
      </c>
      <c r="G292" s="302">
        <v>0</v>
      </c>
      <c r="H292" s="302">
        <v>0</v>
      </c>
      <c r="I292" s="302">
        <v>0</v>
      </c>
      <c r="J292" s="302">
        <v>0</v>
      </c>
      <c r="K292" s="302">
        <v>0</v>
      </c>
      <c r="L292" s="302">
        <v>0</v>
      </c>
      <c r="M292" s="302">
        <v>0</v>
      </c>
      <c r="N292" s="302">
        <v>0</v>
      </c>
      <c r="O292" s="295">
        <f t="shared" si="12"/>
        <v>0</v>
      </c>
      <c r="AA292" s="276"/>
    </row>
    <row r="293" spans="1:27" ht="15" customHeight="1">
      <c r="A293" s="501"/>
      <c r="B293" s="356" t="s">
        <v>633</v>
      </c>
      <c r="C293" s="302">
        <v>0</v>
      </c>
      <c r="D293" s="302">
        <v>0</v>
      </c>
      <c r="E293" s="302">
        <v>0</v>
      </c>
      <c r="F293" s="302">
        <v>0</v>
      </c>
      <c r="G293" s="302">
        <v>0</v>
      </c>
      <c r="H293" s="302">
        <v>0</v>
      </c>
      <c r="I293" s="302">
        <v>0</v>
      </c>
      <c r="J293" s="302">
        <v>0</v>
      </c>
      <c r="K293" s="302">
        <v>0</v>
      </c>
      <c r="L293" s="302">
        <v>0</v>
      </c>
      <c r="M293" s="302">
        <v>0</v>
      </c>
      <c r="N293" s="302">
        <v>0</v>
      </c>
      <c r="O293" s="295">
        <f t="shared" si="12"/>
        <v>0</v>
      </c>
      <c r="AA293" s="276"/>
    </row>
    <row r="294" spans="1:27" ht="15" customHeight="1">
      <c r="A294" s="501"/>
      <c r="B294" s="356" t="s">
        <v>634</v>
      </c>
      <c r="C294" s="302">
        <v>0</v>
      </c>
      <c r="D294" s="302">
        <v>0</v>
      </c>
      <c r="E294" s="302">
        <v>0</v>
      </c>
      <c r="F294" s="302">
        <v>0</v>
      </c>
      <c r="G294" s="302">
        <v>0</v>
      </c>
      <c r="H294" s="302">
        <v>0</v>
      </c>
      <c r="I294" s="302">
        <v>0</v>
      </c>
      <c r="J294" s="302">
        <v>0</v>
      </c>
      <c r="K294" s="302">
        <v>0</v>
      </c>
      <c r="L294" s="302">
        <v>0</v>
      </c>
      <c r="M294" s="302">
        <v>0</v>
      </c>
      <c r="N294" s="302">
        <v>0</v>
      </c>
      <c r="O294" s="295">
        <f t="shared" si="12"/>
        <v>0</v>
      </c>
      <c r="AA294" s="276"/>
    </row>
    <row r="295" spans="1:27" ht="15" customHeight="1">
      <c r="A295" s="501"/>
      <c r="B295" s="356" t="s">
        <v>635</v>
      </c>
      <c r="C295" s="302">
        <v>0</v>
      </c>
      <c r="D295" s="302">
        <v>0</v>
      </c>
      <c r="E295" s="302">
        <v>0</v>
      </c>
      <c r="F295" s="302">
        <v>0</v>
      </c>
      <c r="G295" s="302">
        <v>0</v>
      </c>
      <c r="H295" s="302">
        <v>0</v>
      </c>
      <c r="I295" s="302">
        <v>0</v>
      </c>
      <c r="J295" s="302">
        <v>0</v>
      </c>
      <c r="K295" s="302">
        <v>0</v>
      </c>
      <c r="L295" s="302">
        <v>0</v>
      </c>
      <c r="M295" s="302">
        <v>0</v>
      </c>
      <c r="N295" s="302">
        <v>0</v>
      </c>
      <c r="O295" s="295">
        <f t="shared" si="12"/>
        <v>0</v>
      </c>
      <c r="AA295" s="276"/>
    </row>
    <row r="296" spans="1:27" ht="15" customHeight="1">
      <c r="A296" s="501"/>
      <c r="B296" s="356" t="s">
        <v>636</v>
      </c>
      <c r="C296" s="302">
        <v>0</v>
      </c>
      <c r="D296" s="302">
        <v>0</v>
      </c>
      <c r="E296" s="302">
        <v>0</v>
      </c>
      <c r="F296" s="302">
        <v>0</v>
      </c>
      <c r="G296" s="302">
        <v>0</v>
      </c>
      <c r="H296" s="302">
        <v>0</v>
      </c>
      <c r="I296" s="302">
        <v>0</v>
      </c>
      <c r="J296" s="302">
        <v>0</v>
      </c>
      <c r="K296" s="302">
        <v>0</v>
      </c>
      <c r="L296" s="302">
        <v>0</v>
      </c>
      <c r="M296" s="302">
        <v>0</v>
      </c>
      <c r="N296" s="302">
        <v>0</v>
      </c>
      <c r="O296" s="295">
        <f t="shared" si="12"/>
        <v>0</v>
      </c>
      <c r="AA296" s="276"/>
    </row>
    <row r="297" spans="1:27" ht="15" customHeight="1">
      <c r="A297" s="501"/>
      <c r="B297" s="356" t="s">
        <v>637</v>
      </c>
      <c r="C297" s="302">
        <v>0</v>
      </c>
      <c r="D297" s="302">
        <v>0</v>
      </c>
      <c r="E297" s="302">
        <v>0</v>
      </c>
      <c r="F297" s="302">
        <v>0</v>
      </c>
      <c r="G297" s="302">
        <v>0</v>
      </c>
      <c r="H297" s="302">
        <v>0</v>
      </c>
      <c r="I297" s="302">
        <v>0</v>
      </c>
      <c r="J297" s="302">
        <v>0</v>
      </c>
      <c r="K297" s="302">
        <v>0</v>
      </c>
      <c r="L297" s="302">
        <v>0</v>
      </c>
      <c r="M297" s="302">
        <v>0</v>
      </c>
      <c r="N297" s="302">
        <v>0</v>
      </c>
      <c r="O297" s="295">
        <f t="shared" si="12"/>
        <v>0</v>
      </c>
      <c r="AA297" s="276"/>
    </row>
    <row r="298" spans="1:27" ht="15" customHeight="1">
      <c r="A298" s="501"/>
      <c r="B298" s="356" t="s">
        <v>638</v>
      </c>
      <c r="C298" s="302">
        <v>0</v>
      </c>
      <c r="D298" s="302">
        <v>0</v>
      </c>
      <c r="E298" s="302">
        <v>0</v>
      </c>
      <c r="F298" s="302">
        <v>0</v>
      </c>
      <c r="G298" s="302">
        <v>0</v>
      </c>
      <c r="H298" s="302">
        <v>0</v>
      </c>
      <c r="I298" s="302">
        <v>0</v>
      </c>
      <c r="J298" s="302">
        <v>0</v>
      </c>
      <c r="K298" s="302">
        <v>0</v>
      </c>
      <c r="L298" s="302">
        <v>0</v>
      </c>
      <c r="M298" s="302">
        <v>0</v>
      </c>
      <c r="N298" s="302">
        <v>0</v>
      </c>
      <c r="O298" s="295">
        <f t="shared" si="12"/>
        <v>0</v>
      </c>
      <c r="AA298" s="276"/>
    </row>
    <row r="299" spans="1:27" ht="15" customHeight="1">
      <c r="A299" s="501"/>
      <c r="B299" s="356" t="s">
        <v>639</v>
      </c>
      <c r="C299" s="302">
        <v>0</v>
      </c>
      <c r="D299" s="302">
        <v>0</v>
      </c>
      <c r="E299" s="302">
        <v>0</v>
      </c>
      <c r="F299" s="302">
        <v>0</v>
      </c>
      <c r="G299" s="302">
        <v>0</v>
      </c>
      <c r="H299" s="302">
        <v>0</v>
      </c>
      <c r="I299" s="302">
        <v>0</v>
      </c>
      <c r="J299" s="302">
        <v>0</v>
      </c>
      <c r="K299" s="302">
        <v>0</v>
      </c>
      <c r="L299" s="302">
        <v>0</v>
      </c>
      <c r="M299" s="302">
        <v>0</v>
      </c>
      <c r="N299" s="302">
        <v>0</v>
      </c>
      <c r="O299" s="295">
        <f t="shared" si="12"/>
        <v>0</v>
      </c>
      <c r="AA299" s="276"/>
    </row>
    <row r="300" spans="1:27" ht="15" customHeight="1">
      <c r="A300" s="501"/>
      <c r="B300" s="356" t="s">
        <v>640</v>
      </c>
      <c r="C300" s="302">
        <v>0</v>
      </c>
      <c r="D300" s="302">
        <v>0</v>
      </c>
      <c r="E300" s="302">
        <v>0</v>
      </c>
      <c r="F300" s="302">
        <v>0</v>
      </c>
      <c r="G300" s="302">
        <v>0</v>
      </c>
      <c r="H300" s="302">
        <v>0</v>
      </c>
      <c r="I300" s="302">
        <v>0</v>
      </c>
      <c r="J300" s="302">
        <v>0</v>
      </c>
      <c r="K300" s="302">
        <v>0</v>
      </c>
      <c r="L300" s="302">
        <v>0</v>
      </c>
      <c r="M300" s="302">
        <v>0</v>
      </c>
      <c r="N300" s="302">
        <v>0</v>
      </c>
      <c r="O300" s="295">
        <f t="shared" si="12"/>
        <v>0</v>
      </c>
      <c r="AA300" s="276"/>
    </row>
    <row r="301" spans="1:27" ht="15" customHeight="1">
      <c r="A301" s="501"/>
      <c r="B301" s="356" t="s">
        <v>641</v>
      </c>
      <c r="C301" s="302">
        <v>0</v>
      </c>
      <c r="D301" s="302">
        <v>0</v>
      </c>
      <c r="E301" s="302">
        <v>0</v>
      </c>
      <c r="F301" s="302">
        <v>0</v>
      </c>
      <c r="G301" s="302">
        <v>0</v>
      </c>
      <c r="H301" s="302">
        <v>0</v>
      </c>
      <c r="I301" s="302">
        <v>0</v>
      </c>
      <c r="J301" s="302">
        <v>0</v>
      </c>
      <c r="K301" s="302">
        <v>0</v>
      </c>
      <c r="L301" s="302">
        <v>0</v>
      </c>
      <c r="M301" s="302">
        <v>0</v>
      </c>
      <c r="N301" s="302">
        <v>0</v>
      </c>
      <c r="O301" s="295">
        <f t="shared" si="12"/>
        <v>0</v>
      </c>
      <c r="AA301" s="276"/>
    </row>
    <row r="302" spans="1:27" ht="15" customHeight="1">
      <c r="A302" s="501"/>
      <c r="B302" s="356" t="s">
        <v>642</v>
      </c>
      <c r="C302" s="302">
        <v>0</v>
      </c>
      <c r="D302" s="302">
        <v>0</v>
      </c>
      <c r="E302" s="302">
        <v>0</v>
      </c>
      <c r="F302" s="302">
        <v>0</v>
      </c>
      <c r="G302" s="302">
        <v>0</v>
      </c>
      <c r="H302" s="302">
        <v>0</v>
      </c>
      <c r="I302" s="302">
        <v>0</v>
      </c>
      <c r="J302" s="302">
        <v>0</v>
      </c>
      <c r="K302" s="302">
        <v>0</v>
      </c>
      <c r="L302" s="302">
        <v>0</v>
      </c>
      <c r="M302" s="302">
        <v>0</v>
      </c>
      <c r="N302" s="302">
        <v>0</v>
      </c>
      <c r="O302" s="295">
        <f t="shared" si="12"/>
        <v>0</v>
      </c>
      <c r="AA302" s="276"/>
    </row>
    <row r="303" spans="1:27" ht="15" customHeight="1">
      <c r="A303" s="501"/>
      <c r="B303" s="356" t="s">
        <v>643</v>
      </c>
      <c r="C303" s="302">
        <v>0</v>
      </c>
      <c r="D303" s="302">
        <v>0</v>
      </c>
      <c r="E303" s="302">
        <v>0</v>
      </c>
      <c r="F303" s="302">
        <v>0</v>
      </c>
      <c r="G303" s="302">
        <v>0</v>
      </c>
      <c r="H303" s="302">
        <v>0</v>
      </c>
      <c r="I303" s="302">
        <v>0</v>
      </c>
      <c r="J303" s="302">
        <v>0</v>
      </c>
      <c r="K303" s="302">
        <v>0</v>
      </c>
      <c r="L303" s="302">
        <v>0</v>
      </c>
      <c r="M303" s="302">
        <v>0</v>
      </c>
      <c r="N303" s="302">
        <v>0</v>
      </c>
      <c r="O303" s="295">
        <f t="shared" si="12"/>
        <v>0</v>
      </c>
      <c r="AA303" s="276"/>
    </row>
    <row r="304" spans="1:27" ht="15" customHeight="1">
      <c r="A304" s="501"/>
      <c r="B304" s="356" t="s">
        <v>644</v>
      </c>
      <c r="C304" s="302">
        <v>0</v>
      </c>
      <c r="D304" s="302">
        <v>0</v>
      </c>
      <c r="E304" s="302">
        <v>0</v>
      </c>
      <c r="F304" s="302">
        <v>0</v>
      </c>
      <c r="G304" s="302">
        <v>0</v>
      </c>
      <c r="H304" s="302">
        <v>0</v>
      </c>
      <c r="I304" s="302">
        <v>0</v>
      </c>
      <c r="J304" s="302">
        <v>0</v>
      </c>
      <c r="K304" s="302">
        <v>0</v>
      </c>
      <c r="L304" s="302">
        <v>0</v>
      </c>
      <c r="M304" s="302">
        <v>0</v>
      </c>
      <c r="N304" s="302">
        <v>0</v>
      </c>
      <c r="O304" s="295">
        <f t="shared" si="12"/>
        <v>0</v>
      </c>
      <c r="AA304" s="276"/>
    </row>
    <row r="305" spans="1:27" ht="15" customHeight="1">
      <c r="A305" s="501"/>
      <c r="B305" s="356" t="s">
        <v>645</v>
      </c>
      <c r="C305" s="302">
        <v>0</v>
      </c>
      <c r="D305" s="302">
        <v>0</v>
      </c>
      <c r="E305" s="302">
        <v>0</v>
      </c>
      <c r="F305" s="302">
        <v>0</v>
      </c>
      <c r="G305" s="302">
        <v>0</v>
      </c>
      <c r="H305" s="302">
        <v>0</v>
      </c>
      <c r="I305" s="302">
        <v>0</v>
      </c>
      <c r="J305" s="302">
        <v>0</v>
      </c>
      <c r="K305" s="302">
        <v>0</v>
      </c>
      <c r="L305" s="302">
        <v>0</v>
      </c>
      <c r="M305" s="302">
        <v>0</v>
      </c>
      <c r="N305" s="302">
        <v>0</v>
      </c>
      <c r="O305" s="295">
        <f t="shared" si="12"/>
        <v>0</v>
      </c>
      <c r="AA305" s="276"/>
    </row>
    <row r="306" spans="1:27" ht="15" customHeight="1">
      <c r="A306" s="501"/>
      <c r="B306" s="356" t="s">
        <v>646</v>
      </c>
      <c r="C306" s="302">
        <v>0</v>
      </c>
      <c r="D306" s="302">
        <v>0</v>
      </c>
      <c r="E306" s="302">
        <v>0</v>
      </c>
      <c r="F306" s="302">
        <v>0</v>
      </c>
      <c r="G306" s="302">
        <v>0</v>
      </c>
      <c r="H306" s="302">
        <v>0</v>
      </c>
      <c r="I306" s="302">
        <v>0</v>
      </c>
      <c r="J306" s="302">
        <v>0</v>
      </c>
      <c r="K306" s="302">
        <v>0</v>
      </c>
      <c r="L306" s="302">
        <v>0</v>
      </c>
      <c r="M306" s="302">
        <v>0</v>
      </c>
      <c r="N306" s="302">
        <v>0</v>
      </c>
      <c r="O306" s="295">
        <f t="shared" si="12"/>
        <v>0</v>
      </c>
      <c r="AA306" s="276"/>
    </row>
    <row r="307" spans="1:27" ht="15" customHeight="1">
      <c r="A307" s="501"/>
      <c r="B307" s="356" t="s">
        <v>647</v>
      </c>
      <c r="C307" s="302">
        <v>0</v>
      </c>
      <c r="D307" s="302">
        <v>0</v>
      </c>
      <c r="E307" s="302">
        <v>0</v>
      </c>
      <c r="F307" s="302">
        <v>0</v>
      </c>
      <c r="G307" s="302">
        <v>0</v>
      </c>
      <c r="H307" s="302">
        <v>0</v>
      </c>
      <c r="I307" s="302">
        <v>0</v>
      </c>
      <c r="J307" s="302">
        <v>0</v>
      </c>
      <c r="K307" s="302">
        <v>0</v>
      </c>
      <c r="L307" s="302">
        <v>0</v>
      </c>
      <c r="M307" s="302">
        <v>0</v>
      </c>
      <c r="N307" s="302">
        <v>0</v>
      </c>
      <c r="O307" s="295">
        <f t="shared" si="12"/>
        <v>0</v>
      </c>
      <c r="AA307" s="276"/>
    </row>
    <row r="308" spans="1:27" ht="15" customHeight="1">
      <c r="A308" s="501"/>
      <c r="B308" s="356" t="s">
        <v>927</v>
      </c>
      <c r="C308" s="302">
        <v>0</v>
      </c>
      <c r="D308" s="302">
        <v>0</v>
      </c>
      <c r="E308" s="302">
        <v>0</v>
      </c>
      <c r="F308" s="302">
        <v>0</v>
      </c>
      <c r="G308" s="302">
        <v>0</v>
      </c>
      <c r="H308" s="302">
        <v>0</v>
      </c>
      <c r="I308" s="302">
        <v>0</v>
      </c>
      <c r="J308" s="302">
        <v>0</v>
      </c>
      <c r="K308" s="302">
        <v>0</v>
      </c>
      <c r="L308" s="302">
        <v>0</v>
      </c>
      <c r="M308" s="302">
        <v>0</v>
      </c>
      <c r="N308" s="302">
        <v>0</v>
      </c>
      <c r="O308" s="295">
        <f t="shared" si="12"/>
        <v>0</v>
      </c>
      <c r="AA308" s="276"/>
    </row>
    <row r="309" spans="1:27" ht="15" customHeight="1">
      <c r="A309" s="501"/>
      <c r="B309" s="356" t="s">
        <v>928</v>
      </c>
      <c r="C309" s="302">
        <v>0</v>
      </c>
      <c r="D309" s="302">
        <v>0</v>
      </c>
      <c r="E309" s="302">
        <v>0</v>
      </c>
      <c r="F309" s="302">
        <v>0</v>
      </c>
      <c r="G309" s="302">
        <v>0</v>
      </c>
      <c r="H309" s="302">
        <v>0</v>
      </c>
      <c r="I309" s="302">
        <v>0</v>
      </c>
      <c r="J309" s="302">
        <v>0</v>
      </c>
      <c r="K309" s="302">
        <v>0</v>
      </c>
      <c r="L309" s="302">
        <v>0</v>
      </c>
      <c r="M309" s="302">
        <v>0</v>
      </c>
      <c r="N309" s="302">
        <v>0</v>
      </c>
      <c r="O309" s="295">
        <f t="shared" si="12"/>
        <v>0</v>
      </c>
      <c r="AA309" s="276"/>
    </row>
    <row r="310" spans="1:27" ht="15" customHeight="1">
      <c r="A310" s="501"/>
      <c r="B310" s="356" t="s">
        <v>929</v>
      </c>
      <c r="C310" s="302">
        <v>0</v>
      </c>
      <c r="D310" s="302">
        <v>0</v>
      </c>
      <c r="E310" s="302">
        <v>0</v>
      </c>
      <c r="F310" s="302">
        <v>0</v>
      </c>
      <c r="G310" s="302">
        <v>0</v>
      </c>
      <c r="H310" s="302">
        <v>0</v>
      </c>
      <c r="I310" s="302">
        <v>0</v>
      </c>
      <c r="J310" s="302">
        <v>0</v>
      </c>
      <c r="K310" s="302">
        <v>0</v>
      </c>
      <c r="L310" s="302">
        <v>0</v>
      </c>
      <c r="M310" s="302">
        <v>0</v>
      </c>
      <c r="N310" s="302">
        <v>0</v>
      </c>
      <c r="O310" s="295">
        <f t="shared" si="12"/>
        <v>0</v>
      </c>
      <c r="AA310" s="276"/>
    </row>
    <row r="311" spans="1:27" ht="15" customHeight="1" thickBot="1">
      <c r="A311" s="502"/>
      <c r="B311" s="356" t="s">
        <v>930</v>
      </c>
      <c r="C311" s="302">
        <v>0</v>
      </c>
      <c r="D311" s="302">
        <v>0</v>
      </c>
      <c r="E311" s="302">
        <v>0</v>
      </c>
      <c r="F311" s="302">
        <v>0</v>
      </c>
      <c r="G311" s="302">
        <v>0</v>
      </c>
      <c r="H311" s="302">
        <v>0</v>
      </c>
      <c r="I311" s="302">
        <v>0</v>
      </c>
      <c r="J311" s="302">
        <v>0</v>
      </c>
      <c r="K311" s="302">
        <v>0</v>
      </c>
      <c r="L311" s="302">
        <v>0</v>
      </c>
      <c r="M311" s="302">
        <v>0</v>
      </c>
      <c r="N311" s="302">
        <v>0</v>
      </c>
      <c r="O311" s="295">
        <f t="shared" si="12"/>
        <v>0</v>
      </c>
      <c r="AA311" s="276"/>
    </row>
    <row r="312" spans="1:27" ht="15" customHeight="1" thickBot="1">
      <c r="A312" s="506" t="s">
        <v>755</v>
      </c>
      <c r="B312" s="507"/>
      <c r="C312" s="296"/>
      <c r="D312" s="296"/>
      <c r="E312" s="296"/>
      <c r="F312" s="296"/>
      <c r="G312" s="296"/>
      <c r="H312" s="296"/>
      <c r="I312" s="296"/>
      <c r="J312" s="296"/>
      <c r="K312" s="296"/>
      <c r="L312" s="296"/>
      <c r="M312" s="296"/>
      <c r="N312" s="296"/>
      <c r="O312" s="512"/>
      <c r="AA312" s="276"/>
    </row>
    <row r="313" spans="1:27" ht="15" customHeight="1" thickBot="1">
      <c r="A313" s="506" t="s">
        <v>754</v>
      </c>
      <c r="B313" s="507"/>
      <c r="C313" s="296">
        <f>+AVERAGE(C268:C311)</f>
        <v>0</v>
      </c>
      <c r="D313" s="296">
        <f t="shared" ref="D313:N313" si="13">+AVERAGE(D268:D311)</f>
        <v>0</v>
      </c>
      <c r="E313" s="296">
        <f t="shared" si="13"/>
        <v>0</v>
      </c>
      <c r="F313" s="296">
        <f t="shared" si="13"/>
        <v>0</v>
      </c>
      <c r="G313" s="296">
        <f t="shared" si="13"/>
        <v>0</v>
      </c>
      <c r="H313" s="296">
        <f t="shared" si="13"/>
        <v>0</v>
      </c>
      <c r="I313" s="296">
        <f t="shared" si="13"/>
        <v>0</v>
      </c>
      <c r="J313" s="296">
        <f t="shared" si="13"/>
        <v>0</v>
      </c>
      <c r="K313" s="296">
        <f t="shared" si="13"/>
        <v>0</v>
      </c>
      <c r="L313" s="296">
        <f t="shared" si="13"/>
        <v>0</v>
      </c>
      <c r="M313" s="296">
        <f t="shared" si="13"/>
        <v>0</v>
      </c>
      <c r="N313" s="296">
        <f t="shared" si="13"/>
        <v>0</v>
      </c>
      <c r="O313" s="513"/>
      <c r="AA313" s="276"/>
    </row>
    <row r="314" spans="1:27" ht="15" customHeight="1" thickBot="1">
      <c r="A314" s="506" t="s">
        <v>761</v>
      </c>
      <c r="B314" s="515"/>
      <c r="C314" s="516">
        <f>+AVERAGE(C313:N313)</f>
        <v>0</v>
      </c>
      <c r="D314" s="517"/>
      <c r="E314" s="517"/>
      <c r="F314" s="517"/>
      <c r="G314" s="517"/>
      <c r="H314" s="517"/>
      <c r="I314" s="517"/>
      <c r="J314" s="517"/>
      <c r="K314" s="517"/>
      <c r="L314" s="517"/>
      <c r="M314" s="517"/>
      <c r="N314" s="518"/>
      <c r="O314" s="514"/>
      <c r="AA314" s="276"/>
    </row>
    <row r="315" spans="1:27" ht="15" customHeight="1">
      <c r="A315" s="500" t="s">
        <v>942</v>
      </c>
      <c r="B315" s="359" t="s">
        <v>648</v>
      </c>
      <c r="C315" s="301">
        <v>0</v>
      </c>
      <c r="D315" s="301">
        <v>0</v>
      </c>
      <c r="E315" s="301">
        <v>0</v>
      </c>
      <c r="F315" s="301">
        <v>0</v>
      </c>
      <c r="G315" s="301">
        <v>0</v>
      </c>
      <c r="H315" s="301">
        <v>0</v>
      </c>
      <c r="I315" s="301">
        <v>0</v>
      </c>
      <c r="J315" s="301">
        <v>0</v>
      </c>
      <c r="K315" s="301">
        <v>0</v>
      </c>
      <c r="L315" s="301">
        <v>0</v>
      </c>
      <c r="M315" s="301">
        <v>0</v>
      </c>
      <c r="N315" s="301">
        <v>0</v>
      </c>
      <c r="O315" s="293">
        <f t="shared" ref="O315:O358" si="14">+AVERAGE(C315:N315)</f>
        <v>0</v>
      </c>
      <c r="AA315" s="276"/>
    </row>
    <row r="316" spans="1:27" ht="15" customHeight="1">
      <c r="A316" s="501"/>
      <c r="B316" s="356" t="s">
        <v>649</v>
      </c>
      <c r="C316" s="302">
        <v>0</v>
      </c>
      <c r="D316" s="302">
        <v>0</v>
      </c>
      <c r="E316" s="302">
        <v>0</v>
      </c>
      <c r="F316" s="302">
        <v>0</v>
      </c>
      <c r="G316" s="302">
        <v>0</v>
      </c>
      <c r="H316" s="302">
        <v>0</v>
      </c>
      <c r="I316" s="302">
        <v>0</v>
      </c>
      <c r="J316" s="302">
        <v>0</v>
      </c>
      <c r="K316" s="302">
        <v>0</v>
      </c>
      <c r="L316" s="302">
        <v>0</v>
      </c>
      <c r="M316" s="302">
        <v>0</v>
      </c>
      <c r="N316" s="302">
        <v>0</v>
      </c>
      <c r="O316" s="295">
        <f t="shared" si="14"/>
        <v>0</v>
      </c>
      <c r="AA316" s="276"/>
    </row>
    <row r="317" spans="1:27" ht="15" customHeight="1">
      <c r="A317" s="501"/>
      <c r="B317" s="356" t="s">
        <v>935</v>
      </c>
      <c r="C317" s="302">
        <v>0</v>
      </c>
      <c r="D317" s="302">
        <v>0</v>
      </c>
      <c r="E317" s="302">
        <v>0</v>
      </c>
      <c r="F317" s="302">
        <v>0</v>
      </c>
      <c r="G317" s="302">
        <v>0</v>
      </c>
      <c r="H317" s="302">
        <v>0</v>
      </c>
      <c r="I317" s="302">
        <v>0</v>
      </c>
      <c r="J317" s="302">
        <v>0</v>
      </c>
      <c r="K317" s="302">
        <v>0</v>
      </c>
      <c r="L317" s="302">
        <v>0</v>
      </c>
      <c r="M317" s="302">
        <v>0</v>
      </c>
      <c r="N317" s="302">
        <v>0</v>
      </c>
      <c r="O317" s="295">
        <f t="shared" si="14"/>
        <v>0</v>
      </c>
      <c r="AA317" s="276"/>
    </row>
    <row r="318" spans="1:27" ht="15" customHeight="1">
      <c r="A318" s="501"/>
      <c r="B318" s="356" t="s">
        <v>651</v>
      </c>
      <c r="C318" s="302">
        <v>0</v>
      </c>
      <c r="D318" s="302">
        <v>0</v>
      </c>
      <c r="E318" s="302">
        <v>0</v>
      </c>
      <c r="F318" s="302">
        <v>0</v>
      </c>
      <c r="G318" s="302">
        <v>0</v>
      </c>
      <c r="H318" s="302">
        <v>0</v>
      </c>
      <c r="I318" s="302">
        <v>0</v>
      </c>
      <c r="J318" s="302">
        <v>0</v>
      </c>
      <c r="K318" s="302">
        <v>0</v>
      </c>
      <c r="L318" s="302">
        <v>0</v>
      </c>
      <c r="M318" s="302">
        <v>0</v>
      </c>
      <c r="N318" s="302">
        <v>0</v>
      </c>
      <c r="O318" s="295">
        <f t="shared" si="14"/>
        <v>0</v>
      </c>
      <c r="AA318" s="276"/>
    </row>
    <row r="319" spans="1:27" ht="15" customHeight="1">
      <c r="A319" s="501"/>
      <c r="B319" s="356" t="s">
        <v>652</v>
      </c>
      <c r="C319" s="302">
        <v>0</v>
      </c>
      <c r="D319" s="302">
        <v>0</v>
      </c>
      <c r="E319" s="302">
        <v>0</v>
      </c>
      <c r="F319" s="302">
        <v>0</v>
      </c>
      <c r="G319" s="302">
        <v>0</v>
      </c>
      <c r="H319" s="302">
        <v>0</v>
      </c>
      <c r="I319" s="302">
        <v>0</v>
      </c>
      <c r="J319" s="302">
        <v>0</v>
      </c>
      <c r="K319" s="302">
        <v>0</v>
      </c>
      <c r="L319" s="302">
        <v>0</v>
      </c>
      <c r="M319" s="302">
        <v>0</v>
      </c>
      <c r="N319" s="302">
        <v>0</v>
      </c>
      <c r="O319" s="295">
        <f t="shared" si="14"/>
        <v>0</v>
      </c>
      <c r="AA319" s="276"/>
    </row>
    <row r="320" spans="1:27" ht="15" customHeight="1">
      <c r="A320" s="501"/>
      <c r="B320" s="356" t="s">
        <v>653</v>
      </c>
      <c r="C320" s="302">
        <v>0</v>
      </c>
      <c r="D320" s="302">
        <v>0</v>
      </c>
      <c r="E320" s="302">
        <v>0</v>
      </c>
      <c r="F320" s="302">
        <v>0</v>
      </c>
      <c r="G320" s="302">
        <v>0</v>
      </c>
      <c r="H320" s="302">
        <v>0</v>
      </c>
      <c r="I320" s="302">
        <v>0</v>
      </c>
      <c r="J320" s="302">
        <v>0</v>
      </c>
      <c r="K320" s="302">
        <v>0</v>
      </c>
      <c r="L320" s="302">
        <v>0</v>
      </c>
      <c r="M320" s="302">
        <v>0</v>
      </c>
      <c r="N320" s="302">
        <v>0</v>
      </c>
      <c r="O320" s="295">
        <f t="shared" si="14"/>
        <v>0</v>
      </c>
      <c r="AA320" s="276"/>
    </row>
    <row r="321" spans="1:27" ht="15" customHeight="1">
      <c r="A321" s="501"/>
      <c r="B321" s="356" t="s">
        <v>654</v>
      </c>
      <c r="C321" s="302">
        <v>0</v>
      </c>
      <c r="D321" s="302">
        <v>0</v>
      </c>
      <c r="E321" s="302">
        <v>0</v>
      </c>
      <c r="F321" s="302">
        <v>0</v>
      </c>
      <c r="G321" s="302">
        <v>0</v>
      </c>
      <c r="H321" s="302">
        <v>0</v>
      </c>
      <c r="I321" s="302">
        <v>0</v>
      </c>
      <c r="J321" s="302">
        <v>0</v>
      </c>
      <c r="K321" s="302">
        <v>0</v>
      </c>
      <c r="L321" s="302">
        <v>0</v>
      </c>
      <c r="M321" s="302">
        <v>0</v>
      </c>
      <c r="N321" s="302">
        <v>0</v>
      </c>
      <c r="O321" s="295">
        <f t="shared" si="14"/>
        <v>0</v>
      </c>
      <c r="AA321" s="276"/>
    </row>
    <row r="322" spans="1:27" ht="15" customHeight="1">
      <c r="A322" s="501"/>
      <c r="B322" s="356" t="s">
        <v>655</v>
      </c>
      <c r="C322" s="302">
        <v>0</v>
      </c>
      <c r="D322" s="302">
        <v>0</v>
      </c>
      <c r="E322" s="302">
        <v>0</v>
      </c>
      <c r="F322" s="302">
        <v>0</v>
      </c>
      <c r="G322" s="302">
        <v>0</v>
      </c>
      <c r="H322" s="302">
        <v>0</v>
      </c>
      <c r="I322" s="302">
        <v>0</v>
      </c>
      <c r="J322" s="302">
        <v>0</v>
      </c>
      <c r="K322" s="302">
        <v>0</v>
      </c>
      <c r="L322" s="302">
        <v>0</v>
      </c>
      <c r="M322" s="302">
        <v>0</v>
      </c>
      <c r="N322" s="302">
        <v>0</v>
      </c>
      <c r="O322" s="295">
        <f t="shared" si="14"/>
        <v>0</v>
      </c>
      <c r="AA322" s="276"/>
    </row>
    <row r="323" spans="1:27" ht="15" customHeight="1">
      <c r="A323" s="501"/>
      <c r="B323" s="356" t="s">
        <v>656</v>
      </c>
      <c r="C323" s="302">
        <v>0</v>
      </c>
      <c r="D323" s="302">
        <v>0</v>
      </c>
      <c r="E323" s="302">
        <v>0</v>
      </c>
      <c r="F323" s="302">
        <v>0</v>
      </c>
      <c r="G323" s="302">
        <v>0</v>
      </c>
      <c r="H323" s="302">
        <v>0</v>
      </c>
      <c r="I323" s="302">
        <v>0</v>
      </c>
      <c r="J323" s="302">
        <v>0</v>
      </c>
      <c r="K323" s="302">
        <v>0</v>
      </c>
      <c r="L323" s="302">
        <v>0</v>
      </c>
      <c r="M323" s="302">
        <v>0</v>
      </c>
      <c r="N323" s="302">
        <v>0</v>
      </c>
      <c r="O323" s="295">
        <f t="shared" si="14"/>
        <v>0</v>
      </c>
      <c r="AA323" s="276"/>
    </row>
    <row r="324" spans="1:27" ht="15" customHeight="1">
      <c r="A324" s="501"/>
      <c r="B324" s="356" t="s">
        <v>657</v>
      </c>
      <c r="C324" s="302">
        <v>0</v>
      </c>
      <c r="D324" s="302">
        <v>0</v>
      </c>
      <c r="E324" s="302">
        <v>0</v>
      </c>
      <c r="F324" s="302">
        <v>0</v>
      </c>
      <c r="G324" s="302">
        <v>0</v>
      </c>
      <c r="H324" s="302">
        <v>0</v>
      </c>
      <c r="I324" s="302">
        <v>0</v>
      </c>
      <c r="J324" s="302">
        <v>0</v>
      </c>
      <c r="K324" s="302">
        <v>0</v>
      </c>
      <c r="L324" s="302">
        <v>0</v>
      </c>
      <c r="M324" s="302">
        <v>0</v>
      </c>
      <c r="N324" s="302">
        <v>0</v>
      </c>
      <c r="O324" s="295">
        <f t="shared" si="14"/>
        <v>0</v>
      </c>
      <c r="AA324" s="276"/>
    </row>
    <row r="325" spans="1:27" ht="15" customHeight="1">
      <c r="A325" s="501"/>
      <c r="B325" s="356" t="s">
        <v>658</v>
      </c>
      <c r="C325" s="302">
        <v>0</v>
      </c>
      <c r="D325" s="302">
        <v>0</v>
      </c>
      <c r="E325" s="302">
        <v>0</v>
      </c>
      <c r="F325" s="302">
        <v>0</v>
      </c>
      <c r="G325" s="302">
        <v>0</v>
      </c>
      <c r="H325" s="302">
        <v>0</v>
      </c>
      <c r="I325" s="302">
        <v>0</v>
      </c>
      <c r="J325" s="302">
        <v>0</v>
      </c>
      <c r="K325" s="302">
        <v>0</v>
      </c>
      <c r="L325" s="302">
        <v>0</v>
      </c>
      <c r="M325" s="302">
        <v>0</v>
      </c>
      <c r="N325" s="302">
        <v>0</v>
      </c>
      <c r="O325" s="295">
        <f t="shared" si="14"/>
        <v>0</v>
      </c>
      <c r="AA325" s="276"/>
    </row>
    <row r="326" spans="1:27" ht="15" customHeight="1">
      <c r="A326" s="501"/>
      <c r="B326" s="356" t="s">
        <v>659</v>
      </c>
      <c r="C326" s="302">
        <v>0</v>
      </c>
      <c r="D326" s="302">
        <v>0</v>
      </c>
      <c r="E326" s="302">
        <v>0</v>
      </c>
      <c r="F326" s="302">
        <v>0</v>
      </c>
      <c r="G326" s="302">
        <v>0</v>
      </c>
      <c r="H326" s="302">
        <v>0</v>
      </c>
      <c r="I326" s="302">
        <v>0</v>
      </c>
      <c r="J326" s="302">
        <v>0</v>
      </c>
      <c r="K326" s="302">
        <v>0</v>
      </c>
      <c r="L326" s="302">
        <v>0</v>
      </c>
      <c r="M326" s="302">
        <v>0</v>
      </c>
      <c r="N326" s="302">
        <v>0</v>
      </c>
      <c r="O326" s="295">
        <f t="shared" si="14"/>
        <v>0</v>
      </c>
      <c r="AA326" s="276"/>
    </row>
    <row r="327" spans="1:27" ht="15" customHeight="1">
      <c r="A327" s="501"/>
      <c r="B327" s="356" t="s">
        <v>660</v>
      </c>
      <c r="C327" s="302">
        <v>0</v>
      </c>
      <c r="D327" s="302">
        <v>0</v>
      </c>
      <c r="E327" s="302">
        <v>0</v>
      </c>
      <c r="F327" s="302">
        <v>0</v>
      </c>
      <c r="G327" s="302">
        <v>0</v>
      </c>
      <c r="H327" s="302">
        <v>0</v>
      </c>
      <c r="I327" s="302">
        <v>0</v>
      </c>
      <c r="J327" s="302">
        <v>0</v>
      </c>
      <c r="K327" s="302">
        <v>0</v>
      </c>
      <c r="L327" s="302">
        <v>0</v>
      </c>
      <c r="M327" s="302">
        <v>0</v>
      </c>
      <c r="N327" s="302">
        <v>0</v>
      </c>
      <c r="O327" s="295">
        <f t="shared" si="14"/>
        <v>0</v>
      </c>
      <c r="AA327" s="276"/>
    </row>
    <row r="328" spans="1:27" ht="15" customHeight="1">
      <c r="A328" s="501"/>
      <c r="B328" s="356" t="s">
        <v>661</v>
      </c>
      <c r="C328" s="302">
        <v>0</v>
      </c>
      <c r="D328" s="302">
        <v>0</v>
      </c>
      <c r="E328" s="302">
        <v>0</v>
      </c>
      <c r="F328" s="302">
        <v>0</v>
      </c>
      <c r="G328" s="302">
        <v>0</v>
      </c>
      <c r="H328" s="302">
        <v>0</v>
      </c>
      <c r="I328" s="302">
        <v>0</v>
      </c>
      <c r="J328" s="302">
        <v>0</v>
      </c>
      <c r="K328" s="302">
        <v>0</v>
      </c>
      <c r="L328" s="302">
        <v>0</v>
      </c>
      <c r="M328" s="302">
        <v>0</v>
      </c>
      <c r="N328" s="302">
        <v>0</v>
      </c>
      <c r="O328" s="295">
        <f t="shared" si="14"/>
        <v>0</v>
      </c>
      <c r="AA328" s="276"/>
    </row>
    <row r="329" spans="1:27" ht="15" customHeight="1">
      <c r="A329" s="501"/>
      <c r="B329" s="356" t="s">
        <v>662</v>
      </c>
      <c r="C329" s="302">
        <v>0</v>
      </c>
      <c r="D329" s="302">
        <v>0</v>
      </c>
      <c r="E329" s="302">
        <v>0</v>
      </c>
      <c r="F329" s="302">
        <v>0</v>
      </c>
      <c r="G329" s="302">
        <v>0</v>
      </c>
      <c r="H329" s="302">
        <v>0</v>
      </c>
      <c r="I329" s="302">
        <v>0</v>
      </c>
      <c r="J329" s="302">
        <v>0</v>
      </c>
      <c r="K329" s="302">
        <v>0</v>
      </c>
      <c r="L329" s="302">
        <v>0</v>
      </c>
      <c r="M329" s="302">
        <v>0</v>
      </c>
      <c r="N329" s="302">
        <v>0</v>
      </c>
      <c r="O329" s="295">
        <f t="shared" si="14"/>
        <v>0</v>
      </c>
      <c r="AA329" s="276"/>
    </row>
    <row r="330" spans="1:27" ht="15" customHeight="1">
      <c r="A330" s="501"/>
      <c r="B330" s="356" t="s">
        <v>663</v>
      </c>
      <c r="C330" s="302">
        <v>0</v>
      </c>
      <c r="D330" s="302">
        <v>0</v>
      </c>
      <c r="E330" s="302">
        <v>0</v>
      </c>
      <c r="F330" s="302">
        <v>0</v>
      </c>
      <c r="G330" s="302">
        <v>0</v>
      </c>
      <c r="H330" s="302">
        <v>0</v>
      </c>
      <c r="I330" s="302">
        <v>0</v>
      </c>
      <c r="J330" s="302">
        <v>0</v>
      </c>
      <c r="K330" s="302">
        <v>0</v>
      </c>
      <c r="L330" s="302">
        <v>0</v>
      </c>
      <c r="M330" s="302">
        <v>0</v>
      </c>
      <c r="N330" s="302">
        <v>0</v>
      </c>
      <c r="O330" s="295">
        <f t="shared" si="14"/>
        <v>0</v>
      </c>
      <c r="AA330" s="276"/>
    </row>
    <row r="331" spans="1:27" ht="15" customHeight="1">
      <c r="A331" s="501"/>
      <c r="B331" s="356" t="s">
        <v>664</v>
      </c>
      <c r="C331" s="302">
        <v>0</v>
      </c>
      <c r="D331" s="302">
        <v>0</v>
      </c>
      <c r="E331" s="302">
        <v>0</v>
      </c>
      <c r="F331" s="302">
        <v>0</v>
      </c>
      <c r="G331" s="302">
        <v>0</v>
      </c>
      <c r="H331" s="302">
        <v>0</v>
      </c>
      <c r="I331" s="302">
        <v>0</v>
      </c>
      <c r="J331" s="302">
        <v>0</v>
      </c>
      <c r="K331" s="302">
        <v>0</v>
      </c>
      <c r="L331" s="302">
        <v>0</v>
      </c>
      <c r="M331" s="302">
        <v>0</v>
      </c>
      <c r="N331" s="302">
        <v>0</v>
      </c>
      <c r="O331" s="295">
        <f t="shared" si="14"/>
        <v>0</v>
      </c>
      <c r="AA331" s="276"/>
    </row>
    <row r="332" spans="1:27" ht="15" customHeight="1">
      <c r="A332" s="501"/>
      <c r="B332" s="356" t="s">
        <v>936</v>
      </c>
      <c r="C332" s="302">
        <v>0</v>
      </c>
      <c r="D332" s="302">
        <v>0</v>
      </c>
      <c r="E332" s="302">
        <v>0</v>
      </c>
      <c r="F332" s="302">
        <v>0</v>
      </c>
      <c r="G332" s="302">
        <v>0</v>
      </c>
      <c r="H332" s="302">
        <v>0</v>
      </c>
      <c r="I332" s="302">
        <v>0</v>
      </c>
      <c r="J332" s="302">
        <v>0</v>
      </c>
      <c r="K332" s="302">
        <v>0</v>
      </c>
      <c r="L332" s="302">
        <v>0</v>
      </c>
      <c r="M332" s="302">
        <v>0</v>
      </c>
      <c r="N332" s="302">
        <v>0</v>
      </c>
      <c r="O332" s="295">
        <f t="shared" si="14"/>
        <v>0</v>
      </c>
      <c r="AA332" s="276"/>
    </row>
    <row r="333" spans="1:27" ht="15" customHeight="1">
      <c r="A333" s="501"/>
      <c r="B333" s="356" t="s">
        <v>937</v>
      </c>
      <c r="C333" s="302">
        <v>0</v>
      </c>
      <c r="D333" s="302">
        <v>0</v>
      </c>
      <c r="E333" s="302">
        <v>0</v>
      </c>
      <c r="F333" s="302">
        <v>0</v>
      </c>
      <c r="G333" s="302">
        <v>0</v>
      </c>
      <c r="H333" s="302">
        <v>0</v>
      </c>
      <c r="I333" s="302">
        <v>0</v>
      </c>
      <c r="J333" s="302">
        <v>0</v>
      </c>
      <c r="K333" s="302">
        <v>0</v>
      </c>
      <c r="L333" s="302">
        <v>0</v>
      </c>
      <c r="M333" s="302">
        <v>0</v>
      </c>
      <c r="N333" s="302">
        <v>0</v>
      </c>
      <c r="O333" s="295">
        <f t="shared" si="14"/>
        <v>0</v>
      </c>
      <c r="AA333" s="276"/>
    </row>
    <row r="334" spans="1:27" ht="15" customHeight="1">
      <c r="A334" s="501"/>
      <c r="B334" s="356" t="s">
        <v>938</v>
      </c>
      <c r="C334" s="302">
        <v>0</v>
      </c>
      <c r="D334" s="302">
        <v>0</v>
      </c>
      <c r="E334" s="302">
        <v>0</v>
      </c>
      <c r="F334" s="302">
        <v>0</v>
      </c>
      <c r="G334" s="302">
        <v>0</v>
      </c>
      <c r="H334" s="302">
        <v>0</v>
      </c>
      <c r="I334" s="302">
        <v>0</v>
      </c>
      <c r="J334" s="302">
        <v>0</v>
      </c>
      <c r="K334" s="302">
        <v>0</v>
      </c>
      <c r="L334" s="302">
        <v>0</v>
      </c>
      <c r="M334" s="302">
        <v>0</v>
      </c>
      <c r="N334" s="302">
        <v>0</v>
      </c>
      <c r="O334" s="295">
        <f t="shared" si="14"/>
        <v>0</v>
      </c>
      <c r="AA334" s="276"/>
    </row>
    <row r="335" spans="1:27" ht="15" customHeight="1">
      <c r="A335" s="501"/>
      <c r="B335" s="356" t="s">
        <v>939</v>
      </c>
      <c r="C335" s="302">
        <v>0</v>
      </c>
      <c r="D335" s="302">
        <v>0</v>
      </c>
      <c r="E335" s="302">
        <v>0</v>
      </c>
      <c r="F335" s="302">
        <v>0</v>
      </c>
      <c r="G335" s="302">
        <v>0</v>
      </c>
      <c r="H335" s="302">
        <v>0</v>
      </c>
      <c r="I335" s="302">
        <v>0</v>
      </c>
      <c r="J335" s="302">
        <v>0</v>
      </c>
      <c r="K335" s="302">
        <v>0</v>
      </c>
      <c r="L335" s="302">
        <v>0</v>
      </c>
      <c r="M335" s="302">
        <v>0</v>
      </c>
      <c r="N335" s="302">
        <v>0</v>
      </c>
      <c r="O335" s="295">
        <f t="shared" si="14"/>
        <v>0</v>
      </c>
      <c r="AA335" s="276"/>
    </row>
    <row r="336" spans="1:27" ht="15" customHeight="1">
      <c r="A336" s="501"/>
      <c r="B336" s="356" t="s">
        <v>940</v>
      </c>
      <c r="C336" s="302">
        <v>0</v>
      </c>
      <c r="D336" s="302">
        <v>0</v>
      </c>
      <c r="E336" s="302">
        <v>0</v>
      </c>
      <c r="F336" s="302">
        <v>0</v>
      </c>
      <c r="G336" s="302">
        <v>0</v>
      </c>
      <c r="H336" s="302">
        <v>0</v>
      </c>
      <c r="I336" s="302">
        <v>0</v>
      </c>
      <c r="J336" s="302">
        <v>0</v>
      </c>
      <c r="K336" s="302">
        <v>0</v>
      </c>
      <c r="L336" s="302">
        <v>0</v>
      </c>
      <c r="M336" s="302">
        <v>0</v>
      </c>
      <c r="N336" s="302">
        <v>0</v>
      </c>
      <c r="O336" s="295">
        <f t="shared" si="14"/>
        <v>0</v>
      </c>
      <c r="AA336" s="276"/>
    </row>
    <row r="337" spans="1:27" ht="15" customHeight="1" thickBot="1">
      <c r="A337" s="501"/>
      <c r="B337" s="356" t="s">
        <v>941</v>
      </c>
      <c r="C337" s="302">
        <v>0</v>
      </c>
      <c r="D337" s="302">
        <v>0</v>
      </c>
      <c r="E337" s="302">
        <v>0</v>
      </c>
      <c r="F337" s="302">
        <v>0</v>
      </c>
      <c r="G337" s="302">
        <v>0</v>
      </c>
      <c r="H337" s="302">
        <v>0</v>
      </c>
      <c r="I337" s="302">
        <v>0</v>
      </c>
      <c r="J337" s="302">
        <v>0</v>
      </c>
      <c r="K337" s="302">
        <v>0</v>
      </c>
      <c r="L337" s="302">
        <v>0</v>
      </c>
      <c r="M337" s="302">
        <v>0</v>
      </c>
      <c r="N337" s="302">
        <v>0</v>
      </c>
      <c r="O337" s="295">
        <f t="shared" si="14"/>
        <v>0</v>
      </c>
      <c r="AA337" s="276"/>
    </row>
    <row r="338" spans="1:27" ht="15" customHeight="1">
      <c r="A338" s="500" t="s">
        <v>943</v>
      </c>
      <c r="B338" s="356" t="s">
        <v>648</v>
      </c>
      <c r="C338" s="302">
        <v>0</v>
      </c>
      <c r="D338" s="302">
        <v>0</v>
      </c>
      <c r="E338" s="302">
        <v>0</v>
      </c>
      <c r="F338" s="302">
        <v>0</v>
      </c>
      <c r="G338" s="302">
        <v>0</v>
      </c>
      <c r="H338" s="302">
        <v>0</v>
      </c>
      <c r="I338" s="302">
        <v>0</v>
      </c>
      <c r="J338" s="302">
        <v>0</v>
      </c>
      <c r="K338" s="302">
        <v>0</v>
      </c>
      <c r="L338" s="302">
        <v>0</v>
      </c>
      <c r="M338" s="302">
        <v>0</v>
      </c>
      <c r="N338" s="302">
        <v>0</v>
      </c>
      <c r="O338" s="295">
        <f t="shared" si="14"/>
        <v>0</v>
      </c>
      <c r="AA338" s="276"/>
    </row>
    <row r="339" spans="1:27" ht="15" customHeight="1">
      <c r="A339" s="501"/>
      <c r="B339" s="356" t="s">
        <v>649</v>
      </c>
      <c r="C339" s="302">
        <v>0</v>
      </c>
      <c r="D339" s="302">
        <v>0</v>
      </c>
      <c r="E339" s="302">
        <v>0</v>
      </c>
      <c r="F339" s="302">
        <v>0</v>
      </c>
      <c r="G339" s="302">
        <v>0</v>
      </c>
      <c r="H339" s="302">
        <v>0</v>
      </c>
      <c r="I339" s="302">
        <v>0</v>
      </c>
      <c r="J339" s="302">
        <v>0</v>
      </c>
      <c r="K339" s="302">
        <v>0</v>
      </c>
      <c r="L339" s="302">
        <v>0</v>
      </c>
      <c r="M339" s="302">
        <v>0</v>
      </c>
      <c r="N339" s="302">
        <v>0</v>
      </c>
      <c r="O339" s="295">
        <f t="shared" si="14"/>
        <v>0</v>
      </c>
      <c r="AA339" s="276"/>
    </row>
    <row r="340" spans="1:27" ht="15" customHeight="1">
      <c r="A340" s="501"/>
      <c r="B340" s="356" t="s">
        <v>650</v>
      </c>
      <c r="C340" s="302">
        <v>0</v>
      </c>
      <c r="D340" s="302">
        <v>0</v>
      </c>
      <c r="E340" s="302">
        <v>0</v>
      </c>
      <c r="F340" s="302">
        <v>0</v>
      </c>
      <c r="G340" s="302">
        <v>0</v>
      </c>
      <c r="H340" s="302">
        <v>0</v>
      </c>
      <c r="I340" s="302">
        <v>0</v>
      </c>
      <c r="J340" s="302">
        <v>0</v>
      </c>
      <c r="K340" s="302">
        <v>0</v>
      </c>
      <c r="L340" s="302">
        <v>0</v>
      </c>
      <c r="M340" s="302">
        <v>0</v>
      </c>
      <c r="N340" s="302">
        <v>0</v>
      </c>
      <c r="O340" s="295">
        <f t="shared" si="14"/>
        <v>0</v>
      </c>
      <c r="AA340" s="276"/>
    </row>
    <row r="341" spans="1:27" ht="15" customHeight="1">
      <c r="A341" s="501"/>
      <c r="B341" s="356" t="s">
        <v>651</v>
      </c>
      <c r="C341" s="302">
        <v>0</v>
      </c>
      <c r="D341" s="302">
        <v>0</v>
      </c>
      <c r="E341" s="302">
        <v>0</v>
      </c>
      <c r="F341" s="302">
        <v>0</v>
      </c>
      <c r="G341" s="302">
        <v>0</v>
      </c>
      <c r="H341" s="302">
        <v>0</v>
      </c>
      <c r="I341" s="302">
        <v>0</v>
      </c>
      <c r="J341" s="302">
        <v>0</v>
      </c>
      <c r="K341" s="302">
        <v>0</v>
      </c>
      <c r="L341" s="302">
        <v>0</v>
      </c>
      <c r="M341" s="302">
        <v>0</v>
      </c>
      <c r="N341" s="302">
        <v>0</v>
      </c>
      <c r="O341" s="295">
        <f t="shared" si="14"/>
        <v>0</v>
      </c>
      <c r="AA341" s="276"/>
    </row>
    <row r="342" spans="1:27" ht="15" customHeight="1">
      <c r="A342" s="501"/>
      <c r="B342" s="356" t="s">
        <v>652</v>
      </c>
      <c r="C342" s="302">
        <v>0</v>
      </c>
      <c r="D342" s="302">
        <v>0</v>
      </c>
      <c r="E342" s="302">
        <v>0</v>
      </c>
      <c r="F342" s="302">
        <v>0</v>
      </c>
      <c r="G342" s="302">
        <v>0</v>
      </c>
      <c r="H342" s="302">
        <v>0</v>
      </c>
      <c r="I342" s="302">
        <v>0</v>
      </c>
      <c r="J342" s="302">
        <v>0</v>
      </c>
      <c r="K342" s="302">
        <v>0</v>
      </c>
      <c r="L342" s="302">
        <v>0</v>
      </c>
      <c r="M342" s="302">
        <v>0</v>
      </c>
      <c r="N342" s="302">
        <v>0</v>
      </c>
      <c r="O342" s="295">
        <f t="shared" si="14"/>
        <v>0</v>
      </c>
      <c r="AA342" s="276"/>
    </row>
    <row r="343" spans="1:27" ht="15" customHeight="1">
      <c r="A343" s="501"/>
      <c r="B343" s="356" t="s">
        <v>653</v>
      </c>
      <c r="C343" s="302">
        <v>0</v>
      </c>
      <c r="D343" s="302">
        <v>0</v>
      </c>
      <c r="E343" s="302">
        <v>0</v>
      </c>
      <c r="F343" s="302">
        <v>0</v>
      </c>
      <c r="G343" s="302">
        <v>0</v>
      </c>
      <c r="H343" s="302">
        <v>0</v>
      </c>
      <c r="I343" s="302">
        <v>0</v>
      </c>
      <c r="J343" s="302">
        <v>0</v>
      </c>
      <c r="K343" s="302">
        <v>0</v>
      </c>
      <c r="L343" s="302">
        <v>0</v>
      </c>
      <c r="M343" s="302">
        <v>0</v>
      </c>
      <c r="N343" s="302">
        <v>0</v>
      </c>
      <c r="O343" s="295">
        <f t="shared" si="14"/>
        <v>0</v>
      </c>
      <c r="AA343" s="276"/>
    </row>
    <row r="344" spans="1:27" ht="15" customHeight="1">
      <c r="A344" s="501"/>
      <c r="B344" s="356" t="s">
        <v>654</v>
      </c>
      <c r="C344" s="302">
        <v>0</v>
      </c>
      <c r="D344" s="302">
        <v>0</v>
      </c>
      <c r="E344" s="302">
        <v>0</v>
      </c>
      <c r="F344" s="302">
        <v>0</v>
      </c>
      <c r="G344" s="302">
        <v>0</v>
      </c>
      <c r="H344" s="302">
        <v>0</v>
      </c>
      <c r="I344" s="302">
        <v>0</v>
      </c>
      <c r="J344" s="302">
        <v>0</v>
      </c>
      <c r="K344" s="302">
        <v>0</v>
      </c>
      <c r="L344" s="302">
        <v>0</v>
      </c>
      <c r="M344" s="302">
        <v>0</v>
      </c>
      <c r="N344" s="302">
        <v>0</v>
      </c>
      <c r="O344" s="295">
        <f t="shared" si="14"/>
        <v>0</v>
      </c>
      <c r="AA344" s="276"/>
    </row>
    <row r="345" spans="1:27" ht="15" customHeight="1">
      <c r="A345" s="501"/>
      <c r="B345" s="356" t="s">
        <v>655</v>
      </c>
      <c r="C345" s="302">
        <v>0</v>
      </c>
      <c r="D345" s="302">
        <v>0</v>
      </c>
      <c r="E345" s="302">
        <v>0</v>
      </c>
      <c r="F345" s="302">
        <v>0</v>
      </c>
      <c r="G345" s="302">
        <v>0</v>
      </c>
      <c r="H345" s="302">
        <v>0</v>
      </c>
      <c r="I345" s="302">
        <v>0</v>
      </c>
      <c r="J345" s="302">
        <v>0</v>
      </c>
      <c r="K345" s="302">
        <v>0</v>
      </c>
      <c r="L345" s="302">
        <v>0</v>
      </c>
      <c r="M345" s="302">
        <v>0</v>
      </c>
      <c r="N345" s="302">
        <v>0</v>
      </c>
      <c r="O345" s="295">
        <f t="shared" si="14"/>
        <v>0</v>
      </c>
      <c r="AA345" s="276"/>
    </row>
    <row r="346" spans="1:27" ht="15" customHeight="1">
      <c r="A346" s="501"/>
      <c r="B346" s="356" t="s">
        <v>656</v>
      </c>
      <c r="C346" s="302">
        <v>0</v>
      </c>
      <c r="D346" s="302">
        <v>0</v>
      </c>
      <c r="E346" s="302">
        <v>0</v>
      </c>
      <c r="F346" s="302">
        <v>0</v>
      </c>
      <c r="G346" s="302">
        <v>0</v>
      </c>
      <c r="H346" s="302">
        <v>0</v>
      </c>
      <c r="I346" s="302">
        <v>0</v>
      </c>
      <c r="J346" s="302">
        <v>0</v>
      </c>
      <c r="K346" s="302">
        <v>0</v>
      </c>
      <c r="L346" s="302">
        <v>0</v>
      </c>
      <c r="M346" s="302">
        <v>0</v>
      </c>
      <c r="N346" s="302">
        <v>0</v>
      </c>
      <c r="O346" s="295">
        <f t="shared" si="14"/>
        <v>0</v>
      </c>
      <c r="AA346" s="276"/>
    </row>
    <row r="347" spans="1:27" ht="15" customHeight="1">
      <c r="A347" s="501"/>
      <c r="B347" s="356" t="s">
        <v>657</v>
      </c>
      <c r="C347" s="302">
        <v>0</v>
      </c>
      <c r="D347" s="302">
        <v>0</v>
      </c>
      <c r="E347" s="302">
        <v>0</v>
      </c>
      <c r="F347" s="302">
        <v>0</v>
      </c>
      <c r="G347" s="302">
        <v>0</v>
      </c>
      <c r="H347" s="302">
        <v>0</v>
      </c>
      <c r="I347" s="302">
        <v>0</v>
      </c>
      <c r="J347" s="302">
        <v>0</v>
      </c>
      <c r="K347" s="302">
        <v>0</v>
      </c>
      <c r="L347" s="302">
        <v>0</v>
      </c>
      <c r="M347" s="302">
        <v>0</v>
      </c>
      <c r="N347" s="302">
        <v>0</v>
      </c>
      <c r="O347" s="295">
        <f t="shared" si="14"/>
        <v>0</v>
      </c>
      <c r="AA347" s="276"/>
    </row>
    <row r="348" spans="1:27" ht="15" customHeight="1">
      <c r="A348" s="501"/>
      <c r="B348" s="356" t="s">
        <v>658</v>
      </c>
      <c r="C348" s="302">
        <v>0</v>
      </c>
      <c r="D348" s="302">
        <v>0</v>
      </c>
      <c r="E348" s="302">
        <v>0</v>
      </c>
      <c r="F348" s="302">
        <v>0</v>
      </c>
      <c r="G348" s="302">
        <v>0</v>
      </c>
      <c r="H348" s="302">
        <v>0</v>
      </c>
      <c r="I348" s="302">
        <v>0</v>
      </c>
      <c r="J348" s="302">
        <v>0</v>
      </c>
      <c r="K348" s="302">
        <v>0</v>
      </c>
      <c r="L348" s="302">
        <v>0</v>
      </c>
      <c r="M348" s="302">
        <v>0</v>
      </c>
      <c r="N348" s="302">
        <v>0</v>
      </c>
      <c r="O348" s="295">
        <f t="shared" si="14"/>
        <v>0</v>
      </c>
      <c r="AA348" s="276"/>
    </row>
    <row r="349" spans="1:27" ht="15" customHeight="1">
      <c r="A349" s="501"/>
      <c r="B349" s="356" t="s">
        <v>659</v>
      </c>
      <c r="C349" s="302">
        <v>0</v>
      </c>
      <c r="D349" s="302">
        <v>0</v>
      </c>
      <c r="E349" s="302">
        <v>0</v>
      </c>
      <c r="F349" s="302">
        <v>0</v>
      </c>
      <c r="G349" s="302">
        <v>0</v>
      </c>
      <c r="H349" s="302">
        <v>0</v>
      </c>
      <c r="I349" s="302">
        <v>0</v>
      </c>
      <c r="J349" s="302">
        <v>0</v>
      </c>
      <c r="K349" s="302">
        <v>0</v>
      </c>
      <c r="L349" s="302">
        <v>0</v>
      </c>
      <c r="M349" s="302">
        <v>0</v>
      </c>
      <c r="N349" s="302">
        <v>0</v>
      </c>
      <c r="O349" s="295">
        <f t="shared" si="14"/>
        <v>0</v>
      </c>
      <c r="AA349" s="276"/>
    </row>
    <row r="350" spans="1:27" ht="15" customHeight="1">
      <c r="A350" s="501"/>
      <c r="B350" s="356" t="s">
        <v>660</v>
      </c>
      <c r="C350" s="302">
        <v>0</v>
      </c>
      <c r="D350" s="302">
        <v>0</v>
      </c>
      <c r="E350" s="302">
        <v>0</v>
      </c>
      <c r="F350" s="302">
        <v>0</v>
      </c>
      <c r="G350" s="302">
        <v>0</v>
      </c>
      <c r="H350" s="302">
        <v>0</v>
      </c>
      <c r="I350" s="302">
        <v>0</v>
      </c>
      <c r="J350" s="302">
        <v>0</v>
      </c>
      <c r="K350" s="302">
        <v>0</v>
      </c>
      <c r="L350" s="302">
        <v>0</v>
      </c>
      <c r="M350" s="302">
        <v>0</v>
      </c>
      <c r="N350" s="302">
        <v>0</v>
      </c>
      <c r="O350" s="295">
        <f t="shared" si="14"/>
        <v>0</v>
      </c>
      <c r="AA350" s="276"/>
    </row>
    <row r="351" spans="1:27" ht="15" customHeight="1">
      <c r="A351" s="501"/>
      <c r="B351" s="356" t="s">
        <v>661</v>
      </c>
      <c r="C351" s="302">
        <v>0</v>
      </c>
      <c r="D351" s="302">
        <v>0</v>
      </c>
      <c r="E351" s="302">
        <v>0</v>
      </c>
      <c r="F351" s="302">
        <v>0</v>
      </c>
      <c r="G351" s="302">
        <v>0</v>
      </c>
      <c r="H351" s="302">
        <v>0</v>
      </c>
      <c r="I351" s="302">
        <v>0</v>
      </c>
      <c r="J351" s="302">
        <v>0</v>
      </c>
      <c r="K351" s="302">
        <v>0</v>
      </c>
      <c r="L351" s="302">
        <v>0</v>
      </c>
      <c r="M351" s="302">
        <v>0</v>
      </c>
      <c r="N351" s="302">
        <v>0</v>
      </c>
      <c r="O351" s="295">
        <f t="shared" si="14"/>
        <v>0</v>
      </c>
      <c r="AA351" s="276"/>
    </row>
    <row r="352" spans="1:27" ht="15" customHeight="1">
      <c r="A352" s="501"/>
      <c r="B352" s="356" t="s">
        <v>662</v>
      </c>
      <c r="C352" s="302">
        <v>0</v>
      </c>
      <c r="D352" s="302">
        <v>0</v>
      </c>
      <c r="E352" s="302">
        <v>0</v>
      </c>
      <c r="F352" s="302">
        <v>0</v>
      </c>
      <c r="G352" s="302">
        <v>0</v>
      </c>
      <c r="H352" s="302">
        <v>0</v>
      </c>
      <c r="I352" s="302">
        <v>0</v>
      </c>
      <c r="J352" s="302">
        <v>0</v>
      </c>
      <c r="K352" s="302">
        <v>0</v>
      </c>
      <c r="L352" s="302">
        <v>0</v>
      </c>
      <c r="M352" s="302">
        <v>0</v>
      </c>
      <c r="N352" s="302">
        <v>0</v>
      </c>
      <c r="O352" s="295">
        <f t="shared" si="14"/>
        <v>0</v>
      </c>
      <c r="AA352" s="276"/>
    </row>
    <row r="353" spans="1:27" ht="15" customHeight="1">
      <c r="A353" s="501"/>
      <c r="B353" s="356" t="s">
        <v>663</v>
      </c>
      <c r="C353" s="302">
        <v>0</v>
      </c>
      <c r="D353" s="302">
        <v>0</v>
      </c>
      <c r="E353" s="302">
        <v>0</v>
      </c>
      <c r="F353" s="302">
        <v>0</v>
      </c>
      <c r="G353" s="302">
        <v>0</v>
      </c>
      <c r="H353" s="302">
        <v>0</v>
      </c>
      <c r="I353" s="302">
        <v>0</v>
      </c>
      <c r="J353" s="302">
        <v>0</v>
      </c>
      <c r="K353" s="302">
        <v>0</v>
      </c>
      <c r="L353" s="302">
        <v>0</v>
      </c>
      <c r="M353" s="302">
        <v>0</v>
      </c>
      <c r="N353" s="302">
        <v>0</v>
      </c>
      <c r="O353" s="295">
        <f t="shared" si="14"/>
        <v>0</v>
      </c>
      <c r="AA353" s="276"/>
    </row>
    <row r="354" spans="1:27" ht="15" customHeight="1">
      <c r="A354" s="501"/>
      <c r="B354" s="356" t="s">
        <v>664</v>
      </c>
      <c r="C354" s="302">
        <v>0</v>
      </c>
      <c r="D354" s="302">
        <v>0</v>
      </c>
      <c r="E354" s="302">
        <v>0</v>
      </c>
      <c r="F354" s="302">
        <v>0</v>
      </c>
      <c r="G354" s="302">
        <v>0</v>
      </c>
      <c r="H354" s="302">
        <v>0</v>
      </c>
      <c r="I354" s="302">
        <v>0</v>
      </c>
      <c r="J354" s="302">
        <v>0</v>
      </c>
      <c r="K354" s="302">
        <v>0</v>
      </c>
      <c r="L354" s="302">
        <v>0</v>
      </c>
      <c r="M354" s="302">
        <v>0</v>
      </c>
      <c r="N354" s="302">
        <v>0</v>
      </c>
      <c r="O354" s="295">
        <f t="shared" si="14"/>
        <v>0</v>
      </c>
      <c r="AA354" s="276"/>
    </row>
    <row r="355" spans="1:27" ht="15" customHeight="1">
      <c r="A355" s="501"/>
      <c r="B355" s="356" t="s">
        <v>936</v>
      </c>
      <c r="C355" s="302">
        <v>0</v>
      </c>
      <c r="D355" s="302">
        <v>0</v>
      </c>
      <c r="E355" s="302">
        <v>0</v>
      </c>
      <c r="F355" s="302">
        <v>0</v>
      </c>
      <c r="G355" s="302">
        <v>0</v>
      </c>
      <c r="H355" s="302">
        <v>0</v>
      </c>
      <c r="I355" s="302">
        <v>0</v>
      </c>
      <c r="J355" s="302">
        <v>0</v>
      </c>
      <c r="K355" s="302">
        <v>0</v>
      </c>
      <c r="L355" s="302">
        <v>0</v>
      </c>
      <c r="M355" s="302">
        <v>0</v>
      </c>
      <c r="N355" s="302">
        <v>0</v>
      </c>
      <c r="O355" s="295">
        <f t="shared" si="14"/>
        <v>0</v>
      </c>
      <c r="AA355" s="276"/>
    </row>
    <row r="356" spans="1:27" ht="15" customHeight="1">
      <c r="A356" s="501"/>
      <c r="B356" s="356" t="s">
        <v>937</v>
      </c>
      <c r="C356" s="302">
        <v>0</v>
      </c>
      <c r="D356" s="302">
        <v>0</v>
      </c>
      <c r="E356" s="302">
        <v>0</v>
      </c>
      <c r="F356" s="302">
        <v>0</v>
      </c>
      <c r="G356" s="302">
        <v>0</v>
      </c>
      <c r="H356" s="302">
        <v>0</v>
      </c>
      <c r="I356" s="302">
        <v>0</v>
      </c>
      <c r="J356" s="302">
        <v>0</v>
      </c>
      <c r="K356" s="302">
        <v>0</v>
      </c>
      <c r="L356" s="302">
        <v>0</v>
      </c>
      <c r="M356" s="302">
        <v>0</v>
      </c>
      <c r="N356" s="302">
        <v>0</v>
      </c>
      <c r="O356" s="295">
        <f t="shared" si="14"/>
        <v>0</v>
      </c>
      <c r="AA356" s="276"/>
    </row>
    <row r="357" spans="1:27" ht="15" customHeight="1">
      <c r="A357" s="501"/>
      <c r="B357" s="356" t="s">
        <v>938</v>
      </c>
      <c r="C357" s="302">
        <v>0</v>
      </c>
      <c r="D357" s="302">
        <v>0</v>
      </c>
      <c r="E357" s="302">
        <v>0</v>
      </c>
      <c r="F357" s="302">
        <v>0</v>
      </c>
      <c r="G357" s="302">
        <v>0</v>
      </c>
      <c r="H357" s="302">
        <v>0</v>
      </c>
      <c r="I357" s="302">
        <v>0</v>
      </c>
      <c r="J357" s="302">
        <v>0</v>
      </c>
      <c r="K357" s="302">
        <v>0</v>
      </c>
      <c r="L357" s="302">
        <v>0</v>
      </c>
      <c r="M357" s="302">
        <v>0</v>
      </c>
      <c r="N357" s="302">
        <v>0</v>
      </c>
      <c r="O357" s="295">
        <f t="shared" si="14"/>
        <v>0</v>
      </c>
      <c r="AA357" s="276"/>
    </row>
    <row r="358" spans="1:27" ht="15" customHeight="1" thickBot="1">
      <c r="A358" s="502"/>
      <c r="B358" s="356" t="s">
        <v>939</v>
      </c>
      <c r="C358" s="302">
        <v>0</v>
      </c>
      <c r="D358" s="302">
        <v>0</v>
      </c>
      <c r="E358" s="302">
        <v>0</v>
      </c>
      <c r="F358" s="302">
        <v>0</v>
      </c>
      <c r="G358" s="302">
        <v>0</v>
      </c>
      <c r="H358" s="302">
        <v>0</v>
      </c>
      <c r="I358" s="302">
        <v>0</v>
      </c>
      <c r="J358" s="302">
        <v>0</v>
      </c>
      <c r="K358" s="302">
        <v>0</v>
      </c>
      <c r="L358" s="302">
        <v>0</v>
      </c>
      <c r="M358" s="302">
        <v>0</v>
      </c>
      <c r="N358" s="302">
        <v>0</v>
      </c>
      <c r="O358" s="295">
        <f t="shared" si="14"/>
        <v>0</v>
      </c>
      <c r="AA358" s="276"/>
    </row>
    <row r="359" spans="1:27" ht="15" customHeight="1" thickBot="1">
      <c r="A359" s="506" t="s">
        <v>755</v>
      </c>
      <c r="B359" s="507"/>
      <c r="C359" s="296"/>
      <c r="D359" s="296"/>
      <c r="E359" s="296"/>
      <c r="F359" s="296"/>
      <c r="G359" s="296"/>
      <c r="H359" s="296"/>
      <c r="I359" s="296"/>
      <c r="J359" s="296"/>
      <c r="K359" s="296"/>
      <c r="L359" s="296"/>
      <c r="M359" s="296"/>
      <c r="N359" s="296"/>
      <c r="O359" s="512"/>
      <c r="AA359" s="276"/>
    </row>
    <row r="360" spans="1:27" ht="15" customHeight="1" thickBot="1">
      <c r="A360" s="506" t="s">
        <v>754</v>
      </c>
      <c r="B360" s="507"/>
      <c r="C360" s="296">
        <f>+AVERAGE(C315:C358)</f>
        <v>0</v>
      </c>
      <c r="D360" s="296">
        <f t="shared" ref="D360:N360" si="15">+AVERAGE(D315:D358)</f>
        <v>0</v>
      </c>
      <c r="E360" s="296">
        <f t="shared" si="15"/>
        <v>0</v>
      </c>
      <c r="F360" s="296">
        <f t="shared" si="15"/>
        <v>0</v>
      </c>
      <c r="G360" s="296">
        <f t="shared" si="15"/>
        <v>0</v>
      </c>
      <c r="H360" s="296">
        <f t="shared" si="15"/>
        <v>0</v>
      </c>
      <c r="I360" s="296">
        <f t="shared" si="15"/>
        <v>0</v>
      </c>
      <c r="J360" s="296">
        <f t="shared" si="15"/>
        <v>0</v>
      </c>
      <c r="K360" s="296">
        <f t="shared" si="15"/>
        <v>0</v>
      </c>
      <c r="L360" s="296">
        <f t="shared" si="15"/>
        <v>0</v>
      </c>
      <c r="M360" s="296">
        <f t="shared" si="15"/>
        <v>0</v>
      </c>
      <c r="N360" s="296">
        <f t="shared" si="15"/>
        <v>0</v>
      </c>
      <c r="O360" s="513"/>
      <c r="AA360" s="276"/>
    </row>
    <row r="361" spans="1:27" ht="15" customHeight="1" thickBot="1">
      <c r="A361" s="506" t="s">
        <v>762</v>
      </c>
      <c r="B361" s="515"/>
      <c r="C361" s="516">
        <f>+AVERAGE(C360:N360)</f>
        <v>0</v>
      </c>
      <c r="D361" s="517"/>
      <c r="E361" s="517"/>
      <c r="F361" s="517"/>
      <c r="G361" s="517"/>
      <c r="H361" s="517"/>
      <c r="I361" s="517"/>
      <c r="J361" s="517"/>
      <c r="K361" s="517"/>
      <c r="L361" s="517"/>
      <c r="M361" s="517"/>
      <c r="N361" s="517"/>
      <c r="O361" s="514"/>
      <c r="AA361" s="276"/>
    </row>
    <row r="362" spans="1:27" ht="15" customHeight="1">
      <c r="A362" s="503" t="s">
        <v>949</v>
      </c>
      <c r="B362" s="359" t="s">
        <v>665</v>
      </c>
      <c r="C362" s="301">
        <v>0</v>
      </c>
      <c r="D362" s="301">
        <v>0</v>
      </c>
      <c r="E362" s="301">
        <v>0</v>
      </c>
      <c r="F362" s="301">
        <v>0</v>
      </c>
      <c r="G362" s="301">
        <v>0</v>
      </c>
      <c r="H362" s="301">
        <v>0</v>
      </c>
      <c r="I362" s="301">
        <v>0</v>
      </c>
      <c r="J362" s="301">
        <v>0</v>
      </c>
      <c r="K362" s="301">
        <v>0</v>
      </c>
      <c r="L362" s="301">
        <v>0</v>
      </c>
      <c r="M362" s="301">
        <v>0</v>
      </c>
      <c r="N362" s="301">
        <v>0</v>
      </c>
      <c r="O362" s="293">
        <f t="shared" ref="O362:O402" si="16">+AVERAGE(C362:N362)</f>
        <v>0</v>
      </c>
      <c r="AA362" s="276"/>
    </row>
    <row r="363" spans="1:27" ht="15" customHeight="1">
      <c r="A363" s="504"/>
      <c r="B363" s="356" t="s">
        <v>666</v>
      </c>
      <c r="C363" s="302">
        <v>0</v>
      </c>
      <c r="D363" s="302">
        <v>0</v>
      </c>
      <c r="E363" s="302">
        <v>0</v>
      </c>
      <c r="F363" s="302">
        <v>0</v>
      </c>
      <c r="G363" s="302">
        <v>0</v>
      </c>
      <c r="H363" s="302">
        <v>0</v>
      </c>
      <c r="I363" s="302">
        <v>0</v>
      </c>
      <c r="J363" s="302">
        <v>0</v>
      </c>
      <c r="K363" s="302">
        <v>0</v>
      </c>
      <c r="L363" s="302">
        <v>0</v>
      </c>
      <c r="M363" s="302">
        <v>0</v>
      </c>
      <c r="N363" s="302">
        <v>0</v>
      </c>
      <c r="O363" s="295">
        <f t="shared" si="16"/>
        <v>0</v>
      </c>
      <c r="AA363" s="276"/>
    </row>
    <row r="364" spans="1:27" ht="15" customHeight="1">
      <c r="A364" s="504"/>
      <c r="B364" s="356" t="s">
        <v>667</v>
      </c>
      <c r="C364" s="302">
        <v>0</v>
      </c>
      <c r="D364" s="302">
        <v>0</v>
      </c>
      <c r="E364" s="302">
        <v>0</v>
      </c>
      <c r="F364" s="302">
        <v>0</v>
      </c>
      <c r="G364" s="302">
        <v>0</v>
      </c>
      <c r="H364" s="302">
        <v>0</v>
      </c>
      <c r="I364" s="302">
        <v>0</v>
      </c>
      <c r="J364" s="302">
        <v>0</v>
      </c>
      <c r="K364" s="302">
        <v>0</v>
      </c>
      <c r="L364" s="302">
        <v>0</v>
      </c>
      <c r="M364" s="302">
        <v>0</v>
      </c>
      <c r="N364" s="302">
        <v>0</v>
      </c>
      <c r="O364" s="295">
        <f t="shared" si="16"/>
        <v>0</v>
      </c>
      <c r="AA364" s="276"/>
    </row>
    <row r="365" spans="1:27" ht="15" customHeight="1">
      <c r="A365" s="504"/>
      <c r="B365" s="356" t="s">
        <v>668</v>
      </c>
      <c r="C365" s="302">
        <v>0</v>
      </c>
      <c r="D365" s="302">
        <v>0</v>
      </c>
      <c r="E365" s="302">
        <v>0</v>
      </c>
      <c r="F365" s="302">
        <v>0</v>
      </c>
      <c r="G365" s="302">
        <v>0</v>
      </c>
      <c r="H365" s="302">
        <v>0</v>
      </c>
      <c r="I365" s="302">
        <v>0</v>
      </c>
      <c r="J365" s="302">
        <v>0</v>
      </c>
      <c r="K365" s="302">
        <v>0</v>
      </c>
      <c r="L365" s="302">
        <v>0</v>
      </c>
      <c r="M365" s="302">
        <v>0</v>
      </c>
      <c r="N365" s="302">
        <v>0</v>
      </c>
      <c r="O365" s="295">
        <f t="shared" si="16"/>
        <v>0</v>
      </c>
      <c r="AA365" s="276"/>
    </row>
    <row r="366" spans="1:27" ht="15" customHeight="1">
      <c r="A366" s="504"/>
      <c r="B366" s="356" t="s">
        <v>669</v>
      </c>
      <c r="C366" s="302">
        <v>0</v>
      </c>
      <c r="D366" s="302">
        <v>0</v>
      </c>
      <c r="E366" s="302">
        <v>0</v>
      </c>
      <c r="F366" s="302">
        <v>0</v>
      </c>
      <c r="G366" s="302">
        <v>0</v>
      </c>
      <c r="H366" s="302">
        <v>0</v>
      </c>
      <c r="I366" s="302">
        <v>0</v>
      </c>
      <c r="J366" s="302">
        <v>0</v>
      </c>
      <c r="K366" s="302">
        <v>0</v>
      </c>
      <c r="L366" s="302">
        <v>0</v>
      </c>
      <c r="M366" s="302">
        <v>0</v>
      </c>
      <c r="N366" s="302">
        <v>0</v>
      </c>
      <c r="O366" s="295">
        <f t="shared" si="16"/>
        <v>0</v>
      </c>
      <c r="AA366" s="276"/>
    </row>
    <row r="367" spans="1:27" ht="15" customHeight="1">
      <c r="A367" s="504"/>
      <c r="B367" s="356" t="s">
        <v>670</v>
      </c>
      <c r="C367" s="302">
        <v>0</v>
      </c>
      <c r="D367" s="302">
        <v>0</v>
      </c>
      <c r="E367" s="302">
        <v>0</v>
      </c>
      <c r="F367" s="302">
        <v>0</v>
      </c>
      <c r="G367" s="302">
        <v>0</v>
      </c>
      <c r="H367" s="302">
        <v>0</v>
      </c>
      <c r="I367" s="302">
        <v>0</v>
      </c>
      <c r="J367" s="302">
        <v>0</v>
      </c>
      <c r="K367" s="302">
        <v>0</v>
      </c>
      <c r="L367" s="302">
        <v>0</v>
      </c>
      <c r="M367" s="302">
        <v>0</v>
      </c>
      <c r="N367" s="302">
        <v>0</v>
      </c>
      <c r="O367" s="295">
        <f t="shared" si="16"/>
        <v>0</v>
      </c>
      <c r="AA367" s="276"/>
    </row>
    <row r="368" spans="1:27" ht="15" customHeight="1">
      <c r="A368" s="504"/>
      <c r="B368" s="356" t="s">
        <v>671</v>
      </c>
      <c r="C368" s="302">
        <v>0</v>
      </c>
      <c r="D368" s="302">
        <v>0</v>
      </c>
      <c r="E368" s="302">
        <v>0</v>
      </c>
      <c r="F368" s="302">
        <v>0</v>
      </c>
      <c r="G368" s="302">
        <v>0</v>
      </c>
      <c r="H368" s="302">
        <v>0</v>
      </c>
      <c r="I368" s="302">
        <v>0</v>
      </c>
      <c r="J368" s="302">
        <v>0</v>
      </c>
      <c r="K368" s="302">
        <v>0</v>
      </c>
      <c r="L368" s="302">
        <v>0</v>
      </c>
      <c r="M368" s="302">
        <v>0</v>
      </c>
      <c r="N368" s="302">
        <v>0</v>
      </c>
      <c r="O368" s="295">
        <f t="shared" si="16"/>
        <v>0</v>
      </c>
      <c r="AA368" s="276"/>
    </row>
    <row r="369" spans="1:27" ht="15" customHeight="1">
      <c r="A369" s="504"/>
      <c r="B369" s="356" t="s">
        <v>672</v>
      </c>
      <c r="C369" s="302">
        <v>0</v>
      </c>
      <c r="D369" s="302">
        <v>0</v>
      </c>
      <c r="E369" s="302">
        <v>0</v>
      </c>
      <c r="F369" s="302">
        <v>0</v>
      </c>
      <c r="G369" s="302">
        <v>0</v>
      </c>
      <c r="H369" s="302">
        <v>0</v>
      </c>
      <c r="I369" s="302">
        <v>0</v>
      </c>
      <c r="J369" s="302">
        <v>0</v>
      </c>
      <c r="K369" s="302">
        <v>0</v>
      </c>
      <c r="L369" s="302">
        <v>0</v>
      </c>
      <c r="M369" s="302">
        <v>0</v>
      </c>
      <c r="N369" s="302">
        <v>0</v>
      </c>
      <c r="O369" s="295">
        <f t="shared" si="16"/>
        <v>0</v>
      </c>
      <c r="AA369" s="276"/>
    </row>
    <row r="370" spans="1:27" ht="15" customHeight="1">
      <c r="A370" s="504"/>
      <c r="B370" s="356" t="s">
        <v>673</v>
      </c>
      <c r="C370" s="302">
        <v>0</v>
      </c>
      <c r="D370" s="302">
        <v>0</v>
      </c>
      <c r="E370" s="302">
        <v>0</v>
      </c>
      <c r="F370" s="302">
        <v>0</v>
      </c>
      <c r="G370" s="302">
        <v>0</v>
      </c>
      <c r="H370" s="302">
        <v>0</v>
      </c>
      <c r="I370" s="302">
        <v>0</v>
      </c>
      <c r="J370" s="302">
        <v>0</v>
      </c>
      <c r="K370" s="302">
        <v>0</v>
      </c>
      <c r="L370" s="302">
        <v>0</v>
      </c>
      <c r="M370" s="302">
        <v>0</v>
      </c>
      <c r="N370" s="302">
        <v>0</v>
      </c>
      <c r="O370" s="295">
        <f t="shared" si="16"/>
        <v>0</v>
      </c>
      <c r="AA370" s="276"/>
    </row>
    <row r="371" spans="1:27" ht="15" customHeight="1">
      <c r="A371" s="504"/>
      <c r="B371" s="356" t="s">
        <v>674</v>
      </c>
      <c r="C371" s="302">
        <v>0</v>
      </c>
      <c r="D371" s="302">
        <v>0</v>
      </c>
      <c r="E371" s="302">
        <v>0</v>
      </c>
      <c r="F371" s="302">
        <v>0</v>
      </c>
      <c r="G371" s="302">
        <v>0</v>
      </c>
      <c r="H371" s="302">
        <v>0</v>
      </c>
      <c r="I371" s="302">
        <v>0</v>
      </c>
      <c r="J371" s="302">
        <v>0</v>
      </c>
      <c r="K371" s="302">
        <v>0</v>
      </c>
      <c r="L371" s="302">
        <v>0</v>
      </c>
      <c r="M371" s="302">
        <v>0</v>
      </c>
      <c r="N371" s="302">
        <v>0</v>
      </c>
      <c r="O371" s="295">
        <f t="shared" si="16"/>
        <v>0</v>
      </c>
      <c r="AA371" s="276"/>
    </row>
    <row r="372" spans="1:27" ht="15" customHeight="1">
      <c r="A372" s="504"/>
      <c r="B372" s="356" t="s">
        <v>675</v>
      </c>
      <c r="C372" s="302">
        <v>0</v>
      </c>
      <c r="D372" s="302">
        <v>0</v>
      </c>
      <c r="E372" s="302">
        <v>0</v>
      </c>
      <c r="F372" s="302">
        <v>0</v>
      </c>
      <c r="G372" s="302">
        <v>0</v>
      </c>
      <c r="H372" s="302">
        <v>0</v>
      </c>
      <c r="I372" s="302">
        <v>0</v>
      </c>
      <c r="J372" s="302">
        <v>0</v>
      </c>
      <c r="K372" s="302">
        <v>0</v>
      </c>
      <c r="L372" s="302">
        <v>0</v>
      </c>
      <c r="M372" s="302">
        <v>0</v>
      </c>
      <c r="N372" s="302">
        <v>0</v>
      </c>
      <c r="O372" s="295">
        <f t="shared" si="16"/>
        <v>0</v>
      </c>
      <c r="AA372" s="276"/>
    </row>
    <row r="373" spans="1:27" ht="15" customHeight="1">
      <c r="A373" s="504"/>
      <c r="B373" s="356" t="s">
        <v>676</v>
      </c>
      <c r="C373" s="302">
        <v>0</v>
      </c>
      <c r="D373" s="302">
        <v>0</v>
      </c>
      <c r="E373" s="302">
        <v>0</v>
      </c>
      <c r="F373" s="302">
        <v>0</v>
      </c>
      <c r="G373" s="302">
        <v>0</v>
      </c>
      <c r="H373" s="302">
        <v>0</v>
      </c>
      <c r="I373" s="302">
        <v>0</v>
      </c>
      <c r="J373" s="302">
        <v>0</v>
      </c>
      <c r="K373" s="302">
        <v>0</v>
      </c>
      <c r="L373" s="302">
        <v>0</v>
      </c>
      <c r="M373" s="302">
        <v>0</v>
      </c>
      <c r="N373" s="302">
        <v>0</v>
      </c>
      <c r="O373" s="295">
        <f t="shared" si="16"/>
        <v>0</v>
      </c>
      <c r="AA373" s="276"/>
    </row>
    <row r="374" spans="1:27" ht="15" customHeight="1">
      <c r="A374" s="504"/>
      <c r="B374" s="356" t="s">
        <v>677</v>
      </c>
      <c r="C374" s="302">
        <v>0</v>
      </c>
      <c r="D374" s="302">
        <v>0</v>
      </c>
      <c r="E374" s="302">
        <v>0</v>
      </c>
      <c r="F374" s="302">
        <v>0</v>
      </c>
      <c r="G374" s="302">
        <v>0</v>
      </c>
      <c r="H374" s="302">
        <v>0</v>
      </c>
      <c r="I374" s="302">
        <v>0</v>
      </c>
      <c r="J374" s="302">
        <v>0</v>
      </c>
      <c r="K374" s="302">
        <v>0</v>
      </c>
      <c r="L374" s="302">
        <v>0</v>
      </c>
      <c r="M374" s="302">
        <v>0</v>
      </c>
      <c r="N374" s="302">
        <v>0</v>
      </c>
      <c r="O374" s="295">
        <f t="shared" si="16"/>
        <v>0</v>
      </c>
      <c r="AA374" s="276"/>
    </row>
    <row r="375" spans="1:27" ht="15" customHeight="1">
      <c r="A375" s="504"/>
      <c r="B375" s="356" t="s">
        <v>678</v>
      </c>
      <c r="C375" s="302">
        <v>0</v>
      </c>
      <c r="D375" s="302">
        <v>0</v>
      </c>
      <c r="E375" s="302">
        <v>0</v>
      </c>
      <c r="F375" s="302">
        <v>0</v>
      </c>
      <c r="G375" s="302">
        <v>0</v>
      </c>
      <c r="H375" s="302">
        <v>0</v>
      </c>
      <c r="I375" s="302">
        <v>0</v>
      </c>
      <c r="J375" s="302">
        <v>0</v>
      </c>
      <c r="K375" s="302">
        <v>0</v>
      </c>
      <c r="L375" s="302">
        <v>0</v>
      </c>
      <c r="M375" s="302">
        <v>0</v>
      </c>
      <c r="N375" s="302">
        <v>0</v>
      </c>
      <c r="O375" s="295">
        <f t="shared" si="16"/>
        <v>0</v>
      </c>
      <c r="AA375" s="276"/>
    </row>
    <row r="376" spans="1:27" ht="15" customHeight="1">
      <c r="A376" s="504"/>
      <c r="B376" s="356" t="s">
        <v>679</v>
      </c>
      <c r="C376" s="302">
        <v>0</v>
      </c>
      <c r="D376" s="302">
        <v>0</v>
      </c>
      <c r="E376" s="302">
        <v>0</v>
      </c>
      <c r="F376" s="302">
        <v>0</v>
      </c>
      <c r="G376" s="302">
        <v>0</v>
      </c>
      <c r="H376" s="302">
        <v>0</v>
      </c>
      <c r="I376" s="302">
        <v>0</v>
      </c>
      <c r="J376" s="302">
        <v>0</v>
      </c>
      <c r="K376" s="302">
        <v>0</v>
      </c>
      <c r="L376" s="302">
        <v>0</v>
      </c>
      <c r="M376" s="302">
        <v>0</v>
      </c>
      <c r="N376" s="302">
        <v>0</v>
      </c>
      <c r="O376" s="295">
        <f t="shared" si="16"/>
        <v>0</v>
      </c>
      <c r="AA376" s="276"/>
    </row>
    <row r="377" spans="1:27" ht="15" customHeight="1">
      <c r="A377" s="504"/>
      <c r="B377" s="356" t="s">
        <v>680</v>
      </c>
      <c r="C377" s="302">
        <v>0</v>
      </c>
      <c r="D377" s="302">
        <v>0</v>
      </c>
      <c r="E377" s="302">
        <v>0</v>
      </c>
      <c r="F377" s="302">
        <v>0</v>
      </c>
      <c r="G377" s="302">
        <v>0</v>
      </c>
      <c r="H377" s="302">
        <v>0</v>
      </c>
      <c r="I377" s="302">
        <v>0</v>
      </c>
      <c r="J377" s="302">
        <v>0</v>
      </c>
      <c r="K377" s="302">
        <v>0</v>
      </c>
      <c r="L377" s="302">
        <v>0</v>
      </c>
      <c r="M377" s="302">
        <v>0</v>
      </c>
      <c r="N377" s="302">
        <v>0</v>
      </c>
      <c r="O377" s="295">
        <f t="shared" si="16"/>
        <v>0</v>
      </c>
      <c r="AA377" s="276"/>
    </row>
    <row r="378" spans="1:27" ht="15" customHeight="1">
      <c r="A378" s="504"/>
      <c r="B378" s="356" t="s">
        <v>681</v>
      </c>
      <c r="C378" s="302">
        <v>0</v>
      </c>
      <c r="D378" s="302">
        <v>0</v>
      </c>
      <c r="E378" s="302">
        <v>0</v>
      </c>
      <c r="F378" s="302">
        <v>0</v>
      </c>
      <c r="G378" s="302">
        <v>0</v>
      </c>
      <c r="H378" s="302">
        <v>0</v>
      </c>
      <c r="I378" s="302">
        <v>0</v>
      </c>
      <c r="J378" s="302">
        <v>0</v>
      </c>
      <c r="K378" s="302">
        <v>0</v>
      </c>
      <c r="L378" s="302">
        <v>0</v>
      </c>
      <c r="M378" s="302">
        <v>0</v>
      </c>
      <c r="N378" s="302">
        <v>0</v>
      </c>
      <c r="O378" s="295">
        <f t="shared" si="16"/>
        <v>0</v>
      </c>
      <c r="AA378" s="276"/>
    </row>
    <row r="379" spans="1:27" ht="15" customHeight="1">
      <c r="A379" s="504"/>
      <c r="B379" s="356" t="s">
        <v>944</v>
      </c>
      <c r="C379" s="302">
        <v>0</v>
      </c>
      <c r="D379" s="302">
        <v>0</v>
      </c>
      <c r="E379" s="302">
        <v>0</v>
      </c>
      <c r="F379" s="302">
        <v>0</v>
      </c>
      <c r="G379" s="302">
        <v>0</v>
      </c>
      <c r="H379" s="302">
        <v>0</v>
      </c>
      <c r="I379" s="302">
        <v>0</v>
      </c>
      <c r="J379" s="302">
        <v>0</v>
      </c>
      <c r="K379" s="302">
        <v>0</v>
      </c>
      <c r="L379" s="302">
        <v>0</v>
      </c>
      <c r="M379" s="302">
        <v>0</v>
      </c>
      <c r="N379" s="302">
        <v>0</v>
      </c>
      <c r="O379" s="295">
        <f t="shared" si="16"/>
        <v>0</v>
      </c>
      <c r="AA379" s="276"/>
    </row>
    <row r="380" spans="1:27" ht="15" customHeight="1">
      <c r="A380" s="504"/>
      <c r="B380" s="356" t="s">
        <v>945</v>
      </c>
      <c r="C380" s="302">
        <v>0</v>
      </c>
      <c r="D380" s="302">
        <v>0</v>
      </c>
      <c r="E380" s="302">
        <v>0</v>
      </c>
      <c r="F380" s="302">
        <v>0</v>
      </c>
      <c r="G380" s="302">
        <v>0</v>
      </c>
      <c r="H380" s="302">
        <v>0</v>
      </c>
      <c r="I380" s="302">
        <v>0</v>
      </c>
      <c r="J380" s="302">
        <v>0</v>
      </c>
      <c r="K380" s="302">
        <v>0</v>
      </c>
      <c r="L380" s="302">
        <v>0</v>
      </c>
      <c r="M380" s="302">
        <v>0</v>
      </c>
      <c r="N380" s="302">
        <v>0</v>
      </c>
      <c r="O380" s="295">
        <f t="shared" si="16"/>
        <v>0</v>
      </c>
      <c r="AA380" s="276"/>
    </row>
    <row r="381" spans="1:27" ht="15" customHeight="1" thickBot="1">
      <c r="A381" s="505"/>
      <c r="B381" s="356" t="s">
        <v>948</v>
      </c>
      <c r="C381" s="302">
        <v>0</v>
      </c>
      <c r="D381" s="302">
        <v>0</v>
      </c>
      <c r="E381" s="302">
        <v>0</v>
      </c>
      <c r="F381" s="302">
        <v>0</v>
      </c>
      <c r="G381" s="302">
        <v>0</v>
      </c>
      <c r="H381" s="302">
        <v>0</v>
      </c>
      <c r="I381" s="302">
        <v>0</v>
      </c>
      <c r="J381" s="302">
        <v>0</v>
      </c>
      <c r="K381" s="302">
        <v>0</v>
      </c>
      <c r="L381" s="302">
        <v>0</v>
      </c>
      <c r="M381" s="302">
        <v>0</v>
      </c>
      <c r="N381" s="302">
        <v>0</v>
      </c>
      <c r="O381" s="295">
        <f t="shared" si="16"/>
        <v>0</v>
      </c>
      <c r="AA381" s="276"/>
    </row>
    <row r="382" spans="1:27" ht="15" customHeight="1">
      <c r="A382" s="504" t="s">
        <v>950</v>
      </c>
      <c r="B382" s="356" t="s">
        <v>665</v>
      </c>
      <c r="C382" s="302">
        <v>0</v>
      </c>
      <c r="D382" s="302">
        <v>0</v>
      </c>
      <c r="E382" s="302">
        <v>0</v>
      </c>
      <c r="F382" s="302">
        <v>0</v>
      </c>
      <c r="G382" s="302">
        <v>0</v>
      </c>
      <c r="H382" s="302">
        <v>0</v>
      </c>
      <c r="I382" s="302">
        <v>0</v>
      </c>
      <c r="J382" s="302">
        <v>0</v>
      </c>
      <c r="K382" s="302">
        <v>0</v>
      </c>
      <c r="L382" s="302">
        <v>0</v>
      </c>
      <c r="M382" s="302">
        <v>0</v>
      </c>
      <c r="N382" s="302">
        <v>0</v>
      </c>
      <c r="O382" s="295">
        <f t="shared" si="16"/>
        <v>0</v>
      </c>
      <c r="AA382" s="276"/>
    </row>
    <row r="383" spans="1:27" ht="15" customHeight="1">
      <c r="A383" s="504"/>
      <c r="B383" s="356" t="s">
        <v>666</v>
      </c>
      <c r="C383" s="302">
        <v>0</v>
      </c>
      <c r="D383" s="302">
        <v>0</v>
      </c>
      <c r="E383" s="302">
        <v>0</v>
      </c>
      <c r="F383" s="302">
        <v>0</v>
      </c>
      <c r="G383" s="302">
        <v>0</v>
      </c>
      <c r="H383" s="302">
        <v>0</v>
      </c>
      <c r="I383" s="302">
        <v>0</v>
      </c>
      <c r="J383" s="302">
        <v>0</v>
      </c>
      <c r="K383" s="302">
        <v>0</v>
      </c>
      <c r="L383" s="302">
        <v>0</v>
      </c>
      <c r="M383" s="302">
        <v>0</v>
      </c>
      <c r="N383" s="302">
        <v>0</v>
      </c>
      <c r="O383" s="295">
        <f t="shared" si="16"/>
        <v>0</v>
      </c>
      <c r="AA383" s="276"/>
    </row>
    <row r="384" spans="1:27" ht="15" customHeight="1">
      <c r="A384" s="504"/>
      <c r="B384" s="356" t="s">
        <v>667</v>
      </c>
      <c r="C384" s="302">
        <v>0</v>
      </c>
      <c r="D384" s="302">
        <v>0</v>
      </c>
      <c r="E384" s="302">
        <v>0</v>
      </c>
      <c r="F384" s="302">
        <v>0</v>
      </c>
      <c r="G384" s="302">
        <v>0</v>
      </c>
      <c r="H384" s="302">
        <v>0</v>
      </c>
      <c r="I384" s="302">
        <v>0</v>
      </c>
      <c r="J384" s="302">
        <v>0</v>
      </c>
      <c r="K384" s="302">
        <v>0</v>
      </c>
      <c r="L384" s="302">
        <v>0</v>
      </c>
      <c r="M384" s="302">
        <v>0</v>
      </c>
      <c r="N384" s="302">
        <v>0</v>
      </c>
      <c r="O384" s="295">
        <f t="shared" si="16"/>
        <v>0</v>
      </c>
      <c r="AA384" s="276"/>
    </row>
    <row r="385" spans="1:27" ht="15" customHeight="1">
      <c r="A385" s="504"/>
      <c r="B385" s="356" t="s">
        <v>668</v>
      </c>
      <c r="C385" s="302">
        <v>0</v>
      </c>
      <c r="D385" s="302">
        <v>0</v>
      </c>
      <c r="E385" s="302">
        <v>0</v>
      </c>
      <c r="F385" s="302">
        <v>0</v>
      </c>
      <c r="G385" s="302">
        <v>0</v>
      </c>
      <c r="H385" s="302">
        <v>0</v>
      </c>
      <c r="I385" s="302">
        <v>0</v>
      </c>
      <c r="J385" s="302">
        <v>0</v>
      </c>
      <c r="K385" s="302">
        <v>0</v>
      </c>
      <c r="L385" s="302">
        <v>0</v>
      </c>
      <c r="M385" s="302">
        <v>0</v>
      </c>
      <c r="N385" s="302">
        <v>0</v>
      </c>
      <c r="O385" s="295">
        <f t="shared" si="16"/>
        <v>0</v>
      </c>
      <c r="AA385" s="276"/>
    </row>
    <row r="386" spans="1:27" ht="15" customHeight="1">
      <c r="A386" s="504"/>
      <c r="B386" s="356" t="s">
        <v>669</v>
      </c>
      <c r="C386" s="302">
        <v>0</v>
      </c>
      <c r="D386" s="302">
        <v>0</v>
      </c>
      <c r="E386" s="302">
        <v>0</v>
      </c>
      <c r="F386" s="302">
        <v>0</v>
      </c>
      <c r="G386" s="302">
        <v>0</v>
      </c>
      <c r="H386" s="302">
        <v>0</v>
      </c>
      <c r="I386" s="302">
        <v>0</v>
      </c>
      <c r="J386" s="302">
        <v>0</v>
      </c>
      <c r="K386" s="302">
        <v>0</v>
      </c>
      <c r="L386" s="302">
        <v>0</v>
      </c>
      <c r="M386" s="302">
        <v>0</v>
      </c>
      <c r="N386" s="302">
        <v>0</v>
      </c>
      <c r="O386" s="295">
        <f t="shared" si="16"/>
        <v>0</v>
      </c>
      <c r="AA386" s="276"/>
    </row>
    <row r="387" spans="1:27" ht="15" customHeight="1">
      <c r="A387" s="504"/>
      <c r="B387" s="356" t="s">
        <v>670</v>
      </c>
      <c r="C387" s="302">
        <v>0</v>
      </c>
      <c r="D387" s="302">
        <v>0</v>
      </c>
      <c r="E387" s="302">
        <v>0</v>
      </c>
      <c r="F387" s="302">
        <v>0</v>
      </c>
      <c r="G387" s="302">
        <v>0</v>
      </c>
      <c r="H387" s="302">
        <v>0</v>
      </c>
      <c r="I387" s="302">
        <v>0</v>
      </c>
      <c r="J387" s="302">
        <v>0</v>
      </c>
      <c r="K387" s="302">
        <v>0</v>
      </c>
      <c r="L387" s="302">
        <v>0</v>
      </c>
      <c r="M387" s="302">
        <v>0</v>
      </c>
      <c r="N387" s="302">
        <v>0</v>
      </c>
      <c r="O387" s="295">
        <f t="shared" si="16"/>
        <v>0</v>
      </c>
      <c r="AA387" s="276"/>
    </row>
    <row r="388" spans="1:27" ht="15" customHeight="1">
      <c r="A388" s="504"/>
      <c r="B388" s="356" t="s">
        <v>671</v>
      </c>
      <c r="C388" s="302">
        <v>0</v>
      </c>
      <c r="D388" s="302">
        <v>0</v>
      </c>
      <c r="E388" s="302">
        <v>0</v>
      </c>
      <c r="F388" s="302">
        <v>0</v>
      </c>
      <c r="G388" s="302">
        <v>0</v>
      </c>
      <c r="H388" s="302">
        <v>0</v>
      </c>
      <c r="I388" s="302">
        <v>0</v>
      </c>
      <c r="J388" s="302">
        <v>0</v>
      </c>
      <c r="K388" s="302">
        <v>0</v>
      </c>
      <c r="L388" s="302">
        <v>0</v>
      </c>
      <c r="M388" s="302">
        <v>0</v>
      </c>
      <c r="N388" s="302">
        <v>0</v>
      </c>
      <c r="O388" s="295">
        <f t="shared" si="16"/>
        <v>0</v>
      </c>
      <c r="AA388" s="276"/>
    </row>
    <row r="389" spans="1:27" ht="15" customHeight="1">
      <c r="A389" s="504"/>
      <c r="B389" s="356" t="s">
        <v>672</v>
      </c>
      <c r="C389" s="302">
        <v>0</v>
      </c>
      <c r="D389" s="302">
        <v>0</v>
      </c>
      <c r="E389" s="302">
        <v>0</v>
      </c>
      <c r="F389" s="302">
        <v>0</v>
      </c>
      <c r="G389" s="302">
        <v>0</v>
      </c>
      <c r="H389" s="302">
        <v>0</v>
      </c>
      <c r="I389" s="302">
        <v>0</v>
      </c>
      <c r="J389" s="302">
        <v>0</v>
      </c>
      <c r="K389" s="302">
        <v>0</v>
      </c>
      <c r="L389" s="302">
        <v>0</v>
      </c>
      <c r="M389" s="302">
        <v>0</v>
      </c>
      <c r="N389" s="302">
        <v>0</v>
      </c>
      <c r="O389" s="295">
        <f t="shared" si="16"/>
        <v>0</v>
      </c>
      <c r="AA389" s="276"/>
    </row>
    <row r="390" spans="1:27" ht="15" customHeight="1">
      <c r="A390" s="504"/>
      <c r="B390" s="356" t="s">
        <v>673</v>
      </c>
      <c r="C390" s="302">
        <v>0</v>
      </c>
      <c r="D390" s="302">
        <v>0</v>
      </c>
      <c r="E390" s="302">
        <v>0</v>
      </c>
      <c r="F390" s="302">
        <v>0</v>
      </c>
      <c r="G390" s="302">
        <v>0</v>
      </c>
      <c r="H390" s="302">
        <v>0</v>
      </c>
      <c r="I390" s="302">
        <v>0</v>
      </c>
      <c r="J390" s="302">
        <v>0</v>
      </c>
      <c r="K390" s="302">
        <v>0</v>
      </c>
      <c r="L390" s="302">
        <v>0</v>
      </c>
      <c r="M390" s="302">
        <v>0</v>
      </c>
      <c r="N390" s="302">
        <v>0</v>
      </c>
      <c r="O390" s="295">
        <f t="shared" si="16"/>
        <v>0</v>
      </c>
      <c r="AA390" s="276"/>
    </row>
    <row r="391" spans="1:27" ht="15" customHeight="1">
      <c r="A391" s="504"/>
      <c r="B391" s="356" t="s">
        <v>674</v>
      </c>
      <c r="C391" s="302">
        <v>0</v>
      </c>
      <c r="D391" s="302">
        <v>0</v>
      </c>
      <c r="E391" s="302">
        <v>0</v>
      </c>
      <c r="F391" s="302">
        <v>0</v>
      </c>
      <c r="G391" s="302">
        <v>0</v>
      </c>
      <c r="H391" s="302">
        <v>0</v>
      </c>
      <c r="I391" s="302">
        <v>0</v>
      </c>
      <c r="J391" s="302">
        <v>0</v>
      </c>
      <c r="K391" s="302">
        <v>0</v>
      </c>
      <c r="L391" s="302">
        <v>0</v>
      </c>
      <c r="M391" s="302">
        <v>0</v>
      </c>
      <c r="N391" s="302">
        <v>0</v>
      </c>
      <c r="O391" s="295">
        <f t="shared" si="16"/>
        <v>0</v>
      </c>
      <c r="AA391" s="276"/>
    </row>
    <row r="392" spans="1:27" ht="15" customHeight="1">
      <c r="A392" s="504"/>
      <c r="B392" s="356" t="s">
        <v>675</v>
      </c>
      <c r="C392" s="302">
        <v>0</v>
      </c>
      <c r="D392" s="302">
        <v>0</v>
      </c>
      <c r="E392" s="302">
        <v>0</v>
      </c>
      <c r="F392" s="302">
        <v>0</v>
      </c>
      <c r="G392" s="302">
        <v>0</v>
      </c>
      <c r="H392" s="302">
        <v>0</v>
      </c>
      <c r="I392" s="302">
        <v>0</v>
      </c>
      <c r="J392" s="302">
        <v>0</v>
      </c>
      <c r="K392" s="302">
        <v>0</v>
      </c>
      <c r="L392" s="302">
        <v>0</v>
      </c>
      <c r="M392" s="302">
        <v>0</v>
      </c>
      <c r="N392" s="302">
        <v>0</v>
      </c>
      <c r="O392" s="295">
        <f t="shared" si="16"/>
        <v>0</v>
      </c>
      <c r="AA392" s="276"/>
    </row>
    <row r="393" spans="1:27" ht="15" customHeight="1">
      <c r="A393" s="504"/>
      <c r="B393" s="356" t="s">
        <v>676</v>
      </c>
      <c r="C393" s="302">
        <v>0</v>
      </c>
      <c r="D393" s="302">
        <v>0</v>
      </c>
      <c r="E393" s="302">
        <v>0</v>
      </c>
      <c r="F393" s="302">
        <v>0</v>
      </c>
      <c r="G393" s="302">
        <v>0</v>
      </c>
      <c r="H393" s="302">
        <v>0</v>
      </c>
      <c r="I393" s="302">
        <v>0</v>
      </c>
      <c r="J393" s="302">
        <v>0</v>
      </c>
      <c r="K393" s="302">
        <v>0</v>
      </c>
      <c r="L393" s="302">
        <v>0</v>
      </c>
      <c r="M393" s="302">
        <v>0</v>
      </c>
      <c r="N393" s="302">
        <v>0</v>
      </c>
      <c r="O393" s="295">
        <f t="shared" si="16"/>
        <v>0</v>
      </c>
      <c r="AA393" s="276"/>
    </row>
    <row r="394" spans="1:27" ht="15" customHeight="1">
      <c r="A394" s="504"/>
      <c r="B394" s="356" t="s">
        <v>677</v>
      </c>
      <c r="C394" s="302">
        <v>0</v>
      </c>
      <c r="D394" s="302">
        <v>0</v>
      </c>
      <c r="E394" s="302">
        <v>0</v>
      </c>
      <c r="F394" s="302">
        <v>0</v>
      </c>
      <c r="G394" s="302">
        <v>0</v>
      </c>
      <c r="H394" s="302">
        <v>0</v>
      </c>
      <c r="I394" s="302">
        <v>0</v>
      </c>
      <c r="J394" s="302">
        <v>0</v>
      </c>
      <c r="K394" s="302">
        <v>0</v>
      </c>
      <c r="L394" s="302">
        <v>0</v>
      </c>
      <c r="M394" s="302">
        <v>0</v>
      </c>
      <c r="N394" s="302">
        <v>0</v>
      </c>
      <c r="O394" s="295">
        <f t="shared" si="16"/>
        <v>0</v>
      </c>
      <c r="AA394" s="276"/>
    </row>
    <row r="395" spans="1:27" ht="15" customHeight="1">
      <c r="A395" s="504"/>
      <c r="B395" s="356" t="s">
        <v>678</v>
      </c>
      <c r="C395" s="302">
        <v>0</v>
      </c>
      <c r="D395" s="302">
        <v>0</v>
      </c>
      <c r="E395" s="302">
        <v>0</v>
      </c>
      <c r="F395" s="302">
        <v>0</v>
      </c>
      <c r="G395" s="302">
        <v>0</v>
      </c>
      <c r="H395" s="302">
        <v>0</v>
      </c>
      <c r="I395" s="302">
        <v>0</v>
      </c>
      <c r="J395" s="302">
        <v>0</v>
      </c>
      <c r="K395" s="302">
        <v>0</v>
      </c>
      <c r="L395" s="302">
        <v>0</v>
      </c>
      <c r="M395" s="302">
        <v>0</v>
      </c>
      <c r="N395" s="302">
        <v>0</v>
      </c>
      <c r="O395" s="295">
        <f t="shared" si="16"/>
        <v>0</v>
      </c>
      <c r="AA395" s="276"/>
    </row>
    <row r="396" spans="1:27" ht="15" customHeight="1">
      <c r="A396" s="504"/>
      <c r="B396" s="356" t="s">
        <v>679</v>
      </c>
      <c r="C396" s="302">
        <v>0</v>
      </c>
      <c r="D396" s="302">
        <v>0</v>
      </c>
      <c r="E396" s="302">
        <v>0</v>
      </c>
      <c r="F396" s="302">
        <v>0</v>
      </c>
      <c r="G396" s="302">
        <v>0</v>
      </c>
      <c r="H396" s="302">
        <v>0</v>
      </c>
      <c r="I396" s="302">
        <v>0</v>
      </c>
      <c r="J396" s="302">
        <v>0</v>
      </c>
      <c r="K396" s="302">
        <v>0</v>
      </c>
      <c r="L396" s="302">
        <v>0</v>
      </c>
      <c r="M396" s="302">
        <v>0</v>
      </c>
      <c r="N396" s="302">
        <v>0</v>
      </c>
      <c r="O396" s="295">
        <f t="shared" si="16"/>
        <v>0</v>
      </c>
      <c r="AA396" s="276"/>
    </row>
    <row r="397" spans="1:27" ht="15" customHeight="1">
      <c r="A397" s="504"/>
      <c r="B397" s="356" t="s">
        <v>680</v>
      </c>
      <c r="C397" s="302">
        <v>0</v>
      </c>
      <c r="D397" s="302">
        <v>0</v>
      </c>
      <c r="E397" s="302">
        <v>0</v>
      </c>
      <c r="F397" s="302">
        <v>0</v>
      </c>
      <c r="G397" s="302">
        <v>0</v>
      </c>
      <c r="H397" s="302">
        <v>0</v>
      </c>
      <c r="I397" s="302">
        <v>0</v>
      </c>
      <c r="J397" s="302">
        <v>0</v>
      </c>
      <c r="K397" s="302">
        <v>0</v>
      </c>
      <c r="L397" s="302">
        <v>0</v>
      </c>
      <c r="M397" s="302">
        <v>0</v>
      </c>
      <c r="N397" s="302">
        <v>0</v>
      </c>
      <c r="O397" s="295">
        <f t="shared" si="16"/>
        <v>0</v>
      </c>
      <c r="AA397" s="276"/>
    </row>
    <row r="398" spans="1:27" ht="15" customHeight="1">
      <c r="A398" s="504"/>
      <c r="B398" s="356" t="s">
        <v>681</v>
      </c>
      <c r="C398" s="302">
        <v>0</v>
      </c>
      <c r="D398" s="302">
        <v>0</v>
      </c>
      <c r="E398" s="302">
        <v>0</v>
      </c>
      <c r="F398" s="302">
        <v>0</v>
      </c>
      <c r="G398" s="302">
        <v>0</v>
      </c>
      <c r="H398" s="302">
        <v>0</v>
      </c>
      <c r="I398" s="302">
        <v>0</v>
      </c>
      <c r="J398" s="302">
        <v>0</v>
      </c>
      <c r="K398" s="302">
        <v>0</v>
      </c>
      <c r="L398" s="302">
        <v>0</v>
      </c>
      <c r="M398" s="302">
        <v>0</v>
      </c>
      <c r="N398" s="302">
        <v>0</v>
      </c>
      <c r="O398" s="295">
        <f t="shared" si="16"/>
        <v>0</v>
      </c>
      <c r="AA398" s="276"/>
    </row>
    <row r="399" spans="1:27" ht="15" customHeight="1">
      <c r="A399" s="504"/>
      <c r="B399" s="356" t="s">
        <v>944</v>
      </c>
      <c r="C399" s="302">
        <v>0</v>
      </c>
      <c r="D399" s="302">
        <v>0</v>
      </c>
      <c r="E399" s="302">
        <v>0</v>
      </c>
      <c r="F399" s="302">
        <v>0</v>
      </c>
      <c r="G399" s="302">
        <v>0</v>
      </c>
      <c r="H399" s="302">
        <v>0</v>
      </c>
      <c r="I399" s="302">
        <v>0</v>
      </c>
      <c r="J399" s="302">
        <v>0</v>
      </c>
      <c r="K399" s="302">
        <v>0</v>
      </c>
      <c r="L399" s="302">
        <v>0</v>
      </c>
      <c r="M399" s="302">
        <v>0</v>
      </c>
      <c r="N399" s="302">
        <v>0</v>
      </c>
      <c r="O399" s="295">
        <f t="shared" si="16"/>
        <v>0</v>
      </c>
      <c r="AA399" s="276"/>
    </row>
    <row r="400" spans="1:27" ht="15" customHeight="1">
      <c r="A400" s="504"/>
      <c r="B400" s="356" t="s">
        <v>945</v>
      </c>
      <c r="C400" s="302">
        <v>0</v>
      </c>
      <c r="D400" s="302">
        <v>0</v>
      </c>
      <c r="E400" s="302">
        <v>0</v>
      </c>
      <c r="F400" s="302">
        <v>0</v>
      </c>
      <c r="G400" s="302">
        <v>0</v>
      </c>
      <c r="H400" s="302">
        <v>0</v>
      </c>
      <c r="I400" s="302">
        <v>0</v>
      </c>
      <c r="J400" s="302">
        <v>0</v>
      </c>
      <c r="K400" s="302">
        <v>0</v>
      </c>
      <c r="L400" s="302">
        <v>0</v>
      </c>
      <c r="M400" s="302">
        <v>0</v>
      </c>
      <c r="N400" s="302">
        <v>0</v>
      </c>
      <c r="O400" s="295">
        <f t="shared" si="16"/>
        <v>0</v>
      </c>
      <c r="AA400" s="276"/>
    </row>
    <row r="401" spans="1:27" ht="15" customHeight="1">
      <c r="A401" s="504"/>
      <c r="B401" s="356" t="s">
        <v>946</v>
      </c>
      <c r="C401" s="302">
        <v>0</v>
      </c>
      <c r="D401" s="302">
        <v>0</v>
      </c>
      <c r="E401" s="302">
        <v>0</v>
      </c>
      <c r="F401" s="302">
        <v>0</v>
      </c>
      <c r="G401" s="302">
        <v>0</v>
      </c>
      <c r="H401" s="302">
        <v>0</v>
      </c>
      <c r="I401" s="302">
        <v>0</v>
      </c>
      <c r="J401" s="302">
        <v>0</v>
      </c>
      <c r="K401" s="302">
        <v>0</v>
      </c>
      <c r="L401" s="302">
        <v>0</v>
      </c>
      <c r="M401" s="302">
        <v>0</v>
      </c>
      <c r="N401" s="302">
        <v>0</v>
      </c>
      <c r="O401" s="295">
        <f t="shared" si="16"/>
        <v>0</v>
      </c>
      <c r="AA401" s="276"/>
    </row>
    <row r="402" spans="1:27" ht="15" customHeight="1" thickBot="1">
      <c r="A402" s="504"/>
      <c r="B402" s="356" t="s">
        <v>947</v>
      </c>
      <c r="C402" s="302">
        <v>0</v>
      </c>
      <c r="D402" s="302">
        <v>0</v>
      </c>
      <c r="E402" s="302">
        <v>0</v>
      </c>
      <c r="F402" s="302">
        <v>0</v>
      </c>
      <c r="G402" s="302">
        <v>0</v>
      </c>
      <c r="H402" s="302">
        <v>0</v>
      </c>
      <c r="I402" s="302">
        <v>0</v>
      </c>
      <c r="J402" s="302">
        <v>0</v>
      </c>
      <c r="K402" s="302">
        <v>0</v>
      </c>
      <c r="L402" s="302">
        <v>0</v>
      </c>
      <c r="M402" s="302">
        <v>0</v>
      </c>
      <c r="N402" s="302">
        <v>0</v>
      </c>
      <c r="O402" s="295">
        <f t="shared" si="16"/>
        <v>0</v>
      </c>
      <c r="AA402" s="276"/>
    </row>
    <row r="403" spans="1:27" ht="15" customHeight="1" thickBot="1">
      <c r="A403" s="506" t="s">
        <v>755</v>
      </c>
      <c r="B403" s="507"/>
      <c r="C403" s="296"/>
      <c r="D403" s="296"/>
      <c r="E403" s="296"/>
      <c r="F403" s="296"/>
      <c r="G403" s="296"/>
      <c r="H403" s="296"/>
      <c r="I403" s="296"/>
      <c r="J403" s="296"/>
      <c r="K403" s="296"/>
      <c r="L403" s="296"/>
      <c r="M403" s="296"/>
      <c r="N403" s="296"/>
      <c r="O403" s="512"/>
      <c r="AA403" s="276"/>
    </row>
    <row r="404" spans="1:27" ht="15" customHeight="1" thickBot="1">
      <c r="A404" s="506" t="s">
        <v>754</v>
      </c>
      <c r="B404" s="507"/>
      <c r="C404" s="296">
        <f t="shared" ref="C404:N404" si="17">+AVERAGE(C362:C402)</f>
        <v>0</v>
      </c>
      <c r="D404" s="296">
        <f t="shared" si="17"/>
        <v>0</v>
      </c>
      <c r="E404" s="296">
        <f t="shared" si="17"/>
        <v>0</v>
      </c>
      <c r="F404" s="296">
        <f t="shared" si="17"/>
        <v>0</v>
      </c>
      <c r="G404" s="296">
        <f t="shared" si="17"/>
        <v>0</v>
      </c>
      <c r="H404" s="296">
        <f t="shared" si="17"/>
        <v>0</v>
      </c>
      <c r="I404" s="296">
        <f t="shared" si="17"/>
        <v>0</v>
      </c>
      <c r="J404" s="296">
        <f t="shared" si="17"/>
        <v>0</v>
      </c>
      <c r="K404" s="296">
        <f t="shared" si="17"/>
        <v>0</v>
      </c>
      <c r="L404" s="296">
        <f t="shared" si="17"/>
        <v>0</v>
      </c>
      <c r="M404" s="296">
        <f t="shared" si="17"/>
        <v>0</v>
      </c>
      <c r="N404" s="296">
        <f t="shared" si="17"/>
        <v>0</v>
      </c>
      <c r="O404" s="513"/>
      <c r="AA404" s="276"/>
    </row>
    <row r="405" spans="1:27" ht="15" customHeight="1" thickBot="1">
      <c r="A405" s="506" t="s">
        <v>763</v>
      </c>
      <c r="B405" s="515"/>
      <c r="C405" s="516">
        <f>+AVERAGE(C404:N404)</f>
        <v>0</v>
      </c>
      <c r="D405" s="517"/>
      <c r="E405" s="517"/>
      <c r="F405" s="517"/>
      <c r="G405" s="517"/>
      <c r="H405" s="517"/>
      <c r="I405" s="517"/>
      <c r="J405" s="517"/>
      <c r="K405" s="517"/>
      <c r="L405" s="517"/>
      <c r="M405" s="517"/>
      <c r="N405" s="517"/>
      <c r="O405" s="514"/>
      <c r="AA405" s="276"/>
    </row>
    <row r="406" spans="1:27" ht="20.25" customHeight="1" thickBot="1">
      <c r="K406" s="276"/>
    </row>
    <row r="407" spans="1:27" ht="51.75" thickBot="1">
      <c r="B407" s="363" t="s">
        <v>39</v>
      </c>
      <c r="C407" s="363" t="str">
        <f t="shared" ref="C407:N407" si="18">C6</f>
        <v>Instalacion de Artefactos Sanitarios.</v>
      </c>
      <c r="D407" s="363" t="str">
        <f t="shared" si="18"/>
        <v>Extractor de baño.</v>
      </c>
      <c r="E407" s="363" t="str">
        <f t="shared" si="18"/>
        <v xml:space="preserve">Instalación de Shower Door </v>
      </c>
      <c r="F407" s="363" t="str">
        <f t="shared" si="18"/>
        <v>Instalacion de Espejos y Retropintados</v>
      </c>
      <c r="G407" s="363" t="str">
        <f t="shared" si="18"/>
        <v>Kit de cocina (Horno-Encimera -Campana - Lavaplato)</v>
      </c>
      <c r="H407" s="363" t="str">
        <f t="shared" si="18"/>
        <v>Griferia.</v>
      </c>
      <c r="I407" s="363" t="str">
        <f t="shared" si="18"/>
        <v>Pruebas de Instalaciones.</v>
      </c>
      <c r="J407" s="363" t="str">
        <f t="shared" si="18"/>
        <v>Piso Flotante + cubrejunta + junquillo</v>
      </c>
      <c r="K407" s="363" t="str">
        <f t="shared" si="18"/>
        <v xml:space="preserve">Protección Piso Flotante </v>
      </c>
      <c r="L407" s="363" t="str">
        <f t="shared" si="18"/>
        <v xml:space="preserve">2da Mano de Pintura </v>
      </c>
      <c r="M407" s="363" t="str">
        <f t="shared" si="18"/>
        <v>Instalación de Papel Mural</v>
      </c>
      <c r="N407" s="363" t="str">
        <f t="shared" si="18"/>
        <v>Topes en piso y Accesorios</v>
      </c>
      <c r="O407" s="363" t="s">
        <v>13</v>
      </c>
    </row>
    <row r="408" spans="1:27" ht="20.25" customHeight="1">
      <c r="B408" s="280"/>
      <c r="C408" s="281"/>
      <c r="D408" s="281"/>
      <c r="E408" s="281"/>
      <c r="F408" s="281"/>
      <c r="G408" s="281"/>
      <c r="H408" s="281"/>
      <c r="I408" s="281"/>
      <c r="J408" s="281"/>
      <c r="K408" s="276"/>
    </row>
    <row r="409" spans="1:27" s="283" customFormat="1" ht="15" customHeight="1">
      <c r="B409" s="360" t="s">
        <v>548</v>
      </c>
      <c r="C409" s="282">
        <f>C32</f>
        <v>0</v>
      </c>
      <c r="D409" s="282">
        <f t="shared" ref="D409:N409" si="19">D32</f>
        <v>0</v>
      </c>
      <c r="E409" s="282">
        <f t="shared" si="19"/>
        <v>0</v>
      </c>
      <c r="F409" s="282">
        <f t="shared" si="19"/>
        <v>0</v>
      </c>
      <c r="G409" s="282">
        <f t="shared" si="19"/>
        <v>0</v>
      </c>
      <c r="H409" s="282">
        <f t="shared" si="19"/>
        <v>0</v>
      </c>
      <c r="I409" s="282">
        <f t="shared" si="19"/>
        <v>0</v>
      </c>
      <c r="J409" s="282">
        <f t="shared" si="19"/>
        <v>0</v>
      </c>
      <c r="K409" s="282">
        <f t="shared" si="19"/>
        <v>0</v>
      </c>
      <c r="L409" s="282">
        <f t="shared" si="19"/>
        <v>0</v>
      </c>
      <c r="M409" s="282">
        <f t="shared" si="19"/>
        <v>0</v>
      </c>
      <c r="N409" s="282">
        <f t="shared" si="19"/>
        <v>0</v>
      </c>
      <c r="O409" s="303">
        <f>AVERAGE(C409:N409)</f>
        <v>0</v>
      </c>
    </row>
    <row r="410" spans="1:27" ht="15" customHeight="1">
      <c r="B410" s="361" t="s">
        <v>14</v>
      </c>
      <c r="C410" s="284">
        <f>C78</f>
        <v>0</v>
      </c>
      <c r="D410" s="284">
        <f t="shared" ref="D410:N410" si="20">D78</f>
        <v>0</v>
      </c>
      <c r="E410" s="284">
        <f t="shared" si="20"/>
        <v>0</v>
      </c>
      <c r="F410" s="284">
        <f t="shared" si="20"/>
        <v>0</v>
      </c>
      <c r="G410" s="284">
        <f t="shared" si="20"/>
        <v>0</v>
      </c>
      <c r="H410" s="284">
        <f t="shared" si="20"/>
        <v>0</v>
      </c>
      <c r="I410" s="284">
        <f t="shared" si="20"/>
        <v>0</v>
      </c>
      <c r="J410" s="284">
        <f t="shared" si="20"/>
        <v>0</v>
      </c>
      <c r="K410" s="284">
        <f t="shared" si="20"/>
        <v>0</v>
      </c>
      <c r="L410" s="284">
        <f t="shared" si="20"/>
        <v>0</v>
      </c>
      <c r="M410" s="284">
        <f t="shared" si="20"/>
        <v>0</v>
      </c>
      <c r="N410" s="284">
        <f t="shared" si="20"/>
        <v>0</v>
      </c>
      <c r="O410" s="304">
        <f t="shared" ref="O410:O418" si="21">AVERAGE(C410:N410)</f>
        <v>0</v>
      </c>
    </row>
    <row r="411" spans="1:27" ht="15" customHeight="1">
      <c r="B411" s="361" t="s">
        <v>15</v>
      </c>
      <c r="C411" s="284">
        <f>C125</f>
        <v>0</v>
      </c>
      <c r="D411" s="284">
        <f t="shared" ref="D411:N411" si="22">D125</f>
        <v>0</v>
      </c>
      <c r="E411" s="284">
        <f t="shared" si="22"/>
        <v>0</v>
      </c>
      <c r="F411" s="284">
        <f t="shared" si="22"/>
        <v>0</v>
      </c>
      <c r="G411" s="284">
        <f t="shared" si="22"/>
        <v>0</v>
      </c>
      <c r="H411" s="284">
        <f t="shared" si="22"/>
        <v>0</v>
      </c>
      <c r="I411" s="284">
        <f t="shared" si="22"/>
        <v>0</v>
      </c>
      <c r="J411" s="284">
        <f t="shared" si="22"/>
        <v>0</v>
      </c>
      <c r="K411" s="284">
        <f t="shared" si="22"/>
        <v>0</v>
      </c>
      <c r="L411" s="284">
        <f t="shared" si="22"/>
        <v>0</v>
      </c>
      <c r="M411" s="284">
        <f t="shared" si="22"/>
        <v>0</v>
      </c>
      <c r="N411" s="284">
        <f t="shared" si="22"/>
        <v>0</v>
      </c>
      <c r="O411" s="304">
        <f t="shared" si="21"/>
        <v>0</v>
      </c>
    </row>
    <row r="412" spans="1:27" ht="15" customHeight="1">
      <c r="B412" s="361" t="s">
        <v>16</v>
      </c>
      <c r="C412" s="284">
        <f>C172</f>
        <v>0</v>
      </c>
      <c r="D412" s="284">
        <f t="shared" ref="D412:N412" si="23">D172</f>
        <v>0</v>
      </c>
      <c r="E412" s="284">
        <f t="shared" si="23"/>
        <v>0</v>
      </c>
      <c r="F412" s="284">
        <f t="shared" si="23"/>
        <v>0</v>
      </c>
      <c r="G412" s="284">
        <f t="shared" si="23"/>
        <v>0</v>
      </c>
      <c r="H412" s="284">
        <f t="shared" si="23"/>
        <v>0</v>
      </c>
      <c r="I412" s="284">
        <f t="shared" si="23"/>
        <v>0</v>
      </c>
      <c r="J412" s="284">
        <f t="shared" si="23"/>
        <v>0</v>
      </c>
      <c r="K412" s="284">
        <f t="shared" si="23"/>
        <v>0</v>
      </c>
      <c r="L412" s="284">
        <f t="shared" si="23"/>
        <v>0</v>
      </c>
      <c r="M412" s="284">
        <f t="shared" si="23"/>
        <v>0</v>
      </c>
      <c r="N412" s="284">
        <f t="shared" si="23"/>
        <v>0</v>
      </c>
      <c r="O412" s="304">
        <f t="shared" si="21"/>
        <v>0</v>
      </c>
    </row>
    <row r="413" spans="1:27" ht="15" customHeight="1">
      <c r="B413" s="361" t="s">
        <v>17</v>
      </c>
      <c r="C413" s="284">
        <f>C219</f>
        <v>0</v>
      </c>
      <c r="D413" s="284">
        <f t="shared" ref="D413:N413" si="24">D219</f>
        <v>0</v>
      </c>
      <c r="E413" s="284">
        <f t="shared" si="24"/>
        <v>0</v>
      </c>
      <c r="F413" s="284">
        <f t="shared" si="24"/>
        <v>0</v>
      </c>
      <c r="G413" s="284">
        <f t="shared" si="24"/>
        <v>0</v>
      </c>
      <c r="H413" s="284">
        <f t="shared" si="24"/>
        <v>0</v>
      </c>
      <c r="I413" s="284">
        <f t="shared" si="24"/>
        <v>0</v>
      </c>
      <c r="J413" s="284">
        <f t="shared" si="24"/>
        <v>0</v>
      </c>
      <c r="K413" s="284">
        <f t="shared" si="24"/>
        <v>0</v>
      </c>
      <c r="L413" s="284">
        <f t="shared" si="24"/>
        <v>0</v>
      </c>
      <c r="M413" s="284">
        <f t="shared" si="24"/>
        <v>0</v>
      </c>
      <c r="N413" s="284">
        <f t="shared" si="24"/>
        <v>0</v>
      </c>
      <c r="O413" s="304">
        <f t="shared" si="21"/>
        <v>0</v>
      </c>
    </row>
    <row r="414" spans="1:27" ht="15" customHeight="1">
      <c r="B414" s="361" t="s">
        <v>18</v>
      </c>
      <c r="C414" s="284">
        <f>C266</f>
        <v>0</v>
      </c>
      <c r="D414" s="284">
        <f t="shared" ref="D414:N414" si="25">D266</f>
        <v>0</v>
      </c>
      <c r="E414" s="284">
        <f t="shared" si="25"/>
        <v>0</v>
      </c>
      <c r="F414" s="284">
        <f t="shared" si="25"/>
        <v>0</v>
      </c>
      <c r="G414" s="284">
        <f t="shared" si="25"/>
        <v>0</v>
      </c>
      <c r="H414" s="284">
        <f t="shared" si="25"/>
        <v>0</v>
      </c>
      <c r="I414" s="284">
        <f t="shared" si="25"/>
        <v>0</v>
      </c>
      <c r="J414" s="284">
        <f t="shared" si="25"/>
        <v>0</v>
      </c>
      <c r="K414" s="284">
        <f t="shared" si="25"/>
        <v>0</v>
      </c>
      <c r="L414" s="284">
        <f t="shared" si="25"/>
        <v>0</v>
      </c>
      <c r="M414" s="284">
        <f t="shared" si="25"/>
        <v>0</v>
      </c>
      <c r="N414" s="284">
        <f t="shared" si="25"/>
        <v>0</v>
      </c>
      <c r="O414" s="304">
        <f t="shared" si="21"/>
        <v>0</v>
      </c>
    </row>
    <row r="415" spans="1:27" ht="15" customHeight="1">
      <c r="B415" s="361" t="s">
        <v>19</v>
      </c>
      <c r="C415" s="284">
        <f>C313</f>
        <v>0</v>
      </c>
      <c r="D415" s="284">
        <f t="shared" ref="D415:N415" si="26">D313</f>
        <v>0</v>
      </c>
      <c r="E415" s="284">
        <f t="shared" si="26"/>
        <v>0</v>
      </c>
      <c r="F415" s="284">
        <f t="shared" si="26"/>
        <v>0</v>
      </c>
      <c r="G415" s="284">
        <f t="shared" si="26"/>
        <v>0</v>
      </c>
      <c r="H415" s="284">
        <f t="shared" si="26"/>
        <v>0</v>
      </c>
      <c r="I415" s="284">
        <f t="shared" si="26"/>
        <v>0</v>
      </c>
      <c r="J415" s="284">
        <f t="shared" si="26"/>
        <v>0</v>
      </c>
      <c r="K415" s="284">
        <f t="shared" si="26"/>
        <v>0</v>
      </c>
      <c r="L415" s="284">
        <f t="shared" si="26"/>
        <v>0</v>
      </c>
      <c r="M415" s="284">
        <f t="shared" si="26"/>
        <v>0</v>
      </c>
      <c r="N415" s="284">
        <f t="shared" si="26"/>
        <v>0</v>
      </c>
      <c r="O415" s="304">
        <f t="shared" si="21"/>
        <v>0</v>
      </c>
    </row>
    <row r="416" spans="1:27" ht="15" customHeight="1">
      <c r="B416" s="361" t="s">
        <v>20</v>
      </c>
      <c r="C416" s="284">
        <f>C360</f>
        <v>0</v>
      </c>
      <c r="D416" s="284">
        <f t="shared" ref="D416:N416" si="27">D360</f>
        <v>0</v>
      </c>
      <c r="E416" s="284">
        <f t="shared" si="27"/>
        <v>0</v>
      </c>
      <c r="F416" s="284">
        <f t="shared" si="27"/>
        <v>0</v>
      </c>
      <c r="G416" s="284">
        <f t="shared" si="27"/>
        <v>0</v>
      </c>
      <c r="H416" s="284">
        <f t="shared" si="27"/>
        <v>0</v>
      </c>
      <c r="I416" s="284">
        <f t="shared" si="27"/>
        <v>0</v>
      </c>
      <c r="J416" s="284">
        <f t="shared" si="27"/>
        <v>0</v>
      </c>
      <c r="K416" s="284">
        <f t="shared" si="27"/>
        <v>0</v>
      </c>
      <c r="L416" s="284">
        <f t="shared" si="27"/>
        <v>0</v>
      </c>
      <c r="M416" s="284">
        <f t="shared" si="27"/>
        <v>0</v>
      </c>
      <c r="N416" s="284">
        <f t="shared" si="27"/>
        <v>0</v>
      </c>
      <c r="O416" s="304">
        <f t="shared" si="21"/>
        <v>0</v>
      </c>
    </row>
    <row r="417" spans="2:15" ht="15" customHeight="1">
      <c r="B417" s="361" t="s">
        <v>21</v>
      </c>
      <c r="C417" s="337">
        <f>C404</f>
        <v>0</v>
      </c>
      <c r="D417" s="337">
        <f t="shared" ref="D417:N417" si="28">D404</f>
        <v>0</v>
      </c>
      <c r="E417" s="337">
        <f t="shared" si="28"/>
        <v>0</v>
      </c>
      <c r="F417" s="337">
        <f t="shared" si="28"/>
        <v>0</v>
      </c>
      <c r="G417" s="337">
        <f t="shared" si="28"/>
        <v>0</v>
      </c>
      <c r="H417" s="337">
        <f t="shared" si="28"/>
        <v>0</v>
      </c>
      <c r="I417" s="337">
        <f t="shared" si="28"/>
        <v>0</v>
      </c>
      <c r="J417" s="337">
        <f t="shared" si="28"/>
        <v>0</v>
      </c>
      <c r="K417" s="337">
        <f t="shared" si="28"/>
        <v>0</v>
      </c>
      <c r="L417" s="337">
        <f t="shared" si="28"/>
        <v>0</v>
      </c>
      <c r="M417" s="337">
        <f t="shared" si="28"/>
        <v>0</v>
      </c>
      <c r="N417" s="337">
        <f t="shared" si="28"/>
        <v>0</v>
      </c>
      <c r="O417" s="364">
        <f t="shared" si="21"/>
        <v>0</v>
      </c>
    </row>
    <row r="418" spans="2:15" ht="15" customHeight="1">
      <c r="B418" s="362" t="s">
        <v>970</v>
      </c>
      <c r="C418" s="310">
        <f>AVERAGE(C409:C417)</f>
        <v>0</v>
      </c>
      <c r="D418" s="310">
        <f t="shared" ref="D418:N418" si="29">AVERAGE(D409:D417)</f>
        <v>0</v>
      </c>
      <c r="E418" s="310">
        <f t="shared" si="29"/>
        <v>0</v>
      </c>
      <c r="F418" s="310">
        <f t="shared" si="29"/>
        <v>0</v>
      </c>
      <c r="G418" s="310">
        <f t="shared" si="29"/>
        <v>0</v>
      </c>
      <c r="H418" s="310">
        <f t="shared" si="29"/>
        <v>0</v>
      </c>
      <c r="I418" s="310">
        <f t="shared" si="29"/>
        <v>0</v>
      </c>
      <c r="J418" s="310">
        <f t="shared" si="29"/>
        <v>0</v>
      </c>
      <c r="K418" s="310">
        <f t="shared" si="29"/>
        <v>0</v>
      </c>
      <c r="L418" s="310">
        <f t="shared" si="29"/>
        <v>0</v>
      </c>
      <c r="M418" s="310">
        <f t="shared" si="29"/>
        <v>0</v>
      </c>
      <c r="N418" s="310">
        <f t="shared" si="29"/>
        <v>0</v>
      </c>
      <c r="O418" s="310">
        <f t="shared" si="21"/>
        <v>0</v>
      </c>
    </row>
    <row r="419" spans="2:15" ht="20.25" customHeight="1">
      <c r="K419" s="276"/>
      <c r="O419" s="286">
        <f>AVERAGE(O409:O417)</f>
        <v>0</v>
      </c>
    </row>
    <row r="420" spans="2:15" ht="20.25" customHeight="1">
      <c r="K420" s="276"/>
    </row>
    <row r="421" spans="2:15" ht="20.25" customHeight="1">
      <c r="K421" s="276"/>
    </row>
    <row r="422" spans="2:15" ht="20.25" customHeight="1">
      <c r="K422" s="276"/>
    </row>
    <row r="423" spans="2:15" ht="20.25" customHeight="1">
      <c r="K423" s="276"/>
    </row>
    <row r="424" spans="2:15" ht="20.25" customHeight="1">
      <c r="K424" s="276"/>
    </row>
    <row r="425" spans="2:15" ht="20.25" customHeight="1">
      <c r="K425" s="276"/>
    </row>
    <row r="426" spans="2:15" ht="20.25" customHeight="1">
      <c r="K426" s="276"/>
    </row>
    <row r="427" spans="2:15" ht="20.25" customHeight="1">
      <c r="K427" s="276"/>
    </row>
    <row r="428" spans="2:15" ht="20.25" customHeight="1">
      <c r="K428" s="276"/>
    </row>
    <row r="429" spans="2:15" ht="20.25" customHeight="1">
      <c r="K429" s="276"/>
    </row>
    <row r="430" spans="2:15" ht="20.25" customHeight="1">
      <c r="K430" s="276"/>
    </row>
    <row r="431" spans="2:15" ht="20.25" customHeight="1">
      <c r="K431" s="276"/>
    </row>
    <row r="432" spans="2:15" ht="20.25" customHeight="1">
      <c r="K432" s="276"/>
    </row>
    <row r="433" spans="11:11" ht="20.25" customHeight="1">
      <c r="K433" s="276"/>
    </row>
    <row r="434" spans="11:11" ht="20.25" customHeight="1">
      <c r="K434" s="276"/>
    </row>
    <row r="435" spans="11:11" ht="20.25" customHeight="1">
      <c r="K435" s="276"/>
    </row>
    <row r="436" spans="11:11" ht="20.25" customHeight="1">
      <c r="K436" s="276"/>
    </row>
    <row r="437" spans="11:11" ht="20.25" customHeight="1">
      <c r="K437" s="276"/>
    </row>
    <row r="438" spans="11:11" ht="20.25" customHeight="1">
      <c r="K438" s="276"/>
    </row>
    <row r="439" spans="11:11" ht="20.25" customHeight="1">
      <c r="K439" s="276"/>
    </row>
    <row r="440" spans="11:11" ht="20.25" customHeight="1">
      <c r="K440" s="276"/>
    </row>
    <row r="441" spans="11:11" ht="20.25" customHeight="1">
      <c r="K441" s="276"/>
    </row>
    <row r="442" spans="11:11" ht="20.25" customHeight="1">
      <c r="K442" s="276"/>
    </row>
    <row r="443" spans="11:11" ht="20.25" customHeight="1">
      <c r="K443" s="276"/>
    </row>
    <row r="444" spans="11:11" ht="20.25" customHeight="1">
      <c r="K444" s="276"/>
    </row>
    <row r="445" spans="11:11" ht="20.25" customHeight="1">
      <c r="K445" s="276"/>
    </row>
    <row r="446" spans="11:11" ht="20.25" customHeight="1">
      <c r="K446" s="276"/>
    </row>
    <row r="447" spans="11:11" ht="20.25" customHeight="1">
      <c r="K447" s="276"/>
    </row>
    <row r="448" spans="11:11" ht="20.25" customHeight="1">
      <c r="K448" s="276"/>
    </row>
    <row r="449" spans="11:11" ht="20.25" customHeight="1">
      <c r="K449" s="276"/>
    </row>
    <row r="450" spans="11:11" ht="20.25" customHeight="1">
      <c r="K450" s="276"/>
    </row>
    <row r="451" spans="11:11" ht="20.25" customHeight="1">
      <c r="K451" s="276"/>
    </row>
    <row r="452" spans="11:11" ht="20.25" customHeight="1">
      <c r="K452" s="276"/>
    </row>
    <row r="453" spans="11:11" ht="20.25" customHeight="1"/>
    <row r="454" spans="11:11" ht="20.25" customHeight="1"/>
    <row r="455" spans="11:11" ht="20.25" customHeight="1"/>
    <row r="456" spans="11:11" ht="20.25" customHeight="1"/>
    <row r="457" spans="11:11" ht="20.25" customHeight="1"/>
    <row r="458" spans="11:11" ht="20.25" customHeight="1"/>
    <row r="459" spans="11:11" ht="20.25" customHeight="1"/>
    <row r="460" spans="11:11" ht="20.25" customHeight="1"/>
    <row r="461" spans="11:11" ht="20.25" customHeight="1"/>
    <row r="462" spans="11:11" ht="20.25" customHeight="1"/>
    <row r="463" spans="11:11" ht="20.25" customHeight="1"/>
    <row r="464" spans="11:11" ht="20.25" customHeight="1"/>
    <row r="465" ht="20.25" customHeight="1"/>
    <row r="466" ht="20.25" customHeight="1"/>
    <row r="467" ht="20.25" customHeight="1"/>
    <row r="468" ht="20.25" customHeight="1"/>
    <row r="469" ht="20.25" customHeight="1"/>
    <row r="470" ht="20.25" customHeight="1"/>
    <row r="471" ht="20.25" customHeight="1"/>
    <row r="472" ht="20.25" customHeight="1"/>
    <row r="473" ht="20.25" customHeight="1"/>
    <row r="474" ht="20.25" customHeight="1"/>
    <row r="475" ht="20.25" customHeight="1"/>
    <row r="476" ht="20.25" customHeight="1"/>
    <row r="477" ht="20.25" customHeight="1"/>
    <row r="478" ht="20.25" customHeight="1"/>
    <row r="479" ht="20.25" customHeight="1"/>
    <row r="480" ht="20.25" customHeight="1"/>
    <row r="481" ht="20.25" customHeight="1"/>
    <row r="482" ht="20.25" customHeight="1"/>
    <row r="483" ht="20.25" customHeight="1"/>
    <row r="484" ht="20.25" customHeight="1"/>
    <row r="485" ht="20.25" customHeight="1"/>
    <row r="486" ht="20.25" customHeight="1"/>
    <row r="487" ht="20.25" customHeight="1"/>
    <row r="488" ht="20.25" customHeight="1"/>
    <row r="489" ht="20.25" customHeight="1"/>
    <row r="490" ht="20.25" customHeight="1"/>
    <row r="491" ht="20.25" customHeight="1"/>
    <row r="492" ht="20.25" customHeight="1"/>
    <row r="493" ht="20.25" customHeight="1"/>
    <row r="494" ht="20.25" customHeight="1"/>
    <row r="495" ht="20.25" customHeight="1"/>
    <row r="496" ht="20.25" customHeight="1"/>
    <row r="497" ht="20.25" customHeight="1"/>
    <row r="498" ht="20.25" customHeight="1"/>
    <row r="499" ht="20.25" customHeight="1"/>
    <row r="500" ht="20.25" customHeight="1"/>
    <row r="501" ht="20.25" customHeight="1"/>
    <row r="502" ht="20.25" customHeight="1"/>
    <row r="503" ht="20.25" customHeight="1"/>
    <row r="504" ht="20.25" customHeight="1"/>
    <row r="505" ht="20.25" customHeight="1"/>
    <row r="506" ht="20.25" customHeight="1"/>
    <row r="507" ht="20.25" customHeight="1"/>
    <row r="508" ht="20.25" customHeight="1"/>
    <row r="509" ht="20.25" customHeight="1"/>
    <row r="510" ht="20.25" customHeight="1"/>
    <row r="511" ht="20.25" customHeight="1"/>
    <row r="512" ht="20.25" customHeight="1"/>
    <row r="513" ht="20.25" customHeight="1"/>
    <row r="514" ht="20.25" customHeight="1"/>
    <row r="515" ht="20.25" customHeight="1"/>
    <row r="516" ht="20.25" customHeight="1"/>
    <row r="517" ht="20.25" customHeight="1"/>
    <row r="518" ht="20.25" customHeight="1"/>
    <row r="519" ht="20.25" customHeight="1"/>
    <row r="520" ht="20.25" customHeight="1"/>
    <row r="521" ht="20.25" customHeight="1"/>
    <row r="522" ht="20.25" customHeight="1"/>
    <row r="523" ht="20.25" customHeight="1"/>
    <row r="524" ht="20.25" customHeight="1"/>
    <row r="525" ht="20.25" customHeight="1"/>
    <row r="526" ht="20.25" customHeight="1"/>
    <row r="527" ht="20.25" customHeight="1"/>
    <row r="528" ht="20.25" customHeight="1"/>
    <row r="529" ht="20.25" customHeight="1"/>
    <row r="530" ht="20.25" customHeight="1"/>
    <row r="531" ht="20.25" customHeight="1"/>
    <row r="532" ht="20.25" customHeight="1"/>
    <row r="533" ht="20.25" customHeight="1"/>
    <row r="534" ht="20.25" customHeight="1"/>
    <row r="535" ht="20.25" customHeight="1"/>
    <row r="536" ht="20.25" customHeight="1"/>
    <row r="537" ht="20.25" customHeight="1"/>
    <row r="538" ht="20.25" customHeight="1"/>
  </sheetData>
  <mergeCells count="67">
    <mergeCell ref="O359:O361"/>
    <mergeCell ref="A360:B360"/>
    <mergeCell ref="A361:B361"/>
    <mergeCell ref="A403:B403"/>
    <mergeCell ref="O403:O405"/>
    <mergeCell ref="A404:B404"/>
    <mergeCell ref="A405:B405"/>
    <mergeCell ref="C405:N405"/>
    <mergeCell ref="C361:N361"/>
    <mergeCell ref="O265:O267"/>
    <mergeCell ref="A266:B266"/>
    <mergeCell ref="A267:B267"/>
    <mergeCell ref="C267:N267"/>
    <mergeCell ref="A312:B312"/>
    <mergeCell ref="O312:O314"/>
    <mergeCell ref="A313:B313"/>
    <mergeCell ref="A314:B314"/>
    <mergeCell ref="C314:N314"/>
    <mergeCell ref="A127:A149"/>
    <mergeCell ref="A150:A170"/>
    <mergeCell ref="A174:A196"/>
    <mergeCell ref="A218:B218"/>
    <mergeCell ref="O218:O220"/>
    <mergeCell ref="A219:B219"/>
    <mergeCell ref="A220:B220"/>
    <mergeCell ref="C220:N220"/>
    <mergeCell ref="A171:B171"/>
    <mergeCell ref="O171:O173"/>
    <mergeCell ref="A172:B172"/>
    <mergeCell ref="A173:B173"/>
    <mergeCell ref="C173:N173"/>
    <mergeCell ref="A80:A102"/>
    <mergeCell ref="A124:B124"/>
    <mergeCell ref="O124:O126"/>
    <mergeCell ref="A125:B125"/>
    <mergeCell ref="A126:B126"/>
    <mergeCell ref="C126:N126"/>
    <mergeCell ref="A103:A123"/>
    <mergeCell ref="A77:B77"/>
    <mergeCell ref="O77:O79"/>
    <mergeCell ref="A78:B78"/>
    <mergeCell ref="A79:B79"/>
    <mergeCell ref="C79:N79"/>
    <mergeCell ref="A34:A55"/>
    <mergeCell ref="A56:A76"/>
    <mergeCell ref="O1:O2"/>
    <mergeCell ref="O3:O4"/>
    <mergeCell ref="A7:A30"/>
    <mergeCell ref="A31:B31"/>
    <mergeCell ref="O31:O33"/>
    <mergeCell ref="A32:B32"/>
    <mergeCell ref="A33:B33"/>
    <mergeCell ref="C33:N33"/>
    <mergeCell ref="C2:K4"/>
    <mergeCell ref="M3:M4"/>
    <mergeCell ref="N3:N4"/>
    <mergeCell ref="A315:A337"/>
    <mergeCell ref="A338:A358"/>
    <mergeCell ref="A362:A381"/>
    <mergeCell ref="A382:A402"/>
    <mergeCell ref="A197:A217"/>
    <mergeCell ref="A221:A243"/>
    <mergeCell ref="A244:A264"/>
    <mergeCell ref="A268:A290"/>
    <mergeCell ref="A291:A311"/>
    <mergeCell ref="A265:B265"/>
    <mergeCell ref="A359:B359"/>
  </mergeCells>
  <conditionalFormatting sqref="C33">
    <cfRule type="colorScale" priority="9">
      <colorScale>
        <cfvo type="min"/>
        <cfvo type="percentile" val="50"/>
        <cfvo type="max"/>
        <color rgb="FF63BE7B"/>
        <color rgb="FFFFEB84"/>
        <color rgb="FFF8696B"/>
      </colorScale>
    </cfRule>
    <cfRule type="colorScale" priority="5">
      <colorScale>
        <cfvo type="min"/>
        <cfvo type="percentile" val="50"/>
        <cfvo type="max"/>
        <color rgb="FF63BE7B"/>
        <color rgb="FFFFEB84"/>
        <color rgb="FFF8696B"/>
      </colorScale>
    </cfRule>
    <cfRule type="colorScale" priority="6">
      <colorScale>
        <cfvo type="min"/>
        <cfvo type="percentile" val="50"/>
        <cfvo type="max"/>
        <color rgb="FF63BE7B"/>
        <color rgb="FFFFEB84"/>
        <color rgb="FFF8696B"/>
      </colorScale>
    </cfRule>
    <cfRule type="colorScale" priority="7">
      <colorScale>
        <cfvo type="min"/>
        <cfvo type="percentile" val="50"/>
        <cfvo type="max"/>
        <color rgb="FF63BE7B"/>
        <color rgb="FFFFEB84"/>
        <color rgb="FFF8696B"/>
      </colorScale>
    </cfRule>
    <cfRule type="colorScale" priority="8">
      <colorScale>
        <cfvo type="min"/>
        <cfvo type="percentile" val="50"/>
        <cfvo type="max"/>
        <color rgb="FF63BE7B"/>
        <color rgb="FFFFEB84"/>
        <color rgb="FFF8696B"/>
      </colorScale>
    </cfRule>
    <cfRule type="colorScale" priority="10">
      <colorScale>
        <cfvo type="min"/>
        <cfvo type="percentile" val="50"/>
        <cfvo type="max"/>
        <color rgb="FF63BE7B"/>
        <color rgb="FFFFEB84"/>
        <color rgb="FFF8696B"/>
      </colorScale>
    </cfRule>
    <cfRule type="dataBar" priority="11">
      <dataBar>
        <cfvo type="num" val="0"/>
        <cfvo type="num" val="1"/>
        <color theme="5" tint="0.59999389629810485"/>
      </dataBar>
      <extLst>
        <ext xmlns:x14="http://schemas.microsoft.com/office/spreadsheetml/2009/9/main" uri="{B025F937-C7B1-47D3-B67F-A62EFF666E3E}">
          <x14:id>{63233B83-05EC-477D-BCDA-52F1E2342685}</x14:id>
        </ext>
      </extLst>
    </cfRule>
    <cfRule type="iconSet" priority="12">
      <iconSet iconSet="3Symbols2">
        <cfvo type="percent" val="0"/>
        <cfvo type="percent" val="24" gte="0"/>
        <cfvo type="percent" val="76" gte="0"/>
      </iconSet>
    </cfRule>
  </conditionalFormatting>
  <conditionalFormatting sqref="C79">
    <cfRule type="iconSet" priority="72">
      <iconSet iconSet="3Symbols2">
        <cfvo type="percent" val="0"/>
        <cfvo type="percent" val="24" gte="0"/>
        <cfvo type="percent" val="76" gte="0"/>
      </iconSet>
    </cfRule>
    <cfRule type="colorScale" priority="69">
      <colorScale>
        <cfvo type="min"/>
        <cfvo type="percentile" val="50"/>
        <cfvo type="max"/>
        <color rgb="FF63BE7B"/>
        <color rgb="FFFFEB84"/>
        <color rgb="FFF8696B"/>
      </colorScale>
    </cfRule>
    <cfRule type="dataBar" priority="71">
      <dataBar>
        <cfvo type="num" val="0"/>
        <cfvo type="num" val="1"/>
        <color theme="5" tint="0.59999389629810485"/>
      </dataBar>
      <extLst>
        <ext xmlns:x14="http://schemas.microsoft.com/office/spreadsheetml/2009/9/main" uri="{B025F937-C7B1-47D3-B67F-A62EFF666E3E}">
          <x14:id>{4B6BDADB-CCDB-4557-B651-8A4AE4CC0D54}</x14:id>
        </ext>
      </extLst>
    </cfRule>
    <cfRule type="colorScale" priority="66">
      <colorScale>
        <cfvo type="min"/>
        <cfvo type="percentile" val="50"/>
        <cfvo type="max"/>
        <color rgb="FF63BE7B"/>
        <color rgb="FFFFEB84"/>
        <color rgb="FFF8696B"/>
      </colorScale>
    </cfRule>
    <cfRule type="colorScale" priority="68">
      <colorScale>
        <cfvo type="min"/>
        <cfvo type="percentile" val="50"/>
        <cfvo type="max"/>
        <color rgb="FF63BE7B"/>
        <color rgb="FFFFEB84"/>
        <color rgb="FFF8696B"/>
      </colorScale>
    </cfRule>
    <cfRule type="colorScale" priority="70">
      <colorScale>
        <cfvo type="min"/>
        <cfvo type="percentile" val="50"/>
        <cfvo type="max"/>
        <color rgb="FF63BE7B"/>
        <color rgb="FFFFEB84"/>
        <color rgb="FFF8696B"/>
      </colorScale>
    </cfRule>
    <cfRule type="colorScale" priority="67">
      <colorScale>
        <cfvo type="min"/>
        <cfvo type="percentile" val="50"/>
        <cfvo type="max"/>
        <color rgb="FF63BE7B"/>
        <color rgb="FFFFEB84"/>
        <color rgb="FFF8696B"/>
      </colorScale>
    </cfRule>
    <cfRule type="colorScale" priority="65">
      <colorScale>
        <cfvo type="min"/>
        <cfvo type="percentile" val="50"/>
        <cfvo type="max"/>
        <color rgb="FF63BE7B"/>
        <color rgb="FFFFEB84"/>
        <color rgb="FFF8696B"/>
      </colorScale>
    </cfRule>
  </conditionalFormatting>
  <conditionalFormatting sqref="C126">
    <cfRule type="colorScale" priority="20">
      <colorScale>
        <cfvo type="min"/>
        <cfvo type="percentile" val="50"/>
        <cfvo type="max"/>
        <color rgb="FF63BE7B"/>
        <color rgb="FFFFEB84"/>
        <color rgb="FFF8696B"/>
      </colorScale>
    </cfRule>
    <cfRule type="dataBar" priority="21">
      <dataBar>
        <cfvo type="num" val="0"/>
        <cfvo type="num" val="1"/>
        <color theme="5" tint="0.59999389629810485"/>
      </dataBar>
      <extLst>
        <ext xmlns:x14="http://schemas.microsoft.com/office/spreadsheetml/2009/9/main" uri="{B025F937-C7B1-47D3-B67F-A62EFF666E3E}">
          <x14:id>{655B68E1-0010-4B0E-ADD9-2015ECD2AC4C}</x14:id>
        </ext>
      </extLst>
    </cfRule>
    <cfRule type="iconSet" priority="22">
      <iconSet iconSet="3Symbols2">
        <cfvo type="percent" val="0"/>
        <cfvo type="percent" val="24" gte="0"/>
        <cfvo type="percent" val="76" gte="0"/>
      </iconSet>
    </cfRule>
    <cfRule type="colorScale" priority="15">
      <colorScale>
        <cfvo type="min"/>
        <cfvo type="percentile" val="50"/>
        <cfvo type="max"/>
        <color rgb="FF63BE7B"/>
        <color rgb="FFFFEB84"/>
        <color rgb="FFF8696B"/>
      </colorScale>
    </cfRule>
    <cfRule type="colorScale" priority="16">
      <colorScale>
        <cfvo type="min"/>
        <cfvo type="percentile" val="50"/>
        <cfvo type="max"/>
        <color rgb="FF63BE7B"/>
        <color rgb="FFFFEB84"/>
        <color rgb="FFF8696B"/>
      </colorScale>
    </cfRule>
    <cfRule type="colorScale" priority="17">
      <colorScale>
        <cfvo type="min"/>
        <cfvo type="percentile" val="50"/>
        <cfvo type="max"/>
        <color rgb="FF63BE7B"/>
        <color rgb="FFFFEB84"/>
        <color rgb="FFF8696B"/>
      </colorScale>
    </cfRule>
    <cfRule type="colorScale" priority="18">
      <colorScale>
        <cfvo type="min"/>
        <cfvo type="percentile" val="50"/>
        <cfvo type="max"/>
        <color rgb="FF63BE7B"/>
        <color rgb="FFFFEB84"/>
        <color rgb="FFF8696B"/>
      </colorScale>
    </cfRule>
    <cfRule type="colorScale" priority="19">
      <colorScale>
        <cfvo type="min"/>
        <cfvo type="percentile" val="50"/>
        <cfvo type="max"/>
        <color rgb="FF63BE7B"/>
        <color rgb="FFFFEB84"/>
        <color rgb="FFF8696B"/>
      </colorScale>
    </cfRule>
  </conditionalFormatting>
  <conditionalFormatting sqref="C173">
    <cfRule type="colorScale" priority="25">
      <colorScale>
        <cfvo type="min"/>
        <cfvo type="percentile" val="50"/>
        <cfvo type="max"/>
        <color rgb="FF63BE7B"/>
        <color rgb="FFFFEB84"/>
        <color rgb="FFF8696B"/>
      </colorScale>
    </cfRule>
    <cfRule type="colorScale" priority="26">
      <colorScale>
        <cfvo type="min"/>
        <cfvo type="percentile" val="50"/>
        <cfvo type="max"/>
        <color rgb="FF63BE7B"/>
        <color rgb="FFFFEB84"/>
        <color rgb="FFF8696B"/>
      </colorScale>
    </cfRule>
    <cfRule type="colorScale" priority="27">
      <colorScale>
        <cfvo type="min"/>
        <cfvo type="percentile" val="50"/>
        <cfvo type="max"/>
        <color rgb="FF63BE7B"/>
        <color rgb="FFFFEB84"/>
        <color rgb="FFF8696B"/>
      </colorScale>
    </cfRule>
    <cfRule type="colorScale" priority="28">
      <colorScale>
        <cfvo type="min"/>
        <cfvo type="percentile" val="50"/>
        <cfvo type="max"/>
        <color rgb="FF63BE7B"/>
        <color rgb="FFFFEB84"/>
        <color rgb="FFF8696B"/>
      </colorScale>
    </cfRule>
    <cfRule type="colorScale" priority="29">
      <colorScale>
        <cfvo type="min"/>
        <cfvo type="percentile" val="50"/>
        <cfvo type="max"/>
        <color rgb="FF63BE7B"/>
        <color rgb="FFFFEB84"/>
        <color rgb="FFF8696B"/>
      </colorScale>
    </cfRule>
    <cfRule type="colorScale" priority="30">
      <colorScale>
        <cfvo type="min"/>
        <cfvo type="percentile" val="50"/>
        <cfvo type="max"/>
        <color rgb="FF63BE7B"/>
        <color rgb="FFFFEB84"/>
        <color rgb="FFF8696B"/>
      </colorScale>
    </cfRule>
    <cfRule type="iconSet" priority="32">
      <iconSet iconSet="3Symbols2">
        <cfvo type="percent" val="0"/>
        <cfvo type="percent" val="24" gte="0"/>
        <cfvo type="percent" val="76" gte="0"/>
      </iconSet>
    </cfRule>
    <cfRule type="dataBar" priority="31">
      <dataBar>
        <cfvo type="num" val="0"/>
        <cfvo type="num" val="1"/>
        <color theme="5" tint="0.59999389629810485"/>
      </dataBar>
      <extLst>
        <ext xmlns:x14="http://schemas.microsoft.com/office/spreadsheetml/2009/9/main" uri="{B025F937-C7B1-47D3-B67F-A62EFF666E3E}">
          <x14:id>{E45E6A02-92B1-4E88-9C9E-F037B6860BD3}</x14:id>
        </ext>
      </extLst>
    </cfRule>
  </conditionalFormatting>
  <conditionalFormatting sqref="C220">
    <cfRule type="colorScale" priority="38">
      <colorScale>
        <cfvo type="min"/>
        <cfvo type="percentile" val="50"/>
        <cfvo type="max"/>
        <color rgb="FF63BE7B"/>
        <color rgb="FFFFEB84"/>
        <color rgb="FFF8696B"/>
      </colorScale>
    </cfRule>
    <cfRule type="colorScale" priority="35">
      <colorScale>
        <cfvo type="min"/>
        <cfvo type="percentile" val="50"/>
        <cfvo type="max"/>
        <color rgb="FF63BE7B"/>
        <color rgb="FFFFEB84"/>
        <color rgb="FFF8696B"/>
      </colorScale>
    </cfRule>
    <cfRule type="colorScale" priority="36">
      <colorScale>
        <cfvo type="min"/>
        <cfvo type="percentile" val="50"/>
        <cfvo type="max"/>
        <color rgb="FF63BE7B"/>
        <color rgb="FFFFEB84"/>
        <color rgb="FFF8696B"/>
      </colorScale>
    </cfRule>
    <cfRule type="colorScale" priority="37">
      <colorScale>
        <cfvo type="min"/>
        <cfvo type="percentile" val="50"/>
        <cfvo type="max"/>
        <color rgb="FF63BE7B"/>
        <color rgb="FFFFEB84"/>
        <color rgb="FFF8696B"/>
      </colorScale>
    </cfRule>
    <cfRule type="colorScale" priority="39">
      <colorScale>
        <cfvo type="min"/>
        <cfvo type="percentile" val="50"/>
        <cfvo type="max"/>
        <color rgb="FF63BE7B"/>
        <color rgb="FFFFEB84"/>
        <color rgb="FFF8696B"/>
      </colorScale>
    </cfRule>
    <cfRule type="colorScale" priority="40">
      <colorScale>
        <cfvo type="min"/>
        <cfvo type="percentile" val="50"/>
        <cfvo type="max"/>
        <color rgb="FF63BE7B"/>
        <color rgb="FFFFEB84"/>
        <color rgb="FFF8696B"/>
      </colorScale>
    </cfRule>
    <cfRule type="dataBar" priority="41">
      <dataBar>
        <cfvo type="num" val="0"/>
        <cfvo type="num" val="1"/>
        <color theme="5" tint="0.59999389629810485"/>
      </dataBar>
      <extLst>
        <ext xmlns:x14="http://schemas.microsoft.com/office/spreadsheetml/2009/9/main" uri="{B025F937-C7B1-47D3-B67F-A62EFF666E3E}">
          <x14:id>{264B8DE6-D799-4D1D-B0B6-8ABFF2D8FC31}</x14:id>
        </ext>
      </extLst>
    </cfRule>
    <cfRule type="iconSet" priority="42">
      <iconSet iconSet="3Symbols2">
        <cfvo type="percent" val="0"/>
        <cfvo type="percent" val="24" gte="0"/>
        <cfvo type="percent" val="76" gte="0"/>
      </iconSet>
    </cfRule>
  </conditionalFormatting>
  <conditionalFormatting sqref="C267">
    <cfRule type="colorScale" priority="45">
      <colorScale>
        <cfvo type="min"/>
        <cfvo type="percentile" val="50"/>
        <cfvo type="max"/>
        <color rgb="FF63BE7B"/>
        <color rgb="FFFFEB84"/>
        <color rgb="FFF8696B"/>
      </colorScale>
    </cfRule>
    <cfRule type="colorScale" priority="50">
      <colorScale>
        <cfvo type="min"/>
        <cfvo type="percentile" val="50"/>
        <cfvo type="max"/>
        <color rgb="FF63BE7B"/>
        <color rgb="FFFFEB84"/>
        <color rgb="FFF8696B"/>
      </colorScale>
    </cfRule>
    <cfRule type="iconSet" priority="52">
      <iconSet iconSet="3Symbols2">
        <cfvo type="percent" val="0"/>
        <cfvo type="percent" val="24" gte="0"/>
        <cfvo type="percent" val="76" gte="0"/>
      </iconSet>
    </cfRule>
    <cfRule type="dataBar" priority="51">
      <dataBar>
        <cfvo type="num" val="0"/>
        <cfvo type="num" val="1"/>
        <color theme="5" tint="0.59999389629810485"/>
      </dataBar>
      <extLst>
        <ext xmlns:x14="http://schemas.microsoft.com/office/spreadsheetml/2009/9/main" uri="{B025F937-C7B1-47D3-B67F-A62EFF666E3E}">
          <x14:id>{573D080F-A828-4977-9AED-E0BD4756DF90}</x14:id>
        </ext>
      </extLst>
    </cfRule>
    <cfRule type="colorScale" priority="46">
      <colorScale>
        <cfvo type="min"/>
        <cfvo type="percentile" val="50"/>
        <cfvo type="max"/>
        <color rgb="FF63BE7B"/>
        <color rgb="FFFFEB84"/>
        <color rgb="FFF8696B"/>
      </colorScale>
    </cfRule>
    <cfRule type="colorScale" priority="47">
      <colorScale>
        <cfvo type="min"/>
        <cfvo type="percentile" val="50"/>
        <cfvo type="max"/>
        <color rgb="FF63BE7B"/>
        <color rgb="FFFFEB84"/>
        <color rgb="FFF8696B"/>
      </colorScale>
    </cfRule>
    <cfRule type="colorScale" priority="48">
      <colorScale>
        <cfvo type="min"/>
        <cfvo type="percentile" val="50"/>
        <cfvo type="max"/>
        <color rgb="FF63BE7B"/>
        <color rgb="FFFFEB84"/>
        <color rgb="FFF8696B"/>
      </colorScale>
    </cfRule>
    <cfRule type="colorScale" priority="49">
      <colorScale>
        <cfvo type="min"/>
        <cfvo type="percentile" val="50"/>
        <cfvo type="max"/>
        <color rgb="FF63BE7B"/>
        <color rgb="FFFFEB84"/>
        <color rgb="FFF8696B"/>
      </colorScale>
    </cfRule>
  </conditionalFormatting>
  <conditionalFormatting sqref="C314">
    <cfRule type="colorScale" priority="115">
      <colorScale>
        <cfvo type="min"/>
        <cfvo type="percentile" val="50"/>
        <cfvo type="max"/>
        <color rgb="FF63BE7B"/>
        <color rgb="FFFFEB84"/>
        <color rgb="FFF8696B"/>
      </colorScale>
    </cfRule>
    <cfRule type="colorScale" priority="116">
      <colorScale>
        <cfvo type="min"/>
        <cfvo type="percentile" val="50"/>
        <cfvo type="max"/>
        <color rgb="FF63BE7B"/>
        <color rgb="FFFFEB84"/>
        <color rgb="FFF8696B"/>
      </colorScale>
    </cfRule>
    <cfRule type="colorScale" priority="117">
      <colorScale>
        <cfvo type="min"/>
        <cfvo type="percentile" val="50"/>
        <cfvo type="max"/>
        <color rgb="FF63BE7B"/>
        <color rgb="FFFFEB84"/>
        <color rgb="FFF8696B"/>
      </colorScale>
    </cfRule>
    <cfRule type="colorScale" priority="118">
      <colorScale>
        <cfvo type="min"/>
        <cfvo type="percentile" val="50"/>
        <cfvo type="max"/>
        <color rgb="FF63BE7B"/>
        <color rgb="FFFFEB84"/>
        <color rgb="FFF8696B"/>
      </colorScale>
    </cfRule>
    <cfRule type="colorScale" priority="119">
      <colorScale>
        <cfvo type="min"/>
        <cfvo type="percentile" val="50"/>
        <cfvo type="max"/>
        <color rgb="FF63BE7B"/>
        <color rgb="FFFFEB84"/>
        <color rgb="FFF8696B"/>
      </colorScale>
    </cfRule>
    <cfRule type="colorScale" priority="120">
      <colorScale>
        <cfvo type="min"/>
        <cfvo type="percentile" val="50"/>
        <cfvo type="max"/>
        <color rgb="FF63BE7B"/>
        <color rgb="FFFFEB84"/>
        <color rgb="FFF8696B"/>
      </colorScale>
    </cfRule>
    <cfRule type="dataBar" priority="121">
      <dataBar>
        <cfvo type="num" val="0"/>
        <cfvo type="num" val="1"/>
        <color theme="5" tint="0.59999389629810485"/>
      </dataBar>
      <extLst>
        <ext xmlns:x14="http://schemas.microsoft.com/office/spreadsheetml/2009/9/main" uri="{B025F937-C7B1-47D3-B67F-A62EFF666E3E}">
          <x14:id>{ECE79AFD-C474-47DC-9E7E-3F9200A994D7}</x14:id>
        </ext>
      </extLst>
    </cfRule>
    <cfRule type="iconSet" priority="122">
      <iconSet iconSet="3Symbols2">
        <cfvo type="percent" val="0"/>
        <cfvo type="percent" val="24" gte="0"/>
        <cfvo type="percent" val="76" gte="0"/>
      </iconSet>
    </cfRule>
  </conditionalFormatting>
  <conditionalFormatting sqref="C361">
    <cfRule type="colorScale" priority="125">
      <colorScale>
        <cfvo type="min"/>
        <cfvo type="percentile" val="50"/>
        <cfvo type="max"/>
        <color rgb="FF63BE7B"/>
        <color rgb="FFFFEB84"/>
        <color rgb="FFF8696B"/>
      </colorScale>
    </cfRule>
    <cfRule type="colorScale" priority="126">
      <colorScale>
        <cfvo type="min"/>
        <cfvo type="percentile" val="50"/>
        <cfvo type="max"/>
        <color rgb="FF63BE7B"/>
        <color rgb="FFFFEB84"/>
        <color rgb="FFF8696B"/>
      </colorScale>
    </cfRule>
    <cfRule type="colorScale" priority="127">
      <colorScale>
        <cfvo type="min"/>
        <cfvo type="percentile" val="50"/>
        <cfvo type="max"/>
        <color rgb="FF63BE7B"/>
        <color rgb="FFFFEB84"/>
        <color rgb="FFF8696B"/>
      </colorScale>
    </cfRule>
    <cfRule type="colorScale" priority="128">
      <colorScale>
        <cfvo type="min"/>
        <cfvo type="percentile" val="50"/>
        <cfvo type="max"/>
        <color rgb="FF63BE7B"/>
        <color rgb="FFFFEB84"/>
        <color rgb="FFF8696B"/>
      </colorScale>
    </cfRule>
    <cfRule type="colorScale" priority="129">
      <colorScale>
        <cfvo type="min"/>
        <cfvo type="percentile" val="50"/>
        <cfvo type="max"/>
        <color rgb="FF63BE7B"/>
        <color rgb="FFFFEB84"/>
        <color rgb="FFF8696B"/>
      </colorScale>
    </cfRule>
    <cfRule type="colorScale" priority="130">
      <colorScale>
        <cfvo type="min"/>
        <cfvo type="percentile" val="50"/>
        <cfvo type="max"/>
        <color rgb="FF63BE7B"/>
        <color rgb="FFFFEB84"/>
        <color rgb="FFF8696B"/>
      </colorScale>
    </cfRule>
    <cfRule type="dataBar" priority="131">
      <dataBar>
        <cfvo type="num" val="0"/>
        <cfvo type="num" val="1"/>
        <color theme="5" tint="0.59999389629810485"/>
      </dataBar>
      <extLst>
        <ext xmlns:x14="http://schemas.microsoft.com/office/spreadsheetml/2009/9/main" uri="{B025F937-C7B1-47D3-B67F-A62EFF666E3E}">
          <x14:id>{C89656A3-9860-4B4D-B45E-E2F854BABA66}</x14:id>
        </ext>
      </extLst>
    </cfRule>
    <cfRule type="iconSet" priority="132">
      <iconSet iconSet="3Symbols2">
        <cfvo type="percent" val="0"/>
        <cfvo type="percent" val="24" gte="0"/>
        <cfvo type="percent" val="76" gte="0"/>
      </iconSet>
    </cfRule>
  </conditionalFormatting>
  <conditionalFormatting sqref="C405">
    <cfRule type="colorScale" priority="137">
      <colorScale>
        <cfvo type="min"/>
        <cfvo type="percentile" val="50"/>
        <cfvo type="max"/>
        <color rgb="FF63BE7B"/>
        <color rgb="FFFFEB84"/>
        <color rgb="FFF8696B"/>
      </colorScale>
    </cfRule>
    <cfRule type="colorScale" priority="135">
      <colorScale>
        <cfvo type="min"/>
        <cfvo type="percentile" val="50"/>
        <cfvo type="max"/>
        <color rgb="FF63BE7B"/>
        <color rgb="FFFFEB84"/>
        <color rgb="FFF8696B"/>
      </colorScale>
    </cfRule>
    <cfRule type="colorScale" priority="136">
      <colorScale>
        <cfvo type="min"/>
        <cfvo type="percentile" val="50"/>
        <cfvo type="max"/>
        <color rgb="FF63BE7B"/>
        <color rgb="FFFFEB84"/>
        <color rgb="FFF8696B"/>
      </colorScale>
    </cfRule>
    <cfRule type="colorScale" priority="138">
      <colorScale>
        <cfvo type="min"/>
        <cfvo type="percentile" val="50"/>
        <cfvo type="max"/>
        <color rgb="FF63BE7B"/>
        <color rgb="FFFFEB84"/>
        <color rgb="FFF8696B"/>
      </colorScale>
    </cfRule>
    <cfRule type="colorScale" priority="139">
      <colorScale>
        <cfvo type="min"/>
        <cfvo type="percentile" val="50"/>
        <cfvo type="max"/>
        <color rgb="FF63BE7B"/>
        <color rgb="FFFFEB84"/>
        <color rgb="FFF8696B"/>
      </colorScale>
    </cfRule>
    <cfRule type="colorScale" priority="140">
      <colorScale>
        <cfvo type="min"/>
        <cfvo type="percentile" val="50"/>
        <cfvo type="max"/>
        <color rgb="FF63BE7B"/>
        <color rgb="FFFFEB84"/>
        <color rgb="FFF8696B"/>
      </colorScale>
    </cfRule>
    <cfRule type="dataBar" priority="141">
      <dataBar>
        <cfvo type="num" val="0"/>
        <cfvo type="num" val="1"/>
        <color theme="5" tint="0.59999389629810485"/>
      </dataBar>
      <extLst>
        <ext xmlns:x14="http://schemas.microsoft.com/office/spreadsheetml/2009/9/main" uri="{B025F937-C7B1-47D3-B67F-A62EFF666E3E}">
          <x14:id>{67679D5A-6A04-48B6-B479-B640CC4BD9BC}</x14:id>
        </ext>
      </extLst>
    </cfRule>
    <cfRule type="iconSet" priority="142">
      <iconSet iconSet="3Symbols2">
        <cfvo type="percent" val="0"/>
        <cfvo type="percent" val="24" gte="0"/>
        <cfvo type="percent" val="76" gte="0"/>
      </iconSet>
    </cfRule>
  </conditionalFormatting>
  <conditionalFormatting sqref="C7:N31 C34:N77 C80:N124 C174:N218 C221:N265 C268:N312 C315:N359 C362:N403 C127:N171">
    <cfRule type="iconSet" priority="905">
      <iconSet iconSet="3Symbols2">
        <cfvo type="percent" val="0"/>
        <cfvo type="percent" val="24" gte="0"/>
        <cfvo type="percent" val="76" gte="0"/>
      </iconSet>
    </cfRule>
  </conditionalFormatting>
  <conditionalFormatting sqref="C7:N31 C362:N402 C315:N359 C268:N312 C221:N265 C174:N218 C80:N124 C34:N77 C127:N171">
    <cfRule type="dataBar" priority="145">
      <dataBar>
        <cfvo type="min"/>
        <cfvo type="max"/>
        <color theme="7" tint="0.79998168889431442"/>
      </dataBar>
      <extLst>
        <ext xmlns:x14="http://schemas.microsoft.com/office/spreadsheetml/2009/9/main" uri="{B025F937-C7B1-47D3-B67F-A62EFF666E3E}">
          <x14:id>{B42BC651-0F42-4BA8-A13A-B5A49C49E27A}</x14:id>
        </ext>
      </extLst>
    </cfRule>
  </conditionalFormatting>
  <conditionalFormatting sqref="C32:N32">
    <cfRule type="iconSet" priority="14">
      <iconSet iconSet="3Symbols2">
        <cfvo type="percent" val="0"/>
        <cfvo type="percent" val="24" gte="0"/>
        <cfvo type="percent" val="76" gte="0"/>
      </iconSet>
    </cfRule>
    <cfRule type="colorScale" priority="13">
      <colorScale>
        <cfvo type="min"/>
        <cfvo type="percentile" val="50"/>
        <cfvo type="max"/>
        <color rgb="FF63BE7B"/>
        <color rgb="FFFFEB84"/>
        <color rgb="FFF8696B"/>
      </colorScale>
    </cfRule>
  </conditionalFormatting>
  <conditionalFormatting sqref="C78:N78">
    <cfRule type="colorScale" priority="73">
      <colorScale>
        <cfvo type="min"/>
        <cfvo type="percentile" val="50"/>
        <cfvo type="max"/>
        <color rgb="FF63BE7B"/>
        <color rgb="FFFFEB84"/>
        <color rgb="FFF8696B"/>
      </colorScale>
    </cfRule>
    <cfRule type="iconSet" priority="74">
      <iconSet iconSet="3Symbols2">
        <cfvo type="percent" val="0"/>
        <cfvo type="percent" val="24" gte="0"/>
        <cfvo type="percent" val="76" gte="0"/>
      </iconSet>
    </cfRule>
  </conditionalFormatting>
  <conditionalFormatting sqref="C125:N125">
    <cfRule type="iconSet" priority="24">
      <iconSet iconSet="3Symbols2">
        <cfvo type="percent" val="0"/>
        <cfvo type="percent" val="24" gte="0"/>
        <cfvo type="percent" val="76" gte="0"/>
      </iconSet>
    </cfRule>
    <cfRule type="colorScale" priority="23">
      <colorScale>
        <cfvo type="min"/>
        <cfvo type="percentile" val="50"/>
        <cfvo type="max"/>
        <color rgb="FF63BE7B"/>
        <color rgb="FFFFEB84"/>
        <color rgb="FFF8696B"/>
      </colorScale>
    </cfRule>
  </conditionalFormatting>
  <conditionalFormatting sqref="C172:N172">
    <cfRule type="iconSet" priority="34">
      <iconSet iconSet="3Symbols2">
        <cfvo type="percent" val="0"/>
        <cfvo type="percent" val="24" gte="0"/>
        <cfvo type="percent" val="76" gte="0"/>
      </iconSet>
    </cfRule>
    <cfRule type="colorScale" priority="33">
      <colorScale>
        <cfvo type="min"/>
        <cfvo type="percentile" val="50"/>
        <cfvo type="max"/>
        <color rgb="FF63BE7B"/>
        <color rgb="FFFFEB84"/>
        <color rgb="FFF8696B"/>
      </colorScale>
    </cfRule>
  </conditionalFormatting>
  <conditionalFormatting sqref="C219:N219">
    <cfRule type="iconSet" priority="44">
      <iconSet iconSet="3Symbols2">
        <cfvo type="percent" val="0"/>
        <cfvo type="percent" val="24" gte="0"/>
        <cfvo type="percent" val="76" gte="0"/>
      </iconSet>
    </cfRule>
    <cfRule type="colorScale" priority="43">
      <colorScale>
        <cfvo type="min"/>
        <cfvo type="percentile" val="50"/>
        <cfvo type="max"/>
        <color rgb="FF63BE7B"/>
        <color rgb="FFFFEB84"/>
        <color rgb="FFF8696B"/>
      </colorScale>
    </cfRule>
  </conditionalFormatting>
  <conditionalFormatting sqref="C266:N266">
    <cfRule type="colorScale" priority="53">
      <colorScale>
        <cfvo type="min"/>
        <cfvo type="percentile" val="50"/>
        <cfvo type="max"/>
        <color rgb="FF63BE7B"/>
        <color rgb="FFFFEB84"/>
        <color rgb="FFF8696B"/>
      </colorScale>
    </cfRule>
    <cfRule type="iconSet" priority="54">
      <iconSet iconSet="3Symbols2">
        <cfvo type="percent" val="0"/>
        <cfvo type="percent" val="24" gte="0"/>
        <cfvo type="percent" val="76" gte="0"/>
      </iconSet>
    </cfRule>
  </conditionalFormatting>
  <conditionalFormatting sqref="C313:N313">
    <cfRule type="colorScale" priority="123">
      <colorScale>
        <cfvo type="min"/>
        <cfvo type="percentile" val="50"/>
        <cfvo type="max"/>
        <color rgb="FF63BE7B"/>
        <color rgb="FFFFEB84"/>
        <color rgb="FFF8696B"/>
      </colorScale>
    </cfRule>
    <cfRule type="iconSet" priority="124">
      <iconSet iconSet="3Symbols2">
        <cfvo type="percent" val="0"/>
        <cfvo type="percent" val="24" gte="0"/>
        <cfvo type="percent" val="76" gte="0"/>
      </iconSet>
    </cfRule>
  </conditionalFormatting>
  <conditionalFormatting sqref="C360:N360">
    <cfRule type="colorScale" priority="133">
      <colorScale>
        <cfvo type="min"/>
        <cfvo type="percentile" val="50"/>
        <cfvo type="max"/>
        <color rgb="FF63BE7B"/>
        <color rgb="FFFFEB84"/>
        <color rgb="FFF8696B"/>
      </colorScale>
    </cfRule>
    <cfRule type="iconSet" priority="134">
      <iconSet iconSet="3Symbols2">
        <cfvo type="percent" val="0"/>
        <cfvo type="percent" val="24" gte="0"/>
        <cfvo type="percent" val="76" gte="0"/>
      </iconSet>
    </cfRule>
  </conditionalFormatting>
  <conditionalFormatting sqref="C404:N404">
    <cfRule type="colorScale" priority="143">
      <colorScale>
        <cfvo type="min"/>
        <cfvo type="percentile" val="50"/>
        <cfvo type="max"/>
        <color rgb="FF63BE7B"/>
        <color rgb="FFFFEB84"/>
        <color rgb="FFF8696B"/>
      </colorScale>
    </cfRule>
    <cfRule type="iconSet" priority="144">
      <iconSet iconSet="3Symbols2">
        <cfvo type="percent" val="0"/>
        <cfvo type="percent" val="24" gte="0"/>
        <cfvo type="percent" val="76" gte="0"/>
      </iconSet>
    </cfRule>
  </conditionalFormatting>
  <conditionalFormatting sqref="C409:O417">
    <cfRule type="cellIs" dxfId="151" priority="165" operator="equal">
      <formula>0</formula>
    </cfRule>
    <cfRule type="cellIs" dxfId="150" priority="166" operator="equal">
      <formula>100</formula>
    </cfRule>
    <cfRule type="cellIs" dxfId="149" priority="167" operator="between">
      <formula>50</formula>
      <formula>99</formula>
    </cfRule>
  </conditionalFormatting>
  <conditionalFormatting sqref="C418:O418">
    <cfRule type="iconSet" priority="2">
      <iconSet iconSet="3Symbols2">
        <cfvo type="percent" val="0"/>
        <cfvo type="percent" val="24" gte="0"/>
        <cfvo type="percent" val="76" gte="0"/>
      </iconSet>
    </cfRule>
    <cfRule type="colorScale" priority="1">
      <colorScale>
        <cfvo type="min"/>
        <cfvo type="percentile" val="50"/>
        <cfvo type="max"/>
        <color rgb="FF63BE7B"/>
        <color rgb="FFFFEB84"/>
        <color rgb="FFF8696B"/>
      </colorScale>
    </cfRule>
  </conditionalFormatting>
  <conditionalFormatting sqref="O3:O4">
    <cfRule type="colorScale" priority="4">
      <colorScale>
        <cfvo type="min"/>
        <cfvo type="percentile" val="50"/>
        <cfvo type="max"/>
        <color rgb="FF63BE7B"/>
        <color rgb="FFFFEB84"/>
        <color rgb="FFF8696B"/>
      </colorScale>
    </cfRule>
  </conditionalFormatting>
  <conditionalFormatting sqref="O7:O405">
    <cfRule type="colorScale" priority="3">
      <colorScale>
        <cfvo type="min"/>
        <cfvo type="percentile" val="50"/>
        <cfvo type="max"/>
        <color rgb="FF63BE7B"/>
        <color rgb="FFFFEB84"/>
        <color rgb="FFF8696B"/>
      </colorScale>
    </cfRule>
  </conditionalFormatting>
  <printOptions horizontalCentered="1"/>
  <pageMargins left="0" right="0" top="0" bottom="0" header="0" footer="0"/>
  <pageSetup paperSize="8" scale="49" fitToHeight="0" orientation="landscape" r:id="rId1"/>
  <headerFooter>
    <oddFooter>&amp;LProgramacion y Control&amp;Cleo.cg_10@yahoo.es&amp;RFecha:19-12-2013</oddFooter>
  </headerFooter>
  <colBreaks count="1" manualBreakCount="1">
    <brk id="11" max="280" man="1"/>
  </colBreaks>
  <drawing r:id="rId2"/>
  <extLst>
    <ext xmlns:x14="http://schemas.microsoft.com/office/spreadsheetml/2009/9/main" uri="{78C0D931-6437-407d-A8EE-F0AAD7539E65}">
      <x14:conditionalFormattings>
        <x14:conditionalFormatting xmlns:xm="http://schemas.microsoft.com/office/excel/2006/main">
          <x14:cfRule type="dataBar" id="{63233B83-05EC-477D-BCDA-52F1E2342685}">
            <x14:dataBar minLength="0" maxLength="100" gradient="0">
              <x14:cfvo type="num">
                <xm:f>0</xm:f>
              </x14:cfvo>
              <x14:cfvo type="num">
                <xm:f>1</xm:f>
              </x14:cfvo>
              <x14:negativeFillColor rgb="FFFF0000"/>
              <x14:axisColor rgb="FF000000"/>
            </x14:dataBar>
          </x14:cfRule>
          <xm:sqref>C33</xm:sqref>
        </x14:conditionalFormatting>
        <x14:conditionalFormatting xmlns:xm="http://schemas.microsoft.com/office/excel/2006/main">
          <x14:cfRule type="dataBar" id="{4B6BDADB-CCDB-4557-B651-8A4AE4CC0D54}">
            <x14:dataBar minLength="0" maxLength="100" gradient="0">
              <x14:cfvo type="num">
                <xm:f>0</xm:f>
              </x14:cfvo>
              <x14:cfvo type="num">
                <xm:f>1</xm:f>
              </x14:cfvo>
              <x14:negativeFillColor rgb="FFFF0000"/>
              <x14:axisColor rgb="FF000000"/>
            </x14:dataBar>
          </x14:cfRule>
          <xm:sqref>C79</xm:sqref>
        </x14:conditionalFormatting>
        <x14:conditionalFormatting xmlns:xm="http://schemas.microsoft.com/office/excel/2006/main">
          <x14:cfRule type="dataBar" id="{655B68E1-0010-4B0E-ADD9-2015ECD2AC4C}">
            <x14:dataBar minLength="0" maxLength="100" gradient="0">
              <x14:cfvo type="num">
                <xm:f>0</xm:f>
              </x14:cfvo>
              <x14:cfvo type="num">
                <xm:f>1</xm:f>
              </x14:cfvo>
              <x14:negativeFillColor rgb="FFFF0000"/>
              <x14:axisColor rgb="FF000000"/>
            </x14:dataBar>
          </x14:cfRule>
          <xm:sqref>C126</xm:sqref>
        </x14:conditionalFormatting>
        <x14:conditionalFormatting xmlns:xm="http://schemas.microsoft.com/office/excel/2006/main">
          <x14:cfRule type="dataBar" id="{E45E6A02-92B1-4E88-9C9E-F037B6860BD3}">
            <x14:dataBar minLength="0" maxLength="100" gradient="0">
              <x14:cfvo type="num">
                <xm:f>0</xm:f>
              </x14:cfvo>
              <x14:cfvo type="num">
                <xm:f>1</xm:f>
              </x14:cfvo>
              <x14:negativeFillColor rgb="FFFF0000"/>
              <x14:axisColor rgb="FF000000"/>
            </x14:dataBar>
          </x14:cfRule>
          <xm:sqref>C173</xm:sqref>
        </x14:conditionalFormatting>
        <x14:conditionalFormatting xmlns:xm="http://schemas.microsoft.com/office/excel/2006/main">
          <x14:cfRule type="dataBar" id="{264B8DE6-D799-4D1D-B0B6-8ABFF2D8FC31}">
            <x14:dataBar minLength="0" maxLength="100" gradient="0">
              <x14:cfvo type="num">
                <xm:f>0</xm:f>
              </x14:cfvo>
              <x14:cfvo type="num">
                <xm:f>1</xm:f>
              </x14:cfvo>
              <x14:negativeFillColor rgb="FFFF0000"/>
              <x14:axisColor rgb="FF000000"/>
            </x14:dataBar>
          </x14:cfRule>
          <xm:sqref>C220</xm:sqref>
        </x14:conditionalFormatting>
        <x14:conditionalFormatting xmlns:xm="http://schemas.microsoft.com/office/excel/2006/main">
          <x14:cfRule type="dataBar" id="{573D080F-A828-4977-9AED-E0BD4756DF90}">
            <x14:dataBar minLength="0" maxLength="100" gradient="0">
              <x14:cfvo type="num">
                <xm:f>0</xm:f>
              </x14:cfvo>
              <x14:cfvo type="num">
                <xm:f>1</xm:f>
              </x14:cfvo>
              <x14:negativeFillColor rgb="FFFF0000"/>
              <x14:axisColor rgb="FF000000"/>
            </x14:dataBar>
          </x14:cfRule>
          <xm:sqref>C267</xm:sqref>
        </x14:conditionalFormatting>
        <x14:conditionalFormatting xmlns:xm="http://schemas.microsoft.com/office/excel/2006/main">
          <x14:cfRule type="dataBar" id="{ECE79AFD-C474-47DC-9E7E-3F9200A994D7}">
            <x14:dataBar minLength="0" maxLength="100" gradient="0">
              <x14:cfvo type="num">
                <xm:f>0</xm:f>
              </x14:cfvo>
              <x14:cfvo type="num">
                <xm:f>1</xm:f>
              </x14:cfvo>
              <x14:negativeFillColor rgb="FFFF0000"/>
              <x14:axisColor rgb="FF000000"/>
            </x14:dataBar>
          </x14:cfRule>
          <xm:sqref>C314</xm:sqref>
        </x14:conditionalFormatting>
        <x14:conditionalFormatting xmlns:xm="http://schemas.microsoft.com/office/excel/2006/main">
          <x14:cfRule type="dataBar" id="{C89656A3-9860-4B4D-B45E-E2F854BABA66}">
            <x14:dataBar minLength="0" maxLength="100" gradient="0">
              <x14:cfvo type="num">
                <xm:f>0</xm:f>
              </x14:cfvo>
              <x14:cfvo type="num">
                <xm:f>1</xm:f>
              </x14:cfvo>
              <x14:negativeFillColor rgb="FFFF0000"/>
              <x14:axisColor rgb="FF000000"/>
            </x14:dataBar>
          </x14:cfRule>
          <xm:sqref>C361</xm:sqref>
        </x14:conditionalFormatting>
        <x14:conditionalFormatting xmlns:xm="http://schemas.microsoft.com/office/excel/2006/main">
          <x14:cfRule type="dataBar" id="{67679D5A-6A04-48B6-B479-B640CC4BD9BC}">
            <x14:dataBar minLength="0" maxLength="100" gradient="0">
              <x14:cfvo type="num">
                <xm:f>0</xm:f>
              </x14:cfvo>
              <x14:cfvo type="num">
                <xm:f>1</xm:f>
              </x14:cfvo>
              <x14:negativeFillColor rgb="FFFF0000"/>
              <x14:axisColor rgb="FF000000"/>
            </x14:dataBar>
          </x14:cfRule>
          <xm:sqref>C405</xm:sqref>
        </x14:conditionalFormatting>
        <x14:conditionalFormatting xmlns:xm="http://schemas.microsoft.com/office/excel/2006/main">
          <x14:cfRule type="dataBar" id="{B42BC651-0F42-4BA8-A13A-B5A49C49E27A}">
            <x14:dataBar minLength="0" maxLength="100" gradient="0">
              <x14:cfvo type="autoMin"/>
              <x14:cfvo type="autoMax"/>
              <x14:negativeFillColor rgb="FFFF0000"/>
              <x14:axisColor rgb="FF000000"/>
            </x14:dataBar>
          </x14:cfRule>
          <xm:sqref>C7:N31 C362:N402 C315:N359 C268:N312 C221:N265 C174:N218 C80:N124 C34:N77 C127:N171</xm:sqref>
        </x14:conditionalFormatting>
      </x14:conditionalFormattings>
    </ext>
    <ext xmlns:x14="http://schemas.microsoft.com/office/spreadsheetml/2009/9/main" uri="{05C60535-1F16-4fd2-B633-F4F36F0B64E0}">
      <x14:sparklineGroups xmlns:xm="http://schemas.microsoft.com/office/excel/2006/main">
        <x14:sparklineGroup manualMax="1" manualMin="0" type="column" displayEmptyCellsAs="gap" high="1" low="1" minAxisType="custom" maxAxisType="custom" xr2:uid="{C4E6A84D-2CDD-4B63-9235-886D193E027C}">
          <x14:colorSeries theme="3" tint="0.39997558519241921"/>
          <x14:colorNegative rgb="FFD00000"/>
          <x14:colorAxis rgb="FF000000"/>
          <x14:colorMarkers rgb="FFD00000"/>
          <x14:colorFirst rgb="FFD00000"/>
          <x14:colorLast rgb="FFD00000"/>
          <x14:colorHigh rgb="FF00FF00"/>
          <x14:colorLow rgb="FF0070C0"/>
          <x14:sparklines>
            <x14:sparkline>
              <xm:f>'FASE 4'!C32:C32</xm:f>
              <xm:sqref>C31</xm:sqref>
            </x14:sparkline>
            <x14:sparkline>
              <xm:f>'FASE 4'!D32:D32</xm:f>
              <xm:sqref>D31</xm:sqref>
            </x14:sparkline>
            <x14:sparkline>
              <xm:f>'FASE 4'!E32:E32</xm:f>
              <xm:sqref>E31</xm:sqref>
            </x14:sparkline>
            <x14:sparkline>
              <xm:f>'FASE 4'!F32:F32</xm:f>
              <xm:sqref>F31</xm:sqref>
            </x14:sparkline>
            <x14:sparkline>
              <xm:f>'FASE 4'!G32:G32</xm:f>
              <xm:sqref>G31</xm:sqref>
            </x14:sparkline>
            <x14:sparkline>
              <xm:f>'FASE 4'!H32:H32</xm:f>
              <xm:sqref>H31</xm:sqref>
            </x14:sparkline>
            <x14:sparkline>
              <xm:f>'FASE 4'!I32:I32</xm:f>
              <xm:sqref>I31</xm:sqref>
            </x14:sparkline>
            <x14:sparkline>
              <xm:f>'FASE 4'!J32:J32</xm:f>
              <xm:sqref>J31</xm:sqref>
            </x14:sparkline>
            <x14:sparkline>
              <xm:f>'FASE 4'!K32:K32</xm:f>
              <xm:sqref>K31</xm:sqref>
            </x14:sparkline>
            <x14:sparkline>
              <xm:f>'FASE 4'!L32:L32</xm:f>
              <xm:sqref>L31</xm:sqref>
            </x14:sparkline>
            <x14:sparkline>
              <xm:f>'FASE 4'!M32:M32</xm:f>
              <xm:sqref>M31</xm:sqref>
            </x14:sparkline>
            <x14:sparkline>
              <xm:f>'FASE 4'!N32:N32</xm:f>
              <xm:sqref>N31</xm:sqref>
            </x14:sparkline>
          </x14:sparklines>
        </x14:sparklineGroup>
        <x14:sparklineGroup manualMax="1" manualMin="0" type="column" displayEmptyCellsAs="gap" high="1" low="1" first="1" last="1" negative="1" minAxisType="custom" maxAxisType="custom" xr2:uid="{4AF9AE6D-E8F3-4BCE-81AA-1C1300D3102F}">
          <x14:colorSeries theme="3" tint="0.39997558519241921"/>
          <x14:colorNegative rgb="FFD00000"/>
          <x14:colorAxis rgb="FF000000"/>
          <x14:colorMarkers rgb="FFD00000"/>
          <x14:colorFirst rgb="FFD00000"/>
          <x14:colorLast rgb="FFD00000"/>
          <x14:colorHigh rgb="FF00FF00"/>
          <x14:colorLow rgb="FF0070C0"/>
          <x14:sparklines>
            <x14:sparkline>
              <xm:f>'FASE 4'!C78:C78</xm:f>
              <xm:sqref>C77</xm:sqref>
            </x14:sparkline>
            <x14:sparkline>
              <xm:f>'FASE 4'!D78:D78</xm:f>
              <xm:sqref>D77</xm:sqref>
            </x14:sparkline>
            <x14:sparkline>
              <xm:f>'FASE 4'!E78:E78</xm:f>
              <xm:sqref>E77</xm:sqref>
            </x14:sparkline>
            <x14:sparkline>
              <xm:f>'FASE 4'!F78:F78</xm:f>
              <xm:sqref>F77</xm:sqref>
            </x14:sparkline>
            <x14:sparkline>
              <xm:f>'FASE 4'!G78:G78</xm:f>
              <xm:sqref>G77</xm:sqref>
            </x14:sparkline>
            <x14:sparkline>
              <xm:f>'FASE 4'!H78:H78</xm:f>
              <xm:sqref>H77</xm:sqref>
            </x14:sparkline>
            <x14:sparkline>
              <xm:f>'FASE 4'!I78:I78</xm:f>
              <xm:sqref>I77</xm:sqref>
            </x14:sparkline>
            <x14:sparkline>
              <xm:f>'FASE 4'!J78:J78</xm:f>
              <xm:sqref>J77</xm:sqref>
            </x14:sparkline>
            <x14:sparkline>
              <xm:f>'FASE 4'!K78:K78</xm:f>
              <xm:sqref>K77</xm:sqref>
            </x14:sparkline>
            <x14:sparkline>
              <xm:f>'FASE 4'!L78:L78</xm:f>
              <xm:sqref>L77</xm:sqref>
            </x14:sparkline>
            <x14:sparkline>
              <xm:f>'FASE 4'!M78:M78</xm:f>
              <xm:sqref>M77</xm:sqref>
            </x14:sparkline>
            <x14:sparkline>
              <xm:f>'FASE 4'!N78:N78</xm:f>
              <xm:sqref>N77</xm:sqref>
            </x14:sparkline>
          </x14:sparklines>
        </x14:sparklineGroup>
        <x14:sparklineGroup manualMax="1" manualMin="0" type="column" displayEmptyCellsAs="gap" high="1" low="1" first="1" last="1" negative="1" minAxisType="custom" maxAxisType="custom" xr2:uid="{6481C78C-A691-41CB-9850-8F668DF1D281}">
          <x14:colorSeries theme="3" tint="0.39997558519241921"/>
          <x14:colorNegative rgb="FFD00000"/>
          <x14:colorAxis rgb="FF000000"/>
          <x14:colorMarkers rgb="FFD00000"/>
          <x14:colorFirst rgb="FFD00000"/>
          <x14:colorLast rgb="FFD00000"/>
          <x14:colorHigh rgb="FF00FF00"/>
          <x14:colorLow rgb="FF0070C0"/>
          <x14:sparklines>
            <x14:sparkline>
              <xm:f>'FASE 4'!C125:C125</xm:f>
              <xm:sqref>C124</xm:sqref>
            </x14:sparkline>
            <x14:sparkline>
              <xm:f>'FASE 4'!D125:D125</xm:f>
              <xm:sqref>D124</xm:sqref>
            </x14:sparkline>
            <x14:sparkline>
              <xm:f>'FASE 4'!E125:E125</xm:f>
              <xm:sqref>E124</xm:sqref>
            </x14:sparkline>
            <x14:sparkline>
              <xm:f>'FASE 4'!F125:F125</xm:f>
              <xm:sqref>F124</xm:sqref>
            </x14:sparkline>
            <x14:sparkline>
              <xm:f>'FASE 4'!G125:G125</xm:f>
              <xm:sqref>G124</xm:sqref>
            </x14:sparkline>
            <x14:sparkline>
              <xm:f>'FASE 4'!H125:H125</xm:f>
              <xm:sqref>H124</xm:sqref>
            </x14:sparkline>
            <x14:sparkline>
              <xm:f>'FASE 4'!I125:I125</xm:f>
              <xm:sqref>I124</xm:sqref>
            </x14:sparkline>
            <x14:sparkline>
              <xm:f>'FASE 4'!J125:J125</xm:f>
              <xm:sqref>J124</xm:sqref>
            </x14:sparkline>
            <x14:sparkline>
              <xm:f>'FASE 4'!K125:K125</xm:f>
              <xm:sqref>K124</xm:sqref>
            </x14:sparkline>
            <x14:sparkline>
              <xm:f>'FASE 4'!L125:L125</xm:f>
              <xm:sqref>L124</xm:sqref>
            </x14:sparkline>
            <x14:sparkline>
              <xm:f>'FASE 4'!M125:M125</xm:f>
              <xm:sqref>M124</xm:sqref>
            </x14:sparkline>
            <x14:sparkline>
              <xm:f>'FASE 4'!N125:N125</xm:f>
              <xm:sqref>N124</xm:sqref>
            </x14:sparkline>
          </x14:sparklines>
        </x14:sparklineGroup>
        <x14:sparklineGroup manualMax="1" manualMin="0" type="column" displayEmptyCellsAs="gap" high="1" low="1" first="1" last="1" negative="1" minAxisType="custom" maxAxisType="custom" xr2:uid="{DBB47433-DBA2-4159-9F4E-C1F908DEAB04}">
          <x14:colorSeries theme="3" tint="0.39997558519241921"/>
          <x14:colorNegative rgb="FFD00000"/>
          <x14:colorAxis rgb="FF000000"/>
          <x14:colorMarkers rgb="FFD00000"/>
          <x14:colorFirst rgb="FFD00000"/>
          <x14:colorLast rgb="FFD00000"/>
          <x14:colorHigh rgb="FF00FF00"/>
          <x14:colorLow rgb="FF0070C0"/>
          <x14:sparklines>
            <x14:sparkline>
              <xm:f>'FASE 4'!C172:C172</xm:f>
              <xm:sqref>C171</xm:sqref>
            </x14:sparkline>
            <x14:sparkline>
              <xm:f>'FASE 4'!D172:D172</xm:f>
              <xm:sqref>D171</xm:sqref>
            </x14:sparkline>
            <x14:sparkline>
              <xm:f>'FASE 4'!E172:E172</xm:f>
              <xm:sqref>E171</xm:sqref>
            </x14:sparkline>
            <x14:sparkline>
              <xm:f>'FASE 4'!F172:F172</xm:f>
              <xm:sqref>F171</xm:sqref>
            </x14:sparkline>
            <x14:sparkline>
              <xm:f>'FASE 4'!G172:G172</xm:f>
              <xm:sqref>G171</xm:sqref>
            </x14:sparkline>
            <x14:sparkline>
              <xm:f>'FASE 4'!H172:H172</xm:f>
              <xm:sqref>H171</xm:sqref>
            </x14:sparkline>
            <x14:sparkline>
              <xm:f>'FASE 4'!I172:I172</xm:f>
              <xm:sqref>I171</xm:sqref>
            </x14:sparkline>
            <x14:sparkline>
              <xm:f>'FASE 4'!J172:J172</xm:f>
              <xm:sqref>J171</xm:sqref>
            </x14:sparkline>
            <x14:sparkline>
              <xm:f>'FASE 4'!K172:K172</xm:f>
              <xm:sqref>K171</xm:sqref>
            </x14:sparkline>
            <x14:sparkline>
              <xm:f>'FASE 4'!L172:L172</xm:f>
              <xm:sqref>L171</xm:sqref>
            </x14:sparkline>
            <x14:sparkline>
              <xm:f>'FASE 4'!M172:M172</xm:f>
              <xm:sqref>M171</xm:sqref>
            </x14:sparkline>
            <x14:sparkline>
              <xm:f>'FASE 4'!N172:N172</xm:f>
              <xm:sqref>N171</xm:sqref>
            </x14:sparkline>
          </x14:sparklines>
        </x14:sparklineGroup>
        <x14:sparklineGroup manualMax="1" manualMin="0" type="column" displayEmptyCellsAs="gap" high="1" low="1" first="1" last="1" negative="1" minAxisType="custom" maxAxisType="custom" xr2:uid="{27180F86-F46C-47C9-832F-F22DE3CCD5A0}">
          <x14:colorSeries theme="3" tint="0.39997558519241921"/>
          <x14:colorNegative rgb="FFD00000"/>
          <x14:colorAxis rgb="FF000000"/>
          <x14:colorMarkers rgb="FFD00000"/>
          <x14:colorFirst rgb="FFD00000"/>
          <x14:colorLast rgb="FFD00000"/>
          <x14:colorHigh rgb="FF00FF00"/>
          <x14:colorLow rgb="FF0070C0"/>
          <x14:sparklines>
            <x14:sparkline>
              <xm:f>'FASE 4'!C219:C219</xm:f>
              <xm:sqref>C218</xm:sqref>
            </x14:sparkline>
            <x14:sparkline>
              <xm:f>'FASE 4'!D219:D219</xm:f>
              <xm:sqref>D218</xm:sqref>
            </x14:sparkline>
            <x14:sparkline>
              <xm:f>'FASE 4'!E219:E219</xm:f>
              <xm:sqref>E218</xm:sqref>
            </x14:sparkline>
            <x14:sparkline>
              <xm:f>'FASE 4'!F219:F219</xm:f>
              <xm:sqref>F218</xm:sqref>
            </x14:sparkline>
            <x14:sparkline>
              <xm:f>'FASE 4'!G219:G219</xm:f>
              <xm:sqref>G218</xm:sqref>
            </x14:sparkline>
            <x14:sparkline>
              <xm:f>'FASE 4'!H219:H219</xm:f>
              <xm:sqref>H218</xm:sqref>
            </x14:sparkline>
            <x14:sparkline>
              <xm:f>'FASE 4'!I219:I219</xm:f>
              <xm:sqref>I218</xm:sqref>
            </x14:sparkline>
            <x14:sparkline>
              <xm:f>'FASE 4'!J219:J219</xm:f>
              <xm:sqref>J218</xm:sqref>
            </x14:sparkline>
            <x14:sparkline>
              <xm:f>'FASE 4'!K219:K219</xm:f>
              <xm:sqref>K218</xm:sqref>
            </x14:sparkline>
            <x14:sparkline>
              <xm:f>'FASE 4'!L219:L219</xm:f>
              <xm:sqref>L218</xm:sqref>
            </x14:sparkline>
            <x14:sparkline>
              <xm:f>'FASE 4'!M219:M219</xm:f>
              <xm:sqref>M218</xm:sqref>
            </x14:sparkline>
            <x14:sparkline>
              <xm:f>'FASE 4'!N219:N219</xm:f>
              <xm:sqref>N218</xm:sqref>
            </x14:sparkline>
          </x14:sparklines>
        </x14:sparklineGroup>
        <x14:sparklineGroup manualMax="1" manualMin="0" type="column" displayEmptyCellsAs="gap" high="1" low="1" first="1" last="1" negative="1" minAxisType="custom" maxAxisType="custom" xr2:uid="{606B228A-8438-4BFE-BADC-D6DE0885C4C6}">
          <x14:colorSeries theme="3" tint="0.39997558519241921"/>
          <x14:colorNegative rgb="FFD00000"/>
          <x14:colorAxis rgb="FF000000"/>
          <x14:colorMarkers rgb="FFD00000"/>
          <x14:colorFirst rgb="FFD00000"/>
          <x14:colorLast rgb="FFD00000"/>
          <x14:colorHigh rgb="FF00FF00"/>
          <x14:colorLow rgb="FF0070C0"/>
          <x14:sparklines>
            <x14:sparkline>
              <xm:f>'FASE 4'!C266:C266</xm:f>
              <xm:sqref>C265</xm:sqref>
            </x14:sparkline>
            <x14:sparkline>
              <xm:f>'FASE 4'!D266:D266</xm:f>
              <xm:sqref>D265</xm:sqref>
            </x14:sparkline>
            <x14:sparkline>
              <xm:f>'FASE 4'!E266:E266</xm:f>
              <xm:sqref>E265</xm:sqref>
            </x14:sparkline>
            <x14:sparkline>
              <xm:f>'FASE 4'!F266:F266</xm:f>
              <xm:sqref>F265</xm:sqref>
            </x14:sparkline>
            <x14:sparkline>
              <xm:f>'FASE 4'!G266:G266</xm:f>
              <xm:sqref>G265</xm:sqref>
            </x14:sparkline>
            <x14:sparkline>
              <xm:f>'FASE 4'!H266:H266</xm:f>
              <xm:sqref>H265</xm:sqref>
            </x14:sparkline>
            <x14:sparkline>
              <xm:f>'FASE 4'!I266:I266</xm:f>
              <xm:sqref>I265</xm:sqref>
            </x14:sparkline>
            <x14:sparkline>
              <xm:f>'FASE 4'!J266:J266</xm:f>
              <xm:sqref>J265</xm:sqref>
            </x14:sparkline>
            <x14:sparkline>
              <xm:f>'FASE 4'!K266:K266</xm:f>
              <xm:sqref>K265</xm:sqref>
            </x14:sparkline>
            <x14:sparkline>
              <xm:f>'FASE 4'!L266:L266</xm:f>
              <xm:sqref>L265</xm:sqref>
            </x14:sparkline>
            <x14:sparkline>
              <xm:f>'FASE 4'!M266:M266</xm:f>
              <xm:sqref>M265</xm:sqref>
            </x14:sparkline>
            <x14:sparkline>
              <xm:f>'FASE 4'!N266:N266</xm:f>
              <xm:sqref>N265</xm:sqref>
            </x14:sparkline>
          </x14:sparklines>
        </x14:sparklineGroup>
        <x14:sparklineGroup manualMax="1" manualMin="0" type="column" displayEmptyCellsAs="gap" high="1" low="1" first="1" last="1" negative="1" minAxisType="custom" maxAxisType="custom" xr2:uid="{FC598EF8-8041-4A6E-98E4-D83D8DD827B2}">
          <x14:colorSeries theme="3" tint="0.39997558519241921"/>
          <x14:colorNegative rgb="FFD00000"/>
          <x14:colorAxis rgb="FF000000"/>
          <x14:colorMarkers rgb="FFD00000"/>
          <x14:colorFirst rgb="FFD00000"/>
          <x14:colorLast rgb="FFD00000"/>
          <x14:colorHigh rgb="FF00FF00"/>
          <x14:colorLow rgb="FF0070C0"/>
          <x14:sparklines>
            <x14:sparkline>
              <xm:f>'FASE 4'!C313:C313</xm:f>
              <xm:sqref>C312</xm:sqref>
            </x14:sparkline>
            <x14:sparkline>
              <xm:f>'FASE 4'!D313:D313</xm:f>
              <xm:sqref>D312</xm:sqref>
            </x14:sparkline>
            <x14:sparkline>
              <xm:f>'FASE 4'!E313:E313</xm:f>
              <xm:sqref>E312</xm:sqref>
            </x14:sparkline>
            <x14:sparkline>
              <xm:f>'FASE 4'!F313:F313</xm:f>
              <xm:sqref>F312</xm:sqref>
            </x14:sparkline>
            <x14:sparkline>
              <xm:f>'FASE 4'!G313:G313</xm:f>
              <xm:sqref>G312</xm:sqref>
            </x14:sparkline>
            <x14:sparkline>
              <xm:f>'FASE 4'!H313:H313</xm:f>
              <xm:sqref>H312</xm:sqref>
            </x14:sparkline>
            <x14:sparkline>
              <xm:f>'FASE 4'!I313:I313</xm:f>
              <xm:sqref>I312</xm:sqref>
            </x14:sparkline>
            <x14:sparkline>
              <xm:f>'FASE 4'!J313:J313</xm:f>
              <xm:sqref>J312</xm:sqref>
            </x14:sparkline>
            <x14:sparkline>
              <xm:f>'FASE 4'!K313:K313</xm:f>
              <xm:sqref>K312</xm:sqref>
            </x14:sparkline>
            <x14:sparkline>
              <xm:f>'FASE 4'!L313:L313</xm:f>
              <xm:sqref>L312</xm:sqref>
            </x14:sparkline>
            <x14:sparkline>
              <xm:f>'FASE 4'!M313:M313</xm:f>
              <xm:sqref>M312</xm:sqref>
            </x14:sparkline>
            <x14:sparkline>
              <xm:f>'FASE 4'!N313:N313</xm:f>
              <xm:sqref>N312</xm:sqref>
            </x14:sparkline>
          </x14:sparklines>
        </x14:sparklineGroup>
        <x14:sparklineGroup manualMax="1" manualMin="0" type="column" displayEmptyCellsAs="gap" high="1" low="1" first="1" last="1" negative="1" minAxisType="custom" maxAxisType="custom" xr2:uid="{610392CD-CFE3-4A95-B848-7D61BA25D796}">
          <x14:colorSeries theme="3" tint="0.39997558519241921"/>
          <x14:colorNegative rgb="FFD00000"/>
          <x14:colorAxis rgb="FF000000"/>
          <x14:colorMarkers rgb="FFD00000"/>
          <x14:colorFirst rgb="FFD00000"/>
          <x14:colorLast rgb="FFD00000"/>
          <x14:colorHigh rgb="FF00FF00"/>
          <x14:colorLow rgb="FF0070C0"/>
          <x14:sparklines>
            <x14:sparkline>
              <xm:f>'FASE 4'!C360:C360</xm:f>
              <xm:sqref>C359</xm:sqref>
            </x14:sparkline>
            <x14:sparkline>
              <xm:f>'FASE 4'!D360:D360</xm:f>
              <xm:sqref>D359</xm:sqref>
            </x14:sparkline>
            <x14:sparkline>
              <xm:f>'FASE 4'!E360:E360</xm:f>
              <xm:sqref>E359</xm:sqref>
            </x14:sparkline>
            <x14:sparkline>
              <xm:f>'FASE 4'!F360:F360</xm:f>
              <xm:sqref>F359</xm:sqref>
            </x14:sparkline>
            <x14:sparkline>
              <xm:f>'FASE 4'!G360:G360</xm:f>
              <xm:sqref>G359</xm:sqref>
            </x14:sparkline>
            <x14:sparkline>
              <xm:f>'FASE 4'!H360:H360</xm:f>
              <xm:sqref>H359</xm:sqref>
            </x14:sparkline>
            <x14:sparkline>
              <xm:f>'FASE 4'!I360:I360</xm:f>
              <xm:sqref>I359</xm:sqref>
            </x14:sparkline>
            <x14:sparkline>
              <xm:f>'FASE 4'!J360:J360</xm:f>
              <xm:sqref>J359</xm:sqref>
            </x14:sparkline>
            <x14:sparkline>
              <xm:f>'FASE 4'!K360:K360</xm:f>
              <xm:sqref>K359</xm:sqref>
            </x14:sparkline>
            <x14:sparkline>
              <xm:f>'FASE 4'!L360:L360</xm:f>
              <xm:sqref>L359</xm:sqref>
            </x14:sparkline>
            <x14:sparkline>
              <xm:f>'FASE 4'!M360:M360</xm:f>
              <xm:sqref>M359</xm:sqref>
            </x14:sparkline>
            <x14:sparkline>
              <xm:f>'FASE 4'!N360:N360</xm:f>
              <xm:sqref>N359</xm:sqref>
            </x14:sparkline>
          </x14:sparklines>
        </x14:sparklineGroup>
        <x14:sparklineGroup manualMax="1" manualMin="0" type="column" displayEmptyCellsAs="gap" high="1" low="1" first="1" last="1" negative="1" minAxisType="custom" maxAxisType="custom" xr2:uid="{9E8E3ED0-CC61-4862-BB23-9F4A32243381}">
          <x14:colorSeries theme="3" tint="0.39997558519241921"/>
          <x14:colorNegative rgb="FFD00000"/>
          <x14:colorAxis rgb="FF000000"/>
          <x14:colorMarkers rgb="FFD00000"/>
          <x14:colorFirst rgb="FFD00000"/>
          <x14:colorLast rgb="FFD00000"/>
          <x14:colorHigh rgb="FF00FF00"/>
          <x14:colorLow rgb="FF0070C0"/>
          <x14:sparklines>
            <x14:sparkline>
              <xm:f>'FASE 4'!C404:C404</xm:f>
              <xm:sqref>C403</xm:sqref>
            </x14:sparkline>
            <x14:sparkline>
              <xm:f>'FASE 4'!D404:D404</xm:f>
              <xm:sqref>D403</xm:sqref>
            </x14:sparkline>
            <x14:sparkline>
              <xm:f>'FASE 4'!E404:E404</xm:f>
              <xm:sqref>E403</xm:sqref>
            </x14:sparkline>
            <x14:sparkline>
              <xm:f>'FASE 4'!F404:F404</xm:f>
              <xm:sqref>F403</xm:sqref>
            </x14:sparkline>
            <x14:sparkline>
              <xm:f>'FASE 4'!G404:G404</xm:f>
              <xm:sqref>G403</xm:sqref>
            </x14:sparkline>
            <x14:sparkline>
              <xm:f>'FASE 4'!H404:H404</xm:f>
              <xm:sqref>H403</xm:sqref>
            </x14:sparkline>
            <x14:sparkline>
              <xm:f>'FASE 4'!I404:I404</xm:f>
              <xm:sqref>I403</xm:sqref>
            </x14:sparkline>
            <x14:sparkline>
              <xm:f>'FASE 4'!J404:J404</xm:f>
              <xm:sqref>J403</xm:sqref>
            </x14:sparkline>
            <x14:sparkline>
              <xm:f>'FASE 4'!K404:K404</xm:f>
              <xm:sqref>K403</xm:sqref>
            </x14:sparkline>
            <x14:sparkline>
              <xm:f>'FASE 4'!L404:L404</xm:f>
              <xm:sqref>L403</xm:sqref>
            </x14:sparkline>
            <x14:sparkline>
              <xm:f>'FASE 4'!M404:M404</xm:f>
              <xm:sqref>M403</xm:sqref>
            </x14:sparkline>
            <x14:sparkline>
              <xm:f>'FASE 4'!N404:N404</xm:f>
              <xm:sqref>N403</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3626-524E-4996-8991-AA7749BCDA5C}">
  <sheetPr codeName="Hoja3">
    <tabColor theme="6"/>
    <pageSetUpPr fitToPage="1"/>
  </sheetPr>
  <dimension ref="A1:AJ539"/>
  <sheetViews>
    <sheetView view="pageBreakPreview" zoomScale="70" zoomScaleNormal="50" zoomScaleSheetLayoutView="70" workbookViewId="0">
      <pane xSplit="2" ySplit="6" topLeftCell="C7" activePane="bottomRight" state="frozen"/>
      <selection pane="topRight" activeCell="D1" sqref="D1"/>
      <selection pane="bottomLeft" activeCell="A7" sqref="A7"/>
      <selection pane="bottomRight" activeCell="M21" sqref="M21"/>
    </sheetView>
  </sheetViews>
  <sheetFormatPr baseColWidth="10" defaultColWidth="10.7109375" defaultRowHeight="12.75"/>
  <cols>
    <col min="1" max="1" width="16.28515625" style="148" bestFit="1" customWidth="1"/>
    <col min="2" max="2" width="20.7109375" style="275" customWidth="1"/>
    <col min="3" max="3" width="26" style="148" customWidth="1"/>
    <col min="4" max="4" width="26.140625" style="148" bestFit="1" customWidth="1"/>
    <col min="5" max="5" width="16" style="148" bestFit="1" customWidth="1"/>
    <col min="6" max="6" width="17.85546875" style="148" bestFit="1" customWidth="1"/>
    <col min="7" max="7" width="18.28515625" style="148" customWidth="1"/>
    <col min="8" max="8" width="20.85546875" style="148" bestFit="1" customWidth="1"/>
    <col min="9" max="9" width="17.28515625" style="148" bestFit="1" customWidth="1"/>
    <col min="10" max="10" width="21.7109375" style="148" bestFit="1" customWidth="1"/>
    <col min="11" max="11" width="19.140625" style="148" bestFit="1" customWidth="1"/>
    <col min="12" max="12" width="18.28515625" style="148" bestFit="1" customWidth="1"/>
    <col min="13" max="13" width="20.42578125" style="148" bestFit="1" customWidth="1"/>
    <col min="14" max="14" width="20.140625" style="148" customWidth="1"/>
    <col min="15" max="15" width="20.85546875" style="148" bestFit="1" customWidth="1"/>
    <col min="16" max="16" width="24" style="148" bestFit="1" customWidth="1"/>
    <col min="17" max="17" width="30.28515625" style="148" bestFit="1" customWidth="1"/>
    <col min="18" max="18" width="29.42578125" style="148" bestFit="1" customWidth="1"/>
    <col min="19" max="19" width="22" style="148" bestFit="1" customWidth="1"/>
    <col min="20" max="20" width="27.42578125" style="148" bestFit="1" customWidth="1"/>
    <col min="21" max="22" width="27.42578125" style="148" customWidth="1"/>
    <col min="23" max="23" width="23.7109375" style="148" customWidth="1"/>
    <col min="24" max="24" width="18.28515625" style="148" bestFit="1" customWidth="1"/>
    <col min="25" max="26" width="15.5703125" style="148" bestFit="1" customWidth="1"/>
    <col min="27" max="27" width="16.5703125" style="148" bestFit="1" customWidth="1"/>
    <col min="28" max="38" width="10.7109375" style="148"/>
    <col min="39" max="39" width="16.140625" style="148" bestFit="1" customWidth="1"/>
    <col min="40" max="16384" width="10.7109375" style="148"/>
  </cols>
  <sheetData>
    <row r="1" spans="1:24" ht="13.5" thickBot="1">
      <c r="A1" s="207"/>
      <c r="C1" s="207"/>
      <c r="D1" s="207"/>
      <c r="E1" s="207"/>
      <c r="F1" s="207"/>
      <c r="G1" s="207"/>
      <c r="X1" s="508" t="s">
        <v>0</v>
      </c>
    </row>
    <row r="2" spans="1:24" ht="16.5" customHeight="1" thickBot="1">
      <c r="A2" s="207"/>
      <c r="C2" s="540" t="s">
        <v>973</v>
      </c>
      <c r="D2" s="541"/>
      <c r="E2" s="541"/>
      <c r="F2" s="541"/>
      <c r="G2" s="541"/>
      <c r="H2" s="541"/>
      <c r="I2" s="541"/>
      <c r="J2" s="541"/>
      <c r="K2" s="541"/>
      <c r="L2" s="541"/>
      <c r="M2" s="541"/>
      <c r="N2" s="541"/>
      <c r="O2" s="541"/>
      <c r="P2" s="541"/>
      <c r="Q2" s="541"/>
      <c r="R2" s="541"/>
      <c r="S2" s="541"/>
      <c r="T2" s="542"/>
      <c r="U2" s="312"/>
      <c r="X2" s="509"/>
    </row>
    <row r="3" spans="1:24" ht="12.75" customHeight="1" thickTop="1">
      <c r="A3" s="207"/>
      <c r="C3" s="543"/>
      <c r="D3" s="544"/>
      <c r="E3" s="544"/>
      <c r="F3" s="544"/>
      <c r="G3" s="544"/>
      <c r="H3" s="544"/>
      <c r="I3" s="544"/>
      <c r="J3" s="544"/>
      <c r="K3" s="544"/>
      <c r="L3" s="544"/>
      <c r="M3" s="544"/>
      <c r="N3" s="544"/>
      <c r="O3" s="544"/>
      <c r="P3" s="544"/>
      <c r="Q3" s="544"/>
      <c r="R3" s="544"/>
      <c r="S3" s="544"/>
      <c r="T3" s="545"/>
      <c r="U3" s="312"/>
      <c r="V3" s="528" t="s">
        <v>1</v>
      </c>
      <c r="W3" s="530">
        <v>359</v>
      </c>
      <c r="X3" s="538">
        <f>+AVERAGE(C33,C79,C126,C173,C220,C267,C314,C361,C405)</f>
        <v>8.818342151675481E-3</v>
      </c>
    </row>
    <row r="4" spans="1:24" ht="11.25" customHeight="1" thickBot="1">
      <c r="A4" s="207"/>
      <c r="C4" s="546"/>
      <c r="D4" s="547"/>
      <c r="E4" s="547"/>
      <c r="F4" s="547"/>
      <c r="G4" s="547"/>
      <c r="H4" s="547"/>
      <c r="I4" s="547"/>
      <c r="J4" s="547"/>
      <c r="K4" s="547"/>
      <c r="L4" s="547"/>
      <c r="M4" s="547"/>
      <c r="N4" s="547"/>
      <c r="O4" s="547"/>
      <c r="P4" s="547"/>
      <c r="Q4" s="547"/>
      <c r="R4" s="547"/>
      <c r="S4" s="547"/>
      <c r="T4" s="548"/>
      <c r="U4" s="313"/>
      <c r="V4" s="529"/>
      <c r="W4" s="531"/>
      <c r="X4" s="539"/>
    </row>
    <row r="5" spans="1:24" ht="13.5" thickBot="1">
      <c r="A5" s="207"/>
      <c r="C5" s="396">
        <v>1</v>
      </c>
      <c r="D5" s="395">
        <v>2</v>
      </c>
      <c r="E5" s="395">
        <v>3</v>
      </c>
      <c r="F5" s="395">
        <v>4</v>
      </c>
      <c r="G5" s="395">
        <v>5</v>
      </c>
      <c r="H5" s="395">
        <v>6</v>
      </c>
      <c r="I5" s="395">
        <v>7</v>
      </c>
      <c r="J5" s="395">
        <v>8</v>
      </c>
      <c r="K5" s="395">
        <v>9</v>
      </c>
      <c r="L5" s="395">
        <v>10</v>
      </c>
      <c r="M5" s="395">
        <v>11</v>
      </c>
      <c r="N5" s="395">
        <v>12</v>
      </c>
      <c r="O5" s="395">
        <v>13</v>
      </c>
      <c r="P5" s="395">
        <v>14</v>
      </c>
      <c r="Q5" s="395">
        <v>15</v>
      </c>
      <c r="R5" s="395">
        <v>16</v>
      </c>
      <c r="S5" s="395">
        <v>17</v>
      </c>
      <c r="T5" s="395">
        <v>18</v>
      </c>
      <c r="U5" s="287">
        <v>19</v>
      </c>
      <c r="V5" s="395">
        <v>20</v>
      </c>
      <c r="W5" s="287">
        <v>21</v>
      </c>
    </row>
    <row r="6" spans="1:24" ht="26.25" thickBot="1">
      <c r="A6" s="207"/>
      <c r="B6" s="344" t="s">
        <v>2</v>
      </c>
      <c r="C6" s="351" t="s">
        <v>715</v>
      </c>
      <c r="D6" s="351" t="s">
        <v>716</v>
      </c>
      <c r="E6" s="351" t="s">
        <v>717</v>
      </c>
      <c r="F6" s="351" t="s">
        <v>718</v>
      </c>
      <c r="G6" s="351" t="s">
        <v>719</v>
      </c>
      <c r="H6" s="351" t="s">
        <v>720</v>
      </c>
      <c r="I6" s="351" t="s">
        <v>721</v>
      </c>
      <c r="J6" s="351" t="s">
        <v>722</v>
      </c>
      <c r="K6" s="351" t="s">
        <v>724</v>
      </c>
      <c r="L6" s="351" t="s">
        <v>725</v>
      </c>
      <c r="M6" s="351" t="s">
        <v>726</v>
      </c>
      <c r="N6" s="351" t="s">
        <v>751</v>
      </c>
      <c r="O6" s="351" t="s">
        <v>727</v>
      </c>
      <c r="P6" s="351" t="s">
        <v>728</v>
      </c>
      <c r="Q6" s="351" t="s">
        <v>729</v>
      </c>
      <c r="R6" s="351" t="s">
        <v>730</v>
      </c>
      <c r="S6" s="351" t="s">
        <v>733</v>
      </c>
      <c r="T6" s="351" t="s">
        <v>734</v>
      </c>
      <c r="U6" s="351" t="s">
        <v>735</v>
      </c>
      <c r="V6" s="351" t="s">
        <v>736</v>
      </c>
      <c r="W6" s="351" t="s">
        <v>738</v>
      </c>
      <c r="X6" s="344" t="s">
        <v>13</v>
      </c>
    </row>
    <row r="7" spans="1:24" ht="15" customHeight="1">
      <c r="A7" s="532" t="s">
        <v>682</v>
      </c>
      <c r="B7" s="345" t="s">
        <v>860</v>
      </c>
      <c r="C7" s="301">
        <v>0</v>
      </c>
      <c r="D7" s="301">
        <v>0</v>
      </c>
      <c r="E7" s="301">
        <v>0</v>
      </c>
      <c r="F7" s="301">
        <v>0</v>
      </c>
      <c r="G7" s="301">
        <v>0</v>
      </c>
      <c r="H7" s="301">
        <v>0</v>
      </c>
      <c r="I7" s="301">
        <v>0</v>
      </c>
      <c r="J7" s="301">
        <v>0</v>
      </c>
      <c r="K7" s="301">
        <v>0</v>
      </c>
      <c r="L7" s="301">
        <v>0</v>
      </c>
      <c r="M7" s="301">
        <v>0</v>
      </c>
      <c r="N7" s="301">
        <v>0</v>
      </c>
      <c r="O7" s="301">
        <v>0</v>
      </c>
      <c r="P7" s="301">
        <v>0</v>
      </c>
      <c r="Q7" s="301">
        <v>0</v>
      </c>
      <c r="R7" s="301">
        <v>0</v>
      </c>
      <c r="S7" s="301">
        <v>0</v>
      </c>
      <c r="T7" s="301">
        <v>0</v>
      </c>
      <c r="U7" s="301">
        <v>0</v>
      </c>
      <c r="V7" s="301">
        <v>0</v>
      </c>
      <c r="W7" s="301">
        <v>0</v>
      </c>
      <c r="X7" s="293">
        <f t="shared" ref="X7:X30" si="0">+AVERAGE(C7:W7)</f>
        <v>0</v>
      </c>
    </row>
    <row r="8" spans="1:24" ht="15" customHeight="1">
      <c r="A8" s="533"/>
      <c r="B8" s="346" t="s">
        <v>861</v>
      </c>
      <c r="C8" s="302">
        <v>0</v>
      </c>
      <c r="D8" s="302">
        <v>0</v>
      </c>
      <c r="E8" s="302">
        <v>1</v>
      </c>
      <c r="F8" s="302">
        <v>0</v>
      </c>
      <c r="G8" s="302">
        <v>0</v>
      </c>
      <c r="H8" s="302">
        <v>0</v>
      </c>
      <c r="I8" s="302">
        <v>0</v>
      </c>
      <c r="J8" s="302">
        <v>0</v>
      </c>
      <c r="K8" s="302">
        <v>0</v>
      </c>
      <c r="L8" s="302">
        <v>0</v>
      </c>
      <c r="M8" s="302">
        <v>0</v>
      </c>
      <c r="N8" s="302">
        <v>0</v>
      </c>
      <c r="O8" s="302">
        <v>0</v>
      </c>
      <c r="P8" s="302">
        <v>0</v>
      </c>
      <c r="Q8" s="302">
        <v>0</v>
      </c>
      <c r="R8" s="302">
        <v>0</v>
      </c>
      <c r="S8" s="302">
        <v>0</v>
      </c>
      <c r="T8" s="302">
        <v>0</v>
      </c>
      <c r="U8" s="302">
        <v>0</v>
      </c>
      <c r="V8" s="302">
        <v>0</v>
      </c>
      <c r="W8" s="302">
        <v>0</v>
      </c>
      <c r="X8" s="295">
        <f t="shared" si="0"/>
        <v>4.7619047619047616E-2</v>
      </c>
    </row>
    <row r="9" spans="1:24" ht="15" customHeight="1">
      <c r="A9" s="533"/>
      <c r="B9" s="346" t="s">
        <v>862</v>
      </c>
      <c r="C9" s="302">
        <v>0</v>
      </c>
      <c r="D9" s="302">
        <v>0</v>
      </c>
      <c r="E9" s="302">
        <v>1</v>
      </c>
      <c r="F9" s="302">
        <v>0</v>
      </c>
      <c r="G9" s="302">
        <v>0</v>
      </c>
      <c r="H9" s="302">
        <v>0</v>
      </c>
      <c r="I9" s="302">
        <v>0</v>
      </c>
      <c r="J9" s="302">
        <v>0</v>
      </c>
      <c r="K9" s="302">
        <v>0</v>
      </c>
      <c r="L9" s="302">
        <v>0</v>
      </c>
      <c r="M9" s="302">
        <v>0</v>
      </c>
      <c r="N9" s="302">
        <v>0</v>
      </c>
      <c r="O9" s="302">
        <v>0</v>
      </c>
      <c r="P9" s="302">
        <v>0</v>
      </c>
      <c r="Q9" s="302">
        <v>0</v>
      </c>
      <c r="R9" s="302">
        <v>0</v>
      </c>
      <c r="S9" s="302">
        <v>0</v>
      </c>
      <c r="T9" s="302">
        <v>0</v>
      </c>
      <c r="U9" s="302">
        <v>0</v>
      </c>
      <c r="V9" s="302">
        <v>0</v>
      </c>
      <c r="W9" s="302">
        <v>0</v>
      </c>
      <c r="X9" s="295">
        <f t="shared" si="0"/>
        <v>4.7619047619047616E-2</v>
      </c>
    </row>
    <row r="10" spans="1:24" ht="15" customHeight="1">
      <c r="A10" s="533"/>
      <c r="B10" s="346" t="s">
        <v>863</v>
      </c>
      <c r="C10" s="302">
        <v>0</v>
      </c>
      <c r="D10" s="302">
        <v>0</v>
      </c>
      <c r="E10" s="302">
        <v>1</v>
      </c>
      <c r="F10" s="302">
        <v>0</v>
      </c>
      <c r="G10" s="302">
        <v>0</v>
      </c>
      <c r="H10" s="302">
        <v>0</v>
      </c>
      <c r="I10" s="302">
        <v>0</v>
      </c>
      <c r="J10" s="302">
        <v>0</v>
      </c>
      <c r="K10" s="302">
        <v>0</v>
      </c>
      <c r="L10" s="302">
        <v>0</v>
      </c>
      <c r="M10" s="302">
        <v>0</v>
      </c>
      <c r="N10" s="302">
        <v>0</v>
      </c>
      <c r="O10" s="302">
        <v>0</v>
      </c>
      <c r="P10" s="302">
        <v>0</v>
      </c>
      <c r="Q10" s="302">
        <v>0</v>
      </c>
      <c r="R10" s="302">
        <v>0</v>
      </c>
      <c r="S10" s="302">
        <v>0</v>
      </c>
      <c r="T10" s="302">
        <v>0</v>
      </c>
      <c r="U10" s="302">
        <v>0</v>
      </c>
      <c r="V10" s="302">
        <v>0</v>
      </c>
      <c r="W10" s="302">
        <v>0</v>
      </c>
      <c r="X10" s="295">
        <f t="shared" si="0"/>
        <v>4.7619047619047616E-2</v>
      </c>
    </row>
    <row r="11" spans="1:24" ht="15" customHeight="1">
      <c r="A11" s="533"/>
      <c r="B11" s="346" t="s">
        <v>864</v>
      </c>
      <c r="C11" s="302">
        <v>0</v>
      </c>
      <c r="D11" s="302">
        <v>0</v>
      </c>
      <c r="E11" s="302">
        <v>1</v>
      </c>
      <c r="F11" s="302">
        <v>0</v>
      </c>
      <c r="G11" s="302">
        <v>0</v>
      </c>
      <c r="H11" s="302">
        <v>0</v>
      </c>
      <c r="I11" s="302">
        <v>0</v>
      </c>
      <c r="J11" s="302">
        <v>0</v>
      </c>
      <c r="K11" s="302">
        <v>0</v>
      </c>
      <c r="L11" s="302">
        <v>0</v>
      </c>
      <c r="M11" s="302">
        <v>0</v>
      </c>
      <c r="N11" s="302">
        <v>0</v>
      </c>
      <c r="O11" s="302">
        <v>0</v>
      </c>
      <c r="P11" s="302">
        <v>0</v>
      </c>
      <c r="Q11" s="302">
        <v>0</v>
      </c>
      <c r="R11" s="302">
        <v>0</v>
      </c>
      <c r="S11" s="302">
        <v>0</v>
      </c>
      <c r="T11" s="302">
        <v>0</v>
      </c>
      <c r="U11" s="302">
        <v>0</v>
      </c>
      <c r="V11" s="302">
        <v>0</v>
      </c>
      <c r="W11" s="302">
        <v>0</v>
      </c>
      <c r="X11" s="295">
        <f t="shared" si="0"/>
        <v>4.7619047619047616E-2</v>
      </c>
    </row>
    <row r="12" spans="1:24" ht="15" customHeight="1">
      <c r="A12" s="533"/>
      <c r="B12" s="346" t="s">
        <v>865</v>
      </c>
      <c r="C12" s="302">
        <v>0</v>
      </c>
      <c r="D12" s="302">
        <v>0</v>
      </c>
      <c r="E12" s="302">
        <v>1</v>
      </c>
      <c r="F12" s="302">
        <v>0</v>
      </c>
      <c r="G12" s="302">
        <v>0</v>
      </c>
      <c r="H12" s="302">
        <v>0</v>
      </c>
      <c r="I12" s="302">
        <v>0</v>
      </c>
      <c r="J12" s="302">
        <v>0</v>
      </c>
      <c r="K12" s="302">
        <v>0</v>
      </c>
      <c r="L12" s="302">
        <v>0</v>
      </c>
      <c r="M12" s="302">
        <v>0</v>
      </c>
      <c r="N12" s="302">
        <v>0</v>
      </c>
      <c r="O12" s="302">
        <v>0</v>
      </c>
      <c r="P12" s="302">
        <v>0</v>
      </c>
      <c r="Q12" s="302">
        <v>0</v>
      </c>
      <c r="R12" s="302">
        <v>0</v>
      </c>
      <c r="S12" s="302">
        <v>0</v>
      </c>
      <c r="T12" s="302">
        <v>0</v>
      </c>
      <c r="U12" s="302">
        <v>0</v>
      </c>
      <c r="V12" s="302">
        <v>0</v>
      </c>
      <c r="W12" s="302">
        <v>0</v>
      </c>
      <c r="X12" s="295">
        <f t="shared" si="0"/>
        <v>4.7619047619047616E-2</v>
      </c>
    </row>
    <row r="13" spans="1:24" ht="15" customHeight="1">
      <c r="A13" s="533"/>
      <c r="B13" s="346" t="s">
        <v>866</v>
      </c>
      <c r="C13" s="302">
        <v>0</v>
      </c>
      <c r="D13" s="302">
        <v>0</v>
      </c>
      <c r="E13" s="302">
        <v>1</v>
      </c>
      <c r="F13" s="302">
        <v>0</v>
      </c>
      <c r="G13" s="302">
        <v>0</v>
      </c>
      <c r="H13" s="302">
        <v>0</v>
      </c>
      <c r="I13" s="302">
        <v>0</v>
      </c>
      <c r="J13" s="302">
        <v>0</v>
      </c>
      <c r="K13" s="302">
        <v>0</v>
      </c>
      <c r="L13" s="302">
        <v>0</v>
      </c>
      <c r="M13" s="302">
        <v>0</v>
      </c>
      <c r="N13" s="302">
        <v>0</v>
      </c>
      <c r="O13" s="302">
        <v>0</v>
      </c>
      <c r="P13" s="302">
        <v>0</v>
      </c>
      <c r="Q13" s="302">
        <v>0</v>
      </c>
      <c r="R13" s="302">
        <v>0</v>
      </c>
      <c r="S13" s="302">
        <v>0</v>
      </c>
      <c r="T13" s="302">
        <v>0</v>
      </c>
      <c r="U13" s="302">
        <v>0</v>
      </c>
      <c r="V13" s="302">
        <v>0</v>
      </c>
      <c r="W13" s="302">
        <v>0</v>
      </c>
      <c r="X13" s="295">
        <f t="shared" si="0"/>
        <v>4.7619047619047616E-2</v>
      </c>
    </row>
    <row r="14" spans="1:24" ht="15" customHeight="1">
      <c r="A14" s="533"/>
      <c r="B14" s="347" t="s">
        <v>867</v>
      </c>
      <c r="C14" s="302">
        <v>0</v>
      </c>
      <c r="D14" s="302">
        <v>0</v>
      </c>
      <c r="E14" s="302">
        <v>0</v>
      </c>
      <c r="F14" s="302">
        <v>0</v>
      </c>
      <c r="G14" s="302">
        <v>0</v>
      </c>
      <c r="H14" s="302">
        <v>0</v>
      </c>
      <c r="I14" s="302">
        <v>0</v>
      </c>
      <c r="J14" s="302">
        <v>0</v>
      </c>
      <c r="K14" s="302">
        <v>0</v>
      </c>
      <c r="L14" s="302">
        <v>0</v>
      </c>
      <c r="M14" s="302">
        <v>0</v>
      </c>
      <c r="N14" s="302">
        <v>0</v>
      </c>
      <c r="O14" s="302">
        <v>0</v>
      </c>
      <c r="P14" s="302">
        <v>0</v>
      </c>
      <c r="Q14" s="302">
        <v>0</v>
      </c>
      <c r="R14" s="302">
        <v>0</v>
      </c>
      <c r="S14" s="302">
        <v>0</v>
      </c>
      <c r="T14" s="302">
        <v>0</v>
      </c>
      <c r="U14" s="302">
        <v>0</v>
      </c>
      <c r="V14" s="302">
        <v>0</v>
      </c>
      <c r="W14" s="302">
        <v>0</v>
      </c>
      <c r="X14" s="295">
        <f t="shared" si="0"/>
        <v>0</v>
      </c>
    </row>
    <row r="15" spans="1:24" ht="15" customHeight="1">
      <c r="A15" s="533"/>
      <c r="B15" s="347" t="s">
        <v>868</v>
      </c>
      <c r="C15" s="302">
        <v>0</v>
      </c>
      <c r="D15" s="302">
        <v>0</v>
      </c>
      <c r="E15" s="302">
        <v>0</v>
      </c>
      <c r="F15" s="302">
        <v>0</v>
      </c>
      <c r="G15" s="302">
        <v>0</v>
      </c>
      <c r="H15" s="302">
        <v>0</v>
      </c>
      <c r="I15" s="302">
        <v>0</v>
      </c>
      <c r="J15" s="302">
        <v>0</v>
      </c>
      <c r="K15" s="302">
        <v>0</v>
      </c>
      <c r="L15" s="302">
        <v>0</v>
      </c>
      <c r="M15" s="302">
        <v>0</v>
      </c>
      <c r="N15" s="302">
        <v>0</v>
      </c>
      <c r="O15" s="302">
        <v>0</v>
      </c>
      <c r="P15" s="302">
        <v>0</v>
      </c>
      <c r="Q15" s="302">
        <v>0</v>
      </c>
      <c r="R15" s="302">
        <v>0</v>
      </c>
      <c r="S15" s="302">
        <v>0</v>
      </c>
      <c r="T15" s="302">
        <v>0</v>
      </c>
      <c r="U15" s="302">
        <v>0</v>
      </c>
      <c r="V15" s="302">
        <v>0</v>
      </c>
      <c r="W15" s="302">
        <v>0</v>
      </c>
      <c r="X15" s="295">
        <f t="shared" si="0"/>
        <v>0</v>
      </c>
    </row>
    <row r="16" spans="1:24" ht="15" customHeight="1">
      <c r="A16" s="533"/>
      <c r="B16" s="347" t="s">
        <v>869</v>
      </c>
      <c r="C16" s="302">
        <v>0</v>
      </c>
      <c r="D16" s="302">
        <v>1</v>
      </c>
      <c r="E16" s="302">
        <v>1</v>
      </c>
      <c r="F16" s="302">
        <v>1</v>
      </c>
      <c r="G16" s="302">
        <v>1</v>
      </c>
      <c r="H16" s="302">
        <v>0</v>
      </c>
      <c r="I16" s="302">
        <v>1</v>
      </c>
      <c r="J16" s="302">
        <v>1</v>
      </c>
      <c r="K16" s="302">
        <v>0</v>
      </c>
      <c r="L16" s="302">
        <v>1</v>
      </c>
      <c r="M16" s="302">
        <v>1</v>
      </c>
      <c r="N16" s="302">
        <v>1</v>
      </c>
      <c r="O16" s="302">
        <v>1</v>
      </c>
      <c r="P16" s="302">
        <v>1</v>
      </c>
      <c r="Q16" s="302">
        <v>1</v>
      </c>
      <c r="R16" s="302">
        <v>1</v>
      </c>
      <c r="S16" s="302">
        <v>1</v>
      </c>
      <c r="T16" s="302">
        <v>1</v>
      </c>
      <c r="U16" s="302">
        <v>1</v>
      </c>
      <c r="V16" s="302">
        <v>1</v>
      </c>
      <c r="W16" s="302">
        <v>0</v>
      </c>
      <c r="X16" s="295">
        <f t="shared" si="0"/>
        <v>0.80952380952380953</v>
      </c>
    </row>
    <row r="17" spans="1:24" ht="15" customHeight="1">
      <c r="A17" s="533"/>
      <c r="B17" s="347" t="s">
        <v>870</v>
      </c>
      <c r="C17" s="302">
        <v>0</v>
      </c>
      <c r="D17" s="302">
        <v>1</v>
      </c>
      <c r="E17" s="302">
        <v>1</v>
      </c>
      <c r="F17" s="302">
        <v>1</v>
      </c>
      <c r="G17" s="302">
        <v>1</v>
      </c>
      <c r="H17" s="302">
        <v>0</v>
      </c>
      <c r="I17" s="302">
        <v>1</v>
      </c>
      <c r="J17" s="302">
        <v>1</v>
      </c>
      <c r="K17" s="302">
        <v>0</v>
      </c>
      <c r="L17" s="302">
        <v>1</v>
      </c>
      <c r="M17" s="302">
        <v>1</v>
      </c>
      <c r="N17" s="302">
        <v>1</v>
      </c>
      <c r="O17" s="302">
        <v>1</v>
      </c>
      <c r="P17" s="302">
        <v>1</v>
      </c>
      <c r="Q17" s="302">
        <v>1</v>
      </c>
      <c r="R17" s="302">
        <v>1</v>
      </c>
      <c r="S17" s="302">
        <v>1</v>
      </c>
      <c r="T17" s="302">
        <v>1</v>
      </c>
      <c r="U17" s="302">
        <v>1</v>
      </c>
      <c r="V17" s="302">
        <v>1</v>
      </c>
      <c r="W17" s="302">
        <v>0</v>
      </c>
      <c r="X17" s="295">
        <f t="shared" si="0"/>
        <v>0.80952380952380953</v>
      </c>
    </row>
    <row r="18" spans="1:24" ht="15" customHeight="1">
      <c r="A18" s="533"/>
      <c r="B18" s="347" t="s">
        <v>871</v>
      </c>
      <c r="C18" s="302">
        <v>0</v>
      </c>
      <c r="D18" s="302">
        <v>0</v>
      </c>
      <c r="E18" s="302">
        <v>0</v>
      </c>
      <c r="F18" s="302">
        <v>0</v>
      </c>
      <c r="G18" s="302">
        <v>0</v>
      </c>
      <c r="H18" s="302">
        <v>0</v>
      </c>
      <c r="I18" s="302">
        <v>0</v>
      </c>
      <c r="J18" s="302">
        <v>0</v>
      </c>
      <c r="K18" s="302">
        <v>0</v>
      </c>
      <c r="L18" s="302">
        <v>0</v>
      </c>
      <c r="M18" s="302">
        <v>0</v>
      </c>
      <c r="N18" s="302">
        <v>0</v>
      </c>
      <c r="O18" s="302">
        <v>0</v>
      </c>
      <c r="P18" s="302">
        <v>0</v>
      </c>
      <c r="Q18" s="302">
        <v>0</v>
      </c>
      <c r="R18" s="302">
        <v>0</v>
      </c>
      <c r="S18" s="302">
        <v>0</v>
      </c>
      <c r="T18" s="302">
        <v>0</v>
      </c>
      <c r="U18" s="302">
        <v>0</v>
      </c>
      <c r="V18" s="302">
        <v>0</v>
      </c>
      <c r="W18" s="302">
        <v>0</v>
      </c>
      <c r="X18" s="295">
        <f t="shared" si="0"/>
        <v>0</v>
      </c>
    </row>
    <row r="19" spans="1:24" ht="15" customHeight="1">
      <c r="A19" s="533"/>
      <c r="B19" s="347" t="s">
        <v>872</v>
      </c>
      <c r="C19" s="302">
        <v>0</v>
      </c>
      <c r="D19" s="302">
        <v>0</v>
      </c>
      <c r="E19" s="302">
        <v>0</v>
      </c>
      <c r="F19" s="302">
        <v>0</v>
      </c>
      <c r="G19" s="302">
        <v>0</v>
      </c>
      <c r="H19" s="302">
        <v>0</v>
      </c>
      <c r="I19" s="302">
        <v>0</v>
      </c>
      <c r="J19" s="302">
        <v>0</v>
      </c>
      <c r="K19" s="302">
        <v>0</v>
      </c>
      <c r="L19" s="302">
        <v>0</v>
      </c>
      <c r="M19" s="302">
        <v>0</v>
      </c>
      <c r="N19" s="302">
        <v>0</v>
      </c>
      <c r="O19" s="302">
        <v>0</v>
      </c>
      <c r="P19" s="302">
        <v>0</v>
      </c>
      <c r="Q19" s="302">
        <v>0</v>
      </c>
      <c r="R19" s="302">
        <v>0</v>
      </c>
      <c r="S19" s="302">
        <v>0</v>
      </c>
      <c r="T19" s="302">
        <v>0</v>
      </c>
      <c r="U19" s="302">
        <v>0</v>
      </c>
      <c r="V19" s="302">
        <v>0</v>
      </c>
      <c r="W19" s="302">
        <v>0</v>
      </c>
      <c r="X19" s="295">
        <f t="shared" si="0"/>
        <v>0</v>
      </c>
    </row>
    <row r="20" spans="1:24" ht="15" customHeight="1">
      <c r="A20" s="533"/>
      <c r="B20" s="347" t="s">
        <v>873</v>
      </c>
      <c r="C20" s="302">
        <v>0</v>
      </c>
      <c r="D20" s="302">
        <v>0</v>
      </c>
      <c r="E20" s="302">
        <v>0</v>
      </c>
      <c r="F20" s="302">
        <v>0</v>
      </c>
      <c r="G20" s="302">
        <v>0</v>
      </c>
      <c r="H20" s="302">
        <v>0</v>
      </c>
      <c r="I20" s="302">
        <v>0</v>
      </c>
      <c r="J20" s="302">
        <v>0</v>
      </c>
      <c r="K20" s="302">
        <v>0</v>
      </c>
      <c r="L20" s="302">
        <v>0</v>
      </c>
      <c r="M20" s="302">
        <v>0</v>
      </c>
      <c r="N20" s="302">
        <v>0</v>
      </c>
      <c r="O20" s="302">
        <v>0</v>
      </c>
      <c r="P20" s="302">
        <v>0</v>
      </c>
      <c r="Q20" s="302">
        <v>0</v>
      </c>
      <c r="R20" s="302">
        <v>0</v>
      </c>
      <c r="S20" s="302">
        <v>0</v>
      </c>
      <c r="T20" s="302">
        <v>0</v>
      </c>
      <c r="U20" s="302">
        <v>0</v>
      </c>
      <c r="V20" s="302">
        <v>0</v>
      </c>
      <c r="W20" s="302">
        <v>0</v>
      </c>
      <c r="X20" s="295">
        <f t="shared" si="0"/>
        <v>0</v>
      </c>
    </row>
    <row r="21" spans="1:24" ht="15" customHeight="1">
      <c r="A21" s="533"/>
      <c r="B21" s="347" t="s">
        <v>874</v>
      </c>
      <c r="C21" s="302">
        <v>0</v>
      </c>
      <c r="D21" s="302">
        <v>0</v>
      </c>
      <c r="E21" s="302">
        <v>0</v>
      </c>
      <c r="F21" s="302">
        <v>0</v>
      </c>
      <c r="G21" s="302">
        <v>0</v>
      </c>
      <c r="H21" s="302">
        <v>0</v>
      </c>
      <c r="I21" s="302">
        <v>0</v>
      </c>
      <c r="J21" s="302">
        <v>0</v>
      </c>
      <c r="K21" s="302">
        <v>0</v>
      </c>
      <c r="L21" s="302">
        <v>0</v>
      </c>
      <c r="M21" s="302">
        <v>0</v>
      </c>
      <c r="N21" s="302">
        <v>0</v>
      </c>
      <c r="O21" s="302">
        <v>0</v>
      </c>
      <c r="P21" s="302">
        <v>0</v>
      </c>
      <c r="Q21" s="302">
        <v>0</v>
      </c>
      <c r="R21" s="302">
        <v>0</v>
      </c>
      <c r="S21" s="302">
        <v>0</v>
      </c>
      <c r="T21" s="302">
        <v>0</v>
      </c>
      <c r="U21" s="302">
        <v>0</v>
      </c>
      <c r="V21" s="302">
        <v>0</v>
      </c>
      <c r="W21" s="302">
        <v>0</v>
      </c>
      <c r="X21" s="295">
        <f t="shared" si="0"/>
        <v>0</v>
      </c>
    </row>
    <row r="22" spans="1:24" ht="15" customHeight="1">
      <c r="A22" s="533"/>
      <c r="B22" s="347" t="s">
        <v>875</v>
      </c>
      <c r="C22" s="302">
        <v>0</v>
      </c>
      <c r="D22" s="302">
        <v>0</v>
      </c>
      <c r="E22" s="302">
        <v>0</v>
      </c>
      <c r="F22" s="302">
        <v>0</v>
      </c>
      <c r="G22" s="302">
        <v>0</v>
      </c>
      <c r="H22" s="302">
        <v>0</v>
      </c>
      <c r="I22" s="302">
        <v>0</v>
      </c>
      <c r="J22" s="302">
        <v>0</v>
      </c>
      <c r="K22" s="302">
        <v>0</v>
      </c>
      <c r="L22" s="302">
        <v>0</v>
      </c>
      <c r="M22" s="302">
        <v>0</v>
      </c>
      <c r="N22" s="302">
        <v>0</v>
      </c>
      <c r="O22" s="302">
        <v>0</v>
      </c>
      <c r="P22" s="302">
        <v>0</v>
      </c>
      <c r="Q22" s="302">
        <v>0</v>
      </c>
      <c r="R22" s="302">
        <v>0</v>
      </c>
      <c r="S22" s="302">
        <v>0</v>
      </c>
      <c r="T22" s="302">
        <v>0</v>
      </c>
      <c r="U22" s="302">
        <v>0</v>
      </c>
      <c r="V22" s="302">
        <v>0</v>
      </c>
      <c r="W22" s="302">
        <v>0</v>
      </c>
      <c r="X22" s="295">
        <f t="shared" si="0"/>
        <v>0</v>
      </c>
    </row>
    <row r="23" spans="1:24" ht="15" customHeight="1">
      <c r="A23" s="533"/>
      <c r="B23" s="347" t="s">
        <v>876</v>
      </c>
      <c r="C23" s="302">
        <v>0</v>
      </c>
      <c r="D23" s="302">
        <v>0</v>
      </c>
      <c r="E23" s="302">
        <v>0</v>
      </c>
      <c r="F23" s="302">
        <v>0</v>
      </c>
      <c r="G23" s="302">
        <v>0</v>
      </c>
      <c r="H23" s="302">
        <v>0</v>
      </c>
      <c r="I23" s="302">
        <v>0</v>
      </c>
      <c r="J23" s="302">
        <v>0</v>
      </c>
      <c r="K23" s="302">
        <v>0</v>
      </c>
      <c r="L23" s="302">
        <v>0</v>
      </c>
      <c r="M23" s="302">
        <v>0</v>
      </c>
      <c r="N23" s="302">
        <v>0</v>
      </c>
      <c r="O23" s="302">
        <v>0</v>
      </c>
      <c r="P23" s="302">
        <v>0</v>
      </c>
      <c r="Q23" s="302">
        <v>0</v>
      </c>
      <c r="R23" s="302">
        <v>0</v>
      </c>
      <c r="S23" s="302">
        <v>0</v>
      </c>
      <c r="T23" s="302">
        <v>0</v>
      </c>
      <c r="U23" s="302">
        <v>0</v>
      </c>
      <c r="V23" s="302">
        <v>0</v>
      </c>
      <c r="W23" s="302">
        <v>0</v>
      </c>
      <c r="X23" s="295">
        <f t="shared" si="0"/>
        <v>0</v>
      </c>
    </row>
    <row r="24" spans="1:24" ht="15" customHeight="1">
      <c r="A24" s="533"/>
      <c r="B24" s="347" t="s">
        <v>877</v>
      </c>
      <c r="C24" s="302">
        <v>0</v>
      </c>
      <c r="D24" s="302">
        <v>0</v>
      </c>
      <c r="E24" s="302">
        <v>0</v>
      </c>
      <c r="F24" s="302">
        <v>0</v>
      </c>
      <c r="G24" s="302">
        <v>0</v>
      </c>
      <c r="H24" s="302">
        <v>0</v>
      </c>
      <c r="I24" s="302">
        <v>0</v>
      </c>
      <c r="J24" s="302">
        <v>0</v>
      </c>
      <c r="K24" s="302">
        <v>0</v>
      </c>
      <c r="L24" s="302">
        <v>0</v>
      </c>
      <c r="M24" s="302">
        <v>0</v>
      </c>
      <c r="N24" s="302">
        <v>0</v>
      </c>
      <c r="O24" s="302">
        <v>0</v>
      </c>
      <c r="P24" s="302">
        <v>0</v>
      </c>
      <c r="Q24" s="302">
        <v>0</v>
      </c>
      <c r="R24" s="302">
        <v>0</v>
      </c>
      <c r="S24" s="302">
        <v>0</v>
      </c>
      <c r="T24" s="302">
        <v>0</v>
      </c>
      <c r="U24" s="302">
        <v>0</v>
      </c>
      <c r="V24" s="302">
        <v>0</v>
      </c>
      <c r="W24" s="302">
        <v>0</v>
      </c>
      <c r="X24" s="295">
        <f t="shared" si="0"/>
        <v>0</v>
      </c>
    </row>
    <row r="25" spans="1:24" ht="15" customHeight="1">
      <c r="A25" s="533"/>
      <c r="B25" s="347" t="s">
        <v>878</v>
      </c>
      <c r="C25" s="302">
        <v>0</v>
      </c>
      <c r="D25" s="302">
        <v>0</v>
      </c>
      <c r="E25" s="302">
        <v>0</v>
      </c>
      <c r="F25" s="302">
        <v>0</v>
      </c>
      <c r="G25" s="302">
        <v>0</v>
      </c>
      <c r="H25" s="302">
        <v>0</v>
      </c>
      <c r="I25" s="302">
        <v>0</v>
      </c>
      <c r="J25" s="302">
        <v>0</v>
      </c>
      <c r="K25" s="302">
        <v>0</v>
      </c>
      <c r="L25" s="302">
        <v>0</v>
      </c>
      <c r="M25" s="302">
        <v>0</v>
      </c>
      <c r="N25" s="302">
        <v>0</v>
      </c>
      <c r="O25" s="302">
        <v>0</v>
      </c>
      <c r="P25" s="302">
        <v>0</v>
      </c>
      <c r="Q25" s="302">
        <v>0</v>
      </c>
      <c r="R25" s="302">
        <v>0</v>
      </c>
      <c r="S25" s="302">
        <v>0</v>
      </c>
      <c r="T25" s="302">
        <v>0</v>
      </c>
      <c r="U25" s="302">
        <v>0</v>
      </c>
      <c r="V25" s="302">
        <v>0</v>
      </c>
      <c r="W25" s="302">
        <v>0</v>
      </c>
      <c r="X25" s="295">
        <f t="shared" si="0"/>
        <v>0</v>
      </c>
    </row>
    <row r="26" spans="1:24" ht="15" customHeight="1">
      <c r="A26" s="533"/>
      <c r="B26" s="347" t="s">
        <v>879</v>
      </c>
      <c r="C26" s="302">
        <v>0</v>
      </c>
      <c r="D26" s="302">
        <v>0</v>
      </c>
      <c r="E26" s="302">
        <v>0</v>
      </c>
      <c r="F26" s="302">
        <v>0</v>
      </c>
      <c r="G26" s="302">
        <v>0</v>
      </c>
      <c r="H26" s="302">
        <v>0</v>
      </c>
      <c r="I26" s="302">
        <v>0</v>
      </c>
      <c r="J26" s="302">
        <v>0</v>
      </c>
      <c r="K26" s="302">
        <v>0</v>
      </c>
      <c r="L26" s="302">
        <v>0</v>
      </c>
      <c r="M26" s="302">
        <v>0</v>
      </c>
      <c r="N26" s="302">
        <v>0</v>
      </c>
      <c r="O26" s="302">
        <v>0</v>
      </c>
      <c r="P26" s="302">
        <v>0</v>
      </c>
      <c r="Q26" s="302">
        <v>0</v>
      </c>
      <c r="R26" s="302">
        <v>0</v>
      </c>
      <c r="S26" s="302">
        <v>0</v>
      </c>
      <c r="T26" s="302">
        <v>0</v>
      </c>
      <c r="U26" s="302">
        <v>0</v>
      </c>
      <c r="V26" s="302">
        <v>0</v>
      </c>
      <c r="W26" s="302">
        <v>0</v>
      </c>
      <c r="X26" s="295">
        <f t="shared" si="0"/>
        <v>0</v>
      </c>
    </row>
    <row r="27" spans="1:24" ht="15" customHeight="1">
      <c r="A27" s="533"/>
      <c r="B27" s="347" t="s">
        <v>880</v>
      </c>
      <c r="C27" s="302">
        <v>0</v>
      </c>
      <c r="D27" s="302">
        <v>0</v>
      </c>
      <c r="E27" s="302">
        <v>0</v>
      </c>
      <c r="F27" s="302">
        <v>0</v>
      </c>
      <c r="G27" s="302">
        <v>0</v>
      </c>
      <c r="H27" s="302">
        <v>0</v>
      </c>
      <c r="I27" s="302">
        <v>0</v>
      </c>
      <c r="J27" s="302">
        <v>0</v>
      </c>
      <c r="K27" s="302">
        <v>0</v>
      </c>
      <c r="L27" s="302">
        <v>0</v>
      </c>
      <c r="M27" s="302">
        <v>0</v>
      </c>
      <c r="N27" s="302">
        <v>0</v>
      </c>
      <c r="O27" s="302">
        <v>0</v>
      </c>
      <c r="P27" s="302">
        <v>0</v>
      </c>
      <c r="Q27" s="302">
        <v>0</v>
      </c>
      <c r="R27" s="302">
        <v>0</v>
      </c>
      <c r="S27" s="302">
        <v>0</v>
      </c>
      <c r="T27" s="302">
        <v>0</v>
      </c>
      <c r="U27" s="302">
        <v>0</v>
      </c>
      <c r="V27" s="302">
        <v>0</v>
      </c>
      <c r="W27" s="302">
        <v>0</v>
      </c>
      <c r="X27" s="295">
        <f t="shared" si="0"/>
        <v>0</v>
      </c>
    </row>
    <row r="28" spans="1:24" ht="15" customHeight="1">
      <c r="A28" s="533"/>
      <c r="B28" s="348" t="s">
        <v>881</v>
      </c>
      <c r="C28" s="302">
        <v>0</v>
      </c>
      <c r="D28" s="302">
        <v>0</v>
      </c>
      <c r="E28" s="302">
        <v>0</v>
      </c>
      <c r="F28" s="302">
        <v>0</v>
      </c>
      <c r="G28" s="302">
        <v>0</v>
      </c>
      <c r="H28" s="302">
        <v>0</v>
      </c>
      <c r="I28" s="302">
        <v>0</v>
      </c>
      <c r="J28" s="302">
        <v>0</v>
      </c>
      <c r="K28" s="302">
        <v>0</v>
      </c>
      <c r="L28" s="302">
        <v>0</v>
      </c>
      <c r="M28" s="302">
        <v>0</v>
      </c>
      <c r="N28" s="302">
        <v>0</v>
      </c>
      <c r="O28" s="302">
        <v>0</v>
      </c>
      <c r="P28" s="302">
        <v>0</v>
      </c>
      <c r="Q28" s="302">
        <v>0</v>
      </c>
      <c r="R28" s="302">
        <v>0</v>
      </c>
      <c r="S28" s="302">
        <v>0</v>
      </c>
      <c r="T28" s="302">
        <v>0</v>
      </c>
      <c r="U28" s="302">
        <v>0</v>
      </c>
      <c r="V28" s="302">
        <v>0</v>
      </c>
      <c r="W28" s="302">
        <v>0</v>
      </c>
      <c r="X28" s="295">
        <f t="shared" si="0"/>
        <v>0</v>
      </c>
    </row>
    <row r="29" spans="1:24" ht="15" customHeight="1">
      <c r="A29" s="533"/>
      <c r="B29" s="348" t="s">
        <v>882</v>
      </c>
      <c r="C29" s="302">
        <v>0</v>
      </c>
      <c r="D29" s="302">
        <v>0</v>
      </c>
      <c r="E29" s="302">
        <v>0</v>
      </c>
      <c r="F29" s="302">
        <v>0</v>
      </c>
      <c r="G29" s="302">
        <v>0</v>
      </c>
      <c r="H29" s="302">
        <v>0</v>
      </c>
      <c r="I29" s="302">
        <v>0</v>
      </c>
      <c r="J29" s="302">
        <v>0</v>
      </c>
      <c r="K29" s="302">
        <v>0</v>
      </c>
      <c r="L29" s="302">
        <v>0</v>
      </c>
      <c r="M29" s="302">
        <v>0</v>
      </c>
      <c r="N29" s="302">
        <v>0</v>
      </c>
      <c r="O29" s="302">
        <v>0</v>
      </c>
      <c r="P29" s="302">
        <v>0</v>
      </c>
      <c r="Q29" s="302">
        <v>0</v>
      </c>
      <c r="R29" s="302">
        <v>0</v>
      </c>
      <c r="S29" s="302">
        <v>0</v>
      </c>
      <c r="T29" s="302">
        <v>0</v>
      </c>
      <c r="U29" s="302">
        <v>0</v>
      </c>
      <c r="V29" s="302">
        <v>0</v>
      </c>
      <c r="W29" s="302">
        <v>0</v>
      </c>
      <c r="X29" s="295">
        <f t="shared" si="0"/>
        <v>0</v>
      </c>
    </row>
    <row r="30" spans="1:24" ht="15" customHeight="1" thickBot="1">
      <c r="A30" s="534"/>
      <c r="B30" s="349" t="s">
        <v>883</v>
      </c>
      <c r="C30" s="302">
        <v>0</v>
      </c>
      <c r="D30" s="302">
        <v>0</v>
      </c>
      <c r="E30" s="302">
        <v>0</v>
      </c>
      <c r="F30" s="302">
        <v>0</v>
      </c>
      <c r="G30" s="302">
        <v>0</v>
      </c>
      <c r="H30" s="302">
        <v>0</v>
      </c>
      <c r="I30" s="302">
        <v>0</v>
      </c>
      <c r="J30" s="302">
        <v>0</v>
      </c>
      <c r="K30" s="302">
        <v>0</v>
      </c>
      <c r="L30" s="302">
        <v>0</v>
      </c>
      <c r="M30" s="302">
        <v>0</v>
      </c>
      <c r="N30" s="302">
        <v>0</v>
      </c>
      <c r="O30" s="302">
        <v>0</v>
      </c>
      <c r="P30" s="302">
        <v>0</v>
      </c>
      <c r="Q30" s="302">
        <v>0</v>
      </c>
      <c r="R30" s="302">
        <v>0</v>
      </c>
      <c r="S30" s="302">
        <v>0</v>
      </c>
      <c r="T30" s="302">
        <v>0</v>
      </c>
      <c r="U30" s="302">
        <v>0</v>
      </c>
      <c r="V30" s="302">
        <v>0</v>
      </c>
      <c r="W30" s="302">
        <v>0</v>
      </c>
      <c r="X30" s="295">
        <f t="shared" si="0"/>
        <v>0</v>
      </c>
    </row>
    <row r="31" spans="1:24" ht="20.100000000000001" customHeight="1" thickBot="1">
      <c r="A31" s="535" t="s">
        <v>755</v>
      </c>
      <c r="B31" s="536"/>
      <c r="C31" s="296"/>
      <c r="D31" s="296"/>
      <c r="E31" s="296"/>
      <c r="F31" s="296"/>
      <c r="G31" s="296"/>
      <c r="H31" s="296"/>
      <c r="I31" s="296"/>
      <c r="J31" s="296"/>
      <c r="K31" s="296"/>
      <c r="L31" s="296"/>
      <c r="M31" s="296"/>
      <c r="N31" s="296"/>
      <c r="O31" s="296"/>
      <c r="P31" s="296"/>
      <c r="Q31" s="296"/>
      <c r="R31" s="296"/>
      <c r="S31" s="296"/>
      <c r="T31" s="296"/>
      <c r="U31" s="296"/>
      <c r="V31" s="296"/>
      <c r="W31" s="296"/>
      <c r="X31" s="512"/>
    </row>
    <row r="32" spans="1:24" ht="20.100000000000001" customHeight="1" thickBot="1">
      <c r="A32" s="535" t="s">
        <v>754</v>
      </c>
      <c r="B32" s="536"/>
      <c r="C32" s="296">
        <f>+AVERAGE(C7:C30)</f>
        <v>0</v>
      </c>
      <c r="D32" s="296">
        <f t="shared" ref="D32:W32" si="1">+AVERAGE(D7:D30)</f>
        <v>8.3333333333333329E-2</v>
      </c>
      <c r="E32" s="296">
        <f t="shared" si="1"/>
        <v>0.33333333333333331</v>
      </c>
      <c r="F32" s="296">
        <f t="shared" si="1"/>
        <v>8.3333333333333329E-2</v>
      </c>
      <c r="G32" s="296">
        <f t="shared" si="1"/>
        <v>8.3333333333333329E-2</v>
      </c>
      <c r="H32" s="296">
        <f t="shared" si="1"/>
        <v>0</v>
      </c>
      <c r="I32" s="296">
        <f t="shared" si="1"/>
        <v>8.3333333333333329E-2</v>
      </c>
      <c r="J32" s="296">
        <f t="shared" si="1"/>
        <v>8.3333333333333329E-2</v>
      </c>
      <c r="K32" s="296">
        <f t="shared" si="1"/>
        <v>0</v>
      </c>
      <c r="L32" s="296">
        <f t="shared" si="1"/>
        <v>8.3333333333333329E-2</v>
      </c>
      <c r="M32" s="296">
        <f t="shared" si="1"/>
        <v>8.3333333333333329E-2</v>
      </c>
      <c r="N32" s="296">
        <f t="shared" si="1"/>
        <v>8.3333333333333329E-2</v>
      </c>
      <c r="O32" s="296">
        <f t="shared" si="1"/>
        <v>8.3333333333333329E-2</v>
      </c>
      <c r="P32" s="296">
        <f t="shared" si="1"/>
        <v>8.3333333333333329E-2</v>
      </c>
      <c r="Q32" s="296">
        <f t="shared" si="1"/>
        <v>8.3333333333333329E-2</v>
      </c>
      <c r="R32" s="296">
        <f t="shared" si="1"/>
        <v>8.3333333333333329E-2</v>
      </c>
      <c r="S32" s="296">
        <f t="shared" si="1"/>
        <v>8.3333333333333329E-2</v>
      </c>
      <c r="T32" s="296">
        <f t="shared" si="1"/>
        <v>8.3333333333333329E-2</v>
      </c>
      <c r="U32" s="296">
        <f t="shared" si="1"/>
        <v>8.3333333333333329E-2</v>
      </c>
      <c r="V32" s="296">
        <f t="shared" si="1"/>
        <v>8.3333333333333329E-2</v>
      </c>
      <c r="W32" s="296">
        <f t="shared" si="1"/>
        <v>0</v>
      </c>
      <c r="X32" s="513"/>
    </row>
    <row r="33" spans="1:24" ht="20.100000000000001" customHeight="1" thickBot="1">
      <c r="A33" s="535" t="s">
        <v>753</v>
      </c>
      <c r="B33" s="537"/>
      <c r="C33" s="516">
        <f>+AVERAGE(C32:W32)</f>
        <v>7.9365079365079333E-2</v>
      </c>
      <c r="D33" s="517"/>
      <c r="E33" s="517"/>
      <c r="F33" s="517"/>
      <c r="G33" s="517"/>
      <c r="H33" s="517"/>
      <c r="I33" s="517"/>
      <c r="J33" s="517"/>
      <c r="K33" s="517"/>
      <c r="L33" s="517"/>
      <c r="M33" s="517"/>
      <c r="N33" s="517"/>
      <c r="O33" s="517"/>
      <c r="P33" s="517"/>
      <c r="Q33" s="517"/>
      <c r="R33" s="517"/>
      <c r="S33" s="517"/>
      <c r="T33" s="517"/>
      <c r="U33" s="517"/>
      <c r="V33" s="517"/>
      <c r="W33" s="518"/>
      <c r="X33" s="514"/>
    </row>
    <row r="34" spans="1:24" ht="15" customHeight="1">
      <c r="A34" s="532" t="s">
        <v>900</v>
      </c>
      <c r="B34" s="350" t="s">
        <v>1027</v>
      </c>
      <c r="C34" s="298">
        <v>0</v>
      </c>
      <c r="D34" s="298">
        <v>0</v>
      </c>
      <c r="E34" s="298">
        <v>0</v>
      </c>
      <c r="F34" s="298">
        <v>0</v>
      </c>
      <c r="G34" s="298">
        <v>0</v>
      </c>
      <c r="H34" s="298">
        <v>0</v>
      </c>
      <c r="I34" s="298">
        <v>0</v>
      </c>
      <c r="J34" s="298">
        <v>0</v>
      </c>
      <c r="K34" s="298">
        <v>0</v>
      </c>
      <c r="L34" s="298">
        <v>0</v>
      </c>
      <c r="M34" s="298">
        <v>0</v>
      </c>
      <c r="N34" s="298">
        <v>0</v>
      </c>
      <c r="O34" s="298">
        <v>0</v>
      </c>
      <c r="P34" s="298">
        <v>0</v>
      </c>
      <c r="Q34" s="298">
        <v>0</v>
      </c>
      <c r="R34" s="298">
        <v>0</v>
      </c>
      <c r="S34" s="298">
        <v>0</v>
      </c>
      <c r="T34" s="298">
        <v>0</v>
      </c>
      <c r="U34" s="298">
        <v>0</v>
      </c>
      <c r="V34" s="298">
        <v>0</v>
      </c>
      <c r="W34" s="298">
        <v>0</v>
      </c>
      <c r="X34" s="293">
        <f t="shared" ref="X34:X76" si="2">+AVERAGE(C34:W34)</f>
        <v>0</v>
      </c>
    </row>
    <row r="35" spans="1:24" ht="15" customHeight="1">
      <c r="A35" s="533"/>
      <c r="B35" s="347" t="s">
        <v>552</v>
      </c>
      <c r="C35" s="298">
        <v>0</v>
      </c>
      <c r="D35" s="298">
        <v>0</v>
      </c>
      <c r="E35" s="298">
        <v>0</v>
      </c>
      <c r="F35" s="298">
        <v>0</v>
      </c>
      <c r="G35" s="298">
        <v>0</v>
      </c>
      <c r="H35" s="298">
        <v>0</v>
      </c>
      <c r="I35" s="298">
        <v>0</v>
      </c>
      <c r="J35" s="298">
        <v>0</v>
      </c>
      <c r="K35" s="298">
        <v>0</v>
      </c>
      <c r="L35" s="298">
        <v>0</v>
      </c>
      <c r="M35" s="298">
        <v>0</v>
      </c>
      <c r="N35" s="298">
        <v>0</v>
      </c>
      <c r="O35" s="298">
        <v>0</v>
      </c>
      <c r="P35" s="298">
        <v>0</v>
      </c>
      <c r="Q35" s="298">
        <v>0</v>
      </c>
      <c r="R35" s="298">
        <v>0</v>
      </c>
      <c r="S35" s="298">
        <v>0</v>
      </c>
      <c r="T35" s="298">
        <v>0</v>
      </c>
      <c r="U35" s="298">
        <v>0</v>
      </c>
      <c r="V35" s="298">
        <v>0</v>
      </c>
      <c r="W35" s="298">
        <v>0</v>
      </c>
      <c r="X35" s="295">
        <f t="shared" si="2"/>
        <v>0</v>
      </c>
    </row>
    <row r="36" spans="1:24" ht="15" customHeight="1">
      <c r="A36" s="533"/>
      <c r="B36" s="347" t="s">
        <v>553</v>
      </c>
      <c r="C36" s="298">
        <v>0</v>
      </c>
      <c r="D36" s="298">
        <v>0</v>
      </c>
      <c r="E36" s="298">
        <v>0</v>
      </c>
      <c r="F36" s="298">
        <v>0</v>
      </c>
      <c r="G36" s="298">
        <v>0</v>
      </c>
      <c r="H36" s="298">
        <v>0</v>
      </c>
      <c r="I36" s="298">
        <v>0</v>
      </c>
      <c r="J36" s="298">
        <v>0</v>
      </c>
      <c r="K36" s="298">
        <v>0</v>
      </c>
      <c r="L36" s="298">
        <v>0</v>
      </c>
      <c r="M36" s="298">
        <v>0</v>
      </c>
      <c r="N36" s="298">
        <v>0</v>
      </c>
      <c r="O36" s="298">
        <v>0</v>
      </c>
      <c r="P36" s="298">
        <v>0</v>
      </c>
      <c r="Q36" s="298">
        <v>0</v>
      </c>
      <c r="R36" s="298">
        <v>0</v>
      </c>
      <c r="S36" s="298">
        <v>0</v>
      </c>
      <c r="T36" s="298">
        <v>0</v>
      </c>
      <c r="U36" s="298">
        <v>0</v>
      </c>
      <c r="V36" s="298">
        <v>0</v>
      </c>
      <c r="W36" s="298">
        <v>0</v>
      </c>
      <c r="X36" s="295">
        <f t="shared" si="2"/>
        <v>0</v>
      </c>
    </row>
    <row r="37" spans="1:24" ht="15" customHeight="1">
      <c r="A37" s="533"/>
      <c r="B37" s="347" t="s">
        <v>554</v>
      </c>
      <c r="C37" s="298">
        <v>0</v>
      </c>
      <c r="D37" s="298">
        <v>0</v>
      </c>
      <c r="E37" s="298">
        <v>0</v>
      </c>
      <c r="F37" s="298">
        <v>0</v>
      </c>
      <c r="G37" s="298">
        <v>0</v>
      </c>
      <c r="H37" s="298">
        <v>0</v>
      </c>
      <c r="I37" s="298">
        <v>0</v>
      </c>
      <c r="J37" s="298">
        <v>0</v>
      </c>
      <c r="K37" s="298">
        <v>0</v>
      </c>
      <c r="L37" s="298">
        <v>0</v>
      </c>
      <c r="M37" s="298">
        <v>0</v>
      </c>
      <c r="N37" s="298">
        <v>0</v>
      </c>
      <c r="O37" s="298">
        <v>0</v>
      </c>
      <c r="P37" s="298">
        <v>0</v>
      </c>
      <c r="Q37" s="298">
        <v>0</v>
      </c>
      <c r="R37" s="298">
        <v>0</v>
      </c>
      <c r="S37" s="298">
        <v>0</v>
      </c>
      <c r="T37" s="298">
        <v>0</v>
      </c>
      <c r="U37" s="298">
        <v>0</v>
      </c>
      <c r="V37" s="298">
        <v>0</v>
      </c>
      <c r="W37" s="298">
        <v>0</v>
      </c>
      <c r="X37" s="295">
        <f t="shared" si="2"/>
        <v>0</v>
      </c>
    </row>
    <row r="38" spans="1:24" ht="15" customHeight="1">
      <c r="A38" s="533"/>
      <c r="B38" s="347" t="s">
        <v>555</v>
      </c>
      <c r="C38" s="298">
        <v>0</v>
      </c>
      <c r="D38" s="298">
        <v>0</v>
      </c>
      <c r="E38" s="298">
        <v>0</v>
      </c>
      <c r="F38" s="298">
        <v>0</v>
      </c>
      <c r="G38" s="298">
        <v>0</v>
      </c>
      <c r="H38" s="298">
        <v>0</v>
      </c>
      <c r="I38" s="298">
        <v>0</v>
      </c>
      <c r="J38" s="298">
        <v>0</v>
      </c>
      <c r="K38" s="298">
        <v>0</v>
      </c>
      <c r="L38" s="298">
        <v>0</v>
      </c>
      <c r="M38" s="298">
        <v>0</v>
      </c>
      <c r="N38" s="298">
        <v>0</v>
      </c>
      <c r="O38" s="298">
        <v>0</v>
      </c>
      <c r="P38" s="298">
        <v>0</v>
      </c>
      <c r="Q38" s="298">
        <v>0</v>
      </c>
      <c r="R38" s="298">
        <v>0</v>
      </c>
      <c r="S38" s="298">
        <v>0</v>
      </c>
      <c r="T38" s="298">
        <v>0</v>
      </c>
      <c r="U38" s="298">
        <v>0</v>
      </c>
      <c r="V38" s="298">
        <v>0</v>
      </c>
      <c r="W38" s="298">
        <v>0</v>
      </c>
      <c r="X38" s="295">
        <f t="shared" si="2"/>
        <v>0</v>
      </c>
    </row>
    <row r="39" spans="1:24" ht="15" customHeight="1">
      <c r="A39" s="533"/>
      <c r="B39" s="347" t="s">
        <v>556</v>
      </c>
      <c r="C39" s="298">
        <v>0</v>
      </c>
      <c r="D39" s="298">
        <v>0</v>
      </c>
      <c r="E39" s="298">
        <v>0</v>
      </c>
      <c r="F39" s="298">
        <v>0</v>
      </c>
      <c r="G39" s="298">
        <v>0</v>
      </c>
      <c r="H39" s="298">
        <v>0</v>
      </c>
      <c r="I39" s="298">
        <v>0</v>
      </c>
      <c r="J39" s="298">
        <v>0</v>
      </c>
      <c r="K39" s="298">
        <v>0</v>
      </c>
      <c r="L39" s="298">
        <v>0</v>
      </c>
      <c r="M39" s="298">
        <v>0</v>
      </c>
      <c r="N39" s="298">
        <v>0</v>
      </c>
      <c r="O39" s="298">
        <v>0</v>
      </c>
      <c r="P39" s="298">
        <v>0</v>
      </c>
      <c r="Q39" s="298">
        <v>0</v>
      </c>
      <c r="R39" s="298">
        <v>0</v>
      </c>
      <c r="S39" s="298">
        <v>0</v>
      </c>
      <c r="T39" s="298">
        <v>0</v>
      </c>
      <c r="U39" s="298">
        <v>0</v>
      </c>
      <c r="V39" s="298">
        <v>0</v>
      </c>
      <c r="W39" s="298">
        <v>0</v>
      </c>
      <c r="X39" s="295">
        <f t="shared" si="2"/>
        <v>0</v>
      </c>
    </row>
    <row r="40" spans="1:24" ht="15" customHeight="1">
      <c r="A40" s="533"/>
      <c r="B40" s="347" t="s">
        <v>557</v>
      </c>
      <c r="C40" s="298">
        <v>0</v>
      </c>
      <c r="D40" s="298">
        <v>0</v>
      </c>
      <c r="E40" s="298">
        <v>0</v>
      </c>
      <c r="F40" s="298">
        <v>0</v>
      </c>
      <c r="G40" s="298">
        <v>0</v>
      </c>
      <c r="H40" s="298">
        <v>0</v>
      </c>
      <c r="I40" s="298">
        <v>0</v>
      </c>
      <c r="J40" s="298">
        <v>0</v>
      </c>
      <c r="K40" s="298">
        <v>0</v>
      </c>
      <c r="L40" s="298">
        <v>0</v>
      </c>
      <c r="M40" s="298">
        <v>0</v>
      </c>
      <c r="N40" s="298">
        <v>0</v>
      </c>
      <c r="O40" s="298">
        <v>0</v>
      </c>
      <c r="P40" s="298">
        <v>0</v>
      </c>
      <c r="Q40" s="298">
        <v>0</v>
      </c>
      <c r="R40" s="298">
        <v>0</v>
      </c>
      <c r="S40" s="298">
        <v>0</v>
      </c>
      <c r="T40" s="298">
        <v>0</v>
      </c>
      <c r="U40" s="298">
        <v>0</v>
      </c>
      <c r="V40" s="298">
        <v>0</v>
      </c>
      <c r="W40" s="298">
        <v>0</v>
      </c>
      <c r="X40" s="295">
        <f t="shared" si="2"/>
        <v>0</v>
      </c>
    </row>
    <row r="41" spans="1:24" ht="15" customHeight="1">
      <c r="A41" s="533"/>
      <c r="B41" s="347" t="s">
        <v>558</v>
      </c>
      <c r="C41" s="298">
        <v>0</v>
      </c>
      <c r="D41" s="298">
        <v>0</v>
      </c>
      <c r="E41" s="298">
        <v>0</v>
      </c>
      <c r="F41" s="298">
        <v>0</v>
      </c>
      <c r="G41" s="298">
        <v>0</v>
      </c>
      <c r="H41" s="298">
        <v>0</v>
      </c>
      <c r="I41" s="298">
        <v>0</v>
      </c>
      <c r="J41" s="298">
        <v>0</v>
      </c>
      <c r="K41" s="298">
        <v>0</v>
      </c>
      <c r="L41" s="298">
        <v>0</v>
      </c>
      <c r="M41" s="298">
        <v>0</v>
      </c>
      <c r="N41" s="298">
        <v>0</v>
      </c>
      <c r="O41" s="298">
        <v>0</v>
      </c>
      <c r="P41" s="298">
        <v>0</v>
      </c>
      <c r="Q41" s="298">
        <v>0</v>
      </c>
      <c r="R41" s="298">
        <v>0</v>
      </c>
      <c r="S41" s="298">
        <v>0</v>
      </c>
      <c r="T41" s="298">
        <v>0</v>
      </c>
      <c r="U41" s="298">
        <v>0</v>
      </c>
      <c r="V41" s="298">
        <v>0</v>
      </c>
      <c r="W41" s="298">
        <v>0</v>
      </c>
      <c r="X41" s="295">
        <f t="shared" si="2"/>
        <v>0</v>
      </c>
    </row>
    <row r="42" spans="1:24" ht="15" customHeight="1">
      <c r="A42" s="533"/>
      <c r="B42" s="347" t="s">
        <v>559</v>
      </c>
      <c r="C42" s="298">
        <v>0</v>
      </c>
      <c r="D42" s="298">
        <v>0</v>
      </c>
      <c r="E42" s="298">
        <v>0</v>
      </c>
      <c r="F42" s="298">
        <v>0</v>
      </c>
      <c r="G42" s="298">
        <v>0</v>
      </c>
      <c r="H42" s="298">
        <v>0</v>
      </c>
      <c r="I42" s="298">
        <v>0</v>
      </c>
      <c r="J42" s="298">
        <v>0</v>
      </c>
      <c r="K42" s="298">
        <v>0</v>
      </c>
      <c r="L42" s="298">
        <v>0</v>
      </c>
      <c r="M42" s="298">
        <v>0</v>
      </c>
      <c r="N42" s="298">
        <v>0</v>
      </c>
      <c r="O42" s="298">
        <v>0</v>
      </c>
      <c r="P42" s="298">
        <v>0</v>
      </c>
      <c r="Q42" s="298">
        <v>0</v>
      </c>
      <c r="R42" s="298">
        <v>0</v>
      </c>
      <c r="S42" s="298">
        <v>0</v>
      </c>
      <c r="T42" s="298">
        <v>0</v>
      </c>
      <c r="U42" s="298">
        <v>0</v>
      </c>
      <c r="V42" s="298">
        <v>0</v>
      </c>
      <c r="W42" s="298">
        <v>0</v>
      </c>
      <c r="X42" s="295">
        <f t="shared" si="2"/>
        <v>0</v>
      </c>
    </row>
    <row r="43" spans="1:24" ht="15" customHeight="1">
      <c r="A43" s="533"/>
      <c r="B43" s="347" t="s">
        <v>764</v>
      </c>
      <c r="C43" s="298">
        <v>0</v>
      </c>
      <c r="D43" s="298">
        <v>0</v>
      </c>
      <c r="E43" s="298">
        <v>0</v>
      </c>
      <c r="F43" s="298">
        <v>0</v>
      </c>
      <c r="G43" s="298">
        <v>0</v>
      </c>
      <c r="H43" s="298">
        <v>0</v>
      </c>
      <c r="I43" s="298">
        <v>0</v>
      </c>
      <c r="J43" s="298">
        <v>0</v>
      </c>
      <c r="K43" s="298">
        <v>0</v>
      </c>
      <c r="L43" s="298">
        <v>0</v>
      </c>
      <c r="M43" s="298">
        <v>0</v>
      </c>
      <c r="N43" s="298">
        <v>0</v>
      </c>
      <c r="O43" s="298">
        <v>0</v>
      </c>
      <c r="P43" s="298">
        <v>0</v>
      </c>
      <c r="Q43" s="298">
        <v>0</v>
      </c>
      <c r="R43" s="298">
        <v>0</v>
      </c>
      <c r="S43" s="298">
        <v>0</v>
      </c>
      <c r="T43" s="298">
        <v>0</v>
      </c>
      <c r="U43" s="298">
        <v>0</v>
      </c>
      <c r="V43" s="298">
        <v>0</v>
      </c>
      <c r="W43" s="298">
        <v>0</v>
      </c>
      <c r="X43" s="295">
        <f t="shared" si="2"/>
        <v>0</v>
      </c>
    </row>
    <row r="44" spans="1:24" ht="15" customHeight="1">
      <c r="A44" s="533"/>
      <c r="B44" s="347" t="s">
        <v>765</v>
      </c>
      <c r="C44" s="298">
        <v>0</v>
      </c>
      <c r="D44" s="298">
        <v>0</v>
      </c>
      <c r="E44" s="298">
        <v>0</v>
      </c>
      <c r="F44" s="298">
        <v>0</v>
      </c>
      <c r="G44" s="298">
        <v>0</v>
      </c>
      <c r="H44" s="298">
        <v>0</v>
      </c>
      <c r="I44" s="298">
        <v>0</v>
      </c>
      <c r="J44" s="298">
        <v>0</v>
      </c>
      <c r="K44" s="298">
        <v>0</v>
      </c>
      <c r="L44" s="298">
        <v>0</v>
      </c>
      <c r="M44" s="298">
        <v>0</v>
      </c>
      <c r="N44" s="298">
        <v>0</v>
      </c>
      <c r="O44" s="298">
        <v>0</v>
      </c>
      <c r="P44" s="298">
        <v>0</v>
      </c>
      <c r="Q44" s="298">
        <v>0</v>
      </c>
      <c r="R44" s="298">
        <v>0</v>
      </c>
      <c r="S44" s="298">
        <v>0</v>
      </c>
      <c r="T44" s="298">
        <v>0</v>
      </c>
      <c r="U44" s="298">
        <v>0</v>
      </c>
      <c r="V44" s="298">
        <v>0</v>
      </c>
      <c r="W44" s="298">
        <v>0</v>
      </c>
      <c r="X44" s="295">
        <f t="shared" si="2"/>
        <v>0</v>
      </c>
    </row>
    <row r="45" spans="1:24" ht="15" customHeight="1">
      <c r="A45" s="533"/>
      <c r="B45" s="347" t="s">
        <v>560</v>
      </c>
      <c r="C45" s="298">
        <v>0</v>
      </c>
      <c r="D45" s="298">
        <v>0</v>
      </c>
      <c r="E45" s="298">
        <v>0</v>
      </c>
      <c r="F45" s="298">
        <v>0</v>
      </c>
      <c r="G45" s="298">
        <v>0</v>
      </c>
      <c r="H45" s="298">
        <v>0</v>
      </c>
      <c r="I45" s="298">
        <v>0</v>
      </c>
      <c r="J45" s="298">
        <v>0</v>
      </c>
      <c r="K45" s="298">
        <v>0</v>
      </c>
      <c r="L45" s="298">
        <v>0</v>
      </c>
      <c r="M45" s="298">
        <v>0</v>
      </c>
      <c r="N45" s="298">
        <v>0</v>
      </c>
      <c r="O45" s="298">
        <v>0</v>
      </c>
      <c r="P45" s="298">
        <v>0</v>
      </c>
      <c r="Q45" s="298">
        <v>0</v>
      </c>
      <c r="R45" s="298">
        <v>0</v>
      </c>
      <c r="S45" s="298">
        <v>0</v>
      </c>
      <c r="T45" s="298">
        <v>0</v>
      </c>
      <c r="U45" s="298">
        <v>0</v>
      </c>
      <c r="V45" s="298">
        <v>0</v>
      </c>
      <c r="W45" s="298">
        <v>0</v>
      </c>
      <c r="X45" s="295">
        <f t="shared" si="2"/>
        <v>0</v>
      </c>
    </row>
    <row r="46" spans="1:24" ht="15" customHeight="1">
      <c r="A46" s="533"/>
      <c r="B46" s="347" t="s">
        <v>561</v>
      </c>
      <c r="C46" s="298">
        <v>0</v>
      </c>
      <c r="D46" s="298">
        <v>0</v>
      </c>
      <c r="E46" s="298">
        <v>0</v>
      </c>
      <c r="F46" s="298">
        <v>0</v>
      </c>
      <c r="G46" s="298">
        <v>0</v>
      </c>
      <c r="H46" s="298">
        <v>0</v>
      </c>
      <c r="I46" s="298">
        <v>0</v>
      </c>
      <c r="J46" s="298">
        <v>0</v>
      </c>
      <c r="K46" s="298">
        <v>0</v>
      </c>
      <c r="L46" s="298">
        <v>0</v>
      </c>
      <c r="M46" s="298">
        <v>0</v>
      </c>
      <c r="N46" s="298">
        <v>0</v>
      </c>
      <c r="O46" s="298">
        <v>0</v>
      </c>
      <c r="P46" s="298">
        <v>0</v>
      </c>
      <c r="Q46" s="298">
        <v>0</v>
      </c>
      <c r="R46" s="298">
        <v>0</v>
      </c>
      <c r="S46" s="298">
        <v>0</v>
      </c>
      <c r="T46" s="298">
        <v>0</v>
      </c>
      <c r="U46" s="298">
        <v>0</v>
      </c>
      <c r="V46" s="298">
        <v>0</v>
      </c>
      <c r="W46" s="298">
        <v>0</v>
      </c>
      <c r="X46" s="295">
        <f t="shared" si="2"/>
        <v>0</v>
      </c>
    </row>
    <row r="47" spans="1:24" ht="15" customHeight="1">
      <c r="A47" s="533"/>
      <c r="B47" s="347" t="s">
        <v>562</v>
      </c>
      <c r="C47" s="298">
        <v>0</v>
      </c>
      <c r="D47" s="298">
        <v>0</v>
      </c>
      <c r="E47" s="298">
        <v>0</v>
      </c>
      <c r="F47" s="298">
        <v>0</v>
      </c>
      <c r="G47" s="298">
        <v>0</v>
      </c>
      <c r="H47" s="298">
        <v>0</v>
      </c>
      <c r="I47" s="298">
        <v>0</v>
      </c>
      <c r="J47" s="298">
        <v>0</v>
      </c>
      <c r="K47" s="298">
        <v>0</v>
      </c>
      <c r="L47" s="298">
        <v>0</v>
      </c>
      <c r="M47" s="298">
        <v>0</v>
      </c>
      <c r="N47" s="298">
        <v>0</v>
      </c>
      <c r="O47" s="298">
        <v>0</v>
      </c>
      <c r="P47" s="298">
        <v>0</v>
      </c>
      <c r="Q47" s="298">
        <v>0</v>
      </c>
      <c r="R47" s="298">
        <v>0</v>
      </c>
      <c r="S47" s="298">
        <v>0</v>
      </c>
      <c r="T47" s="298">
        <v>0</v>
      </c>
      <c r="U47" s="298">
        <v>0</v>
      </c>
      <c r="V47" s="298">
        <v>0</v>
      </c>
      <c r="W47" s="298">
        <v>0</v>
      </c>
      <c r="X47" s="295">
        <f t="shared" si="2"/>
        <v>0</v>
      </c>
    </row>
    <row r="48" spans="1:24" ht="15" customHeight="1">
      <c r="A48" s="533"/>
      <c r="B48" s="347" t="s">
        <v>563</v>
      </c>
      <c r="C48" s="298">
        <v>0</v>
      </c>
      <c r="D48" s="298">
        <v>0</v>
      </c>
      <c r="E48" s="298">
        <v>0</v>
      </c>
      <c r="F48" s="298">
        <v>0</v>
      </c>
      <c r="G48" s="298">
        <v>0</v>
      </c>
      <c r="H48" s="298">
        <v>0</v>
      </c>
      <c r="I48" s="298">
        <v>0</v>
      </c>
      <c r="J48" s="298">
        <v>0</v>
      </c>
      <c r="K48" s="298">
        <v>0</v>
      </c>
      <c r="L48" s="298">
        <v>0</v>
      </c>
      <c r="M48" s="298">
        <v>0</v>
      </c>
      <c r="N48" s="298">
        <v>0</v>
      </c>
      <c r="O48" s="298">
        <v>0</v>
      </c>
      <c r="P48" s="298">
        <v>0</v>
      </c>
      <c r="Q48" s="298">
        <v>0</v>
      </c>
      <c r="R48" s="298">
        <v>0</v>
      </c>
      <c r="S48" s="298">
        <v>0</v>
      </c>
      <c r="T48" s="298">
        <v>0</v>
      </c>
      <c r="U48" s="298">
        <v>0</v>
      </c>
      <c r="V48" s="298">
        <v>0</v>
      </c>
      <c r="W48" s="298">
        <v>0</v>
      </c>
      <c r="X48" s="295">
        <f t="shared" si="2"/>
        <v>0</v>
      </c>
    </row>
    <row r="49" spans="1:24" ht="15" customHeight="1">
      <c r="A49" s="533"/>
      <c r="B49" s="347" t="s">
        <v>564</v>
      </c>
      <c r="C49" s="298">
        <v>0</v>
      </c>
      <c r="D49" s="298">
        <v>0</v>
      </c>
      <c r="E49" s="298">
        <v>0</v>
      </c>
      <c r="F49" s="298">
        <v>0</v>
      </c>
      <c r="G49" s="298">
        <v>0</v>
      </c>
      <c r="H49" s="298">
        <v>0</v>
      </c>
      <c r="I49" s="298">
        <v>0</v>
      </c>
      <c r="J49" s="298">
        <v>0</v>
      </c>
      <c r="K49" s="298">
        <v>0</v>
      </c>
      <c r="L49" s="298">
        <v>0</v>
      </c>
      <c r="M49" s="298">
        <v>0</v>
      </c>
      <c r="N49" s="298">
        <v>0</v>
      </c>
      <c r="O49" s="298">
        <v>0</v>
      </c>
      <c r="P49" s="298">
        <v>0</v>
      </c>
      <c r="Q49" s="298">
        <v>0</v>
      </c>
      <c r="R49" s="298">
        <v>0</v>
      </c>
      <c r="S49" s="298">
        <v>0</v>
      </c>
      <c r="T49" s="298">
        <v>0</v>
      </c>
      <c r="U49" s="298">
        <v>0</v>
      </c>
      <c r="V49" s="298">
        <v>0</v>
      </c>
      <c r="W49" s="298">
        <v>0</v>
      </c>
      <c r="X49" s="295">
        <f t="shared" si="2"/>
        <v>0</v>
      </c>
    </row>
    <row r="50" spans="1:24" ht="15" customHeight="1">
      <c r="A50" s="533"/>
      <c r="B50" s="347" t="s">
        <v>894</v>
      </c>
      <c r="C50" s="298">
        <v>0</v>
      </c>
      <c r="D50" s="298">
        <v>0</v>
      </c>
      <c r="E50" s="298">
        <v>0</v>
      </c>
      <c r="F50" s="298">
        <v>0</v>
      </c>
      <c r="G50" s="298">
        <v>0</v>
      </c>
      <c r="H50" s="298">
        <v>0</v>
      </c>
      <c r="I50" s="298">
        <v>0</v>
      </c>
      <c r="J50" s="298">
        <v>0</v>
      </c>
      <c r="K50" s="298">
        <v>0</v>
      </c>
      <c r="L50" s="298">
        <v>0</v>
      </c>
      <c r="M50" s="298">
        <v>0</v>
      </c>
      <c r="N50" s="298">
        <v>0</v>
      </c>
      <c r="O50" s="298">
        <v>0</v>
      </c>
      <c r="P50" s="298">
        <v>0</v>
      </c>
      <c r="Q50" s="298">
        <v>0</v>
      </c>
      <c r="R50" s="298">
        <v>0</v>
      </c>
      <c r="S50" s="298">
        <v>0</v>
      </c>
      <c r="T50" s="298">
        <v>0</v>
      </c>
      <c r="U50" s="298">
        <v>0</v>
      </c>
      <c r="V50" s="298">
        <v>0</v>
      </c>
      <c r="W50" s="298">
        <v>0</v>
      </c>
      <c r="X50" s="295">
        <f t="shared" si="2"/>
        <v>0</v>
      </c>
    </row>
    <row r="51" spans="1:24" ht="15" customHeight="1">
      <c r="A51" s="533"/>
      <c r="B51" s="347" t="s">
        <v>895</v>
      </c>
      <c r="C51" s="298">
        <v>0</v>
      </c>
      <c r="D51" s="298">
        <v>0</v>
      </c>
      <c r="E51" s="298">
        <v>0</v>
      </c>
      <c r="F51" s="298">
        <v>0</v>
      </c>
      <c r="G51" s="298">
        <v>0</v>
      </c>
      <c r="H51" s="298">
        <v>0</v>
      </c>
      <c r="I51" s="298">
        <v>0</v>
      </c>
      <c r="J51" s="298">
        <v>0</v>
      </c>
      <c r="K51" s="298">
        <v>0</v>
      </c>
      <c r="L51" s="298">
        <v>0</v>
      </c>
      <c r="M51" s="298">
        <v>0</v>
      </c>
      <c r="N51" s="298">
        <v>0</v>
      </c>
      <c r="O51" s="298">
        <v>0</v>
      </c>
      <c r="P51" s="298">
        <v>0</v>
      </c>
      <c r="Q51" s="298">
        <v>0</v>
      </c>
      <c r="R51" s="298">
        <v>0</v>
      </c>
      <c r="S51" s="298">
        <v>0</v>
      </c>
      <c r="T51" s="298">
        <v>0</v>
      </c>
      <c r="U51" s="298">
        <v>0</v>
      </c>
      <c r="V51" s="298">
        <v>0</v>
      </c>
      <c r="W51" s="298">
        <v>0</v>
      </c>
      <c r="X51" s="295">
        <f t="shared" si="2"/>
        <v>0</v>
      </c>
    </row>
    <row r="52" spans="1:24" ht="15" customHeight="1">
      <c r="A52" s="533"/>
      <c r="B52" s="347" t="s">
        <v>896</v>
      </c>
      <c r="C52" s="298">
        <v>0</v>
      </c>
      <c r="D52" s="298">
        <v>0</v>
      </c>
      <c r="E52" s="298">
        <v>0</v>
      </c>
      <c r="F52" s="298">
        <v>0</v>
      </c>
      <c r="G52" s="298">
        <v>0</v>
      </c>
      <c r="H52" s="298">
        <v>0</v>
      </c>
      <c r="I52" s="298">
        <v>0</v>
      </c>
      <c r="J52" s="298">
        <v>0</v>
      </c>
      <c r="K52" s="298">
        <v>0</v>
      </c>
      <c r="L52" s="298">
        <v>0</v>
      </c>
      <c r="M52" s="298">
        <v>0</v>
      </c>
      <c r="N52" s="298">
        <v>0</v>
      </c>
      <c r="O52" s="298">
        <v>0</v>
      </c>
      <c r="P52" s="298">
        <v>0</v>
      </c>
      <c r="Q52" s="298">
        <v>0</v>
      </c>
      <c r="R52" s="298">
        <v>0</v>
      </c>
      <c r="S52" s="298">
        <v>0</v>
      </c>
      <c r="T52" s="298">
        <v>0</v>
      </c>
      <c r="U52" s="298">
        <v>0</v>
      </c>
      <c r="V52" s="298">
        <v>0</v>
      </c>
      <c r="W52" s="298">
        <v>0</v>
      </c>
      <c r="X52" s="295">
        <f t="shared" si="2"/>
        <v>0</v>
      </c>
    </row>
    <row r="53" spans="1:24" ht="15" customHeight="1">
      <c r="A53" s="533"/>
      <c r="B53" s="347" t="s">
        <v>897</v>
      </c>
      <c r="C53" s="298">
        <v>0</v>
      </c>
      <c r="D53" s="298">
        <v>0</v>
      </c>
      <c r="E53" s="298">
        <v>0</v>
      </c>
      <c r="F53" s="298">
        <v>0</v>
      </c>
      <c r="G53" s="298">
        <v>0</v>
      </c>
      <c r="H53" s="298">
        <v>0</v>
      </c>
      <c r="I53" s="298">
        <v>0</v>
      </c>
      <c r="J53" s="298">
        <v>0</v>
      </c>
      <c r="K53" s="298">
        <v>0</v>
      </c>
      <c r="L53" s="298">
        <v>0</v>
      </c>
      <c r="M53" s="298">
        <v>0</v>
      </c>
      <c r="N53" s="298">
        <v>0</v>
      </c>
      <c r="O53" s="298">
        <v>0</v>
      </c>
      <c r="P53" s="298">
        <v>0</v>
      </c>
      <c r="Q53" s="298">
        <v>0</v>
      </c>
      <c r="R53" s="298">
        <v>0</v>
      </c>
      <c r="S53" s="298">
        <v>0</v>
      </c>
      <c r="T53" s="298">
        <v>0</v>
      </c>
      <c r="U53" s="298">
        <v>0</v>
      </c>
      <c r="V53" s="298">
        <v>0</v>
      </c>
      <c r="W53" s="298">
        <v>0</v>
      </c>
      <c r="X53" s="295">
        <f t="shared" si="2"/>
        <v>0</v>
      </c>
    </row>
    <row r="54" spans="1:24" ht="15" customHeight="1">
      <c r="A54" s="533"/>
      <c r="B54" s="347" t="s">
        <v>898</v>
      </c>
      <c r="C54" s="298">
        <v>0</v>
      </c>
      <c r="D54" s="298">
        <v>0</v>
      </c>
      <c r="E54" s="298">
        <v>0</v>
      </c>
      <c r="F54" s="298">
        <v>0</v>
      </c>
      <c r="G54" s="298">
        <v>0</v>
      </c>
      <c r="H54" s="298">
        <v>0</v>
      </c>
      <c r="I54" s="298">
        <v>0</v>
      </c>
      <c r="J54" s="298">
        <v>0</v>
      </c>
      <c r="K54" s="298">
        <v>0</v>
      </c>
      <c r="L54" s="298">
        <v>0</v>
      </c>
      <c r="M54" s="298">
        <v>0</v>
      </c>
      <c r="N54" s="298">
        <v>0</v>
      </c>
      <c r="O54" s="298">
        <v>0</v>
      </c>
      <c r="P54" s="298">
        <v>0</v>
      </c>
      <c r="Q54" s="298">
        <v>0</v>
      </c>
      <c r="R54" s="298">
        <v>0</v>
      </c>
      <c r="S54" s="298">
        <v>0</v>
      </c>
      <c r="T54" s="298">
        <v>0</v>
      </c>
      <c r="U54" s="298">
        <v>0</v>
      </c>
      <c r="V54" s="298">
        <v>0</v>
      </c>
      <c r="W54" s="298">
        <v>0</v>
      </c>
      <c r="X54" s="295">
        <f t="shared" si="2"/>
        <v>0</v>
      </c>
    </row>
    <row r="55" spans="1:24" ht="15" customHeight="1">
      <c r="A55" s="533"/>
      <c r="B55" s="347" t="s">
        <v>899</v>
      </c>
      <c r="C55" s="298">
        <v>0</v>
      </c>
      <c r="D55" s="298">
        <v>0</v>
      </c>
      <c r="E55" s="298">
        <v>0</v>
      </c>
      <c r="F55" s="298">
        <v>0</v>
      </c>
      <c r="G55" s="298">
        <v>0</v>
      </c>
      <c r="H55" s="298">
        <v>0</v>
      </c>
      <c r="I55" s="298">
        <v>0</v>
      </c>
      <c r="J55" s="298">
        <v>0</v>
      </c>
      <c r="K55" s="298">
        <v>0</v>
      </c>
      <c r="L55" s="298">
        <v>0</v>
      </c>
      <c r="M55" s="298">
        <v>0</v>
      </c>
      <c r="N55" s="298">
        <v>0</v>
      </c>
      <c r="O55" s="298">
        <v>0</v>
      </c>
      <c r="P55" s="298">
        <v>0</v>
      </c>
      <c r="Q55" s="298">
        <v>0</v>
      </c>
      <c r="R55" s="298">
        <v>0</v>
      </c>
      <c r="S55" s="298">
        <v>0</v>
      </c>
      <c r="T55" s="298">
        <v>0</v>
      </c>
      <c r="U55" s="298">
        <v>0</v>
      </c>
      <c r="V55" s="298">
        <v>0</v>
      </c>
      <c r="W55" s="298">
        <v>0</v>
      </c>
      <c r="X55" s="295">
        <f t="shared" si="2"/>
        <v>0</v>
      </c>
    </row>
    <row r="56" spans="1:24" ht="15" customHeight="1">
      <c r="A56" s="533" t="s">
        <v>901</v>
      </c>
      <c r="B56" s="347" t="s">
        <v>550</v>
      </c>
      <c r="C56" s="298">
        <v>0</v>
      </c>
      <c r="D56" s="298">
        <v>0</v>
      </c>
      <c r="E56" s="298">
        <v>0</v>
      </c>
      <c r="F56" s="298">
        <v>0</v>
      </c>
      <c r="G56" s="298">
        <v>0</v>
      </c>
      <c r="H56" s="298">
        <v>0</v>
      </c>
      <c r="I56" s="298">
        <v>0</v>
      </c>
      <c r="J56" s="298">
        <v>0</v>
      </c>
      <c r="K56" s="298">
        <v>0</v>
      </c>
      <c r="L56" s="298">
        <v>0</v>
      </c>
      <c r="M56" s="298">
        <v>0</v>
      </c>
      <c r="N56" s="298">
        <v>0</v>
      </c>
      <c r="O56" s="298">
        <v>0</v>
      </c>
      <c r="P56" s="298">
        <v>0</v>
      </c>
      <c r="Q56" s="298">
        <v>0</v>
      </c>
      <c r="R56" s="298">
        <v>0</v>
      </c>
      <c r="S56" s="298">
        <v>0</v>
      </c>
      <c r="T56" s="298">
        <v>0</v>
      </c>
      <c r="U56" s="298">
        <v>0</v>
      </c>
      <c r="V56" s="298">
        <v>0</v>
      </c>
      <c r="W56" s="298">
        <v>0</v>
      </c>
      <c r="X56" s="295">
        <f t="shared" si="2"/>
        <v>0</v>
      </c>
    </row>
    <row r="57" spans="1:24" ht="15" customHeight="1">
      <c r="A57" s="533"/>
      <c r="B57" s="347" t="s">
        <v>551</v>
      </c>
      <c r="C57" s="298">
        <v>0</v>
      </c>
      <c r="D57" s="298">
        <v>0</v>
      </c>
      <c r="E57" s="298">
        <v>0</v>
      </c>
      <c r="F57" s="298">
        <v>0</v>
      </c>
      <c r="G57" s="298">
        <v>0</v>
      </c>
      <c r="H57" s="298">
        <v>0</v>
      </c>
      <c r="I57" s="298">
        <v>0</v>
      </c>
      <c r="J57" s="298">
        <v>0</v>
      </c>
      <c r="K57" s="298">
        <v>0</v>
      </c>
      <c r="L57" s="298">
        <v>0</v>
      </c>
      <c r="M57" s="298">
        <v>0</v>
      </c>
      <c r="N57" s="298">
        <v>0</v>
      </c>
      <c r="O57" s="298">
        <v>0</v>
      </c>
      <c r="P57" s="298">
        <v>0</v>
      </c>
      <c r="Q57" s="298">
        <v>0</v>
      </c>
      <c r="R57" s="298">
        <v>0</v>
      </c>
      <c r="S57" s="298">
        <v>0</v>
      </c>
      <c r="T57" s="298">
        <v>0</v>
      </c>
      <c r="U57" s="298">
        <v>0</v>
      </c>
      <c r="V57" s="298">
        <v>0</v>
      </c>
      <c r="W57" s="298">
        <v>0</v>
      </c>
      <c r="X57" s="295">
        <f t="shared" si="2"/>
        <v>0</v>
      </c>
    </row>
    <row r="58" spans="1:24" ht="15" customHeight="1">
      <c r="A58" s="533"/>
      <c r="B58" s="347" t="s">
        <v>552</v>
      </c>
      <c r="C58" s="298">
        <v>0</v>
      </c>
      <c r="D58" s="298">
        <v>0</v>
      </c>
      <c r="E58" s="298">
        <v>0</v>
      </c>
      <c r="F58" s="298">
        <v>0</v>
      </c>
      <c r="G58" s="298">
        <v>0</v>
      </c>
      <c r="H58" s="298">
        <v>0</v>
      </c>
      <c r="I58" s="298">
        <v>0</v>
      </c>
      <c r="J58" s="298">
        <v>0</v>
      </c>
      <c r="K58" s="298">
        <v>0</v>
      </c>
      <c r="L58" s="298">
        <v>0</v>
      </c>
      <c r="M58" s="298">
        <v>0</v>
      </c>
      <c r="N58" s="298">
        <v>0</v>
      </c>
      <c r="O58" s="298">
        <v>0</v>
      </c>
      <c r="P58" s="298">
        <v>0</v>
      </c>
      <c r="Q58" s="298">
        <v>0</v>
      </c>
      <c r="R58" s="298">
        <v>0</v>
      </c>
      <c r="S58" s="298">
        <v>0</v>
      </c>
      <c r="T58" s="298">
        <v>0</v>
      </c>
      <c r="U58" s="298">
        <v>0</v>
      </c>
      <c r="V58" s="298">
        <v>0</v>
      </c>
      <c r="W58" s="298">
        <v>0</v>
      </c>
      <c r="X58" s="295">
        <f t="shared" si="2"/>
        <v>0</v>
      </c>
    </row>
    <row r="59" spans="1:24" ht="15" customHeight="1">
      <c r="A59" s="533"/>
      <c r="B59" s="347" t="s">
        <v>553</v>
      </c>
      <c r="C59" s="298">
        <v>0</v>
      </c>
      <c r="D59" s="298">
        <v>0</v>
      </c>
      <c r="E59" s="298">
        <v>0</v>
      </c>
      <c r="F59" s="298">
        <v>0</v>
      </c>
      <c r="G59" s="298">
        <v>0</v>
      </c>
      <c r="H59" s="298">
        <v>0</v>
      </c>
      <c r="I59" s="298">
        <v>0</v>
      </c>
      <c r="J59" s="298">
        <v>0</v>
      </c>
      <c r="K59" s="298">
        <v>0</v>
      </c>
      <c r="L59" s="298">
        <v>0</v>
      </c>
      <c r="M59" s="298">
        <v>0</v>
      </c>
      <c r="N59" s="298">
        <v>0</v>
      </c>
      <c r="O59" s="298">
        <v>0</v>
      </c>
      <c r="P59" s="298">
        <v>0</v>
      </c>
      <c r="Q59" s="298">
        <v>0</v>
      </c>
      <c r="R59" s="298">
        <v>0</v>
      </c>
      <c r="S59" s="298">
        <v>0</v>
      </c>
      <c r="T59" s="298">
        <v>0</v>
      </c>
      <c r="U59" s="298">
        <v>0</v>
      </c>
      <c r="V59" s="298">
        <v>0</v>
      </c>
      <c r="W59" s="298">
        <v>0</v>
      </c>
      <c r="X59" s="295">
        <f t="shared" si="2"/>
        <v>0</v>
      </c>
    </row>
    <row r="60" spans="1:24" ht="15" customHeight="1">
      <c r="A60" s="533"/>
      <c r="B60" s="347" t="s">
        <v>554</v>
      </c>
      <c r="C60" s="298">
        <v>0</v>
      </c>
      <c r="D60" s="298">
        <v>0</v>
      </c>
      <c r="E60" s="298">
        <v>0</v>
      </c>
      <c r="F60" s="298">
        <v>0</v>
      </c>
      <c r="G60" s="298">
        <v>0</v>
      </c>
      <c r="H60" s="298">
        <v>0</v>
      </c>
      <c r="I60" s="298">
        <v>0</v>
      </c>
      <c r="J60" s="298">
        <v>0</v>
      </c>
      <c r="K60" s="298">
        <v>0</v>
      </c>
      <c r="L60" s="298">
        <v>0</v>
      </c>
      <c r="M60" s="298">
        <v>0</v>
      </c>
      <c r="N60" s="298">
        <v>0</v>
      </c>
      <c r="O60" s="298">
        <v>0</v>
      </c>
      <c r="P60" s="298">
        <v>0</v>
      </c>
      <c r="Q60" s="298">
        <v>0</v>
      </c>
      <c r="R60" s="298">
        <v>0</v>
      </c>
      <c r="S60" s="298">
        <v>0</v>
      </c>
      <c r="T60" s="298">
        <v>0</v>
      </c>
      <c r="U60" s="298">
        <v>0</v>
      </c>
      <c r="V60" s="298">
        <v>0</v>
      </c>
      <c r="W60" s="298">
        <v>0</v>
      </c>
      <c r="X60" s="295">
        <f t="shared" si="2"/>
        <v>0</v>
      </c>
    </row>
    <row r="61" spans="1:24" ht="15" customHeight="1">
      <c r="A61" s="533"/>
      <c r="B61" s="347" t="s">
        <v>555</v>
      </c>
      <c r="C61" s="298">
        <v>0</v>
      </c>
      <c r="D61" s="298">
        <v>0</v>
      </c>
      <c r="E61" s="298">
        <v>0</v>
      </c>
      <c r="F61" s="298">
        <v>0</v>
      </c>
      <c r="G61" s="298">
        <v>0</v>
      </c>
      <c r="H61" s="298">
        <v>0</v>
      </c>
      <c r="I61" s="298">
        <v>0</v>
      </c>
      <c r="J61" s="298">
        <v>0</v>
      </c>
      <c r="K61" s="298">
        <v>0</v>
      </c>
      <c r="L61" s="298">
        <v>0</v>
      </c>
      <c r="M61" s="298">
        <v>0</v>
      </c>
      <c r="N61" s="298">
        <v>0</v>
      </c>
      <c r="O61" s="298">
        <v>0</v>
      </c>
      <c r="P61" s="298">
        <v>0</v>
      </c>
      <c r="Q61" s="298">
        <v>0</v>
      </c>
      <c r="R61" s="298">
        <v>0</v>
      </c>
      <c r="S61" s="298">
        <v>0</v>
      </c>
      <c r="T61" s="298">
        <v>0</v>
      </c>
      <c r="U61" s="298">
        <v>0</v>
      </c>
      <c r="V61" s="298">
        <v>0</v>
      </c>
      <c r="W61" s="298">
        <v>0</v>
      </c>
      <c r="X61" s="295">
        <f t="shared" si="2"/>
        <v>0</v>
      </c>
    </row>
    <row r="62" spans="1:24" ht="15" customHeight="1">
      <c r="A62" s="533"/>
      <c r="B62" s="347" t="s">
        <v>556</v>
      </c>
      <c r="C62" s="298">
        <v>0</v>
      </c>
      <c r="D62" s="298">
        <v>0</v>
      </c>
      <c r="E62" s="298">
        <v>0</v>
      </c>
      <c r="F62" s="298">
        <v>0</v>
      </c>
      <c r="G62" s="298">
        <v>0</v>
      </c>
      <c r="H62" s="298">
        <v>0</v>
      </c>
      <c r="I62" s="298">
        <v>0</v>
      </c>
      <c r="J62" s="298">
        <v>0</v>
      </c>
      <c r="K62" s="298">
        <v>0</v>
      </c>
      <c r="L62" s="298">
        <v>0</v>
      </c>
      <c r="M62" s="298">
        <v>0</v>
      </c>
      <c r="N62" s="298">
        <v>0</v>
      </c>
      <c r="O62" s="298">
        <v>0</v>
      </c>
      <c r="P62" s="298">
        <v>0</v>
      </c>
      <c r="Q62" s="298">
        <v>0</v>
      </c>
      <c r="R62" s="298">
        <v>0</v>
      </c>
      <c r="S62" s="298">
        <v>0</v>
      </c>
      <c r="T62" s="298">
        <v>0</v>
      </c>
      <c r="U62" s="298">
        <v>0</v>
      </c>
      <c r="V62" s="298">
        <v>0</v>
      </c>
      <c r="W62" s="298">
        <v>0</v>
      </c>
      <c r="X62" s="295">
        <f t="shared" si="2"/>
        <v>0</v>
      </c>
    </row>
    <row r="63" spans="1:24" ht="15" customHeight="1">
      <c r="A63" s="533"/>
      <c r="B63" s="347" t="s">
        <v>557</v>
      </c>
      <c r="C63" s="298">
        <v>0</v>
      </c>
      <c r="D63" s="298">
        <v>0</v>
      </c>
      <c r="E63" s="298">
        <v>0</v>
      </c>
      <c r="F63" s="298">
        <v>0</v>
      </c>
      <c r="G63" s="298">
        <v>0</v>
      </c>
      <c r="H63" s="298">
        <v>0</v>
      </c>
      <c r="I63" s="298">
        <v>0</v>
      </c>
      <c r="J63" s="298">
        <v>0</v>
      </c>
      <c r="K63" s="298">
        <v>0</v>
      </c>
      <c r="L63" s="298">
        <v>0</v>
      </c>
      <c r="M63" s="298">
        <v>0</v>
      </c>
      <c r="N63" s="298">
        <v>0</v>
      </c>
      <c r="O63" s="298">
        <v>0</v>
      </c>
      <c r="P63" s="298">
        <v>0</v>
      </c>
      <c r="Q63" s="298">
        <v>0</v>
      </c>
      <c r="R63" s="298">
        <v>0</v>
      </c>
      <c r="S63" s="298">
        <v>0</v>
      </c>
      <c r="T63" s="298">
        <v>0</v>
      </c>
      <c r="U63" s="298">
        <v>0</v>
      </c>
      <c r="V63" s="298">
        <v>0</v>
      </c>
      <c r="W63" s="298">
        <v>0</v>
      </c>
      <c r="X63" s="295">
        <f t="shared" si="2"/>
        <v>0</v>
      </c>
    </row>
    <row r="64" spans="1:24" ht="15" customHeight="1">
      <c r="A64" s="533"/>
      <c r="B64" s="347" t="s">
        <v>558</v>
      </c>
      <c r="C64" s="298">
        <v>0</v>
      </c>
      <c r="D64" s="298">
        <v>0</v>
      </c>
      <c r="E64" s="298">
        <v>0</v>
      </c>
      <c r="F64" s="298">
        <v>0</v>
      </c>
      <c r="G64" s="298">
        <v>0</v>
      </c>
      <c r="H64" s="298">
        <v>0</v>
      </c>
      <c r="I64" s="298">
        <v>0</v>
      </c>
      <c r="J64" s="298">
        <v>0</v>
      </c>
      <c r="K64" s="298">
        <v>0</v>
      </c>
      <c r="L64" s="298">
        <v>0</v>
      </c>
      <c r="M64" s="298">
        <v>0</v>
      </c>
      <c r="N64" s="298">
        <v>0</v>
      </c>
      <c r="O64" s="298">
        <v>0</v>
      </c>
      <c r="P64" s="298">
        <v>0</v>
      </c>
      <c r="Q64" s="298">
        <v>0</v>
      </c>
      <c r="R64" s="298">
        <v>0</v>
      </c>
      <c r="S64" s="298">
        <v>0</v>
      </c>
      <c r="T64" s="298">
        <v>0</v>
      </c>
      <c r="U64" s="298">
        <v>0</v>
      </c>
      <c r="V64" s="298">
        <v>0</v>
      </c>
      <c r="W64" s="298">
        <v>0</v>
      </c>
      <c r="X64" s="295">
        <f t="shared" si="2"/>
        <v>0</v>
      </c>
    </row>
    <row r="65" spans="1:24" ht="15" customHeight="1">
      <c r="A65" s="533"/>
      <c r="B65" s="347" t="s">
        <v>559</v>
      </c>
      <c r="C65" s="298">
        <v>0</v>
      </c>
      <c r="D65" s="298">
        <v>0</v>
      </c>
      <c r="E65" s="298">
        <v>0</v>
      </c>
      <c r="F65" s="298">
        <v>0</v>
      </c>
      <c r="G65" s="298">
        <v>0</v>
      </c>
      <c r="H65" s="298">
        <v>0</v>
      </c>
      <c r="I65" s="298">
        <v>0</v>
      </c>
      <c r="J65" s="298">
        <v>0</v>
      </c>
      <c r="K65" s="298">
        <v>0</v>
      </c>
      <c r="L65" s="298">
        <v>0</v>
      </c>
      <c r="M65" s="298">
        <v>0</v>
      </c>
      <c r="N65" s="298">
        <v>0</v>
      </c>
      <c r="O65" s="298">
        <v>0</v>
      </c>
      <c r="P65" s="298">
        <v>0</v>
      </c>
      <c r="Q65" s="298">
        <v>0</v>
      </c>
      <c r="R65" s="298">
        <v>0</v>
      </c>
      <c r="S65" s="298">
        <v>0</v>
      </c>
      <c r="T65" s="298">
        <v>0</v>
      </c>
      <c r="U65" s="298">
        <v>0</v>
      </c>
      <c r="V65" s="298">
        <v>0</v>
      </c>
      <c r="W65" s="298">
        <v>0</v>
      </c>
      <c r="X65" s="295">
        <f>+AVERAGE(C65:W65)</f>
        <v>0</v>
      </c>
    </row>
    <row r="66" spans="1:24" ht="15" customHeight="1">
      <c r="A66" s="533"/>
      <c r="B66" s="347" t="s">
        <v>764</v>
      </c>
      <c r="C66" s="298">
        <v>0</v>
      </c>
      <c r="D66" s="298">
        <v>0</v>
      </c>
      <c r="E66" s="298">
        <v>0</v>
      </c>
      <c r="F66" s="298">
        <v>0</v>
      </c>
      <c r="G66" s="298">
        <v>0</v>
      </c>
      <c r="H66" s="298">
        <v>0</v>
      </c>
      <c r="I66" s="298">
        <v>0</v>
      </c>
      <c r="J66" s="298">
        <v>0</v>
      </c>
      <c r="K66" s="298">
        <v>0</v>
      </c>
      <c r="L66" s="298">
        <v>0</v>
      </c>
      <c r="M66" s="298">
        <v>0</v>
      </c>
      <c r="N66" s="298">
        <v>0</v>
      </c>
      <c r="O66" s="298">
        <v>0</v>
      </c>
      <c r="P66" s="298">
        <v>0</v>
      </c>
      <c r="Q66" s="298">
        <v>0</v>
      </c>
      <c r="R66" s="298">
        <v>0</v>
      </c>
      <c r="S66" s="298">
        <v>0</v>
      </c>
      <c r="T66" s="298">
        <v>0</v>
      </c>
      <c r="U66" s="298">
        <v>0</v>
      </c>
      <c r="V66" s="298">
        <v>0</v>
      </c>
      <c r="W66" s="298">
        <v>0</v>
      </c>
      <c r="X66" s="295">
        <f t="shared" si="2"/>
        <v>0</v>
      </c>
    </row>
    <row r="67" spans="1:24" ht="15" customHeight="1">
      <c r="A67" s="533"/>
      <c r="B67" s="347" t="s">
        <v>765</v>
      </c>
      <c r="C67" s="298">
        <v>0</v>
      </c>
      <c r="D67" s="298">
        <v>0</v>
      </c>
      <c r="E67" s="298">
        <v>0</v>
      </c>
      <c r="F67" s="298">
        <v>0</v>
      </c>
      <c r="G67" s="298">
        <v>0</v>
      </c>
      <c r="H67" s="298">
        <v>0</v>
      </c>
      <c r="I67" s="298">
        <v>0</v>
      </c>
      <c r="J67" s="298">
        <v>0</v>
      </c>
      <c r="K67" s="298">
        <v>0</v>
      </c>
      <c r="L67" s="298">
        <v>0</v>
      </c>
      <c r="M67" s="298">
        <v>0</v>
      </c>
      <c r="N67" s="298">
        <v>0</v>
      </c>
      <c r="O67" s="298">
        <v>0</v>
      </c>
      <c r="P67" s="298">
        <v>0</v>
      </c>
      <c r="Q67" s="298">
        <v>0</v>
      </c>
      <c r="R67" s="298">
        <v>0</v>
      </c>
      <c r="S67" s="298">
        <v>0</v>
      </c>
      <c r="T67" s="298">
        <v>0</v>
      </c>
      <c r="U67" s="298">
        <v>0</v>
      </c>
      <c r="V67" s="298">
        <v>0</v>
      </c>
      <c r="W67" s="298">
        <v>0</v>
      </c>
      <c r="X67" s="295">
        <f t="shared" si="2"/>
        <v>0</v>
      </c>
    </row>
    <row r="68" spans="1:24" ht="15" customHeight="1">
      <c r="A68" s="533"/>
      <c r="B68" s="347" t="s">
        <v>560</v>
      </c>
      <c r="C68" s="298">
        <v>0</v>
      </c>
      <c r="D68" s="298">
        <v>0</v>
      </c>
      <c r="E68" s="298">
        <v>0</v>
      </c>
      <c r="F68" s="298">
        <v>0</v>
      </c>
      <c r="G68" s="298">
        <v>0</v>
      </c>
      <c r="H68" s="298">
        <v>0</v>
      </c>
      <c r="I68" s="298">
        <v>0</v>
      </c>
      <c r="J68" s="298">
        <v>0</v>
      </c>
      <c r="K68" s="298">
        <v>0</v>
      </c>
      <c r="L68" s="298">
        <v>0</v>
      </c>
      <c r="M68" s="298">
        <v>0</v>
      </c>
      <c r="N68" s="298">
        <v>0</v>
      </c>
      <c r="O68" s="298">
        <v>0</v>
      </c>
      <c r="P68" s="298">
        <v>0</v>
      </c>
      <c r="Q68" s="298">
        <v>0</v>
      </c>
      <c r="R68" s="298">
        <v>0</v>
      </c>
      <c r="S68" s="298">
        <v>0</v>
      </c>
      <c r="T68" s="298">
        <v>0</v>
      </c>
      <c r="U68" s="298">
        <v>0</v>
      </c>
      <c r="V68" s="298">
        <v>0</v>
      </c>
      <c r="W68" s="298">
        <v>0</v>
      </c>
      <c r="X68" s="295">
        <f t="shared" si="2"/>
        <v>0</v>
      </c>
    </row>
    <row r="69" spans="1:24" ht="15" customHeight="1">
      <c r="A69" s="533"/>
      <c r="B69" s="347" t="s">
        <v>561</v>
      </c>
      <c r="C69" s="298">
        <v>0</v>
      </c>
      <c r="D69" s="298">
        <v>0</v>
      </c>
      <c r="E69" s="298">
        <v>0</v>
      </c>
      <c r="F69" s="298">
        <v>0</v>
      </c>
      <c r="G69" s="298">
        <v>0</v>
      </c>
      <c r="H69" s="298">
        <v>0</v>
      </c>
      <c r="I69" s="298">
        <v>0</v>
      </c>
      <c r="J69" s="298">
        <v>0</v>
      </c>
      <c r="K69" s="298">
        <v>0</v>
      </c>
      <c r="L69" s="298">
        <v>0</v>
      </c>
      <c r="M69" s="298">
        <v>0</v>
      </c>
      <c r="N69" s="298">
        <v>0</v>
      </c>
      <c r="O69" s="298">
        <v>0</v>
      </c>
      <c r="P69" s="298">
        <v>0</v>
      </c>
      <c r="Q69" s="298">
        <v>0</v>
      </c>
      <c r="R69" s="298">
        <v>0</v>
      </c>
      <c r="S69" s="298">
        <v>0</v>
      </c>
      <c r="T69" s="298">
        <v>0</v>
      </c>
      <c r="U69" s="298">
        <v>0</v>
      </c>
      <c r="V69" s="298">
        <v>0</v>
      </c>
      <c r="W69" s="298">
        <v>0</v>
      </c>
      <c r="X69" s="295">
        <f t="shared" si="2"/>
        <v>0</v>
      </c>
    </row>
    <row r="70" spans="1:24" ht="15" customHeight="1">
      <c r="A70" s="533"/>
      <c r="B70" s="347" t="s">
        <v>562</v>
      </c>
      <c r="C70" s="298">
        <v>0</v>
      </c>
      <c r="D70" s="298">
        <v>0</v>
      </c>
      <c r="E70" s="298">
        <v>0</v>
      </c>
      <c r="F70" s="298">
        <v>0</v>
      </c>
      <c r="G70" s="298">
        <v>0</v>
      </c>
      <c r="H70" s="298">
        <v>0</v>
      </c>
      <c r="I70" s="298">
        <v>0</v>
      </c>
      <c r="J70" s="298">
        <v>0</v>
      </c>
      <c r="K70" s="298">
        <v>0</v>
      </c>
      <c r="L70" s="298">
        <v>0</v>
      </c>
      <c r="M70" s="298">
        <v>0</v>
      </c>
      <c r="N70" s="298">
        <v>0</v>
      </c>
      <c r="O70" s="298">
        <v>0</v>
      </c>
      <c r="P70" s="298">
        <v>0</v>
      </c>
      <c r="Q70" s="298">
        <v>0</v>
      </c>
      <c r="R70" s="298">
        <v>0</v>
      </c>
      <c r="S70" s="298">
        <v>0</v>
      </c>
      <c r="T70" s="298">
        <v>0</v>
      </c>
      <c r="U70" s="298">
        <v>0</v>
      </c>
      <c r="V70" s="298">
        <v>0</v>
      </c>
      <c r="W70" s="298">
        <v>0</v>
      </c>
      <c r="X70" s="295">
        <f t="shared" si="2"/>
        <v>0</v>
      </c>
    </row>
    <row r="71" spans="1:24" ht="15" customHeight="1">
      <c r="A71" s="533"/>
      <c r="B71" s="347" t="s">
        <v>563</v>
      </c>
      <c r="C71" s="298">
        <v>0</v>
      </c>
      <c r="D71" s="298">
        <v>0</v>
      </c>
      <c r="E71" s="298">
        <v>0</v>
      </c>
      <c r="F71" s="298">
        <v>0</v>
      </c>
      <c r="G71" s="298">
        <v>0</v>
      </c>
      <c r="H71" s="298">
        <v>0</v>
      </c>
      <c r="I71" s="298">
        <v>0</v>
      </c>
      <c r="J71" s="298">
        <v>0</v>
      </c>
      <c r="K71" s="298">
        <v>0</v>
      </c>
      <c r="L71" s="298">
        <v>0</v>
      </c>
      <c r="M71" s="298">
        <v>0</v>
      </c>
      <c r="N71" s="298">
        <v>0</v>
      </c>
      <c r="O71" s="298">
        <v>0</v>
      </c>
      <c r="P71" s="298">
        <v>0</v>
      </c>
      <c r="Q71" s="298">
        <v>0</v>
      </c>
      <c r="R71" s="298">
        <v>0</v>
      </c>
      <c r="S71" s="298">
        <v>0</v>
      </c>
      <c r="T71" s="298">
        <v>0</v>
      </c>
      <c r="U71" s="298">
        <v>0</v>
      </c>
      <c r="V71" s="298">
        <v>0</v>
      </c>
      <c r="W71" s="298">
        <v>0</v>
      </c>
      <c r="X71" s="295">
        <f t="shared" si="2"/>
        <v>0</v>
      </c>
    </row>
    <row r="72" spans="1:24" ht="15" customHeight="1">
      <c r="A72" s="533"/>
      <c r="B72" s="347" t="s">
        <v>564</v>
      </c>
      <c r="C72" s="298">
        <v>0</v>
      </c>
      <c r="D72" s="298">
        <v>0</v>
      </c>
      <c r="E72" s="298">
        <v>0</v>
      </c>
      <c r="F72" s="298">
        <v>0</v>
      </c>
      <c r="G72" s="298">
        <v>0</v>
      </c>
      <c r="H72" s="298">
        <v>0</v>
      </c>
      <c r="I72" s="298">
        <v>0</v>
      </c>
      <c r="J72" s="298">
        <v>0</v>
      </c>
      <c r="K72" s="298">
        <v>0</v>
      </c>
      <c r="L72" s="298">
        <v>0</v>
      </c>
      <c r="M72" s="298">
        <v>0</v>
      </c>
      <c r="N72" s="298">
        <v>0</v>
      </c>
      <c r="O72" s="298">
        <v>0</v>
      </c>
      <c r="P72" s="298">
        <v>0</v>
      </c>
      <c r="Q72" s="298">
        <v>0</v>
      </c>
      <c r="R72" s="298">
        <v>0</v>
      </c>
      <c r="S72" s="298">
        <v>0</v>
      </c>
      <c r="T72" s="298">
        <v>0</v>
      </c>
      <c r="U72" s="298">
        <v>0</v>
      </c>
      <c r="V72" s="298">
        <v>0</v>
      </c>
      <c r="W72" s="298">
        <v>0</v>
      </c>
      <c r="X72" s="295">
        <f t="shared" si="2"/>
        <v>0</v>
      </c>
    </row>
    <row r="73" spans="1:24" ht="15" customHeight="1">
      <c r="A73" s="533"/>
      <c r="B73" s="347" t="s">
        <v>894</v>
      </c>
      <c r="C73" s="298">
        <v>0</v>
      </c>
      <c r="D73" s="298">
        <v>0</v>
      </c>
      <c r="E73" s="298">
        <v>0</v>
      </c>
      <c r="F73" s="298">
        <v>0</v>
      </c>
      <c r="G73" s="298">
        <v>0</v>
      </c>
      <c r="H73" s="298">
        <v>0</v>
      </c>
      <c r="I73" s="298">
        <v>0</v>
      </c>
      <c r="J73" s="298">
        <v>0</v>
      </c>
      <c r="K73" s="298">
        <v>0</v>
      </c>
      <c r="L73" s="298">
        <v>0</v>
      </c>
      <c r="M73" s="298">
        <v>0</v>
      </c>
      <c r="N73" s="298">
        <v>0</v>
      </c>
      <c r="O73" s="298">
        <v>0</v>
      </c>
      <c r="P73" s="298">
        <v>0</v>
      </c>
      <c r="Q73" s="298">
        <v>0</v>
      </c>
      <c r="R73" s="298">
        <v>0</v>
      </c>
      <c r="S73" s="298">
        <v>0</v>
      </c>
      <c r="T73" s="298">
        <v>0</v>
      </c>
      <c r="U73" s="298">
        <v>0</v>
      </c>
      <c r="V73" s="298">
        <v>0</v>
      </c>
      <c r="W73" s="298">
        <v>0</v>
      </c>
      <c r="X73" s="295">
        <f t="shared" si="2"/>
        <v>0</v>
      </c>
    </row>
    <row r="74" spans="1:24" ht="15" customHeight="1">
      <c r="A74" s="533"/>
      <c r="B74" s="347" t="s">
        <v>895</v>
      </c>
      <c r="C74" s="298">
        <v>0</v>
      </c>
      <c r="D74" s="298">
        <v>0</v>
      </c>
      <c r="E74" s="298">
        <v>0</v>
      </c>
      <c r="F74" s="298">
        <v>0</v>
      </c>
      <c r="G74" s="298">
        <v>0</v>
      </c>
      <c r="H74" s="298">
        <v>0</v>
      </c>
      <c r="I74" s="298">
        <v>0</v>
      </c>
      <c r="J74" s="298">
        <v>0</v>
      </c>
      <c r="K74" s="298">
        <v>0</v>
      </c>
      <c r="L74" s="298">
        <v>0</v>
      </c>
      <c r="M74" s="298">
        <v>0</v>
      </c>
      <c r="N74" s="298">
        <v>0</v>
      </c>
      <c r="O74" s="298">
        <v>0</v>
      </c>
      <c r="P74" s="298">
        <v>0</v>
      </c>
      <c r="Q74" s="298">
        <v>0</v>
      </c>
      <c r="R74" s="298">
        <v>0</v>
      </c>
      <c r="S74" s="298">
        <v>0</v>
      </c>
      <c r="T74" s="298">
        <v>0</v>
      </c>
      <c r="U74" s="298">
        <v>0</v>
      </c>
      <c r="V74" s="298">
        <v>0</v>
      </c>
      <c r="W74" s="298">
        <v>0</v>
      </c>
      <c r="X74" s="295">
        <f t="shared" si="2"/>
        <v>0</v>
      </c>
    </row>
    <row r="75" spans="1:24" ht="15" customHeight="1">
      <c r="A75" s="533"/>
      <c r="B75" s="347" t="s">
        <v>896</v>
      </c>
      <c r="C75" s="298">
        <v>0</v>
      </c>
      <c r="D75" s="298">
        <v>0</v>
      </c>
      <c r="E75" s="298">
        <v>0</v>
      </c>
      <c r="F75" s="298">
        <v>0</v>
      </c>
      <c r="G75" s="298">
        <v>0</v>
      </c>
      <c r="H75" s="298">
        <v>0</v>
      </c>
      <c r="I75" s="298">
        <v>0</v>
      </c>
      <c r="J75" s="298">
        <v>0</v>
      </c>
      <c r="K75" s="298">
        <v>0</v>
      </c>
      <c r="L75" s="298">
        <v>0</v>
      </c>
      <c r="M75" s="298">
        <v>0</v>
      </c>
      <c r="N75" s="298">
        <v>0</v>
      </c>
      <c r="O75" s="298">
        <v>0</v>
      </c>
      <c r="P75" s="298">
        <v>0</v>
      </c>
      <c r="Q75" s="298">
        <v>0</v>
      </c>
      <c r="R75" s="298">
        <v>0</v>
      </c>
      <c r="S75" s="298">
        <v>0</v>
      </c>
      <c r="T75" s="298">
        <v>0</v>
      </c>
      <c r="U75" s="298">
        <v>0</v>
      </c>
      <c r="V75" s="298">
        <v>0</v>
      </c>
      <c r="W75" s="298">
        <v>0</v>
      </c>
      <c r="X75" s="295">
        <f t="shared" si="2"/>
        <v>0</v>
      </c>
    </row>
    <row r="76" spans="1:24" ht="15" customHeight="1" thickBot="1">
      <c r="A76" s="534"/>
      <c r="B76" s="347" t="s">
        <v>897</v>
      </c>
      <c r="C76" s="298">
        <v>0</v>
      </c>
      <c r="D76" s="298">
        <v>0</v>
      </c>
      <c r="E76" s="298">
        <v>0</v>
      </c>
      <c r="F76" s="298">
        <v>0</v>
      </c>
      <c r="G76" s="298">
        <v>0</v>
      </c>
      <c r="H76" s="298">
        <v>0</v>
      </c>
      <c r="I76" s="298">
        <v>0</v>
      </c>
      <c r="J76" s="298">
        <v>0</v>
      </c>
      <c r="K76" s="298">
        <v>0</v>
      </c>
      <c r="L76" s="298">
        <v>0</v>
      </c>
      <c r="M76" s="298">
        <v>0</v>
      </c>
      <c r="N76" s="298">
        <v>0</v>
      </c>
      <c r="O76" s="298">
        <v>0</v>
      </c>
      <c r="P76" s="298">
        <v>0</v>
      </c>
      <c r="Q76" s="298">
        <v>0</v>
      </c>
      <c r="R76" s="298">
        <v>0</v>
      </c>
      <c r="S76" s="298">
        <v>0</v>
      </c>
      <c r="T76" s="298">
        <v>0</v>
      </c>
      <c r="U76" s="298">
        <v>0</v>
      </c>
      <c r="V76" s="298">
        <v>0</v>
      </c>
      <c r="W76" s="298">
        <v>0</v>
      </c>
      <c r="X76" s="295">
        <f t="shared" si="2"/>
        <v>0</v>
      </c>
    </row>
    <row r="77" spans="1:24" ht="20.100000000000001" customHeight="1" thickBot="1">
      <c r="A77" s="535" t="s">
        <v>755</v>
      </c>
      <c r="B77" s="536"/>
      <c r="C77" s="296"/>
      <c r="D77" s="296"/>
      <c r="E77" s="296"/>
      <c r="F77" s="296"/>
      <c r="G77" s="296"/>
      <c r="H77" s="296"/>
      <c r="I77" s="296"/>
      <c r="J77" s="296"/>
      <c r="K77" s="296"/>
      <c r="L77" s="296"/>
      <c r="M77" s="296"/>
      <c r="N77" s="296"/>
      <c r="O77" s="296"/>
      <c r="P77" s="296"/>
      <c r="Q77" s="296"/>
      <c r="R77" s="296"/>
      <c r="S77" s="296"/>
      <c r="T77" s="296"/>
      <c r="U77" s="296"/>
      <c r="V77" s="296"/>
      <c r="W77" s="296"/>
      <c r="X77" s="512"/>
    </row>
    <row r="78" spans="1:24" ht="20.100000000000001" customHeight="1" thickBot="1">
      <c r="A78" s="535" t="s">
        <v>754</v>
      </c>
      <c r="B78" s="536"/>
      <c r="C78" s="296">
        <f t="shared" ref="C78:W78" si="3">+AVERAGE(C34:C76)</f>
        <v>0</v>
      </c>
      <c r="D78" s="296">
        <f t="shared" si="3"/>
        <v>0</v>
      </c>
      <c r="E78" s="296">
        <f t="shared" si="3"/>
        <v>0</v>
      </c>
      <c r="F78" s="296">
        <f t="shared" si="3"/>
        <v>0</v>
      </c>
      <c r="G78" s="296">
        <f t="shared" si="3"/>
        <v>0</v>
      </c>
      <c r="H78" s="296">
        <f t="shared" si="3"/>
        <v>0</v>
      </c>
      <c r="I78" s="296">
        <f t="shared" si="3"/>
        <v>0</v>
      </c>
      <c r="J78" s="296">
        <f t="shared" si="3"/>
        <v>0</v>
      </c>
      <c r="K78" s="296">
        <f t="shared" si="3"/>
        <v>0</v>
      </c>
      <c r="L78" s="296">
        <f t="shared" si="3"/>
        <v>0</v>
      </c>
      <c r="M78" s="296">
        <f t="shared" si="3"/>
        <v>0</v>
      </c>
      <c r="N78" s="296">
        <f t="shared" si="3"/>
        <v>0</v>
      </c>
      <c r="O78" s="296">
        <f t="shared" si="3"/>
        <v>0</v>
      </c>
      <c r="P78" s="296">
        <f t="shared" si="3"/>
        <v>0</v>
      </c>
      <c r="Q78" s="296">
        <f t="shared" si="3"/>
        <v>0</v>
      </c>
      <c r="R78" s="296">
        <f t="shared" si="3"/>
        <v>0</v>
      </c>
      <c r="S78" s="296">
        <f t="shared" si="3"/>
        <v>0</v>
      </c>
      <c r="T78" s="296">
        <f t="shared" si="3"/>
        <v>0</v>
      </c>
      <c r="U78" s="296">
        <f t="shared" si="3"/>
        <v>0</v>
      </c>
      <c r="V78" s="296">
        <f t="shared" si="3"/>
        <v>0</v>
      </c>
      <c r="W78" s="296">
        <f t="shared" si="3"/>
        <v>0</v>
      </c>
      <c r="X78" s="513"/>
    </row>
    <row r="79" spans="1:24" ht="20.100000000000001" customHeight="1" thickBot="1">
      <c r="A79" s="535" t="s">
        <v>756</v>
      </c>
      <c r="B79" s="537"/>
      <c r="C79" s="516">
        <f>+AVERAGE(C78:W78)</f>
        <v>0</v>
      </c>
      <c r="D79" s="517"/>
      <c r="E79" s="517"/>
      <c r="F79" s="517"/>
      <c r="G79" s="517"/>
      <c r="H79" s="517"/>
      <c r="I79" s="517"/>
      <c r="J79" s="517"/>
      <c r="K79" s="517"/>
      <c r="L79" s="517"/>
      <c r="M79" s="517"/>
      <c r="N79" s="517"/>
      <c r="O79" s="517"/>
      <c r="P79" s="517"/>
      <c r="Q79" s="517"/>
      <c r="R79" s="517"/>
      <c r="S79" s="517"/>
      <c r="T79" s="517"/>
      <c r="U79" s="517"/>
      <c r="V79" s="517"/>
      <c r="W79" s="518"/>
      <c r="X79" s="514"/>
    </row>
    <row r="80" spans="1:24" ht="15" customHeight="1">
      <c r="A80" s="532" t="s">
        <v>892</v>
      </c>
      <c r="B80" s="350" t="s">
        <v>890</v>
      </c>
      <c r="C80" s="294">
        <v>0</v>
      </c>
      <c r="D80" s="294">
        <v>0</v>
      </c>
      <c r="E80" s="294">
        <v>0</v>
      </c>
      <c r="F80" s="294">
        <v>0</v>
      </c>
      <c r="G80" s="294">
        <v>0</v>
      </c>
      <c r="H80" s="294">
        <v>0</v>
      </c>
      <c r="I80" s="294">
        <v>0</v>
      </c>
      <c r="J80" s="294">
        <v>0</v>
      </c>
      <c r="K80" s="294">
        <v>0</v>
      </c>
      <c r="L80" s="294">
        <v>0</v>
      </c>
      <c r="M80" s="294">
        <v>0</v>
      </c>
      <c r="N80" s="294">
        <v>0</v>
      </c>
      <c r="O80" s="294">
        <v>0</v>
      </c>
      <c r="P80" s="294">
        <v>0</v>
      </c>
      <c r="Q80" s="294">
        <v>0</v>
      </c>
      <c r="R80" s="294">
        <v>0</v>
      </c>
      <c r="S80" s="294">
        <v>0</v>
      </c>
      <c r="T80" s="294">
        <v>0</v>
      </c>
      <c r="U80" s="294">
        <v>0</v>
      </c>
      <c r="V80" s="294">
        <v>0</v>
      </c>
      <c r="W80" s="294">
        <v>0</v>
      </c>
      <c r="X80" s="295">
        <f t="shared" ref="X80:X123" si="4">+AVERAGE(C80:W80)</f>
        <v>0</v>
      </c>
    </row>
    <row r="81" spans="1:24" ht="15" customHeight="1">
      <c r="A81" s="533"/>
      <c r="B81" s="347" t="s">
        <v>891</v>
      </c>
      <c r="C81" s="294">
        <v>0</v>
      </c>
      <c r="D81" s="294">
        <v>0</v>
      </c>
      <c r="E81" s="294">
        <v>0</v>
      </c>
      <c r="F81" s="294">
        <v>0</v>
      </c>
      <c r="G81" s="294">
        <v>0</v>
      </c>
      <c r="H81" s="294">
        <v>0</v>
      </c>
      <c r="I81" s="294">
        <v>0</v>
      </c>
      <c r="J81" s="294">
        <v>0</v>
      </c>
      <c r="K81" s="294">
        <v>0</v>
      </c>
      <c r="L81" s="294">
        <v>0</v>
      </c>
      <c r="M81" s="294">
        <v>0</v>
      </c>
      <c r="N81" s="294">
        <v>0</v>
      </c>
      <c r="O81" s="294">
        <v>0</v>
      </c>
      <c r="P81" s="294">
        <v>0</v>
      </c>
      <c r="Q81" s="294">
        <v>0</v>
      </c>
      <c r="R81" s="294">
        <v>0</v>
      </c>
      <c r="S81" s="294">
        <v>0</v>
      </c>
      <c r="T81" s="294">
        <v>0</v>
      </c>
      <c r="U81" s="294">
        <v>0</v>
      </c>
      <c r="V81" s="294">
        <v>0</v>
      </c>
      <c r="W81" s="294">
        <v>0</v>
      </c>
      <c r="X81" s="295">
        <f t="shared" si="4"/>
        <v>0</v>
      </c>
    </row>
    <row r="82" spans="1:24" ht="15" customHeight="1">
      <c r="A82" s="533"/>
      <c r="B82" s="347" t="s">
        <v>565</v>
      </c>
      <c r="C82" s="294">
        <v>0</v>
      </c>
      <c r="D82" s="294">
        <v>0</v>
      </c>
      <c r="E82" s="294">
        <v>0</v>
      </c>
      <c r="F82" s="294">
        <v>0</v>
      </c>
      <c r="G82" s="294">
        <v>0</v>
      </c>
      <c r="H82" s="294">
        <v>0</v>
      </c>
      <c r="I82" s="294">
        <v>0</v>
      </c>
      <c r="J82" s="294">
        <v>0</v>
      </c>
      <c r="K82" s="294">
        <v>0</v>
      </c>
      <c r="L82" s="294">
        <v>0</v>
      </c>
      <c r="M82" s="294">
        <v>0</v>
      </c>
      <c r="N82" s="294">
        <v>0</v>
      </c>
      <c r="O82" s="294">
        <v>0</v>
      </c>
      <c r="P82" s="294">
        <v>0</v>
      </c>
      <c r="Q82" s="294">
        <v>0</v>
      </c>
      <c r="R82" s="294">
        <v>0</v>
      </c>
      <c r="S82" s="294">
        <v>0</v>
      </c>
      <c r="T82" s="294">
        <v>0</v>
      </c>
      <c r="U82" s="294">
        <v>0</v>
      </c>
      <c r="V82" s="294">
        <v>0</v>
      </c>
      <c r="W82" s="294">
        <v>0</v>
      </c>
      <c r="X82" s="295">
        <f t="shared" si="4"/>
        <v>0</v>
      </c>
    </row>
    <row r="83" spans="1:24" ht="15" customHeight="1">
      <c r="A83" s="533"/>
      <c r="B83" s="347" t="s">
        <v>566</v>
      </c>
      <c r="C83" s="294">
        <v>0</v>
      </c>
      <c r="D83" s="294">
        <v>0</v>
      </c>
      <c r="E83" s="294">
        <v>0</v>
      </c>
      <c r="F83" s="294">
        <v>0</v>
      </c>
      <c r="G83" s="294">
        <v>0</v>
      </c>
      <c r="H83" s="294">
        <v>0</v>
      </c>
      <c r="I83" s="294">
        <v>0</v>
      </c>
      <c r="J83" s="294">
        <v>0</v>
      </c>
      <c r="K83" s="294">
        <v>0</v>
      </c>
      <c r="L83" s="294">
        <v>0</v>
      </c>
      <c r="M83" s="294">
        <v>0</v>
      </c>
      <c r="N83" s="294">
        <v>0</v>
      </c>
      <c r="O83" s="294">
        <v>0</v>
      </c>
      <c r="P83" s="294">
        <v>0</v>
      </c>
      <c r="Q83" s="294">
        <v>0</v>
      </c>
      <c r="R83" s="294">
        <v>0</v>
      </c>
      <c r="S83" s="294">
        <v>0</v>
      </c>
      <c r="T83" s="294">
        <v>0</v>
      </c>
      <c r="U83" s="294">
        <v>0</v>
      </c>
      <c r="V83" s="294">
        <v>0</v>
      </c>
      <c r="W83" s="294">
        <v>0</v>
      </c>
      <c r="X83" s="295">
        <f t="shared" si="4"/>
        <v>0</v>
      </c>
    </row>
    <row r="84" spans="1:24" ht="15" customHeight="1">
      <c r="A84" s="533"/>
      <c r="B84" s="347" t="s">
        <v>567</v>
      </c>
      <c r="C84" s="294">
        <v>0</v>
      </c>
      <c r="D84" s="294">
        <v>0</v>
      </c>
      <c r="E84" s="294">
        <v>0</v>
      </c>
      <c r="F84" s="294">
        <v>0</v>
      </c>
      <c r="G84" s="294">
        <v>0</v>
      </c>
      <c r="H84" s="294">
        <v>0</v>
      </c>
      <c r="I84" s="294">
        <v>0</v>
      </c>
      <c r="J84" s="294">
        <v>0</v>
      </c>
      <c r="K84" s="294">
        <v>0</v>
      </c>
      <c r="L84" s="294">
        <v>0</v>
      </c>
      <c r="M84" s="294">
        <v>0</v>
      </c>
      <c r="N84" s="294">
        <v>0</v>
      </c>
      <c r="O84" s="294">
        <v>0</v>
      </c>
      <c r="P84" s="294">
        <v>0</v>
      </c>
      <c r="Q84" s="294">
        <v>0</v>
      </c>
      <c r="R84" s="294">
        <v>0</v>
      </c>
      <c r="S84" s="294">
        <v>0</v>
      </c>
      <c r="T84" s="294">
        <v>0</v>
      </c>
      <c r="U84" s="294">
        <v>0</v>
      </c>
      <c r="V84" s="294">
        <v>0</v>
      </c>
      <c r="W84" s="294">
        <v>0</v>
      </c>
      <c r="X84" s="295">
        <f t="shared" si="4"/>
        <v>0</v>
      </c>
    </row>
    <row r="85" spans="1:24" ht="15" customHeight="1">
      <c r="A85" s="533"/>
      <c r="B85" s="347" t="s">
        <v>568</v>
      </c>
      <c r="C85" s="294">
        <v>0</v>
      </c>
      <c r="D85" s="294">
        <v>0</v>
      </c>
      <c r="E85" s="294">
        <v>0</v>
      </c>
      <c r="F85" s="294">
        <v>0</v>
      </c>
      <c r="G85" s="294">
        <v>0</v>
      </c>
      <c r="H85" s="294">
        <v>0</v>
      </c>
      <c r="I85" s="294">
        <v>0</v>
      </c>
      <c r="J85" s="294">
        <v>0</v>
      </c>
      <c r="K85" s="294">
        <v>0</v>
      </c>
      <c r="L85" s="294">
        <v>0</v>
      </c>
      <c r="M85" s="294">
        <v>0</v>
      </c>
      <c r="N85" s="294">
        <v>0</v>
      </c>
      <c r="O85" s="294">
        <v>0</v>
      </c>
      <c r="P85" s="294">
        <v>0</v>
      </c>
      <c r="Q85" s="294">
        <v>0</v>
      </c>
      <c r="R85" s="294">
        <v>0</v>
      </c>
      <c r="S85" s="294">
        <v>0</v>
      </c>
      <c r="T85" s="294">
        <v>0</v>
      </c>
      <c r="U85" s="294">
        <v>0</v>
      </c>
      <c r="V85" s="294">
        <v>0</v>
      </c>
      <c r="W85" s="294">
        <v>0</v>
      </c>
      <c r="X85" s="295">
        <f t="shared" si="4"/>
        <v>0</v>
      </c>
    </row>
    <row r="86" spans="1:24" ht="15" customHeight="1">
      <c r="A86" s="533"/>
      <c r="B86" s="347" t="s">
        <v>569</v>
      </c>
      <c r="C86" s="294">
        <v>0</v>
      </c>
      <c r="D86" s="294">
        <v>0</v>
      </c>
      <c r="E86" s="294">
        <v>0</v>
      </c>
      <c r="F86" s="294">
        <v>0</v>
      </c>
      <c r="G86" s="294">
        <v>0</v>
      </c>
      <c r="H86" s="294">
        <v>0</v>
      </c>
      <c r="I86" s="294">
        <v>0</v>
      </c>
      <c r="J86" s="294">
        <v>0</v>
      </c>
      <c r="K86" s="294">
        <v>0</v>
      </c>
      <c r="L86" s="294">
        <v>0</v>
      </c>
      <c r="M86" s="294">
        <v>0</v>
      </c>
      <c r="N86" s="294">
        <v>0</v>
      </c>
      <c r="O86" s="294">
        <v>0</v>
      </c>
      <c r="P86" s="294">
        <v>0</v>
      </c>
      <c r="Q86" s="294">
        <v>0</v>
      </c>
      <c r="R86" s="294">
        <v>0</v>
      </c>
      <c r="S86" s="294">
        <v>0</v>
      </c>
      <c r="T86" s="294">
        <v>0</v>
      </c>
      <c r="U86" s="294">
        <v>0</v>
      </c>
      <c r="V86" s="294">
        <v>0</v>
      </c>
      <c r="W86" s="294">
        <v>0</v>
      </c>
      <c r="X86" s="295">
        <f t="shared" si="4"/>
        <v>0</v>
      </c>
    </row>
    <row r="87" spans="1:24" ht="15" customHeight="1">
      <c r="A87" s="533"/>
      <c r="B87" s="347" t="s">
        <v>570</v>
      </c>
      <c r="C87" s="294">
        <v>0</v>
      </c>
      <c r="D87" s="294">
        <v>0</v>
      </c>
      <c r="E87" s="294">
        <v>0</v>
      </c>
      <c r="F87" s="294">
        <v>0</v>
      </c>
      <c r="G87" s="294">
        <v>0</v>
      </c>
      <c r="H87" s="294">
        <v>0</v>
      </c>
      <c r="I87" s="294">
        <v>0</v>
      </c>
      <c r="J87" s="294">
        <v>0</v>
      </c>
      <c r="K87" s="294">
        <v>0</v>
      </c>
      <c r="L87" s="294">
        <v>0</v>
      </c>
      <c r="M87" s="294">
        <v>0</v>
      </c>
      <c r="N87" s="294">
        <v>0</v>
      </c>
      <c r="O87" s="294">
        <v>0</v>
      </c>
      <c r="P87" s="294">
        <v>0</v>
      </c>
      <c r="Q87" s="294">
        <v>0</v>
      </c>
      <c r="R87" s="294">
        <v>0</v>
      </c>
      <c r="S87" s="294">
        <v>0</v>
      </c>
      <c r="T87" s="294">
        <v>0</v>
      </c>
      <c r="U87" s="294">
        <v>0</v>
      </c>
      <c r="V87" s="294">
        <v>0</v>
      </c>
      <c r="W87" s="294">
        <v>0</v>
      </c>
      <c r="X87" s="295">
        <f t="shared" si="4"/>
        <v>0</v>
      </c>
    </row>
    <row r="88" spans="1:24" ht="15" customHeight="1">
      <c r="A88" s="533"/>
      <c r="B88" s="347" t="s">
        <v>571</v>
      </c>
      <c r="C88" s="294">
        <v>0</v>
      </c>
      <c r="D88" s="294">
        <v>0</v>
      </c>
      <c r="E88" s="294">
        <v>0</v>
      </c>
      <c r="F88" s="294">
        <v>0</v>
      </c>
      <c r="G88" s="294">
        <v>0</v>
      </c>
      <c r="H88" s="294">
        <v>0</v>
      </c>
      <c r="I88" s="294">
        <v>0</v>
      </c>
      <c r="J88" s="294">
        <v>0</v>
      </c>
      <c r="K88" s="294">
        <v>0</v>
      </c>
      <c r="L88" s="294">
        <v>0</v>
      </c>
      <c r="M88" s="294">
        <v>0</v>
      </c>
      <c r="N88" s="294">
        <v>0</v>
      </c>
      <c r="O88" s="294">
        <v>0</v>
      </c>
      <c r="P88" s="294">
        <v>0</v>
      </c>
      <c r="Q88" s="294">
        <v>0</v>
      </c>
      <c r="R88" s="294">
        <v>0</v>
      </c>
      <c r="S88" s="294">
        <v>0</v>
      </c>
      <c r="T88" s="294">
        <v>0</v>
      </c>
      <c r="U88" s="294">
        <v>0</v>
      </c>
      <c r="V88" s="294">
        <v>0</v>
      </c>
      <c r="W88" s="294">
        <v>0</v>
      </c>
      <c r="X88" s="295">
        <f t="shared" si="4"/>
        <v>0</v>
      </c>
    </row>
    <row r="89" spans="1:24" ht="15" customHeight="1">
      <c r="A89" s="533"/>
      <c r="B89" s="347" t="s">
        <v>572</v>
      </c>
      <c r="C89" s="294">
        <v>0</v>
      </c>
      <c r="D89" s="294">
        <v>0</v>
      </c>
      <c r="E89" s="294">
        <v>0</v>
      </c>
      <c r="F89" s="294">
        <v>0</v>
      </c>
      <c r="G89" s="294">
        <v>0</v>
      </c>
      <c r="H89" s="294">
        <v>0</v>
      </c>
      <c r="I89" s="294">
        <v>0</v>
      </c>
      <c r="J89" s="294">
        <v>0</v>
      </c>
      <c r="K89" s="294">
        <v>0</v>
      </c>
      <c r="L89" s="294">
        <v>0</v>
      </c>
      <c r="M89" s="294">
        <v>0</v>
      </c>
      <c r="N89" s="294">
        <v>0</v>
      </c>
      <c r="O89" s="294">
        <v>0</v>
      </c>
      <c r="P89" s="294">
        <v>0</v>
      </c>
      <c r="Q89" s="294">
        <v>0</v>
      </c>
      <c r="R89" s="294">
        <v>0</v>
      </c>
      <c r="S89" s="294">
        <v>0</v>
      </c>
      <c r="T89" s="294">
        <v>0</v>
      </c>
      <c r="U89" s="294">
        <v>0</v>
      </c>
      <c r="V89" s="294">
        <v>0</v>
      </c>
      <c r="W89" s="294">
        <v>0</v>
      </c>
      <c r="X89" s="295">
        <f t="shared" si="4"/>
        <v>0</v>
      </c>
    </row>
    <row r="90" spans="1:24" ht="15" customHeight="1">
      <c r="A90" s="533"/>
      <c r="B90" s="347" t="s">
        <v>573</v>
      </c>
      <c r="C90" s="294">
        <v>0</v>
      </c>
      <c r="D90" s="294">
        <v>0</v>
      </c>
      <c r="E90" s="294">
        <v>0</v>
      </c>
      <c r="F90" s="294">
        <v>0</v>
      </c>
      <c r="G90" s="294">
        <v>0</v>
      </c>
      <c r="H90" s="294">
        <v>0</v>
      </c>
      <c r="I90" s="294">
        <v>0</v>
      </c>
      <c r="J90" s="294">
        <v>0</v>
      </c>
      <c r="K90" s="294">
        <v>0</v>
      </c>
      <c r="L90" s="294">
        <v>0</v>
      </c>
      <c r="M90" s="294">
        <v>0</v>
      </c>
      <c r="N90" s="294">
        <v>0</v>
      </c>
      <c r="O90" s="294">
        <v>0</v>
      </c>
      <c r="P90" s="294">
        <v>0</v>
      </c>
      <c r="Q90" s="294">
        <v>0</v>
      </c>
      <c r="R90" s="294">
        <v>0</v>
      </c>
      <c r="S90" s="294">
        <v>0</v>
      </c>
      <c r="T90" s="294">
        <v>0</v>
      </c>
      <c r="U90" s="294">
        <v>0</v>
      </c>
      <c r="V90" s="294">
        <v>0</v>
      </c>
      <c r="W90" s="294">
        <v>0</v>
      </c>
      <c r="X90" s="295">
        <f t="shared" si="4"/>
        <v>0</v>
      </c>
    </row>
    <row r="91" spans="1:24" ht="15" customHeight="1">
      <c r="A91" s="533"/>
      <c r="B91" s="347" t="s">
        <v>574</v>
      </c>
      <c r="C91" s="294">
        <v>0</v>
      </c>
      <c r="D91" s="294">
        <v>0</v>
      </c>
      <c r="E91" s="294">
        <v>0</v>
      </c>
      <c r="F91" s="294">
        <v>0</v>
      </c>
      <c r="G91" s="294">
        <v>0</v>
      </c>
      <c r="H91" s="294">
        <v>0</v>
      </c>
      <c r="I91" s="294">
        <v>0</v>
      </c>
      <c r="J91" s="294">
        <v>0</v>
      </c>
      <c r="K91" s="294">
        <v>0</v>
      </c>
      <c r="L91" s="294">
        <v>0</v>
      </c>
      <c r="M91" s="294">
        <v>0</v>
      </c>
      <c r="N91" s="294">
        <v>0</v>
      </c>
      <c r="O91" s="294">
        <v>0</v>
      </c>
      <c r="P91" s="294">
        <v>0</v>
      </c>
      <c r="Q91" s="294">
        <v>0</v>
      </c>
      <c r="R91" s="294">
        <v>0</v>
      </c>
      <c r="S91" s="294">
        <v>0</v>
      </c>
      <c r="T91" s="294">
        <v>0</v>
      </c>
      <c r="U91" s="294">
        <v>0</v>
      </c>
      <c r="V91" s="294">
        <v>0</v>
      </c>
      <c r="W91" s="294">
        <v>0</v>
      </c>
      <c r="X91" s="295">
        <f t="shared" si="4"/>
        <v>0</v>
      </c>
    </row>
    <row r="92" spans="1:24" ht="15" customHeight="1">
      <c r="A92" s="533"/>
      <c r="B92" s="347" t="s">
        <v>575</v>
      </c>
      <c r="C92" s="294">
        <v>0</v>
      </c>
      <c r="D92" s="294">
        <v>0</v>
      </c>
      <c r="E92" s="294">
        <v>0</v>
      </c>
      <c r="F92" s="294">
        <v>0</v>
      </c>
      <c r="G92" s="294">
        <v>0</v>
      </c>
      <c r="H92" s="294">
        <v>0</v>
      </c>
      <c r="I92" s="294">
        <v>0</v>
      </c>
      <c r="J92" s="294">
        <v>0</v>
      </c>
      <c r="K92" s="294">
        <v>0</v>
      </c>
      <c r="L92" s="294">
        <v>0</v>
      </c>
      <c r="M92" s="294">
        <v>0</v>
      </c>
      <c r="N92" s="294">
        <v>0</v>
      </c>
      <c r="O92" s="294">
        <v>0</v>
      </c>
      <c r="P92" s="294">
        <v>0</v>
      </c>
      <c r="Q92" s="294">
        <v>0</v>
      </c>
      <c r="R92" s="294">
        <v>0</v>
      </c>
      <c r="S92" s="294">
        <v>0</v>
      </c>
      <c r="T92" s="294">
        <v>0</v>
      </c>
      <c r="U92" s="294">
        <v>0</v>
      </c>
      <c r="V92" s="294">
        <v>0</v>
      </c>
      <c r="W92" s="294">
        <v>0</v>
      </c>
      <c r="X92" s="295">
        <f t="shared" si="4"/>
        <v>0</v>
      </c>
    </row>
    <row r="93" spans="1:24" ht="15" customHeight="1">
      <c r="A93" s="533"/>
      <c r="B93" s="347" t="s">
        <v>576</v>
      </c>
      <c r="C93" s="294">
        <v>0</v>
      </c>
      <c r="D93" s="294">
        <v>0</v>
      </c>
      <c r="E93" s="294">
        <v>0</v>
      </c>
      <c r="F93" s="294">
        <v>0</v>
      </c>
      <c r="G93" s="294">
        <v>0</v>
      </c>
      <c r="H93" s="294">
        <v>0</v>
      </c>
      <c r="I93" s="294">
        <v>0</v>
      </c>
      <c r="J93" s="294">
        <v>0</v>
      </c>
      <c r="K93" s="294">
        <v>0</v>
      </c>
      <c r="L93" s="294">
        <v>0</v>
      </c>
      <c r="M93" s="294">
        <v>0</v>
      </c>
      <c r="N93" s="294">
        <v>0</v>
      </c>
      <c r="O93" s="294">
        <v>0</v>
      </c>
      <c r="P93" s="294">
        <v>0</v>
      </c>
      <c r="Q93" s="294">
        <v>0</v>
      </c>
      <c r="R93" s="294">
        <v>0</v>
      </c>
      <c r="S93" s="294">
        <v>0</v>
      </c>
      <c r="T93" s="294">
        <v>0</v>
      </c>
      <c r="U93" s="294">
        <v>0</v>
      </c>
      <c r="V93" s="294">
        <v>0</v>
      </c>
      <c r="W93" s="294">
        <v>0</v>
      </c>
      <c r="X93" s="295">
        <f t="shared" si="4"/>
        <v>0</v>
      </c>
    </row>
    <row r="94" spans="1:24" ht="15" customHeight="1">
      <c r="A94" s="533"/>
      <c r="B94" s="347" t="s">
        <v>577</v>
      </c>
      <c r="C94" s="294">
        <v>0</v>
      </c>
      <c r="D94" s="294">
        <v>0</v>
      </c>
      <c r="E94" s="294">
        <v>0</v>
      </c>
      <c r="F94" s="294">
        <v>0</v>
      </c>
      <c r="G94" s="294">
        <v>0</v>
      </c>
      <c r="H94" s="294">
        <v>0</v>
      </c>
      <c r="I94" s="294">
        <v>0</v>
      </c>
      <c r="J94" s="294">
        <v>0</v>
      </c>
      <c r="K94" s="294">
        <v>0</v>
      </c>
      <c r="L94" s="294">
        <v>0</v>
      </c>
      <c r="M94" s="294">
        <v>0</v>
      </c>
      <c r="N94" s="294">
        <v>0</v>
      </c>
      <c r="O94" s="294">
        <v>0</v>
      </c>
      <c r="P94" s="294">
        <v>0</v>
      </c>
      <c r="Q94" s="294">
        <v>0</v>
      </c>
      <c r="R94" s="294">
        <v>0</v>
      </c>
      <c r="S94" s="294">
        <v>0</v>
      </c>
      <c r="T94" s="294">
        <v>0</v>
      </c>
      <c r="U94" s="294">
        <v>0</v>
      </c>
      <c r="V94" s="294">
        <v>0</v>
      </c>
      <c r="W94" s="294">
        <v>0</v>
      </c>
      <c r="X94" s="295">
        <f t="shared" si="4"/>
        <v>0</v>
      </c>
    </row>
    <row r="95" spans="1:24" ht="15" customHeight="1">
      <c r="A95" s="533"/>
      <c r="B95" s="347" t="s">
        <v>578</v>
      </c>
      <c r="C95" s="294">
        <v>0</v>
      </c>
      <c r="D95" s="294">
        <v>0</v>
      </c>
      <c r="E95" s="294">
        <v>0</v>
      </c>
      <c r="F95" s="294">
        <v>0</v>
      </c>
      <c r="G95" s="294">
        <v>0</v>
      </c>
      <c r="H95" s="294">
        <v>0</v>
      </c>
      <c r="I95" s="294">
        <v>0</v>
      </c>
      <c r="J95" s="294">
        <v>0</v>
      </c>
      <c r="K95" s="294">
        <v>0</v>
      </c>
      <c r="L95" s="294">
        <v>0</v>
      </c>
      <c r="M95" s="294">
        <v>0</v>
      </c>
      <c r="N95" s="294">
        <v>0</v>
      </c>
      <c r="O95" s="294">
        <v>0</v>
      </c>
      <c r="P95" s="294">
        <v>0</v>
      </c>
      <c r="Q95" s="294">
        <v>0</v>
      </c>
      <c r="R95" s="294">
        <v>0</v>
      </c>
      <c r="S95" s="294">
        <v>0</v>
      </c>
      <c r="T95" s="294">
        <v>0</v>
      </c>
      <c r="U95" s="294">
        <v>0</v>
      </c>
      <c r="V95" s="294">
        <v>0</v>
      </c>
      <c r="W95" s="294">
        <v>0</v>
      </c>
      <c r="X95" s="295">
        <f t="shared" si="4"/>
        <v>0</v>
      </c>
    </row>
    <row r="96" spans="1:24" ht="15" customHeight="1">
      <c r="A96" s="533"/>
      <c r="B96" s="347" t="s">
        <v>579</v>
      </c>
      <c r="C96" s="294">
        <v>0</v>
      </c>
      <c r="D96" s="294">
        <v>0</v>
      </c>
      <c r="E96" s="294">
        <v>0</v>
      </c>
      <c r="F96" s="294">
        <v>0</v>
      </c>
      <c r="G96" s="294">
        <v>0</v>
      </c>
      <c r="H96" s="294">
        <v>0</v>
      </c>
      <c r="I96" s="294">
        <v>0</v>
      </c>
      <c r="J96" s="294">
        <v>0</v>
      </c>
      <c r="K96" s="294">
        <v>0</v>
      </c>
      <c r="L96" s="294">
        <v>0</v>
      </c>
      <c r="M96" s="294">
        <v>0</v>
      </c>
      <c r="N96" s="294">
        <v>0</v>
      </c>
      <c r="O96" s="294">
        <v>0</v>
      </c>
      <c r="P96" s="294">
        <v>0</v>
      </c>
      <c r="Q96" s="294">
        <v>0</v>
      </c>
      <c r="R96" s="294">
        <v>0</v>
      </c>
      <c r="S96" s="294">
        <v>0</v>
      </c>
      <c r="T96" s="294">
        <v>0</v>
      </c>
      <c r="U96" s="294">
        <v>0</v>
      </c>
      <c r="V96" s="294">
        <v>0</v>
      </c>
      <c r="W96" s="294">
        <v>0</v>
      </c>
      <c r="X96" s="295">
        <f t="shared" si="4"/>
        <v>0</v>
      </c>
    </row>
    <row r="97" spans="1:24" ht="15" customHeight="1">
      <c r="A97" s="533"/>
      <c r="B97" s="347" t="s">
        <v>884</v>
      </c>
      <c r="C97" s="294">
        <v>0</v>
      </c>
      <c r="D97" s="294">
        <v>0</v>
      </c>
      <c r="E97" s="294">
        <v>0</v>
      </c>
      <c r="F97" s="294">
        <v>0</v>
      </c>
      <c r="G97" s="294">
        <v>0</v>
      </c>
      <c r="H97" s="294">
        <v>0</v>
      </c>
      <c r="I97" s="294">
        <v>0</v>
      </c>
      <c r="J97" s="294">
        <v>0</v>
      </c>
      <c r="K97" s="294">
        <v>0</v>
      </c>
      <c r="L97" s="294">
        <v>0</v>
      </c>
      <c r="M97" s="294">
        <v>0</v>
      </c>
      <c r="N97" s="294">
        <v>0</v>
      </c>
      <c r="O97" s="294">
        <v>0</v>
      </c>
      <c r="P97" s="294">
        <v>0</v>
      </c>
      <c r="Q97" s="294">
        <v>0</v>
      </c>
      <c r="R97" s="294">
        <v>0</v>
      </c>
      <c r="S97" s="294">
        <v>0</v>
      </c>
      <c r="T97" s="294">
        <v>0</v>
      </c>
      <c r="U97" s="294">
        <v>0</v>
      </c>
      <c r="V97" s="294">
        <v>0</v>
      </c>
      <c r="W97" s="294">
        <v>0</v>
      </c>
      <c r="X97" s="295">
        <f t="shared" si="4"/>
        <v>0</v>
      </c>
    </row>
    <row r="98" spans="1:24" ht="15" customHeight="1">
      <c r="A98" s="533"/>
      <c r="B98" s="347" t="s">
        <v>885</v>
      </c>
      <c r="C98" s="294">
        <v>0</v>
      </c>
      <c r="D98" s="294">
        <v>0</v>
      </c>
      <c r="E98" s="294">
        <v>0</v>
      </c>
      <c r="F98" s="294">
        <v>0</v>
      </c>
      <c r="G98" s="294">
        <v>0</v>
      </c>
      <c r="H98" s="294">
        <v>0</v>
      </c>
      <c r="I98" s="294">
        <v>0</v>
      </c>
      <c r="J98" s="294">
        <v>0</v>
      </c>
      <c r="K98" s="294">
        <v>0</v>
      </c>
      <c r="L98" s="294">
        <v>0</v>
      </c>
      <c r="M98" s="294">
        <v>0</v>
      </c>
      <c r="N98" s="294">
        <v>0</v>
      </c>
      <c r="O98" s="294">
        <v>0</v>
      </c>
      <c r="P98" s="294">
        <v>0</v>
      </c>
      <c r="Q98" s="294">
        <v>0</v>
      </c>
      <c r="R98" s="294">
        <v>0</v>
      </c>
      <c r="S98" s="294">
        <v>0</v>
      </c>
      <c r="T98" s="294">
        <v>0</v>
      </c>
      <c r="U98" s="294">
        <v>0</v>
      </c>
      <c r="V98" s="294">
        <v>0</v>
      </c>
      <c r="W98" s="294">
        <v>0</v>
      </c>
      <c r="X98" s="295">
        <f t="shared" si="4"/>
        <v>0</v>
      </c>
    </row>
    <row r="99" spans="1:24" ht="15" customHeight="1">
      <c r="A99" s="533"/>
      <c r="B99" s="347" t="s">
        <v>886</v>
      </c>
      <c r="C99" s="294">
        <v>0</v>
      </c>
      <c r="D99" s="294">
        <v>0</v>
      </c>
      <c r="E99" s="294">
        <v>0</v>
      </c>
      <c r="F99" s="294">
        <v>0</v>
      </c>
      <c r="G99" s="294">
        <v>0</v>
      </c>
      <c r="H99" s="294">
        <v>0</v>
      </c>
      <c r="I99" s="294">
        <v>0</v>
      </c>
      <c r="J99" s="294">
        <v>0</v>
      </c>
      <c r="K99" s="294">
        <v>0</v>
      </c>
      <c r="L99" s="294">
        <v>0</v>
      </c>
      <c r="M99" s="294">
        <v>0</v>
      </c>
      <c r="N99" s="294">
        <v>0</v>
      </c>
      <c r="O99" s="294">
        <v>0</v>
      </c>
      <c r="P99" s="294">
        <v>0</v>
      </c>
      <c r="Q99" s="294">
        <v>0</v>
      </c>
      <c r="R99" s="294">
        <v>0</v>
      </c>
      <c r="S99" s="294">
        <v>0</v>
      </c>
      <c r="T99" s="294">
        <v>0</v>
      </c>
      <c r="U99" s="294">
        <v>0</v>
      </c>
      <c r="V99" s="294">
        <v>0</v>
      </c>
      <c r="W99" s="294">
        <v>0</v>
      </c>
      <c r="X99" s="295">
        <f t="shared" si="4"/>
        <v>0</v>
      </c>
    </row>
    <row r="100" spans="1:24" ht="15" customHeight="1">
      <c r="A100" s="533"/>
      <c r="B100" s="347" t="s">
        <v>887</v>
      </c>
      <c r="C100" s="294">
        <v>0</v>
      </c>
      <c r="D100" s="294">
        <v>0</v>
      </c>
      <c r="E100" s="294">
        <v>0</v>
      </c>
      <c r="F100" s="294">
        <v>0</v>
      </c>
      <c r="G100" s="294">
        <v>0</v>
      </c>
      <c r="H100" s="294">
        <v>0</v>
      </c>
      <c r="I100" s="294">
        <v>0</v>
      </c>
      <c r="J100" s="294">
        <v>0</v>
      </c>
      <c r="K100" s="294">
        <v>0</v>
      </c>
      <c r="L100" s="294">
        <v>0</v>
      </c>
      <c r="M100" s="294">
        <v>0</v>
      </c>
      <c r="N100" s="294">
        <v>0</v>
      </c>
      <c r="O100" s="294">
        <v>0</v>
      </c>
      <c r="P100" s="294">
        <v>0</v>
      </c>
      <c r="Q100" s="294">
        <v>0</v>
      </c>
      <c r="R100" s="294">
        <v>0</v>
      </c>
      <c r="S100" s="294">
        <v>0</v>
      </c>
      <c r="T100" s="294">
        <v>0</v>
      </c>
      <c r="U100" s="294">
        <v>0</v>
      </c>
      <c r="V100" s="294">
        <v>0</v>
      </c>
      <c r="W100" s="294">
        <v>0</v>
      </c>
      <c r="X100" s="295">
        <f t="shared" si="4"/>
        <v>0</v>
      </c>
    </row>
    <row r="101" spans="1:24" ht="15" customHeight="1">
      <c r="A101" s="533"/>
      <c r="B101" s="347" t="s">
        <v>888</v>
      </c>
      <c r="C101" s="294">
        <v>0</v>
      </c>
      <c r="D101" s="294">
        <v>0</v>
      </c>
      <c r="E101" s="294">
        <v>0</v>
      </c>
      <c r="F101" s="294">
        <v>0</v>
      </c>
      <c r="G101" s="294">
        <v>0</v>
      </c>
      <c r="H101" s="294">
        <v>0</v>
      </c>
      <c r="I101" s="294">
        <v>0</v>
      </c>
      <c r="J101" s="294">
        <v>0</v>
      </c>
      <c r="K101" s="294">
        <v>0</v>
      </c>
      <c r="L101" s="294">
        <v>0</v>
      </c>
      <c r="M101" s="294">
        <v>0</v>
      </c>
      <c r="N101" s="294">
        <v>0</v>
      </c>
      <c r="O101" s="294">
        <v>0</v>
      </c>
      <c r="P101" s="294">
        <v>0</v>
      </c>
      <c r="Q101" s="294">
        <v>0</v>
      </c>
      <c r="R101" s="294">
        <v>0</v>
      </c>
      <c r="S101" s="294">
        <v>0</v>
      </c>
      <c r="T101" s="294">
        <v>0</v>
      </c>
      <c r="U101" s="294">
        <v>0</v>
      </c>
      <c r="V101" s="294">
        <v>0</v>
      </c>
      <c r="W101" s="294">
        <v>0</v>
      </c>
      <c r="X101" s="295">
        <f t="shared" si="4"/>
        <v>0</v>
      </c>
    </row>
    <row r="102" spans="1:24" ht="15" customHeight="1" thickBot="1">
      <c r="A102" s="534"/>
      <c r="B102" s="347" t="s">
        <v>889</v>
      </c>
      <c r="C102" s="294">
        <v>0</v>
      </c>
      <c r="D102" s="294">
        <v>0</v>
      </c>
      <c r="E102" s="294">
        <v>0</v>
      </c>
      <c r="F102" s="294">
        <v>0</v>
      </c>
      <c r="G102" s="294">
        <v>0</v>
      </c>
      <c r="H102" s="294">
        <v>0</v>
      </c>
      <c r="I102" s="294">
        <v>0</v>
      </c>
      <c r="J102" s="294">
        <v>0</v>
      </c>
      <c r="K102" s="294">
        <v>0</v>
      </c>
      <c r="L102" s="294">
        <v>0</v>
      </c>
      <c r="M102" s="294">
        <v>0</v>
      </c>
      <c r="N102" s="294">
        <v>0</v>
      </c>
      <c r="O102" s="294">
        <v>0</v>
      </c>
      <c r="P102" s="294">
        <v>0</v>
      </c>
      <c r="Q102" s="294">
        <v>0</v>
      </c>
      <c r="R102" s="294">
        <v>0</v>
      </c>
      <c r="S102" s="294">
        <v>0</v>
      </c>
      <c r="T102" s="294">
        <v>0</v>
      </c>
      <c r="U102" s="294">
        <v>0</v>
      </c>
      <c r="V102" s="294">
        <v>0</v>
      </c>
      <c r="W102" s="294">
        <v>0</v>
      </c>
      <c r="X102" s="295">
        <f t="shared" si="4"/>
        <v>0</v>
      </c>
    </row>
    <row r="103" spans="1:24" ht="15" customHeight="1">
      <c r="A103" s="533" t="s">
        <v>893</v>
      </c>
      <c r="B103" s="347" t="s">
        <v>890</v>
      </c>
      <c r="C103" s="294">
        <v>0</v>
      </c>
      <c r="D103" s="294">
        <v>0</v>
      </c>
      <c r="E103" s="294">
        <v>0</v>
      </c>
      <c r="F103" s="294">
        <v>0</v>
      </c>
      <c r="G103" s="294">
        <v>0</v>
      </c>
      <c r="H103" s="294">
        <v>0</v>
      </c>
      <c r="I103" s="294">
        <v>0</v>
      </c>
      <c r="J103" s="294">
        <v>0</v>
      </c>
      <c r="K103" s="294">
        <v>0</v>
      </c>
      <c r="L103" s="294">
        <v>0</v>
      </c>
      <c r="M103" s="294">
        <v>0</v>
      </c>
      <c r="N103" s="294">
        <v>0</v>
      </c>
      <c r="O103" s="294">
        <v>0</v>
      </c>
      <c r="P103" s="294">
        <v>0</v>
      </c>
      <c r="Q103" s="294">
        <v>0</v>
      </c>
      <c r="R103" s="294">
        <v>0</v>
      </c>
      <c r="S103" s="294">
        <v>0</v>
      </c>
      <c r="T103" s="294">
        <v>0</v>
      </c>
      <c r="U103" s="294">
        <v>0</v>
      </c>
      <c r="V103" s="294">
        <v>0</v>
      </c>
      <c r="W103" s="294">
        <v>0</v>
      </c>
      <c r="X103" s="295">
        <f t="shared" si="4"/>
        <v>0</v>
      </c>
    </row>
    <row r="104" spans="1:24" ht="15" customHeight="1">
      <c r="A104" s="533"/>
      <c r="B104" s="347" t="s">
        <v>891</v>
      </c>
      <c r="C104" s="294">
        <v>0</v>
      </c>
      <c r="D104" s="294">
        <v>0</v>
      </c>
      <c r="E104" s="294">
        <v>0</v>
      </c>
      <c r="F104" s="294">
        <v>0</v>
      </c>
      <c r="G104" s="294">
        <v>0</v>
      </c>
      <c r="H104" s="294">
        <v>0</v>
      </c>
      <c r="I104" s="294">
        <v>0</v>
      </c>
      <c r="J104" s="294">
        <v>0</v>
      </c>
      <c r="K104" s="294">
        <v>0</v>
      </c>
      <c r="L104" s="294">
        <v>0</v>
      </c>
      <c r="M104" s="294">
        <v>0</v>
      </c>
      <c r="N104" s="294">
        <v>0</v>
      </c>
      <c r="O104" s="294">
        <v>0</v>
      </c>
      <c r="P104" s="294">
        <v>0</v>
      </c>
      <c r="Q104" s="294">
        <v>0</v>
      </c>
      <c r="R104" s="294">
        <v>0</v>
      </c>
      <c r="S104" s="294">
        <v>0</v>
      </c>
      <c r="T104" s="294">
        <v>0</v>
      </c>
      <c r="U104" s="294">
        <v>0</v>
      </c>
      <c r="V104" s="294">
        <v>0</v>
      </c>
      <c r="W104" s="294">
        <v>0</v>
      </c>
      <c r="X104" s="295">
        <f t="shared" si="4"/>
        <v>0</v>
      </c>
    </row>
    <row r="105" spans="1:24" ht="15" customHeight="1">
      <c r="A105" s="533"/>
      <c r="B105" s="347" t="s">
        <v>565</v>
      </c>
      <c r="C105" s="294">
        <v>0</v>
      </c>
      <c r="D105" s="294">
        <v>0</v>
      </c>
      <c r="E105" s="294">
        <v>0</v>
      </c>
      <c r="F105" s="294">
        <v>0</v>
      </c>
      <c r="G105" s="294">
        <v>0</v>
      </c>
      <c r="H105" s="294">
        <v>0</v>
      </c>
      <c r="I105" s="294">
        <v>0</v>
      </c>
      <c r="J105" s="294">
        <v>0</v>
      </c>
      <c r="K105" s="294">
        <v>0</v>
      </c>
      <c r="L105" s="294">
        <v>0</v>
      </c>
      <c r="M105" s="294">
        <v>0</v>
      </c>
      <c r="N105" s="294">
        <v>0</v>
      </c>
      <c r="O105" s="294">
        <v>0</v>
      </c>
      <c r="P105" s="294">
        <v>0</v>
      </c>
      <c r="Q105" s="294">
        <v>0</v>
      </c>
      <c r="R105" s="294">
        <v>0</v>
      </c>
      <c r="S105" s="294">
        <v>0</v>
      </c>
      <c r="T105" s="294">
        <v>0</v>
      </c>
      <c r="U105" s="294">
        <v>0</v>
      </c>
      <c r="V105" s="294">
        <v>0</v>
      </c>
      <c r="W105" s="294">
        <v>0</v>
      </c>
      <c r="X105" s="295">
        <f t="shared" si="4"/>
        <v>0</v>
      </c>
    </row>
    <row r="106" spans="1:24" ht="15" customHeight="1">
      <c r="A106" s="533"/>
      <c r="B106" s="347" t="s">
        <v>566</v>
      </c>
      <c r="C106" s="294">
        <v>0</v>
      </c>
      <c r="D106" s="294">
        <v>0</v>
      </c>
      <c r="E106" s="294">
        <v>0</v>
      </c>
      <c r="F106" s="294">
        <v>0</v>
      </c>
      <c r="G106" s="294">
        <v>0</v>
      </c>
      <c r="H106" s="294">
        <v>0</v>
      </c>
      <c r="I106" s="294">
        <v>0</v>
      </c>
      <c r="J106" s="294">
        <v>0</v>
      </c>
      <c r="K106" s="294">
        <v>0</v>
      </c>
      <c r="L106" s="294">
        <v>0</v>
      </c>
      <c r="M106" s="294">
        <v>0</v>
      </c>
      <c r="N106" s="294">
        <v>0</v>
      </c>
      <c r="O106" s="294">
        <v>0</v>
      </c>
      <c r="P106" s="294">
        <v>0</v>
      </c>
      <c r="Q106" s="294">
        <v>0</v>
      </c>
      <c r="R106" s="294">
        <v>0</v>
      </c>
      <c r="S106" s="294">
        <v>0</v>
      </c>
      <c r="T106" s="294">
        <v>0</v>
      </c>
      <c r="U106" s="294">
        <v>0</v>
      </c>
      <c r="V106" s="294">
        <v>0</v>
      </c>
      <c r="W106" s="294">
        <v>0</v>
      </c>
      <c r="X106" s="295">
        <f t="shared" si="4"/>
        <v>0</v>
      </c>
    </row>
    <row r="107" spans="1:24" ht="15" customHeight="1">
      <c r="A107" s="533"/>
      <c r="B107" s="347" t="s">
        <v>567</v>
      </c>
      <c r="C107" s="294">
        <v>0</v>
      </c>
      <c r="D107" s="294">
        <v>0</v>
      </c>
      <c r="E107" s="294">
        <v>0</v>
      </c>
      <c r="F107" s="294">
        <v>0</v>
      </c>
      <c r="G107" s="294">
        <v>0</v>
      </c>
      <c r="H107" s="294">
        <v>0</v>
      </c>
      <c r="I107" s="294">
        <v>0</v>
      </c>
      <c r="J107" s="294">
        <v>0</v>
      </c>
      <c r="K107" s="294">
        <v>0</v>
      </c>
      <c r="L107" s="294">
        <v>0</v>
      </c>
      <c r="M107" s="294">
        <v>0</v>
      </c>
      <c r="N107" s="294">
        <v>0</v>
      </c>
      <c r="O107" s="294">
        <v>0</v>
      </c>
      <c r="P107" s="294">
        <v>0</v>
      </c>
      <c r="Q107" s="294">
        <v>0</v>
      </c>
      <c r="R107" s="294">
        <v>0</v>
      </c>
      <c r="S107" s="294">
        <v>0</v>
      </c>
      <c r="T107" s="294">
        <v>0</v>
      </c>
      <c r="U107" s="294">
        <v>0</v>
      </c>
      <c r="V107" s="294">
        <v>0</v>
      </c>
      <c r="W107" s="294">
        <v>0</v>
      </c>
      <c r="X107" s="295">
        <f t="shared" si="4"/>
        <v>0</v>
      </c>
    </row>
    <row r="108" spans="1:24" ht="15" customHeight="1">
      <c r="A108" s="533"/>
      <c r="B108" s="347" t="s">
        <v>568</v>
      </c>
      <c r="C108" s="294">
        <v>0</v>
      </c>
      <c r="D108" s="294">
        <v>0</v>
      </c>
      <c r="E108" s="294">
        <v>0</v>
      </c>
      <c r="F108" s="294">
        <v>0</v>
      </c>
      <c r="G108" s="294">
        <v>0</v>
      </c>
      <c r="H108" s="294">
        <v>0</v>
      </c>
      <c r="I108" s="294">
        <v>0</v>
      </c>
      <c r="J108" s="294">
        <v>0</v>
      </c>
      <c r="K108" s="294">
        <v>0</v>
      </c>
      <c r="L108" s="294">
        <v>0</v>
      </c>
      <c r="M108" s="294">
        <v>0</v>
      </c>
      <c r="N108" s="294">
        <v>0</v>
      </c>
      <c r="O108" s="294">
        <v>0</v>
      </c>
      <c r="P108" s="294">
        <v>0</v>
      </c>
      <c r="Q108" s="294">
        <v>0</v>
      </c>
      <c r="R108" s="294">
        <v>0</v>
      </c>
      <c r="S108" s="294">
        <v>0</v>
      </c>
      <c r="T108" s="294">
        <v>0</v>
      </c>
      <c r="U108" s="294">
        <v>0</v>
      </c>
      <c r="V108" s="294">
        <v>0</v>
      </c>
      <c r="W108" s="294">
        <v>0</v>
      </c>
      <c r="X108" s="295">
        <f t="shared" si="4"/>
        <v>0</v>
      </c>
    </row>
    <row r="109" spans="1:24" ht="15" customHeight="1">
      <c r="A109" s="533"/>
      <c r="B109" s="347" t="s">
        <v>569</v>
      </c>
      <c r="C109" s="294">
        <v>0</v>
      </c>
      <c r="D109" s="294">
        <v>0</v>
      </c>
      <c r="E109" s="294">
        <v>0</v>
      </c>
      <c r="F109" s="294">
        <v>0</v>
      </c>
      <c r="G109" s="294">
        <v>0</v>
      </c>
      <c r="H109" s="294">
        <v>0</v>
      </c>
      <c r="I109" s="294">
        <v>0</v>
      </c>
      <c r="J109" s="294">
        <v>0</v>
      </c>
      <c r="K109" s="294">
        <v>0</v>
      </c>
      <c r="L109" s="294">
        <v>0</v>
      </c>
      <c r="M109" s="294">
        <v>0</v>
      </c>
      <c r="N109" s="294">
        <v>0</v>
      </c>
      <c r="O109" s="294">
        <v>0</v>
      </c>
      <c r="P109" s="294">
        <v>0</v>
      </c>
      <c r="Q109" s="294">
        <v>0</v>
      </c>
      <c r="R109" s="294">
        <v>0</v>
      </c>
      <c r="S109" s="294">
        <v>0</v>
      </c>
      <c r="T109" s="294">
        <v>0</v>
      </c>
      <c r="U109" s="294">
        <v>0</v>
      </c>
      <c r="V109" s="294">
        <v>0</v>
      </c>
      <c r="W109" s="294">
        <v>0</v>
      </c>
      <c r="X109" s="295">
        <f t="shared" si="4"/>
        <v>0</v>
      </c>
    </row>
    <row r="110" spans="1:24" ht="15" customHeight="1">
      <c r="A110" s="533"/>
      <c r="B110" s="347" t="s">
        <v>570</v>
      </c>
      <c r="C110" s="294">
        <v>0</v>
      </c>
      <c r="D110" s="294">
        <v>0</v>
      </c>
      <c r="E110" s="294">
        <v>0</v>
      </c>
      <c r="F110" s="294">
        <v>0</v>
      </c>
      <c r="G110" s="294">
        <v>0</v>
      </c>
      <c r="H110" s="294">
        <v>0</v>
      </c>
      <c r="I110" s="294">
        <v>0</v>
      </c>
      <c r="J110" s="294">
        <v>0</v>
      </c>
      <c r="K110" s="294">
        <v>0</v>
      </c>
      <c r="L110" s="294">
        <v>0</v>
      </c>
      <c r="M110" s="294">
        <v>0</v>
      </c>
      <c r="N110" s="294">
        <v>0</v>
      </c>
      <c r="O110" s="294">
        <v>0</v>
      </c>
      <c r="P110" s="294">
        <v>0</v>
      </c>
      <c r="Q110" s="294">
        <v>0</v>
      </c>
      <c r="R110" s="294">
        <v>0</v>
      </c>
      <c r="S110" s="294">
        <v>0</v>
      </c>
      <c r="T110" s="294">
        <v>0</v>
      </c>
      <c r="U110" s="294">
        <v>0</v>
      </c>
      <c r="V110" s="294">
        <v>0</v>
      </c>
      <c r="W110" s="294">
        <v>0</v>
      </c>
      <c r="X110" s="295">
        <f t="shared" si="4"/>
        <v>0</v>
      </c>
    </row>
    <row r="111" spans="1:24" ht="15" customHeight="1">
      <c r="A111" s="533"/>
      <c r="B111" s="347" t="s">
        <v>571</v>
      </c>
      <c r="C111" s="294">
        <v>0</v>
      </c>
      <c r="D111" s="294">
        <v>0</v>
      </c>
      <c r="E111" s="294">
        <v>0</v>
      </c>
      <c r="F111" s="294">
        <v>0</v>
      </c>
      <c r="G111" s="294">
        <v>0</v>
      </c>
      <c r="H111" s="294">
        <v>0</v>
      </c>
      <c r="I111" s="294">
        <v>0</v>
      </c>
      <c r="J111" s="294">
        <v>0</v>
      </c>
      <c r="K111" s="294">
        <v>0</v>
      </c>
      <c r="L111" s="294">
        <v>0</v>
      </c>
      <c r="M111" s="294">
        <v>0</v>
      </c>
      <c r="N111" s="294">
        <v>0</v>
      </c>
      <c r="O111" s="294">
        <v>0</v>
      </c>
      <c r="P111" s="294">
        <v>0</v>
      </c>
      <c r="Q111" s="294">
        <v>0</v>
      </c>
      <c r="R111" s="294">
        <v>0</v>
      </c>
      <c r="S111" s="294">
        <v>0</v>
      </c>
      <c r="T111" s="294">
        <v>0</v>
      </c>
      <c r="U111" s="294">
        <v>0</v>
      </c>
      <c r="V111" s="294">
        <v>0</v>
      </c>
      <c r="W111" s="294">
        <v>0</v>
      </c>
      <c r="X111" s="295">
        <f t="shared" si="4"/>
        <v>0</v>
      </c>
    </row>
    <row r="112" spans="1:24" ht="15" customHeight="1">
      <c r="A112" s="533"/>
      <c r="B112" s="347" t="s">
        <v>572</v>
      </c>
      <c r="C112" s="294">
        <v>0</v>
      </c>
      <c r="D112" s="294">
        <v>0</v>
      </c>
      <c r="E112" s="294">
        <v>0</v>
      </c>
      <c r="F112" s="294">
        <v>0</v>
      </c>
      <c r="G112" s="294">
        <v>0</v>
      </c>
      <c r="H112" s="294">
        <v>0</v>
      </c>
      <c r="I112" s="294">
        <v>0</v>
      </c>
      <c r="J112" s="294">
        <v>0</v>
      </c>
      <c r="K112" s="294">
        <v>0</v>
      </c>
      <c r="L112" s="294">
        <v>0</v>
      </c>
      <c r="M112" s="294">
        <v>0</v>
      </c>
      <c r="N112" s="294">
        <v>0</v>
      </c>
      <c r="O112" s="294">
        <v>0</v>
      </c>
      <c r="P112" s="294">
        <v>0</v>
      </c>
      <c r="Q112" s="294">
        <v>0</v>
      </c>
      <c r="R112" s="294">
        <v>0</v>
      </c>
      <c r="S112" s="294">
        <v>0</v>
      </c>
      <c r="T112" s="294">
        <v>0</v>
      </c>
      <c r="U112" s="294">
        <v>0</v>
      </c>
      <c r="V112" s="294">
        <v>0</v>
      </c>
      <c r="W112" s="294">
        <v>0</v>
      </c>
      <c r="X112" s="295">
        <f t="shared" si="4"/>
        <v>0</v>
      </c>
    </row>
    <row r="113" spans="1:36" ht="15" customHeight="1">
      <c r="A113" s="533"/>
      <c r="B113" s="347" t="s">
        <v>573</v>
      </c>
      <c r="C113" s="294">
        <v>0</v>
      </c>
      <c r="D113" s="294">
        <v>0</v>
      </c>
      <c r="E113" s="294">
        <v>0</v>
      </c>
      <c r="F113" s="294">
        <v>0</v>
      </c>
      <c r="G113" s="294">
        <v>0</v>
      </c>
      <c r="H113" s="294">
        <v>0</v>
      </c>
      <c r="I113" s="294">
        <v>0</v>
      </c>
      <c r="J113" s="294">
        <v>0</v>
      </c>
      <c r="K113" s="294">
        <v>0</v>
      </c>
      <c r="L113" s="294">
        <v>0</v>
      </c>
      <c r="M113" s="294">
        <v>0</v>
      </c>
      <c r="N113" s="294">
        <v>0</v>
      </c>
      <c r="O113" s="294">
        <v>0</v>
      </c>
      <c r="P113" s="294">
        <v>0</v>
      </c>
      <c r="Q113" s="294">
        <v>0</v>
      </c>
      <c r="R113" s="294">
        <v>0</v>
      </c>
      <c r="S113" s="294">
        <v>0</v>
      </c>
      <c r="T113" s="294">
        <v>0</v>
      </c>
      <c r="U113" s="294">
        <v>0</v>
      </c>
      <c r="V113" s="294">
        <v>0</v>
      </c>
      <c r="W113" s="294">
        <v>0</v>
      </c>
      <c r="X113" s="295">
        <f t="shared" si="4"/>
        <v>0</v>
      </c>
    </row>
    <row r="114" spans="1:36" ht="15" customHeight="1">
      <c r="A114" s="533"/>
      <c r="B114" s="347" t="s">
        <v>574</v>
      </c>
      <c r="C114" s="294">
        <v>0</v>
      </c>
      <c r="D114" s="294">
        <v>0</v>
      </c>
      <c r="E114" s="294">
        <v>0</v>
      </c>
      <c r="F114" s="294">
        <v>0</v>
      </c>
      <c r="G114" s="294">
        <v>0</v>
      </c>
      <c r="H114" s="294">
        <v>0</v>
      </c>
      <c r="I114" s="294">
        <v>0</v>
      </c>
      <c r="J114" s="294">
        <v>0</v>
      </c>
      <c r="K114" s="294">
        <v>0</v>
      </c>
      <c r="L114" s="294">
        <v>0</v>
      </c>
      <c r="M114" s="294">
        <v>0</v>
      </c>
      <c r="N114" s="294">
        <v>0</v>
      </c>
      <c r="O114" s="294">
        <v>0</v>
      </c>
      <c r="P114" s="294">
        <v>0</v>
      </c>
      <c r="Q114" s="294">
        <v>0</v>
      </c>
      <c r="R114" s="294">
        <v>0</v>
      </c>
      <c r="S114" s="294">
        <v>0</v>
      </c>
      <c r="T114" s="294">
        <v>0</v>
      </c>
      <c r="U114" s="294">
        <v>0</v>
      </c>
      <c r="V114" s="294">
        <v>0</v>
      </c>
      <c r="W114" s="294">
        <v>0</v>
      </c>
      <c r="X114" s="295">
        <f t="shared" si="4"/>
        <v>0</v>
      </c>
    </row>
    <row r="115" spans="1:36" ht="15" customHeight="1">
      <c r="A115" s="533"/>
      <c r="B115" s="347" t="s">
        <v>575</v>
      </c>
      <c r="C115" s="294">
        <v>0</v>
      </c>
      <c r="D115" s="294">
        <v>0</v>
      </c>
      <c r="E115" s="294">
        <v>0</v>
      </c>
      <c r="F115" s="294">
        <v>0</v>
      </c>
      <c r="G115" s="294">
        <v>0</v>
      </c>
      <c r="H115" s="294">
        <v>0</v>
      </c>
      <c r="I115" s="294">
        <v>0</v>
      </c>
      <c r="J115" s="294">
        <v>0</v>
      </c>
      <c r="K115" s="294">
        <v>0</v>
      </c>
      <c r="L115" s="294">
        <v>0</v>
      </c>
      <c r="M115" s="294">
        <v>0</v>
      </c>
      <c r="N115" s="294">
        <v>0</v>
      </c>
      <c r="O115" s="294">
        <v>0</v>
      </c>
      <c r="P115" s="294">
        <v>0</v>
      </c>
      <c r="Q115" s="294">
        <v>0</v>
      </c>
      <c r="R115" s="294">
        <v>0</v>
      </c>
      <c r="S115" s="294">
        <v>0</v>
      </c>
      <c r="T115" s="294">
        <v>0</v>
      </c>
      <c r="U115" s="294">
        <v>0</v>
      </c>
      <c r="V115" s="294">
        <v>0</v>
      </c>
      <c r="W115" s="294">
        <v>0</v>
      </c>
      <c r="X115" s="295">
        <f t="shared" si="4"/>
        <v>0</v>
      </c>
    </row>
    <row r="116" spans="1:36" ht="15" customHeight="1">
      <c r="A116" s="533"/>
      <c r="B116" s="347" t="s">
        <v>576</v>
      </c>
      <c r="C116" s="294">
        <v>0</v>
      </c>
      <c r="D116" s="294">
        <v>0</v>
      </c>
      <c r="E116" s="294">
        <v>0</v>
      </c>
      <c r="F116" s="294">
        <v>0</v>
      </c>
      <c r="G116" s="294">
        <v>0</v>
      </c>
      <c r="H116" s="294">
        <v>0</v>
      </c>
      <c r="I116" s="294">
        <v>0</v>
      </c>
      <c r="J116" s="294">
        <v>0</v>
      </c>
      <c r="K116" s="294">
        <v>0</v>
      </c>
      <c r="L116" s="294">
        <v>0</v>
      </c>
      <c r="M116" s="294">
        <v>0</v>
      </c>
      <c r="N116" s="294">
        <v>0</v>
      </c>
      <c r="O116" s="294">
        <v>0</v>
      </c>
      <c r="P116" s="294">
        <v>0</v>
      </c>
      <c r="Q116" s="294">
        <v>0</v>
      </c>
      <c r="R116" s="294">
        <v>0</v>
      </c>
      <c r="S116" s="294">
        <v>0</v>
      </c>
      <c r="T116" s="294">
        <v>0</v>
      </c>
      <c r="U116" s="294">
        <v>0</v>
      </c>
      <c r="V116" s="294">
        <v>0</v>
      </c>
      <c r="W116" s="294">
        <v>0</v>
      </c>
      <c r="X116" s="295">
        <f t="shared" si="4"/>
        <v>0</v>
      </c>
    </row>
    <row r="117" spans="1:36" ht="15" customHeight="1">
      <c r="A117" s="533"/>
      <c r="B117" s="347" t="s">
        <v>577</v>
      </c>
      <c r="C117" s="294">
        <v>0</v>
      </c>
      <c r="D117" s="294">
        <v>0</v>
      </c>
      <c r="E117" s="294">
        <v>0</v>
      </c>
      <c r="F117" s="294">
        <v>0</v>
      </c>
      <c r="G117" s="294">
        <v>0</v>
      </c>
      <c r="H117" s="294">
        <v>0</v>
      </c>
      <c r="I117" s="294">
        <v>0</v>
      </c>
      <c r="J117" s="294">
        <v>0</v>
      </c>
      <c r="K117" s="294">
        <v>0</v>
      </c>
      <c r="L117" s="294">
        <v>0</v>
      </c>
      <c r="M117" s="294">
        <v>0</v>
      </c>
      <c r="N117" s="294">
        <v>0</v>
      </c>
      <c r="O117" s="294">
        <v>0</v>
      </c>
      <c r="P117" s="294">
        <v>0</v>
      </c>
      <c r="Q117" s="294">
        <v>0</v>
      </c>
      <c r="R117" s="294">
        <v>0</v>
      </c>
      <c r="S117" s="294">
        <v>0</v>
      </c>
      <c r="T117" s="294">
        <v>0</v>
      </c>
      <c r="U117" s="294">
        <v>0</v>
      </c>
      <c r="V117" s="294">
        <v>0</v>
      </c>
      <c r="W117" s="294">
        <v>0</v>
      </c>
      <c r="X117" s="295">
        <f t="shared" si="4"/>
        <v>0</v>
      </c>
    </row>
    <row r="118" spans="1:36" ht="15" customHeight="1">
      <c r="A118" s="533"/>
      <c r="B118" s="347" t="s">
        <v>578</v>
      </c>
      <c r="C118" s="294">
        <v>0</v>
      </c>
      <c r="D118" s="294">
        <v>0</v>
      </c>
      <c r="E118" s="294">
        <v>0</v>
      </c>
      <c r="F118" s="294">
        <v>0</v>
      </c>
      <c r="G118" s="294">
        <v>0</v>
      </c>
      <c r="H118" s="294">
        <v>0</v>
      </c>
      <c r="I118" s="294">
        <v>0</v>
      </c>
      <c r="J118" s="294">
        <v>0</v>
      </c>
      <c r="K118" s="294">
        <v>0</v>
      </c>
      <c r="L118" s="294">
        <v>0</v>
      </c>
      <c r="M118" s="294">
        <v>0</v>
      </c>
      <c r="N118" s="294">
        <v>0</v>
      </c>
      <c r="O118" s="294">
        <v>0</v>
      </c>
      <c r="P118" s="294">
        <v>0</v>
      </c>
      <c r="Q118" s="294">
        <v>0</v>
      </c>
      <c r="R118" s="294">
        <v>0</v>
      </c>
      <c r="S118" s="294">
        <v>0</v>
      </c>
      <c r="T118" s="294">
        <v>0</v>
      </c>
      <c r="U118" s="294">
        <v>0</v>
      </c>
      <c r="V118" s="294">
        <v>0</v>
      </c>
      <c r="W118" s="294">
        <v>0</v>
      </c>
      <c r="X118" s="295">
        <f t="shared" si="4"/>
        <v>0</v>
      </c>
    </row>
    <row r="119" spans="1:36" ht="15" customHeight="1">
      <c r="A119" s="533"/>
      <c r="B119" s="347" t="s">
        <v>579</v>
      </c>
      <c r="C119" s="294">
        <v>0</v>
      </c>
      <c r="D119" s="294">
        <v>0</v>
      </c>
      <c r="E119" s="294">
        <v>0</v>
      </c>
      <c r="F119" s="294">
        <v>0</v>
      </c>
      <c r="G119" s="294">
        <v>0</v>
      </c>
      <c r="H119" s="294">
        <v>0</v>
      </c>
      <c r="I119" s="294">
        <v>0</v>
      </c>
      <c r="J119" s="294">
        <v>0</v>
      </c>
      <c r="K119" s="294">
        <v>0</v>
      </c>
      <c r="L119" s="294">
        <v>0</v>
      </c>
      <c r="M119" s="294">
        <v>0</v>
      </c>
      <c r="N119" s="294">
        <v>0</v>
      </c>
      <c r="O119" s="294">
        <v>0</v>
      </c>
      <c r="P119" s="294">
        <v>0</v>
      </c>
      <c r="Q119" s="294">
        <v>0</v>
      </c>
      <c r="R119" s="294">
        <v>0</v>
      </c>
      <c r="S119" s="294">
        <v>0</v>
      </c>
      <c r="T119" s="294">
        <v>0</v>
      </c>
      <c r="U119" s="294">
        <v>0</v>
      </c>
      <c r="V119" s="294">
        <v>0</v>
      </c>
      <c r="W119" s="294">
        <v>0</v>
      </c>
      <c r="X119" s="295">
        <f t="shared" si="4"/>
        <v>0</v>
      </c>
    </row>
    <row r="120" spans="1:36" ht="15" customHeight="1">
      <c r="A120" s="533"/>
      <c r="B120" s="347" t="s">
        <v>884</v>
      </c>
      <c r="C120" s="294">
        <v>0</v>
      </c>
      <c r="D120" s="294">
        <v>0</v>
      </c>
      <c r="E120" s="294">
        <v>0</v>
      </c>
      <c r="F120" s="294">
        <v>0</v>
      </c>
      <c r="G120" s="294">
        <v>0</v>
      </c>
      <c r="H120" s="294">
        <v>0</v>
      </c>
      <c r="I120" s="294">
        <v>0</v>
      </c>
      <c r="J120" s="294">
        <v>0</v>
      </c>
      <c r="K120" s="294">
        <v>0</v>
      </c>
      <c r="L120" s="294">
        <v>0</v>
      </c>
      <c r="M120" s="294">
        <v>0</v>
      </c>
      <c r="N120" s="294">
        <v>0</v>
      </c>
      <c r="O120" s="294">
        <v>0</v>
      </c>
      <c r="P120" s="294">
        <v>0</v>
      </c>
      <c r="Q120" s="294">
        <v>0</v>
      </c>
      <c r="R120" s="294">
        <v>0</v>
      </c>
      <c r="S120" s="294">
        <v>0</v>
      </c>
      <c r="T120" s="294">
        <v>0</v>
      </c>
      <c r="U120" s="294">
        <v>0</v>
      </c>
      <c r="V120" s="294">
        <v>0</v>
      </c>
      <c r="W120" s="294">
        <v>0</v>
      </c>
      <c r="X120" s="295">
        <f t="shared" si="4"/>
        <v>0</v>
      </c>
    </row>
    <row r="121" spans="1:36" ht="15" customHeight="1">
      <c r="A121" s="533"/>
      <c r="B121" s="347" t="s">
        <v>885</v>
      </c>
      <c r="C121" s="294">
        <v>0</v>
      </c>
      <c r="D121" s="294">
        <v>0</v>
      </c>
      <c r="E121" s="294">
        <v>0</v>
      </c>
      <c r="F121" s="294">
        <v>0</v>
      </c>
      <c r="G121" s="294">
        <v>0</v>
      </c>
      <c r="H121" s="294">
        <v>0</v>
      </c>
      <c r="I121" s="294">
        <v>0</v>
      </c>
      <c r="J121" s="294">
        <v>0</v>
      </c>
      <c r="K121" s="294">
        <v>0</v>
      </c>
      <c r="L121" s="294">
        <v>0</v>
      </c>
      <c r="M121" s="294">
        <v>0</v>
      </c>
      <c r="N121" s="294">
        <v>0</v>
      </c>
      <c r="O121" s="294">
        <v>0</v>
      </c>
      <c r="P121" s="294">
        <v>0</v>
      </c>
      <c r="Q121" s="294">
        <v>0</v>
      </c>
      <c r="R121" s="294">
        <v>0</v>
      </c>
      <c r="S121" s="294">
        <v>0</v>
      </c>
      <c r="T121" s="294">
        <v>0</v>
      </c>
      <c r="U121" s="294">
        <v>0</v>
      </c>
      <c r="V121" s="294">
        <v>0</v>
      </c>
      <c r="W121" s="294">
        <v>0</v>
      </c>
      <c r="X121" s="295">
        <f t="shared" si="4"/>
        <v>0</v>
      </c>
    </row>
    <row r="122" spans="1:36" ht="15" customHeight="1">
      <c r="A122" s="533"/>
      <c r="B122" s="347" t="s">
        <v>886</v>
      </c>
      <c r="C122" s="294">
        <v>0</v>
      </c>
      <c r="D122" s="294">
        <v>0</v>
      </c>
      <c r="E122" s="294">
        <v>0</v>
      </c>
      <c r="F122" s="294">
        <v>0</v>
      </c>
      <c r="G122" s="294">
        <v>0</v>
      </c>
      <c r="H122" s="294">
        <v>0</v>
      </c>
      <c r="I122" s="294">
        <v>0</v>
      </c>
      <c r="J122" s="294">
        <v>0</v>
      </c>
      <c r="K122" s="294">
        <v>0</v>
      </c>
      <c r="L122" s="294">
        <v>0</v>
      </c>
      <c r="M122" s="294">
        <v>0</v>
      </c>
      <c r="N122" s="294">
        <v>0</v>
      </c>
      <c r="O122" s="294">
        <v>0</v>
      </c>
      <c r="P122" s="294">
        <v>0</v>
      </c>
      <c r="Q122" s="294">
        <v>0</v>
      </c>
      <c r="R122" s="294">
        <v>0</v>
      </c>
      <c r="S122" s="294">
        <v>0</v>
      </c>
      <c r="T122" s="294">
        <v>0</v>
      </c>
      <c r="U122" s="294">
        <v>0</v>
      </c>
      <c r="V122" s="294">
        <v>0</v>
      </c>
      <c r="W122" s="294">
        <v>0</v>
      </c>
      <c r="X122" s="295">
        <f t="shared" si="4"/>
        <v>0</v>
      </c>
    </row>
    <row r="123" spans="1:36" ht="15" customHeight="1" thickBot="1">
      <c r="A123" s="534"/>
      <c r="B123" s="347" t="s">
        <v>887</v>
      </c>
      <c r="C123" s="294">
        <v>0</v>
      </c>
      <c r="D123" s="294">
        <v>0</v>
      </c>
      <c r="E123" s="294">
        <v>0</v>
      </c>
      <c r="F123" s="294">
        <v>0</v>
      </c>
      <c r="G123" s="294">
        <v>0</v>
      </c>
      <c r="H123" s="294">
        <v>0</v>
      </c>
      <c r="I123" s="294">
        <v>0</v>
      </c>
      <c r="J123" s="294">
        <v>0</v>
      </c>
      <c r="K123" s="294">
        <v>0</v>
      </c>
      <c r="L123" s="294">
        <v>0</v>
      </c>
      <c r="M123" s="294">
        <v>0</v>
      </c>
      <c r="N123" s="294">
        <v>0</v>
      </c>
      <c r="O123" s="294">
        <v>0</v>
      </c>
      <c r="P123" s="294">
        <v>0</v>
      </c>
      <c r="Q123" s="294">
        <v>0</v>
      </c>
      <c r="R123" s="294">
        <v>0</v>
      </c>
      <c r="S123" s="294">
        <v>0</v>
      </c>
      <c r="T123" s="294">
        <v>0</v>
      </c>
      <c r="U123" s="294">
        <v>0</v>
      </c>
      <c r="V123" s="294">
        <v>0</v>
      </c>
      <c r="W123" s="294">
        <v>0</v>
      </c>
      <c r="X123" s="295">
        <f t="shared" si="4"/>
        <v>0</v>
      </c>
    </row>
    <row r="124" spans="1:36" ht="20.100000000000001" customHeight="1" thickBot="1">
      <c r="A124" s="535" t="s">
        <v>755</v>
      </c>
      <c r="B124" s="536"/>
      <c r="C124" s="296"/>
      <c r="D124" s="296"/>
      <c r="E124" s="296"/>
      <c r="F124" s="296"/>
      <c r="G124" s="296"/>
      <c r="H124" s="296"/>
      <c r="I124" s="296"/>
      <c r="J124" s="296"/>
      <c r="K124" s="296"/>
      <c r="L124" s="296"/>
      <c r="M124" s="296"/>
      <c r="N124" s="296"/>
      <c r="O124" s="296"/>
      <c r="P124" s="296"/>
      <c r="Q124" s="296"/>
      <c r="R124" s="296"/>
      <c r="S124" s="296"/>
      <c r="T124" s="296"/>
      <c r="U124" s="296"/>
      <c r="V124" s="296"/>
      <c r="W124" s="296"/>
      <c r="X124" s="512"/>
    </row>
    <row r="125" spans="1:36" ht="20.100000000000001" customHeight="1" thickBot="1">
      <c r="A125" s="535" t="s">
        <v>754</v>
      </c>
      <c r="B125" s="536"/>
      <c r="C125" s="296">
        <f t="shared" ref="C125:W125" si="5">+AVERAGE(C80:C123)</f>
        <v>0</v>
      </c>
      <c r="D125" s="296">
        <f t="shared" si="5"/>
        <v>0</v>
      </c>
      <c r="E125" s="296">
        <f t="shared" si="5"/>
        <v>0</v>
      </c>
      <c r="F125" s="296">
        <f t="shared" si="5"/>
        <v>0</v>
      </c>
      <c r="G125" s="296">
        <f t="shared" si="5"/>
        <v>0</v>
      </c>
      <c r="H125" s="296">
        <f t="shared" si="5"/>
        <v>0</v>
      </c>
      <c r="I125" s="296">
        <f t="shared" si="5"/>
        <v>0</v>
      </c>
      <c r="J125" s="296">
        <f t="shared" si="5"/>
        <v>0</v>
      </c>
      <c r="K125" s="296">
        <f t="shared" si="5"/>
        <v>0</v>
      </c>
      <c r="L125" s="296">
        <f t="shared" si="5"/>
        <v>0</v>
      </c>
      <c r="M125" s="296">
        <f t="shared" si="5"/>
        <v>0</v>
      </c>
      <c r="N125" s="296">
        <f t="shared" si="5"/>
        <v>0</v>
      </c>
      <c r="O125" s="296">
        <f t="shared" si="5"/>
        <v>0</v>
      </c>
      <c r="P125" s="296">
        <f t="shared" si="5"/>
        <v>0</v>
      </c>
      <c r="Q125" s="296">
        <f t="shared" si="5"/>
        <v>0</v>
      </c>
      <c r="R125" s="296">
        <f t="shared" si="5"/>
        <v>0</v>
      </c>
      <c r="S125" s="296">
        <f t="shared" si="5"/>
        <v>0</v>
      </c>
      <c r="T125" s="296">
        <f t="shared" si="5"/>
        <v>0</v>
      </c>
      <c r="U125" s="296">
        <f t="shared" si="5"/>
        <v>0</v>
      </c>
      <c r="V125" s="296">
        <f t="shared" si="5"/>
        <v>0</v>
      </c>
      <c r="W125" s="296">
        <f t="shared" si="5"/>
        <v>0</v>
      </c>
      <c r="X125" s="513"/>
    </row>
    <row r="126" spans="1:36" ht="20.100000000000001" customHeight="1" thickBot="1">
      <c r="A126" s="535" t="s">
        <v>757</v>
      </c>
      <c r="B126" s="537"/>
      <c r="C126" s="516">
        <f>+AVERAGE(C125:W125)</f>
        <v>0</v>
      </c>
      <c r="D126" s="517"/>
      <c r="E126" s="517"/>
      <c r="F126" s="517"/>
      <c r="G126" s="517"/>
      <c r="H126" s="517"/>
      <c r="I126" s="517"/>
      <c r="J126" s="517"/>
      <c r="K126" s="517"/>
      <c r="L126" s="517"/>
      <c r="M126" s="517"/>
      <c r="N126" s="517"/>
      <c r="O126" s="517"/>
      <c r="P126" s="517"/>
      <c r="Q126" s="517"/>
      <c r="R126" s="517"/>
      <c r="S126" s="517"/>
      <c r="T126" s="517"/>
      <c r="U126" s="517"/>
      <c r="V126" s="517"/>
      <c r="W126" s="518"/>
      <c r="X126" s="514"/>
    </row>
    <row r="127" spans="1:36" ht="15" customHeight="1">
      <c r="A127" s="532" t="s">
        <v>908</v>
      </c>
      <c r="B127" s="350" t="s">
        <v>580</v>
      </c>
      <c r="C127" s="301">
        <v>0</v>
      </c>
      <c r="D127" s="301">
        <v>0</v>
      </c>
      <c r="E127" s="301">
        <v>0</v>
      </c>
      <c r="F127" s="301">
        <v>0</v>
      </c>
      <c r="G127" s="301">
        <v>0</v>
      </c>
      <c r="H127" s="301">
        <v>0</v>
      </c>
      <c r="I127" s="301">
        <v>0</v>
      </c>
      <c r="J127" s="301">
        <v>0</v>
      </c>
      <c r="K127" s="301">
        <v>0</v>
      </c>
      <c r="L127" s="301">
        <v>0</v>
      </c>
      <c r="M127" s="301">
        <v>0</v>
      </c>
      <c r="N127" s="301">
        <v>0</v>
      </c>
      <c r="O127" s="301">
        <v>0</v>
      </c>
      <c r="P127" s="301">
        <v>0</v>
      </c>
      <c r="Q127" s="301">
        <v>0</v>
      </c>
      <c r="R127" s="301">
        <v>0</v>
      </c>
      <c r="S127" s="301">
        <v>0</v>
      </c>
      <c r="T127" s="301">
        <v>0</v>
      </c>
      <c r="U127" s="301">
        <v>0</v>
      </c>
      <c r="V127" s="301">
        <v>0</v>
      </c>
      <c r="W127" s="301">
        <v>0</v>
      </c>
      <c r="X127" s="293">
        <f t="shared" ref="X127:X170" si="6">+AVERAGE(C127:W127)</f>
        <v>0</v>
      </c>
      <c r="AJ127" s="276"/>
    </row>
    <row r="128" spans="1:36" ht="15" customHeight="1">
      <c r="A128" s="533"/>
      <c r="B128" s="347" t="s">
        <v>581</v>
      </c>
      <c r="C128" s="302">
        <v>0</v>
      </c>
      <c r="D128" s="302">
        <v>0</v>
      </c>
      <c r="E128" s="302">
        <v>0</v>
      </c>
      <c r="F128" s="302">
        <v>0</v>
      </c>
      <c r="G128" s="302">
        <v>0</v>
      </c>
      <c r="H128" s="302">
        <v>0</v>
      </c>
      <c r="I128" s="302">
        <v>0</v>
      </c>
      <c r="J128" s="302">
        <v>0</v>
      </c>
      <c r="K128" s="302">
        <v>0</v>
      </c>
      <c r="L128" s="302">
        <v>0</v>
      </c>
      <c r="M128" s="302">
        <v>0</v>
      </c>
      <c r="N128" s="302">
        <v>0</v>
      </c>
      <c r="O128" s="302">
        <v>0</v>
      </c>
      <c r="P128" s="302">
        <v>0</v>
      </c>
      <c r="Q128" s="302">
        <v>0</v>
      </c>
      <c r="R128" s="302">
        <v>0</v>
      </c>
      <c r="S128" s="302">
        <v>0</v>
      </c>
      <c r="T128" s="302">
        <v>0</v>
      </c>
      <c r="U128" s="302">
        <v>0</v>
      </c>
      <c r="V128" s="302">
        <v>0</v>
      </c>
      <c r="W128" s="302">
        <v>0</v>
      </c>
      <c r="X128" s="295">
        <f t="shared" si="6"/>
        <v>0</v>
      </c>
      <c r="AJ128" s="276"/>
    </row>
    <row r="129" spans="1:36" ht="15" customHeight="1">
      <c r="A129" s="533"/>
      <c r="B129" s="347" t="s">
        <v>582</v>
      </c>
      <c r="C129" s="302">
        <v>0</v>
      </c>
      <c r="D129" s="302">
        <v>0</v>
      </c>
      <c r="E129" s="302">
        <v>0</v>
      </c>
      <c r="F129" s="302">
        <v>0</v>
      </c>
      <c r="G129" s="302">
        <v>0</v>
      </c>
      <c r="H129" s="302">
        <v>0</v>
      </c>
      <c r="I129" s="302">
        <v>0</v>
      </c>
      <c r="J129" s="302">
        <v>0</v>
      </c>
      <c r="K129" s="302">
        <v>0</v>
      </c>
      <c r="L129" s="302">
        <v>0</v>
      </c>
      <c r="M129" s="302">
        <v>0</v>
      </c>
      <c r="N129" s="302">
        <v>0</v>
      </c>
      <c r="O129" s="302">
        <v>0</v>
      </c>
      <c r="P129" s="302">
        <v>0</v>
      </c>
      <c r="Q129" s="302">
        <v>0</v>
      </c>
      <c r="R129" s="302">
        <v>0</v>
      </c>
      <c r="S129" s="302">
        <v>0</v>
      </c>
      <c r="T129" s="302">
        <v>0</v>
      </c>
      <c r="U129" s="302">
        <v>0</v>
      </c>
      <c r="V129" s="302">
        <v>0</v>
      </c>
      <c r="W129" s="302">
        <v>0</v>
      </c>
      <c r="X129" s="295">
        <f t="shared" si="6"/>
        <v>0</v>
      </c>
      <c r="AJ129" s="276"/>
    </row>
    <row r="130" spans="1:36" ht="15" customHeight="1">
      <c r="A130" s="533"/>
      <c r="B130" s="347" t="s">
        <v>583</v>
      </c>
      <c r="C130" s="302">
        <v>0</v>
      </c>
      <c r="D130" s="302">
        <v>0</v>
      </c>
      <c r="E130" s="302">
        <v>0</v>
      </c>
      <c r="F130" s="302">
        <v>0</v>
      </c>
      <c r="G130" s="302">
        <v>0</v>
      </c>
      <c r="H130" s="302">
        <v>0</v>
      </c>
      <c r="I130" s="302">
        <v>0</v>
      </c>
      <c r="J130" s="302">
        <v>0</v>
      </c>
      <c r="K130" s="302">
        <v>0</v>
      </c>
      <c r="L130" s="302">
        <v>0</v>
      </c>
      <c r="M130" s="302">
        <v>0</v>
      </c>
      <c r="N130" s="302">
        <v>0</v>
      </c>
      <c r="O130" s="302">
        <v>0</v>
      </c>
      <c r="P130" s="302">
        <v>0</v>
      </c>
      <c r="Q130" s="302">
        <v>0</v>
      </c>
      <c r="R130" s="302">
        <v>0</v>
      </c>
      <c r="S130" s="302">
        <v>0</v>
      </c>
      <c r="T130" s="302">
        <v>0</v>
      </c>
      <c r="U130" s="302">
        <v>0</v>
      </c>
      <c r="V130" s="302">
        <v>0</v>
      </c>
      <c r="W130" s="302">
        <v>0</v>
      </c>
      <c r="X130" s="295">
        <f t="shared" si="6"/>
        <v>0</v>
      </c>
      <c r="AJ130" s="276"/>
    </row>
    <row r="131" spans="1:36" ht="15" customHeight="1">
      <c r="A131" s="533"/>
      <c r="B131" s="347" t="s">
        <v>584</v>
      </c>
      <c r="C131" s="302">
        <v>0</v>
      </c>
      <c r="D131" s="302">
        <v>0</v>
      </c>
      <c r="E131" s="302">
        <v>0</v>
      </c>
      <c r="F131" s="302">
        <v>0</v>
      </c>
      <c r="G131" s="302">
        <v>0</v>
      </c>
      <c r="H131" s="302">
        <v>0</v>
      </c>
      <c r="I131" s="302">
        <v>0</v>
      </c>
      <c r="J131" s="302">
        <v>0</v>
      </c>
      <c r="K131" s="302">
        <v>0</v>
      </c>
      <c r="L131" s="302">
        <v>0</v>
      </c>
      <c r="M131" s="302">
        <v>0</v>
      </c>
      <c r="N131" s="302">
        <v>0</v>
      </c>
      <c r="O131" s="302">
        <v>0</v>
      </c>
      <c r="P131" s="302">
        <v>0</v>
      </c>
      <c r="Q131" s="302">
        <v>0</v>
      </c>
      <c r="R131" s="302">
        <v>0</v>
      </c>
      <c r="S131" s="302">
        <v>0</v>
      </c>
      <c r="T131" s="302">
        <v>0</v>
      </c>
      <c r="U131" s="302">
        <v>0</v>
      </c>
      <c r="V131" s="302">
        <v>0</v>
      </c>
      <c r="W131" s="302">
        <v>0</v>
      </c>
      <c r="X131" s="295">
        <f t="shared" si="6"/>
        <v>0</v>
      </c>
      <c r="AJ131" s="276"/>
    </row>
    <row r="132" spans="1:36" ht="15" customHeight="1">
      <c r="A132" s="533"/>
      <c r="B132" s="347" t="s">
        <v>585</v>
      </c>
      <c r="C132" s="302">
        <v>0</v>
      </c>
      <c r="D132" s="302">
        <v>0</v>
      </c>
      <c r="E132" s="302">
        <v>0</v>
      </c>
      <c r="F132" s="302">
        <v>0</v>
      </c>
      <c r="G132" s="302">
        <v>0</v>
      </c>
      <c r="H132" s="302">
        <v>0</v>
      </c>
      <c r="I132" s="302">
        <v>0</v>
      </c>
      <c r="J132" s="302">
        <v>0</v>
      </c>
      <c r="K132" s="302">
        <v>0</v>
      </c>
      <c r="L132" s="302">
        <v>0</v>
      </c>
      <c r="M132" s="302">
        <v>0</v>
      </c>
      <c r="N132" s="302">
        <v>0</v>
      </c>
      <c r="O132" s="302">
        <v>0</v>
      </c>
      <c r="P132" s="302">
        <v>0</v>
      </c>
      <c r="Q132" s="302">
        <v>0</v>
      </c>
      <c r="R132" s="302">
        <v>0</v>
      </c>
      <c r="S132" s="302">
        <v>0</v>
      </c>
      <c r="T132" s="302">
        <v>0</v>
      </c>
      <c r="U132" s="302">
        <v>0</v>
      </c>
      <c r="V132" s="302">
        <v>0</v>
      </c>
      <c r="W132" s="302">
        <v>0</v>
      </c>
      <c r="X132" s="295">
        <f t="shared" si="6"/>
        <v>0</v>
      </c>
      <c r="AJ132" s="276"/>
    </row>
    <row r="133" spans="1:36" ht="15" customHeight="1">
      <c r="A133" s="533"/>
      <c r="B133" s="347" t="s">
        <v>586</v>
      </c>
      <c r="C133" s="302">
        <v>0</v>
      </c>
      <c r="D133" s="302">
        <v>0</v>
      </c>
      <c r="E133" s="302">
        <v>0</v>
      </c>
      <c r="F133" s="302">
        <v>0</v>
      </c>
      <c r="G133" s="302">
        <v>0</v>
      </c>
      <c r="H133" s="302">
        <v>0</v>
      </c>
      <c r="I133" s="302">
        <v>0</v>
      </c>
      <c r="J133" s="302">
        <v>0</v>
      </c>
      <c r="K133" s="302">
        <v>0</v>
      </c>
      <c r="L133" s="302">
        <v>0</v>
      </c>
      <c r="M133" s="302">
        <v>0</v>
      </c>
      <c r="N133" s="302">
        <v>0</v>
      </c>
      <c r="O133" s="302">
        <v>0</v>
      </c>
      <c r="P133" s="302">
        <v>0</v>
      </c>
      <c r="Q133" s="302">
        <v>0</v>
      </c>
      <c r="R133" s="302">
        <v>0</v>
      </c>
      <c r="S133" s="302">
        <v>0</v>
      </c>
      <c r="T133" s="302">
        <v>0</v>
      </c>
      <c r="U133" s="302">
        <v>0</v>
      </c>
      <c r="V133" s="302">
        <v>0</v>
      </c>
      <c r="W133" s="302">
        <v>0</v>
      </c>
      <c r="X133" s="295">
        <f t="shared" si="6"/>
        <v>0</v>
      </c>
      <c r="AJ133" s="276"/>
    </row>
    <row r="134" spans="1:36" ht="15" customHeight="1">
      <c r="A134" s="533"/>
      <c r="B134" s="347" t="s">
        <v>587</v>
      </c>
      <c r="C134" s="302">
        <v>0</v>
      </c>
      <c r="D134" s="302">
        <v>0</v>
      </c>
      <c r="E134" s="302">
        <v>0</v>
      </c>
      <c r="F134" s="302">
        <v>0</v>
      </c>
      <c r="G134" s="302">
        <v>0</v>
      </c>
      <c r="H134" s="302">
        <v>0</v>
      </c>
      <c r="I134" s="302">
        <v>0</v>
      </c>
      <c r="J134" s="302">
        <v>0</v>
      </c>
      <c r="K134" s="302">
        <v>0</v>
      </c>
      <c r="L134" s="302">
        <v>0</v>
      </c>
      <c r="M134" s="302">
        <v>0</v>
      </c>
      <c r="N134" s="302">
        <v>0</v>
      </c>
      <c r="O134" s="302">
        <v>0</v>
      </c>
      <c r="P134" s="302">
        <v>0</v>
      </c>
      <c r="Q134" s="302">
        <v>0</v>
      </c>
      <c r="R134" s="302">
        <v>0</v>
      </c>
      <c r="S134" s="302">
        <v>0</v>
      </c>
      <c r="T134" s="302">
        <v>0</v>
      </c>
      <c r="U134" s="302">
        <v>0</v>
      </c>
      <c r="V134" s="302">
        <v>0</v>
      </c>
      <c r="W134" s="302">
        <v>0</v>
      </c>
      <c r="X134" s="295">
        <f t="shared" si="6"/>
        <v>0</v>
      </c>
      <c r="AJ134" s="276"/>
    </row>
    <row r="135" spans="1:36" ht="15" customHeight="1">
      <c r="A135" s="533"/>
      <c r="B135" s="347" t="s">
        <v>588</v>
      </c>
      <c r="C135" s="302">
        <v>0</v>
      </c>
      <c r="D135" s="302">
        <v>0</v>
      </c>
      <c r="E135" s="302">
        <v>0</v>
      </c>
      <c r="F135" s="302">
        <v>0</v>
      </c>
      <c r="G135" s="302">
        <v>0</v>
      </c>
      <c r="H135" s="302">
        <v>0</v>
      </c>
      <c r="I135" s="302">
        <v>0</v>
      </c>
      <c r="J135" s="302">
        <v>0</v>
      </c>
      <c r="K135" s="302">
        <v>0</v>
      </c>
      <c r="L135" s="302">
        <v>0</v>
      </c>
      <c r="M135" s="302">
        <v>0</v>
      </c>
      <c r="N135" s="302">
        <v>0</v>
      </c>
      <c r="O135" s="302">
        <v>0</v>
      </c>
      <c r="P135" s="302">
        <v>0</v>
      </c>
      <c r="Q135" s="302">
        <v>0</v>
      </c>
      <c r="R135" s="302">
        <v>0</v>
      </c>
      <c r="S135" s="302">
        <v>0</v>
      </c>
      <c r="T135" s="302">
        <v>0</v>
      </c>
      <c r="U135" s="302">
        <v>0</v>
      </c>
      <c r="V135" s="302">
        <v>0</v>
      </c>
      <c r="W135" s="302">
        <v>0</v>
      </c>
      <c r="X135" s="295">
        <f t="shared" si="6"/>
        <v>0</v>
      </c>
      <c r="AJ135" s="276"/>
    </row>
    <row r="136" spans="1:36" ht="15" customHeight="1">
      <c r="A136" s="533"/>
      <c r="B136" s="347" t="s">
        <v>589</v>
      </c>
      <c r="C136" s="302">
        <v>0</v>
      </c>
      <c r="D136" s="302">
        <v>0</v>
      </c>
      <c r="E136" s="302">
        <v>0</v>
      </c>
      <c r="F136" s="302">
        <v>0</v>
      </c>
      <c r="G136" s="302">
        <v>0</v>
      </c>
      <c r="H136" s="302">
        <v>0</v>
      </c>
      <c r="I136" s="302">
        <v>0</v>
      </c>
      <c r="J136" s="302">
        <v>0</v>
      </c>
      <c r="K136" s="302">
        <v>0</v>
      </c>
      <c r="L136" s="302">
        <v>0</v>
      </c>
      <c r="M136" s="302">
        <v>0</v>
      </c>
      <c r="N136" s="302">
        <v>0</v>
      </c>
      <c r="O136" s="302">
        <v>0</v>
      </c>
      <c r="P136" s="302">
        <v>0</v>
      </c>
      <c r="Q136" s="302">
        <v>0</v>
      </c>
      <c r="R136" s="302">
        <v>0</v>
      </c>
      <c r="S136" s="302">
        <v>0</v>
      </c>
      <c r="T136" s="302">
        <v>0</v>
      </c>
      <c r="U136" s="302">
        <v>0</v>
      </c>
      <c r="V136" s="302">
        <v>0</v>
      </c>
      <c r="W136" s="302">
        <v>0</v>
      </c>
      <c r="X136" s="295">
        <f t="shared" si="6"/>
        <v>0</v>
      </c>
      <c r="AJ136" s="276"/>
    </row>
    <row r="137" spans="1:36" ht="15" customHeight="1">
      <c r="A137" s="533"/>
      <c r="B137" s="347" t="s">
        <v>590</v>
      </c>
      <c r="C137" s="302">
        <v>0</v>
      </c>
      <c r="D137" s="302">
        <v>0</v>
      </c>
      <c r="E137" s="302">
        <v>0</v>
      </c>
      <c r="F137" s="302">
        <v>0</v>
      </c>
      <c r="G137" s="302">
        <v>0</v>
      </c>
      <c r="H137" s="302">
        <v>0</v>
      </c>
      <c r="I137" s="302">
        <v>0</v>
      </c>
      <c r="J137" s="302">
        <v>0</v>
      </c>
      <c r="K137" s="302">
        <v>0</v>
      </c>
      <c r="L137" s="302">
        <v>0</v>
      </c>
      <c r="M137" s="302">
        <v>0</v>
      </c>
      <c r="N137" s="302">
        <v>0</v>
      </c>
      <c r="O137" s="302">
        <v>0</v>
      </c>
      <c r="P137" s="302">
        <v>0</v>
      </c>
      <c r="Q137" s="302">
        <v>0</v>
      </c>
      <c r="R137" s="302">
        <v>0</v>
      </c>
      <c r="S137" s="302">
        <v>0</v>
      </c>
      <c r="T137" s="302">
        <v>0</v>
      </c>
      <c r="U137" s="302">
        <v>0</v>
      </c>
      <c r="V137" s="302">
        <v>0</v>
      </c>
      <c r="W137" s="302">
        <v>0</v>
      </c>
      <c r="X137" s="295">
        <f t="shared" si="6"/>
        <v>0</v>
      </c>
      <c r="AJ137" s="276"/>
    </row>
    <row r="138" spans="1:36" ht="15" customHeight="1">
      <c r="A138" s="533"/>
      <c r="B138" s="347" t="s">
        <v>591</v>
      </c>
      <c r="C138" s="302">
        <v>0</v>
      </c>
      <c r="D138" s="302">
        <v>0</v>
      </c>
      <c r="E138" s="302">
        <v>0</v>
      </c>
      <c r="F138" s="302">
        <v>0</v>
      </c>
      <c r="G138" s="302">
        <v>0</v>
      </c>
      <c r="H138" s="302">
        <v>0</v>
      </c>
      <c r="I138" s="302">
        <v>0</v>
      </c>
      <c r="J138" s="302">
        <v>0</v>
      </c>
      <c r="K138" s="302">
        <v>0</v>
      </c>
      <c r="L138" s="302">
        <v>0</v>
      </c>
      <c r="M138" s="302">
        <v>0</v>
      </c>
      <c r="N138" s="302">
        <v>0</v>
      </c>
      <c r="O138" s="302">
        <v>0</v>
      </c>
      <c r="P138" s="302">
        <v>0</v>
      </c>
      <c r="Q138" s="302">
        <v>0</v>
      </c>
      <c r="R138" s="302">
        <v>0</v>
      </c>
      <c r="S138" s="302">
        <v>0</v>
      </c>
      <c r="T138" s="302">
        <v>0</v>
      </c>
      <c r="U138" s="302">
        <v>0</v>
      </c>
      <c r="V138" s="302">
        <v>0</v>
      </c>
      <c r="W138" s="302">
        <v>0</v>
      </c>
      <c r="X138" s="295">
        <f t="shared" si="6"/>
        <v>0</v>
      </c>
      <c r="AJ138" s="276"/>
    </row>
    <row r="139" spans="1:36" ht="15" customHeight="1">
      <c r="A139" s="533"/>
      <c r="B139" s="347" t="s">
        <v>592</v>
      </c>
      <c r="C139" s="302">
        <v>0</v>
      </c>
      <c r="D139" s="302">
        <v>0</v>
      </c>
      <c r="E139" s="302">
        <v>0</v>
      </c>
      <c r="F139" s="302">
        <v>0</v>
      </c>
      <c r="G139" s="302">
        <v>0</v>
      </c>
      <c r="H139" s="302">
        <v>0</v>
      </c>
      <c r="I139" s="302">
        <v>0</v>
      </c>
      <c r="J139" s="302">
        <v>0</v>
      </c>
      <c r="K139" s="302">
        <v>0</v>
      </c>
      <c r="L139" s="302">
        <v>0</v>
      </c>
      <c r="M139" s="302">
        <v>0</v>
      </c>
      <c r="N139" s="302">
        <v>0</v>
      </c>
      <c r="O139" s="302">
        <v>0</v>
      </c>
      <c r="P139" s="302">
        <v>0</v>
      </c>
      <c r="Q139" s="302">
        <v>0</v>
      </c>
      <c r="R139" s="302">
        <v>0</v>
      </c>
      <c r="S139" s="302">
        <v>0</v>
      </c>
      <c r="T139" s="302">
        <v>0</v>
      </c>
      <c r="U139" s="302">
        <v>0</v>
      </c>
      <c r="V139" s="302">
        <v>0</v>
      </c>
      <c r="W139" s="302">
        <v>0</v>
      </c>
      <c r="X139" s="295">
        <f t="shared" si="6"/>
        <v>0</v>
      </c>
      <c r="AJ139" s="276"/>
    </row>
    <row r="140" spans="1:36" ht="15" customHeight="1">
      <c r="A140" s="533"/>
      <c r="B140" s="347" t="s">
        <v>593</v>
      </c>
      <c r="C140" s="302">
        <v>0</v>
      </c>
      <c r="D140" s="302">
        <v>0</v>
      </c>
      <c r="E140" s="302">
        <v>0</v>
      </c>
      <c r="F140" s="302">
        <v>0</v>
      </c>
      <c r="G140" s="302">
        <v>0</v>
      </c>
      <c r="H140" s="302">
        <v>0</v>
      </c>
      <c r="I140" s="302">
        <v>0</v>
      </c>
      <c r="J140" s="302">
        <v>0</v>
      </c>
      <c r="K140" s="302">
        <v>0</v>
      </c>
      <c r="L140" s="302">
        <v>0</v>
      </c>
      <c r="M140" s="302">
        <v>0</v>
      </c>
      <c r="N140" s="302">
        <v>0</v>
      </c>
      <c r="O140" s="302">
        <v>0</v>
      </c>
      <c r="P140" s="302">
        <v>0</v>
      </c>
      <c r="Q140" s="302">
        <v>0</v>
      </c>
      <c r="R140" s="302">
        <v>0</v>
      </c>
      <c r="S140" s="302">
        <v>0</v>
      </c>
      <c r="T140" s="302">
        <v>0</v>
      </c>
      <c r="U140" s="302">
        <v>0</v>
      </c>
      <c r="V140" s="302">
        <v>0</v>
      </c>
      <c r="W140" s="302">
        <v>0</v>
      </c>
      <c r="X140" s="295">
        <f t="shared" si="6"/>
        <v>0</v>
      </c>
      <c r="AJ140" s="276"/>
    </row>
    <row r="141" spans="1:36" ht="15" customHeight="1">
      <c r="A141" s="533"/>
      <c r="B141" s="347" t="s">
        <v>594</v>
      </c>
      <c r="C141" s="302">
        <v>0</v>
      </c>
      <c r="D141" s="302">
        <v>0</v>
      </c>
      <c r="E141" s="302">
        <v>0</v>
      </c>
      <c r="F141" s="302">
        <v>0</v>
      </c>
      <c r="G141" s="302">
        <v>0</v>
      </c>
      <c r="H141" s="302">
        <v>0</v>
      </c>
      <c r="I141" s="302">
        <v>0</v>
      </c>
      <c r="J141" s="302">
        <v>0</v>
      </c>
      <c r="K141" s="302">
        <v>0</v>
      </c>
      <c r="L141" s="302">
        <v>0</v>
      </c>
      <c r="M141" s="302">
        <v>0</v>
      </c>
      <c r="N141" s="302">
        <v>0</v>
      </c>
      <c r="O141" s="302">
        <v>0</v>
      </c>
      <c r="P141" s="302">
        <v>0</v>
      </c>
      <c r="Q141" s="302">
        <v>0</v>
      </c>
      <c r="R141" s="302">
        <v>0</v>
      </c>
      <c r="S141" s="302">
        <v>0</v>
      </c>
      <c r="T141" s="302">
        <v>0</v>
      </c>
      <c r="U141" s="302">
        <v>0</v>
      </c>
      <c r="V141" s="302">
        <v>0</v>
      </c>
      <c r="W141" s="302">
        <v>0</v>
      </c>
      <c r="X141" s="295">
        <f t="shared" si="6"/>
        <v>0</v>
      </c>
      <c r="AJ141" s="276"/>
    </row>
    <row r="142" spans="1:36" ht="15" customHeight="1">
      <c r="A142" s="533"/>
      <c r="B142" s="347" t="s">
        <v>595</v>
      </c>
      <c r="C142" s="302">
        <v>0</v>
      </c>
      <c r="D142" s="302">
        <v>0</v>
      </c>
      <c r="E142" s="302">
        <v>0</v>
      </c>
      <c r="F142" s="302">
        <v>0</v>
      </c>
      <c r="G142" s="302">
        <v>0</v>
      </c>
      <c r="H142" s="302">
        <v>0</v>
      </c>
      <c r="I142" s="302">
        <v>0</v>
      </c>
      <c r="J142" s="302">
        <v>0</v>
      </c>
      <c r="K142" s="302">
        <v>0</v>
      </c>
      <c r="L142" s="302">
        <v>0</v>
      </c>
      <c r="M142" s="302">
        <v>0</v>
      </c>
      <c r="N142" s="302">
        <v>0</v>
      </c>
      <c r="O142" s="302">
        <v>0</v>
      </c>
      <c r="P142" s="302">
        <v>0</v>
      </c>
      <c r="Q142" s="302">
        <v>0</v>
      </c>
      <c r="R142" s="302">
        <v>0</v>
      </c>
      <c r="S142" s="302">
        <v>0</v>
      </c>
      <c r="T142" s="302">
        <v>0</v>
      </c>
      <c r="U142" s="302">
        <v>0</v>
      </c>
      <c r="V142" s="302">
        <v>0</v>
      </c>
      <c r="W142" s="302">
        <v>0</v>
      </c>
      <c r="X142" s="295">
        <f t="shared" si="6"/>
        <v>0</v>
      </c>
      <c r="AJ142" s="276"/>
    </row>
    <row r="143" spans="1:36" ht="15" customHeight="1">
      <c r="A143" s="533"/>
      <c r="B143" s="347" t="s">
        <v>596</v>
      </c>
      <c r="C143" s="302">
        <v>0</v>
      </c>
      <c r="D143" s="302">
        <v>0</v>
      </c>
      <c r="E143" s="302">
        <v>0</v>
      </c>
      <c r="F143" s="302">
        <v>0</v>
      </c>
      <c r="G143" s="302">
        <v>0</v>
      </c>
      <c r="H143" s="302">
        <v>0</v>
      </c>
      <c r="I143" s="302">
        <v>0</v>
      </c>
      <c r="J143" s="302">
        <v>0</v>
      </c>
      <c r="K143" s="302">
        <v>0</v>
      </c>
      <c r="L143" s="302">
        <v>0</v>
      </c>
      <c r="M143" s="302">
        <v>0</v>
      </c>
      <c r="N143" s="302">
        <v>0</v>
      </c>
      <c r="O143" s="302">
        <v>0</v>
      </c>
      <c r="P143" s="302">
        <v>0</v>
      </c>
      <c r="Q143" s="302">
        <v>0</v>
      </c>
      <c r="R143" s="302">
        <v>0</v>
      </c>
      <c r="S143" s="302">
        <v>0</v>
      </c>
      <c r="T143" s="302">
        <v>0</v>
      </c>
      <c r="U143" s="302">
        <v>0</v>
      </c>
      <c r="V143" s="302">
        <v>0</v>
      </c>
      <c r="W143" s="302">
        <v>0</v>
      </c>
      <c r="X143" s="295">
        <f t="shared" si="6"/>
        <v>0</v>
      </c>
      <c r="AJ143" s="276"/>
    </row>
    <row r="144" spans="1:36" ht="15" customHeight="1">
      <c r="A144" s="533"/>
      <c r="B144" s="347" t="s">
        <v>902</v>
      </c>
      <c r="C144" s="302">
        <v>0</v>
      </c>
      <c r="D144" s="302">
        <v>0</v>
      </c>
      <c r="E144" s="302">
        <v>0</v>
      </c>
      <c r="F144" s="302">
        <v>0</v>
      </c>
      <c r="G144" s="302">
        <v>0</v>
      </c>
      <c r="H144" s="302">
        <v>0</v>
      </c>
      <c r="I144" s="302">
        <v>0</v>
      </c>
      <c r="J144" s="302">
        <v>0</v>
      </c>
      <c r="K144" s="302">
        <v>0</v>
      </c>
      <c r="L144" s="302">
        <v>0</v>
      </c>
      <c r="M144" s="302">
        <v>0</v>
      </c>
      <c r="N144" s="302">
        <v>0</v>
      </c>
      <c r="O144" s="302">
        <v>0</v>
      </c>
      <c r="P144" s="302">
        <v>0</v>
      </c>
      <c r="Q144" s="302">
        <v>0</v>
      </c>
      <c r="R144" s="302">
        <v>0</v>
      </c>
      <c r="S144" s="302">
        <v>0</v>
      </c>
      <c r="T144" s="302">
        <v>0</v>
      </c>
      <c r="U144" s="302">
        <v>0</v>
      </c>
      <c r="V144" s="302">
        <v>0</v>
      </c>
      <c r="W144" s="302">
        <v>0</v>
      </c>
      <c r="X144" s="295">
        <f t="shared" si="6"/>
        <v>0</v>
      </c>
      <c r="AJ144" s="276"/>
    </row>
    <row r="145" spans="1:36" ht="15" customHeight="1">
      <c r="A145" s="533"/>
      <c r="B145" s="347" t="s">
        <v>903</v>
      </c>
      <c r="C145" s="302">
        <v>0</v>
      </c>
      <c r="D145" s="302">
        <v>0</v>
      </c>
      <c r="E145" s="302">
        <v>0</v>
      </c>
      <c r="F145" s="302">
        <v>0</v>
      </c>
      <c r="G145" s="302">
        <v>0</v>
      </c>
      <c r="H145" s="302">
        <v>0</v>
      </c>
      <c r="I145" s="302">
        <v>0</v>
      </c>
      <c r="J145" s="302">
        <v>0</v>
      </c>
      <c r="K145" s="302">
        <v>0</v>
      </c>
      <c r="L145" s="302">
        <v>0</v>
      </c>
      <c r="M145" s="302">
        <v>0</v>
      </c>
      <c r="N145" s="302">
        <v>0</v>
      </c>
      <c r="O145" s="302">
        <v>0</v>
      </c>
      <c r="P145" s="302">
        <v>0</v>
      </c>
      <c r="Q145" s="302">
        <v>0</v>
      </c>
      <c r="R145" s="302">
        <v>0</v>
      </c>
      <c r="S145" s="302">
        <v>0</v>
      </c>
      <c r="T145" s="302">
        <v>0</v>
      </c>
      <c r="U145" s="302">
        <v>0</v>
      </c>
      <c r="V145" s="302">
        <v>0</v>
      </c>
      <c r="W145" s="302">
        <v>0</v>
      </c>
      <c r="X145" s="295">
        <f t="shared" si="6"/>
        <v>0</v>
      </c>
      <c r="AJ145" s="276"/>
    </row>
    <row r="146" spans="1:36" ht="15" customHeight="1">
      <c r="A146" s="533"/>
      <c r="B146" s="347" t="s">
        <v>904</v>
      </c>
      <c r="C146" s="302">
        <v>0</v>
      </c>
      <c r="D146" s="302">
        <v>0</v>
      </c>
      <c r="E146" s="302">
        <v>0</v>
      </c>
      <c r="F146" s="302">
        <v>0</v>
      </c>
      <c r="G146" s="302">
        <v>0</v>
      </c>
      <c r="H146" s="302">
        <v>0</v>
      </c>
      <c r="I146" s="302">
        <v>0</v>
      </c>
      <c r="J146" s="302">
        <v>0</v>
      </c>
      <c r="K146" s="302">
        <v>0</v>
      </c>
      <c r="L146" s="302">
        <v>0</v>
      </c>
      <c r="M146" s="302">
        <v>0</v>
      </c>
      <c r="N146" s="302">
        <v>0</v>
      </c>
      <c r="O146" s="302">
        <v>0</v>
      </c>
      <c r="P146" s="302">
        <v>0</v>
      </c>
      <c r="Q146" s="302">
        <v>0</v>
      </c>
      <c r="R146" s="302">
        <v>0</v>
      </c>
      <c r="S146" s="302">
        <v>0</v>
      </c>
      <c r="T146" s="302">
        <v>0</v>
      </c>
      <c r="U146" s="302">
        <v>0</v>
      </c>
      <c r="V146" s="302">
        <v>0</v>
      </c>
      <c r="W146" s="302">
        <v>0</v>
      </c>
      <c r="X146" s="295">
        <f t="shared" si="6"/>
        <v>0</v>
      </c>
      <c r="AJ146" s="276"/>
    </row>
    <row r="147" spans="1:36" ht="15" customHeight="1">
      <c r="A147" s="533"/>
      <c r="B147" s="347" t="s">
        <v>905</v>
      </c>
      <c r="C147" s="302">
        <v>0</v>
      </c>
      <c r="D147" s="302">
        <v>0</v>
      </c>
      <c r="E147" s="302">
        <v>0</v>
      </c>
      <c r="F147" s="302">
        <v>0</v>
      </c>
      <c r="G147" s="302">
        <v>0</v>
      </c>
      <c r="H147" s="302">
        <v>0</v>
      </c>
      <c r="I147" s="302">
        <v>0</v>
      </c>
      <c r="J147" s="302">
        <v>0</v>
      </c>
      <c r="K147" s="302">
        <v>0</v>
      </c>
      <c r="L147" s="302">
        <v>0</v>
      </c>
      <c r="M147" s="302">
        <v>0</v>
      </c>
      <c r="N147" s="302">
        <v>0</v>
      </c>
      <c r="O147" s="302">
        <v>0</v>
      </c>
      <c r="P147" s="302">
        <v>0</v>
      </c>
      <c r="Q147" s="302">
        <v>0</v>
      </c>
      <c r="R147" s="302">
        <v>0</v>
      </c>
      <c r="S147" s="302">
        <v>0</v>
      </c>
      <c r="T147" s="302">
        <v>0</v>
      </c>
      <c r="U147" s="302">
        <v>0</v>
      </c>
      <c r="V147" s="302">
        <v>0</v>
      </c>
      <c r="W147" s="302">
        <v>0</v>
      </c>
      <c r="X147" s="295">
        <f t="shared" si="6"/>
        <v>0</v>
      </c>
      <c r="AJ147" s="276"/>
    </row>
    <row r="148" spans="1:36" ht="15" customHeight="1">
      <c r="A148" s="533"/>
      <c r="B148" s="347" t="s">
        <v>906</v>
      </c>
      <c r="C148" s="302">
        <v>0</v>
      </c>
      <c r="D148" s="302">
        <v>0</v>
      </c>
      <c r="E148" s="302">
        <v>0</v>
      </c>
      <c r="F148" s="302">
        <v>0</v>
      </c>
      <c r="G148" s="302">
        <v>0</v>
      </c>
      <c r="H148" s="302">
        <v>0</v>
      </c>
      <c r="I148" s="302">
        <v>0</v>
      </c>
      <c r="J148" s="302">
        <v>0</v>
      </c>
      <c r="K148" s="302">
        <v>0</v>
      </c>
      <c r="L148" s="302">
        <v>0</v>
      </c>
      <c r="M148" s="302">
        <v>0</v>
      </c>
      <c r="N148" s="302">
        <v>0</v>
      </c>
      <c r="O148" s="302">
        <v>0</v>
      </c>
      <c r="P148" s="302">
        <v>0</v>
      </c>
      <c r="Q148" s="302">
        <v>0</v>
      </c>
      <c r="R148" s="302">
        <v>0</v>
      </c>
      <c r="S148" s="302">
        <v>0</v>
      </c>
      <c r="T148" s="302">
        <v>0</v>
      </c>
      <c r="U148" s="302">
        <v>0</v>
      </c>
      <c r="V148" s="302">
        <v>0</v>
      </c>
      <c r="W148" s="302">
        <v>0</v>
      </c>
      <c r="X148" s="295">
        <f t="shared" si="6"/>
        <v>0</v>
      </c>
      <c r="AJ148" s="276"/>
    </row>
    <row r="149" spans="1:36" ht="15" customHeight="1" thickBot="1">
      <c r="A149" s="534"/>
      <c r="B149" s="347" t="s">
        <v>907</v>
      </c>
      <c r="C149" s="302">
        <v>0</v>
      </c>
      <c r="D149" s="302">
        <v>0</v>
      </c>
      <c r="E149" s="302">
        <v>0</v>
      </c>
      <c r="F149" s="302">
        <v>0</v>
      </c>
      <c r="G149" s="302">
        <v>0</v>
      </c>
      <c r="H149" s="302">
        <v>0</v>
      </c>
      <c r="I149" s="302">
        <v>0</v>
      </c>
      <c r="J149" s="302">
        <v>0</v>
      </c>
      <c r="K149" s="302">
        <v>0</v>
      </c>
      <c r="L149" s="302">
        <v>0</v>
      </c>
      <c r="M149" s="302">
        <v>0</v>
      </c>
      <c r="N149" s="302">
        <v>0</v>
      </c>
      <c r="O149" s="302">
        <v>0</v>
      </c>
      <c r="P149" s="302">
        <v>0</v>
      </c>
      <c r="Q149" s="302">
        <v>0</v>
      </c>
      <c r="R149" s="302">
        <v>0</v>
      </c>
      <c r="S149" s="302">
        <v>0</v>
      </c>
      <c r="T149" s="302">
        <v>0</v>
      </c>
      <c r="U149" s="302">
        <v>0</v>
      </c>
      <c r="V149" s="302">
        <v>0</v>
      </c>
      <c r="W149" s="302">
        <v>0</v>
      </c>
      <c r="X149" s="295">
        <f t="shared" si="6"/>
        <v>0</v>
      </c>
      <c r="AJ149" s="276"/>
    </row>
    <row r="150" spans="1:36" ht="15" customHeight="1">
      <c r="A150" s="533" t="s">
        <v>909</v>
      </c>
      <c r="B150" s="347" t="s">
        <v>580</v>
      </c>
      <c r="C150" s="302">
        <v>0</v>
      </c>
      <c r="D150" s="302">
        <v>0</v>
      </c>
      <c r="E150" s="302">
        <v>0</v>
      </c>
      <c r="F150" s="302">
        <v>0</v>
      </c>
      <c r="G150" s="302">
        <v>0</v>
      </c>
      <c r="H150" s="302">
        <v>0</v>
      </c>
      <c r="I150" s="302">
        <v>0</v>
      </c>
      <c r="J150" s="302">
        <v>0</v>
      </c>
      <c r="K150" s="302">
        <v>0</v>
      </c>
      <c r="L150" s="302">
        <v>0</v>
      </c>
      <c r="M150" s="302">
        <v>0</v>
      </c>
      <c r="N150" s="302">
        <v>0</v>
      </c>
      <c r="O150" s="302">
        <v>0</v>
      </c>
      <c r="P150" s="302">
        <v>0</v>
      </c>
      <c r="Q150" s="302">
        <v>0</v>
      </c>
      <c r="R150" s="302">
        <v>0</v>
      </c>
      <c r="S150" s="302">
        <v>0</v>
      </c>
      <c r="T150" s="302">
        <v>0</v>
      </c>
      <c r="U150" s="302">
        <v>0</v>
      </c>
      <c r="V150" s="302">
        <v>0</v>
      </c>
      <c r="W150" s="302">
        <v>0</v>
      </c>
      <c r="X150" s="295">
        <f t="shared" si="6"/>
        <v>0</v>
      </c>
      <c r="AJ150" s="276"/>
    </row>
    <row r="151" spans="1:36" ht="15" customHeight="1">
      <c r="A151" s="533"/>
      <c r="B151" s="347" t="s">
        <v>581</v>
      </c>
      <c r="C151" s="302">
        <v>0</v>
      </c>
      <c r="D151" s="302">
        <v>0</v>
      </c>
      <c r="E151" s="302">
        <v>0</v>
      </c>
      <c r="F151" s="302">
        <v>0</v>
      </c>
      <c r="G151" s="302">
        <v>0</v>
      </c>
      <c r="H151" s="302">
        <v>0</v>
      </c>
      <c r="I151" s="302">
        <v>0</v>
      </c>
      <c r="J151" s="302">
        <v>0</v>
      </c>
      <c r="K151" s="302">
        <v>0</v>
      </c>
      <c r="L151" s="302">
        <v>0</v>
      </c>
      <c r="M151" s="302">
        <v>0</v>
      </c>
      <c r="N151" s="302">
        <v>0</v>
      </c>
      <c r="O151" s="302">
        <v>0</v>
      </c>
      <c r="P151" s="302">
        <v>0</v>
      </c>
      <c r="Q151" s="302">
        <v>0</v>
      </c>
      <c r="R151" s="302">
        <v>0</v>
      </c>
      <c r="S151" s="302">
        <v>0</v>
      </c>
      <c r="T151" s="302">
        <v>0</v>
      </c>
      <c r="U151" s="302">
        <v>0</v>
      </c>
      <c r="V151" s="302">
        <v>0</v>
      </c>
      <c r="W151" s="302">
        <v>0</v>
      </c>
      <c r="X151" s="295">
        <f t="shared" si="6"/>
        <v>0</v>
      </c>
      <c r="AJ151" s="276"/>
    </row>
    <row r="152" spans="1:36" ht="15" customHeight="1">
      <c r="A152" s="533"/>
      <c r="B152" s="347" t="s">
        <v>582</v>
      </c>
      <c r="C152" s="302">
        <v>0</v>
      </c>
      <c r="D152" s="302">
        <v>0</v>
      </c>
      <c r="E152" s="302">
        <v>0</v>
      </c>
      <c r="F152" s="302">
        <v>0</v>
      </c>
      <c r="G152" s="302">
        <v>0</v>
      </c>
      <c r="H152" s="302">
        <v>0</v>
      </c>
      <c r="I152" s="302">
        <v>0</v>
      </c>
      <c r="J152" s="302">
        <v>0</v>
      </c>
      <c r="K152" s="302">
        <v>0</v>
      </c>
      <c r="L152" s="302">
        <v>0</v>
      </c>
      <c r="M152" s="302">
        <v>0</v>
      </c>
      <c r="N152" s="302">
        <v>0</v>
      </c>
      <c r="O152" s="302">
        <v>0</v>
      </c>
      <c r="P152" s="302">
        <v>0</v>
      </c>
      <c r="Q152" s="302">
        <v>0</v>
      </c>
      <c r="R152" s="302">
        <v>0</v>
      </c>
      <c r="S152" s="302">
        <v>0</v>
      </c>
      <c r="T152" s="302">
        <v>0</v>
      </c>
      <c r="U152" s="302">
        <v>0</v>
      </c>
      <c r="V152" s="302">
        <v>0</v>
      </c>
      <c r="W152" s="302">
        <v>0</v>
      </c>
      <c r="X152" s="295">
        <f t="shared" si="6"/>
        <v>0</v>
      </c>
      <c r="AJ152" s="276"/>
    </row>
    <row r="153" spans="1:36" ht="15" customHeight="1">
      <c r="A153" s="533"/>
      <c r="B153" s="347" t="s">
        <v>583</v>
      </c>
      <c r="C153" s="302">
        <v>0</v>
      </c>
      <c r="D153" s="302">
        <v>0</v>
      </c>
      <c r="E153" s="302">
        <v>0</v>
      </c>
      <c r="F153" s="302">
        <v>0</v>
      </c>
      <c r="G153" s="302">
        <v>0</v>
      </c>
      <c r="H153" s="302">
        <v>0</v>
      </c>
      <c r="I153" s="302">
        <v>0</v>
      </c>
      <c r="J153" s="302">
        <v>0</v>
      </c>
      <c r="K153" s="302">
        <v>0</v>
      </c>
      <c r="L153" s="302">
        <v>0</v>
      </c>
      <c r="M153" s="302">
        <v>0</v>
      </c>
      <c r="N153" s="302">
        <v>0</v>
      </c>
      <c r="O153" s="302">
        <v>0</v>
      </c>
      <c r="P153" s="302">
        <v>0</v>
      </c>
      <c r="Q153" s="302">
        <v>0</v>
      </c>
      <c r="R153" s="302">
        <v>0</v>
      </c>
      <c r="S153" s="302">
        <v>0</v>
      </c>
      <c r="T153" s="302">
        <v>0</v>
      </c>
      <c r="U153" s="302">
        <v>0</v>
      </c>
      <c r="V153" s="302">
        <v>0</v>
      </c>
      <c r="W153" s="302">
        <v>0</v>
      </c>
      <c r="X153" s="295">
        <f t="shared" si="6"/>
        <v>0</v>
      </c>
      <c r="AJ153" s="276"/>
    </row>
    <row r="154" spans="1:36" ht="15" customHeight="1">
      <c r="A154" s="533"/>
      <c r="B154" s="347" t="s">
        <v>584</v>
      </c>
      <c r="C154" s="302">
        <v>0</v>
      </c>
      <c r="D154" s="302">
        <v>0</v>
      </c>
      <c r="E154" s="302">
        <v>0</v>
      </c>
      <c r="F154" s="302">
        <v>0</v>
      </c>
      <c r="G154" s="302">
        <v>0</v>
      </c>
      <c r="H154" s="302">
        <v>0</v>
      </c>
      <c r="I154" s="302">
        <v>0</v>
      </c>
      <c r="J154" s="302">
        <v>0</v>
      </c>
      <c r="K154" s="302">
        <v>0</v>
      </c>
      <c r="L154" s="302">
        <v>0</v>
      </c>
      <c r="M154" s="302">
        <v>0</v>
      </c>
      <c r="N154" s="302">
        <v>0</v>
      </c>
      <c r="O154" s="302">
        <v>0</v>
      </c>
      <c r="P154" s="302">
        <v>0</v>
      </c>
      <c r="Q154" s="302">
        <v>0</v>
      </c>
      <c r="R154" s="302">
        <v>0</v>
      </c>
      <c r="S154" s="302">
        <v>0</v>
      </c>
      <c r="T154" s="302">
        <v>0</v>
      </c>
      <c r="U154" s="302">
        <v>0</v>
      </c>
      <c r="V154" s="302">
        <v>0</v>
      </c>
      <c r="W154" s="302">
        <v>0</v>
      </c>
      <c r="X154" s="295">
        <f t="shared" si="6"/>
        <v>0</v>
      </c>
      <c r="AJ154" s="276"/>
    </row>
    <row r="155" spans="1:36" ht="15" customHeight="1">
      <c r="A155" s="533"/>
      <c r="B155" s="347" t="s">
        <v>585</v>
      </c>
      <c r="C155" s="302">
        <v>0</v>
      </c>
      <c r="D155" s="302">
        <v>0</v>
      </c>
      <c r="E155" s="302">
        <v>0</v>
      </c>
      <c r="F155" s="302">
        <v>0</v>
      </c>
      <c r="G155" s="302">
        <v>0</v>
      </c>
      <c r="H155" s="302">
        <v>0</v>
      </c>
      <c r="I155" s="302">
        <v>0</v>
      </c>
      <c r="J155" s="302">
        <v>0</v>
      </c>
      <c r="K155" s="302">
        <v>0</v>
      </c>
      <c r="L155" s="302">
        <v>0</v>
      </c>
      <c r="M155" s="302">
        <v>0</v>
      </c>
      <c r="N155" s="302">
        <v>0</v>
      </c>
      <c r="O155" s="302">
        <v>0</v>
      </c>
      <c r="P155" s="302">
        <v>0</v>
      </c>
      <c r="Q155" s="302">
        <v>0</v>
      </c>
      <c r="R155" s="302">
        <v>0</v>
      </c>
      <c r="S155" s="302">
        <v>0</v>
      </c>
      <c r="T155" s="302">
        <v>0</v>
      </c>
      <c r="U155" s="302">
        <v>0</v>
      </c>
      <c r="V155" s="302">
        <v>0</v>
      </c>
      <c r="W155" s="302">
        <v>0</v>
      </c>
      <c r="X155" s="295">
        <f t="shared" si="6"/>
        <v>0</v>
      </c>
      <c r="AJ155" s="276"/>
    </row>
    <row r="156" spans="1:36" ht="15" customHeight="1">
      <c r="A156" s="533"/>
      <c r="B156" s="347" t="s">
        <v>586</v>
      </c>
      <c r="C156" s="302">
        <v>0</v>
      </c>
      <c r="D156" s="302">
        <v>0</v>
      </c>
      <c r="E156" s="302">
        <v>0</v>
      </c>
      <c r="F156" s="302">
        <v>0</v>
      </c>
      <c r="G156" s="302">
        <v>0</v>
      </c>
      <c r="H156" s="302">
        <v>0</v>
      </c>
      <c r="I156" s="302">
        <v>0</v>
      </c>
      <c r="J156" s="302">
        <v>0</v>
      </c>
      <c r="K156" s="302">
        <v>0</v>
      </c>
      <c r="L156" s="302">
        <v>0</v>
      </c>
      <c r="M156" s="302">
        <v>0</v>
      </c>
      <c r="N156" s="302">
        <v>0</v>
      </c>
      <c r="O156" s="302">
        <v>0</v>
      </c>
      <c r="P156" s="302">
        <v>0</v>
      </c>
      <c r="Q156" s="302">
        <v>0</v>
      </c>
      <c r="R156" s="302">
        <v>0</v>
      </c>
      <c r="S156" s="302">
        <v>0</v>
      </c>
      <c r="T156" s="302">
        <v>0</v>
      </c>
      <c r="U156" s="302">
        <v>0</v>
      </c>
      <c r="V156" s="302">
        <v>0</v>
      </c>
      <c r="W156" s="302">
        <v>0</v>
      </c>
      <c r="X156" s="295">
        <f t="shared" si="6"/>
        <v>0</v>
      </c>
      <c r="AJ156" s="276"/>
    </row>
    <row r="157" spans="1:36" ht="15" customHeight="1">
      <c r="A157" s="533"/>
      <c r="B157" s="347" t="s">
        <v>587</v>
      </c>
      <c r="C157" s="302">
        <v>0</v>
      </c>
      <c r="D157" s="302">
        <v>0</v>
      </c>
      <c r="E157" s="302">
        <v>0</v>
      </c>
      <c r="F157" s="302">
        <v>0</v>
      </c>
      <c r="G157" s="302">
        <v>0</v>
      </c>
      <c r="H157" s="302">
        <v>0</v>
      </c>
      <c r="I157" s="302">
        <v>0</v>
      </c>
      <c r="J157" s="302">
        <v>0</v>
      </c>
      <c r="K157" s="302">
        <v>0</v>
      </c>
      <c r="L157" s="302">
        <v>0</v>
      </c>
      <c r="M157" s="302">
        <v>0</v>
      </c>
      <c r="N157" s="302">
        <v>0</v>
      </c>
      <c r="O157" s="302">
        <v>0</v>
      </c>
      <c r="P157" s="302">
        <v>0</v>
      </c>
      <c r="Q157" s="302">
        <v>0</v>
      </c>
      <c r="R157" s="302">
        <v>0</v>
      </c>
      <c r="S157" s="302">
        <v>0</v>
      </c>
      <c r="T157" s="302">
        <v>0</v>
      </c>
      <c r="U157" s="302">
        <v>0</v>
      </c>
      <c r="V157" s="302">
        <v>0</v>
      </c>
      <c r="W157" s="302">
        <v>0</v>
      </c>
      <c r="X157" s="295">
        <f t="shared" si="6"/>
        <v>0</v>
      </c>
      <c r="AJ157" s="276"/>
    </row>
    <row r="158" spans="1:36" ht="15" customHeight="1">
      <c r="A158" s="533"/>
      <c r="B158" s="347" t="s">
        <v>588</v>
      </c>
      <c r="C158" s="302">
        <v>0</v>
      </c>
      <c r="D158" s="302">
        <v>0</v>
      </c>
      <c r="E158" s="302">
        <v>0</v>
      </c>
      <c r="F158" s="302">
        <v>0</v>
      </c>
      <c r="G158" s="302">
        <v>0</v>
      </c>
      <c r="H158" s="302">
        <v>0</v>
      </c>
      <c r="I158" s="302">
        <v>0</v>
      </c>
      <c r="J158" s="302">
        <v>0</v>
      </c>
      <c r="K158" s="302">
        <v>0</v>
      </c>
      <c r="L158" s="302">
        <v>0</v>
      </c>
      <c r="M158" s="302">
        <v>0</v>
      </c>
      <c r="N158" s="302">
        <v>0</v>
      </c>
      <c r="O158" s="302">
        <v>0</v>
      </c>
      <c r="P158" s="302">
        <v>0</v>
      </c>
      <c r="Q158" s="302">
        <v>0</v>
      </c>
      <c r="R158" s="302">
        <v>0</v>
      </c>
      <c r="S158" s="302">
        <v>0</v>
      </c>
      <c r="T158" s="302">
        <v>0</v>
      </c>
      <c r="U158" s="302">
        <v>0</v>
      </c>
      <c r="V158" s="302">
        <v>0</v>
      </c>
      <c r="W158" s="302">
        <v>0</v>
      </c>
      <c r="X158" s="295">
        <f t="shared" si="6"/>
        <v>0</v>
      </c>
      <c r="AJ158" s="276"/>
    </row>
    <row r="159" spans="1:36" ht="15" customHeight="1">
      <c r="A159" s="533"/>
      <c r="B159" s="347" t="s">
        <v>589</v>
      </c>
      <c r="C159" s="302">
        <v>0</v>
      </c>
      <c r="D159" s="302">
        <v>0</v>
      </c>
      <c r="E159" s="302">
        <v>0</v>
      </c>
      <c r="F159" s="302">
        <v>0</v>
      </c>
      <c r="G159" s="302">
        <v>0</v>
      </c>
      <c r="H159" s="302">
        <v>0</v>
      </c>
      <c r="I159" s="302">
        <v>0</v>
      </c>
      <c r="J159" s="302">
        <v>0</v>
      </c>
      <c r="K159" s="302">
        <v>0</v>
      </c>
      <c r="L159" s="302">
        <v>0</v>
      </c>
      <c r="M159" s="302">
        <v>0</v>
      </c>
      <c r="N159" s="302">
        <v>0</v>
      </c>
      <c r="O159" s="302">
        <v>0</v>
      </c>
      <c r="P159" s="302">
        <v>0</v>
      </c>
      <c r="Q159" s="302">
        <v>0</v>
      </c>
      <c r="R159" s="302">
        <v>0</v>
      </c>
      <c r="S159" s="302">
        <v>0</v>
      </c>
      <c r="T159" s="302">
        <v>0</v>
      </c>
      <c r="U159" s="302">
        <v>0</v>
      </c>
      <c r="V159" s="302">
        <v>0</v>
      </c>
      <c r="W159" s="302">
        <v>0</v>
      </c>
      <c r="X159" s="295">
        <f t="shared" si="6"/>
        <v>0</v>
      </c>
      <c r="AJ159" s="276"/>
    </row>
    <row r="160" spans="1:36" ht="15" customHeight="1">
      <c r="A160" s="533"/>
      <c r="B160" s="347" t="s">
        <v>590</v>
      </c>
      <c r="C160" s="302">
        <v>0</v>
      </c>
      <c r="D160" s="302">
        <v>0</v>
      </c>
      <c r="E160" s="302">
        <v>0</v>
      </c>
      <c r="F160" s="302">
        <v>0</v>
      </c>
      <c r="G160" s="302">
        <v>0</v>
      </c>
      <c r="H160" s="302">
        <v>0</v>
      </c>
      <c r="I160" s="302">
        <v>0</v>
      </c>
      <c r="J160" s="302">
        <v>0</v>
      </c>
      <c r="K160" s="302">
        <v>0</v>
      </c>
      <c r="L160" s="302">
        <v>0</v>
      </c>
      <c r="M160" s="302">
        <v>0</v>
      </c>
      <c r="N160" s="302">
        <v>0</v>
      </c>
      <c r="O160" s="302">
        <v>0</v>
      </c>
      <c r="P160" s="302">
        <v>0</v>
      </c>
      <c r="Q160" s="302">
        <v>0</v>
      </c>
      <c r="R160" s="302">
        <v>0</v>
      </c>
      <c r="S160" s="302">
        <v>0</v>
      </c>
      <c r="T160" s="302">
        <v>0</v>
      </c>
      <c r="U160" s="302">
        <v>0</v>
      </c>
      <c r="V160" s="302">
        <v>0</v>
      </c>
      <c r="W160" s="302">
        <v>0</v>
      </c>
      <c r="X160" s="295">
        <f t="shared" si="6"/>
        <v>0</v>
      </c>
      <c r="AJ160" s="276"/>
    </row>
    <row r="161" spans="1:36" ht="15" customHeight="1">
      <c r="A161" s="533"/>
      <c r="B161" s="347" t="s">
        <v>591</v>
      </c>
      <c r="C161" s="302">
        <v>0</v>
      </c>
      <c r="D161" s="302">
        <v>0</v>
      </c>
      <c r="E161" s="302">
        <v>0</v>
      </c>
      <c r="F161" s="302">
        <v>0</v>
      </c>
      <c r="G161" s="302">
        <v>0</v>
      </c>
      <c r="H161" s="302">
        <v>0</v>
      </c>
      <c r="I161" s="302">
        <v>0</v>
      </c>
      <c r="J161" s="302">
        <v>0</v>
      </c>
      <c r="K161" s="302">
        <v>0</v>
      </c>
      <c r="L161" s="302">
        <v>0</v>
      </c>
      <c r="M161" s="302">
        <v>0</v>
      </c>
      <c r="N161" s="302">
        <v>0</v>
      </c>
      <c r="O161" s="302">
        <v>0</v>
      </c>
      <c r="P161" s="302">
        <v>0</v>
      </c>
      <c r="Q161" s="302">
        <v>0</v>
      </c>
      <c r="R161" s="302">
        <v>0</v>
      </c>
      <c r="S161" s="302">
        <v>0</v>
      </c>
      <c r="T161" s="302">
        <v>0</v>
      </c>
      <c r="U161" s="302">
        <v>0</v>
      </c>
      <c r="V161" s="302">
        <v>0</v>
      </c>
      <c r="W161" s="302">
        <v>0</v>
      </c>
      <c r="X161" s="295">
        <f t="shared" si="6"/>
        <v>0</v>
      </c>
      <c r="AJ161" s="276"/>
    </row>
    <row r="162" spans="1:36" ht="15" customHeight="1">
      <c r="A162" s="533"/>
      <c r="B162" s="347" t="s">
        <v>592</v>
      </c>
      <c r="C162" s="302">
        <v>0</v>
      </c>
      <c r="D162" s="302">
        <v>0</v>
      </c>
      <c r="E162" s="302">
        <v>0</v>
      </c>
      <c r="F162" s="302">
        <v>0</v>
      </c>
      <c r="G162" s="302">
        <v>0</v>
      </c>
      <c r="H162" s="302">
        <v>0</v>
      </c>
      <c r="I162" s="302">
        <v>0</v>
      </c>
      <c r="J162" s="302">
        <v>0</v>
      </c>
      <c r="K162" s="302">
        <v>0</v>
      </c>
      <c r="L162" s="302">
        <v>0</v>
      </c>
      <c r="M162" s="302">
        <v>0</v>
      </c>
      <c r="N162" s="302">
        <v>0</v>
      </c>
      <c r="O162" s="302">
        <v>0</v>
      </c>
      <c r="P162" s="302">
        <v>0</v>
      </c>
      <c r="Q162" s="302">
        <v>0</v>
      </c>
      <c r="R162" s="302">
        <v>0</v>
      </c>
      <c r="S162" s="302">
        <v>0</v>
      </c>
      <c r="T162" s="302">
        <v>0</v>
      </c>
      <c r="U162" s="302">
        <v>0</v>
      </c>
      <c r="V162" s="302">
        <v>0</v>
      </c>
      <c r="W162" s="302">
        <v>0</v>
      </c>
      <c r="X162" s="295">
        <f t="shared" si="6"/>
        <v>0</v>
      </c>
      <c r="AJ162" s="276"/>
    </row>
    <row r="163" spans="1:36" ht="15" customHeight="1">
      <c r="A163" s="533"/>
      <c r="B163" s="347" t="s">
        <v>593</v>
      </c>
      <c r="C163" s="302">
        <v>0</v>
      </c>
      <c r="D163" s="302">
        <v>0</v>
      </c>
      <c r="E163" s="302">
        <v>0</v>
      </c>
      <c r="F163" s="302">
        <v>0</v>
      </c>
      <c r="G163" s="302">
        <v>0</v>
      </c>
      <c r="H163" s="302">
        <v>0</v>
      </c>
      <c r="I163" s="302">
        <v>0</v>
      </c>
      <c r="J163" s="302">
        <v>0</v>
      </c>
      <c r="K163" s="302">
        <v>0</v>
      </c>
      <c r="L163" s="302">
        <v>0</v>
      </c>
      <c r="M163" s="302">
        <v>0</v>
      </c>
      <c r="N163" s="302">
        <v>0</v>
      </c>
      <c r="O163" s="302">
        <v>0</v>
      </c>
      <c r="P163" s="302">
        <v>0</v>
      </c>
      <c r="Q163" s="302">
        <v>0</v>
      </c>
      <c r="R163" s="302">
        <v>0</v>
      </c>
      <c r="S163" s="302">
        <v>0</v>
      </c>
      <c r="T163" s="302">
        <v>0</v>
      </c>
      <c r="U163" s="302">
        <v>0</v>
      </c>
      <c r="V163" s="302">
        <v>0</v>
      </c>
      <c r="W163" s="302">
        <v>0</v>
      </c>
      <c r="X163" s="295">
        <f t="shared" si="6"/>
        <v>0</v>
      </c>
      <c r="AJ163" s="276"/>
    </row>
    <row r="164" spans="1:36" ht="15" customHeight="1">
      <c r="A164" s="533"/>
      <c r="B164" s="347" t="s">
        <v>594</v>
      </c>
      <c r="C164" s="302">
        <v>0</v>
      </c>
      <c r="D164" s="302">
        <v>0</v>
      </c>
      <c r="E164" s="302">
        <v>0</v>
      </c>
      <c r="F164" s="302">
        <v>0</v>
      </c>
      <c r="G164" s="302">
        <v>0</v>
      </c>
      <c r="H164" s="302">
        <v>0</v>
      </c>
      <c r="I164" s="302">
        <v>0</v>
      </c>
      <c r="J164" s="302">
        <v>0</v>
      </c>
      <c r="K164" s="302">
        <v>0</v>
      </c>
      <c r="L164" s="302">
        <v>0</v>
      </c>
      <c r="M164" s="302">
        <v>0</v>
      </c>
      <c r="N164" s="302">
        <v>0</v>
      </c>
      <c r="O164" s="302">
        <v>0</v>
      </c>
      <c r="P164" s="302">
        <v>0</v>
      </c>
      <c r="Q164" s="302">
        <v>0</v>
      </c>
      <c r="R164" s="302">
        <v>0</v>
      </c>
      <c r="S164" s="302">
        <v>0</v>
      </c>
      <c r="T164" s="302">
        <v>0</v>
      </c>
      <c r="U164" s="302">
        <v>0</v>
      </c>
      <c r="V164" s="302">
        <v>0</v>
      </c>
      <c r="W164" s="302">
        <v>0</v>
      </c>
      <c r="X164" s="295">
        <f t="shared" si="6"/>
        <v>0</v>
      </c>
      <c r="AJ164" s="276"/>
    </row>
    <row r="165" spans="1:36" ht="15" customHeight="1">
      <c r="A165" s="533"/>
      <c r="B165" s="347" t="s">
        <v>595</v>
      </c>
      <c r="C165" s="302">
        <v>0</v>
      </c>
      <c r="D165" s="302">
        <v>0</v>
      </c>
      <c r="E165" s="302">
        <v>0</v>
      </c>
      <c r="F165" s="302">
        <v>0</v>
      </c>
      <c r="G165" s="302">
        <v>0</v>
      </c>
      <c r="H165" s="302">
        <v>0</v>
      </c>
      <c r="I165" s="302">
        <v>0</v>
      </c>
      <c r="J165" s="302">
        <v>0</v>
      </c>
      <c r="K165" s="302">
        <v>0</v>
      </c>
      <c r="L165" s="302">
        <v>0</v>
      </c>
      <c r="M165" s="302">
        <v>0</v>
      </c>
      <c r="N165" s="302">
        <v>0</v>
      </c>
      <c r="O165" s="302">
        <v>0</v>
      </c>
      <c r="P165" s="302">
        <v>0</v>
      </c>
      <c r="Q165" s="302">
        <v>0</v>
      </c>
      <c r="R165" s="302">
        <v>0</v>
      </c>
      <c r="S165" s="302">
        <v>0</v>
      </c>
      <c r="T165" s="302">
        <v>0</v>
      </c>
      <c r="U165" s="302">
        <v>0</v>
      </c>
      <c r="V165" s="302">
        <v>0</v>
      </c>
      <c r="W165" s="302">
        <v>0</v>
      </c>
      <c r="X165" s="295">
        <f t="shared" si="6"/>
        <v>0</v>
      </c>
      <c r="AJ165" s="276"/>
    </row>
    <row r="166" spans="1:36" ht="15" customHeight="1">
      <c r="A166" s="533"/>
      <c r="B166" s="347" t="s">
        <v>596</v>
      </c>
      <c r="C166" s="302">
        <v>0</v>
      </c>
      <c r="D166" s="302">
        <v>0</v>
      </c>
      <c r="E166" s="302">
        <v>0</v>
      </c>
      <c r="F166" s="302">
        <v>0</v>
      </c>
      <c r="G166" s="302">
        <v>0</v>
      </c>
      <c r="H166" s="302">
        <v>0</v>
      </c>
      <c r="I166" s="302">
        <v>0</v>
      </c>
      <c r="J166" s="302">
        <v>0</v>
      </c>
      <c r="K166" s="302">
        <v>0</v>
      </c>
      <c r="L166" s="302">
        <v>0</v>
      </c>
      <c r="M166" s="302">
        <v>0</v>
      </c>
      <c r="N166" s="302">
        <v>0</v>
      </c>
      <c r="O166" s="302">
        <v>0</v>
      </c>
      <c r="P166" s="302">
        <v>0</v>
      </c>
      <c r="Q166" s="302">
        <v>0</v>
      </c>
      <c r="R166" s="302">
        <v>0</v>
      </c>
      <c r="S166" s="302">
        <v>0</v>
      </c>
      <c r="T166" s="302">
        <v>0</v>
      </c>
      <c r="U166" s="302">
        <v>0</v>
      </c>
      <c r="V166" s="302">
        <v>0</v>
      </c>
      <c r="W166" s="302">
        <v>0</v>
      </c>
      <c r="X166" s="295">
        <f t="shared" si="6"/>
        <v>0</v>
      </c>
      <c r="AJ166" s="276"/>
    </row>
    <row r="167" spans="1:36" ht="15" customHeight="1">
      <c r="A167" s="533"/>
      <c r="B167" s="347" t="s">
        <v>902</v>
      </c>
      <c r="C167" s="302">
        <v>0</v>
      </c>
      <c r="D167" s="302">
        <v>0</v>
      </c>
      <c r="E167" s="302">
        <v>0</v>
      </c>
      <c r="F167" s="302">
        <v>0</v>
      </c>
      <c r="G167" s="302">
        <v>0</v>
      </c>
      <c r="H167" s="302">
        <v>0</v>
      </c>
      <c r="I167" s="302">
        <v>0</v>
      </c>
      <c r="J167" s="302">
        <v>0</v>
      </c>
      <c r="K167" s="302">
        <v>0</v>
      </c>
      <c r="L167" s="302">
        <v>0</v>
      </c>
      <c r="M167" s="302">
        <v>0</v>
      </c>
      <c r="N167" s="302">
        <v>0</v>
      </c>
      <c r="O167" s="302">
        <v>0</v>
      </c>
      <c r="P167" s="302">
        <v>0</v>
      </c>
      <c r="Q167" s="302">
        <v>0</v>
      </c>
      <c r="R167" s="302">
        <v>0</v>
      </c>
      <c r="S167" s="302">
        <v>0</v>
      </c>
      <c r="T167" s="302">
        <v>0</v>
      </c>
      <c r="U167" s="302">
        <v>0</v>
      </c>
      <c r="V167" s="302">
        <v>0</v>
      </c>
      <c r="W167" s="302">
        <v>0</v>
      </c>
      <c r="X167" s="295">
        <f t="shared" si="6"/>
        <v>0</v>
      </c>
      <c r="AJ167" s="276"/>
    </row>
    <row r="168" spans="1:36" ht="15" customHeight="1">
      <c r="A168" s="533"/>
      <c r="B168" s="347" t="s">
        <v>903</v>
      </c>
      <c r="C168" s="302">
        <v>0</v>
      </c>
      <c r="D168" s="302">
        <v>0</v>
      </c>
      <c r="E168" s="302">
        <v>0</v>
      </c>
      <c r="F168" s="302">
        <v>0</v>
      </c>
      <c r="G168" s="302">
        <v>0</v>
      </c>
      <c r="H168" s="302">
        <v>0</v>
      </c>
      <c r="I168" s="302">
        <v>0</v>
      </c>
      <c r="J168" s="302">
        <v>0</v>
      </c>
      <c r="K168" s="302">
        <v>0</v>
      </c>
      <c r="L168" s="302">
        <v>0</v>
      </c>
      <c r="M168" s="302">
        <v>0</v>
      </c>
      <c r="N168" s="302">
        <v>0</v>
      </c>
      <c r="O168" s="302">
        <v>0</v>
      </c>
      <c r="P168" s="302">
        <v>0</v>
      </c>
      <c r="Q168" s="302">
        <v>0</v>
      </c>
      <c r="R168" s="302">
        <v>0</v>
      </c>
      <c r="S168" s="302">
        <v>0</v>
      </c>
      <c r="T168" s="302">
        <v>0</v>
      </c>
      <c r="U168" s="302">
        <v>0</v>
      </c>
      <c r="V168" s="302">
        <v>0</v>
      </c>
      <c r="W168" s="302">
        <v>0</v>
      </c>
      <c r="X168" s="295">
        <f t="shared" si="6"/>
        <v>0</v>
      </c>
      <c r="AJ168" s="276"/>
    </row>
    <row r="169" spans="1:36" ht="15" customHeight="1">
      <c r="A169" s="533"/>
      <c r="B169" s="347" t="s">
        <v>904</v>
      </c>
      <c r="C169" s="302">
        <v>0</v>
      </c>
      <c r="D169" s="302">
        <v>0</v>
      </c>
      <c r="E169" s="302">
        <v>0</v>
      </c>
      <c r="F169" s="302">
        <v>0</v>
      </c>
      <c r="G169" s="302">
        <v>0</v>
      </c>
      <c r="H169" s="302">
        <v>0</v>
      </c>
      <c r="I169" s="302">
        <v>0</v>
      </c>
      <c r="J169" s="302">
        <v>0</v>
      </c>
      <c r="K169" s="302">
        <v>0</v>
      </c>
      <c r="L169" s="302">
        <v>0</v>
      </c>
      <c r="M169" s="302">
        <v>0</v>
      </c>
      <c r="N169" s="302">
        <v>0</v>
      </c>
      <c r="O169" s="302">
        <v>0</v>
      </c>
      <c r="P169" s="302">
        <v>0</v>
      </c>
      <c r="Q169" s="302">
        <v>0</v>
      </c>
      <c r="R169" s="302">
        <v>0</v>
      </c>
      <c r="S169" s="302">
        <v>0</v>
      </c>
      <c r="T169" s="302">
        <v>0</v>
      </c>
      <c r="U169" s="302">
        <v>0</v>
      </c>
      <c r="V169" s="302">
        <v>0</v>
      </c>
      <c r="W169" s="302">
        <v>0</v>
      </c>
      <c r="X169" s="295">
        <f t="shared" si="6"/>
        <v>0</v>
      </c>
      <c r="AJ169" s="276"/>
    </row>
    <row r="170" spans="1:36" ht="15" customHeight="1" thickBot="1">
      <c r="A170" s="534"/>
      <c r="B170" s="349" t="s">
        <v>905</v>
      </c>
      <c r="C170" s="302">
        <v>0</v>
      </c>
      <c r="D170" s="302">
        <v>0</v>
      </c>
      <c r="E170" s="302">
        <v>0</v>
      </c>
      <c r="F170" s="302">
        <v>0</v>
      </c>
      <c r="G170" s="302">
        <v>0</v>
      </c>
      <c r="H170" s="302">
        <v>0</v>
      </c>
      <c r="I170" s="302">
        <v>0</v>
      </c>
      <c r="J170" s="302">
        <v>0</v>
      </c>
      <c r="K170" s="302">
        <v>0</v>
      </c>
      <c r="L170" s="302">
        <v>0</v>
      </c>
      <c r="M170" s="302">
        <v>0</v>
      </c>
      <c r="N170" s="302">
        <v>0</v>
      </c>
      <c r="O170" s="302">
        <v>0</v>
      </c>
      <c r="P170" s="302">
        <v>0</v>
      </c>
      <c r="Q170" s="302">
        <v>0</v>
      </c>
      <c r="R170" s="302">
        <v>0</v>
      </c>
      <c r="S170" s="302">
        <v>0</v>
      </c>
      <c r="T170" s="302">
        <v>0</v>
      </c>
      <c r="U170" s="302">
        <v>0</v>
      </c>
      <c r="V170" s="302">
        <v>0</v>
      </c>
      <c r="W170" s="302">
        <v>0</v>
      </c>
      <c r="X170" s="295">
        <f t="shared" si="6"/>
        <v>0</v>
      </c>
      <c r="AJ170" s="276"/>
    </row>
    <row r="171" spans="1:36" ht="20.100000000000001" customHeight="1" thickBot="1">
      <c r="A171" s="535" t="s">
        <v>755</v>
      </c>
      <c r="B171" s="536"/>
      <c r="C171" s="296"/>
      <c r="D171" s="296"/>
      <c r="E171" s="296"/>
      <c r="F171" s="296"/>
      <c r="G171" s="296"/>
      <c r="H171" s="296"/>
      <c r="I171" s="296"/>
      <c r="J171" s="296"/>
      <c r="K171" s="296"/>
      <c r="L171" s="296"/>
      <c r="M171" s="296"/>
      <c r="N171" s="296"/>
      <c r="O171" s="296"/>
      <c r="P171" s="296"/>
      <c r="Q171" s="296"/>
      <c r="R171" s="296"/>
      <c r="S171" s="296"/>
      <c r="T171" s="296"/>
      <c r="U171" s="296"/>
      <c r="V171" s="296"/>
      <c r="W171" s="296"/>
      <c r="X171" s="512"/>
      <c r="AJ171" s="276"/>
    </row>
    <row r="172" spans="1:36" ht="20.100000000000001" customHeight="1" thickBot="1">
      <c r="A172" s="535" t="s">
        <v>754</v>
      </c>
      <c r="B172" s="536"/>
      <c r="C172" s="296">
        <f t="shared" ref="C172:W172" si="7">+AVERAGE(C127:C170)</f>
        <v>0</v>
      </c>
      <c r="D172" s="296">
        <f t="shared" si="7"/>
        <v>0</v>
      </c>
      <c r="E172" s="296">
        <f t="shared" si="7"/>
        <v>0</v>
      </c>
      <c r="F172" s="296">
        <f t="shared" si="7"/>
        <v>0</v>
      </c>
      <c r="G172" s="296">
        <f t="shared" si="7"/>
        <v>0</v>
      </c>
      <c r="H172" s="296">
        <f t="shared" si="7"/>
        <v>0</v>
      </c>
      <c r="I172" s="296">
        <f t="shared" si="7"/>
        <v>0</v>
      </c>
      <c r="J172" s="296">
        <f t="shared" si="7"/>
        <v>0</v>
      </c>
      <c r="K172" s="296">
        <f t="shared" si="7"/>
        <v>0</v>
      </c>
      <c r="L172" s="296">
        <f t="shared" si="7"/>
        <v>0</v>
      </c>
      <c r="M172" s="296">
        <f t="shared" si="7"/>
        <v>0</v>
      </c>
      <c r="N172" s="296">
        <f t="shared" si="7"/>
        <v>0</v>
      </c>
      <c r="O172" s="296">
        <f t="shared" si="7"/>
        <v>0</v>
      </c>
      <c r="P172" s="296">
        <f t="shared" si="7"/>
        <v>0</v>
      </c>
      <c r="Q172" s="296">
        <f t="shared" si="7"/>
        <v>0</v>
      </c>
      <c r="R172" s="296">
        <f t="shared" si="7"/>
        <v>0</v>
      </c>
      <c r="S172" s="296">
        <f t="shared" si="7"/>
        <v>0</v>
      </c>
      <c r="T172" s="296">
        <f t="shared" si="7"/>
        <v>0</v>
      </c>
      <c r="U172" s="296">
        <f t="shared" si="7"/>
        <v>0</v>
      </c>
      <c r="V172" s="296">
        <f t="shared" si="7"/>
        <v>0</v>
      </c>
      <c r="W172" s="296">
        <f t="shared" si="7"/>
        <v>0</v>
      </c>
      <c r="X172" s="513"/>
      <c r="AJ172" s="276"/>
    </row>
    <row r="173" spans="1:36" ht="20.100000000000001" customHeight="1" thickBot="1">
      <c r="A173" s="535" t="s">
        <v>758</v>
      </c>
      <c r="B173" s="537"/>
      <c r="C173" s="516">
        <f>+AVERAGE(C172:W172)</f>
        <v>0</v>
      </c>
      <c r="D173" s="517"/>
      <c r="E173" s="517"/>
      <c r="F173" s="517"/>
      <c r="G173" s="517"/>
      <c r="H173" s="517"/>
      <c r="I173" s="517"/>
      <c r="J173" s="517"/>
      <c r="K173" s="517"/>
      <c r="L173" s="517"/>
      <c r="M173" s="517"/>
      <c r="N173" s="517"/>
      <c r="O173" s="517"/>
      <c r="P173" s="517"/>
      <c r="Q173" s="517"/>
      <c r="R173" s="517"/>
      <c r="S173" s="517"/>
      <c r="T173" s="517"/>
      <c r="U173" s="517"/>
      <c r="V173" s="517"/>
      <c r="W173" s="518"/>
      <c r="X173" s="514"/>
      <c r="AJ173" s="276"/>
    </row>
    <row r="174" spans="1:36" ht="15" customHeight="1">
      <c r="A174" s="532" t="s">
        <v>916</v>
      </c>
      <c r="B174" s="350" t="s">
        <v>597</v>
      </c>
      <c r="C174" s="301">
        <v>0</v>
      </c>
      <c r="D174" s="301">
        <v>0</v>
      </c>
      <c r="E174" s="301">
        <v>0</v>
      </c>
      <c r="F174" s="301">
        <v>0</v>
      </c>
      <c r="G174" s="301">
        <v>0</v>
      </c>
      <c r="H174" s="301">
        <v>0</v>
      </c>
      <c r="I174" s="301">
        <v>0</v>
      </c>
      <c r="J174" s="301">
        <v>0</v>
      </c>
      <c r="K174" s="301">
        <v>0</v>
      </c>
      <c r="L174" s="301">
        <v>0</v>
      </c>
      <c r="M174" s="301">
        <v>0</v>
      </c>
      <c r="N174" s="301">
        <v>0</v>
      </c>
      <c r="O174" s="301">
        <v>0</v>
      </c>
      <c r="P174" s="301">
        <v>0</v>
      </c>
      <c r="Q174" s="301">
        <v>0</v>
      </c>
      <c r="R174" s="301">
        <v>0</v>
      </c>
      <c r="S174" s="301">
        <v>0</v>
      </c>
      <c r="T174" s="301">
        <v>0</v>
      </c>
      <c r="U174" s="301">
        <v>0</v>
      </c>
      <c r="V174" s="301">
        <v>0</v>
      </c>
      <c r="W174" s="301">
        <v>0</v>
      </c>
      <c r="X174" s="293">
        <f t="shared" ref="X174:X217" si="8">+AVERAGE(C174:W174)</f>
        <v>0</v>
      </c>
      <c r="AJ174" s="276"/>
    </row>
    <row r="175" spans="1:36" ht="15" customHeight="1">
      <c r="A175" s="533"/>
      <c r="B175" s="347" t="s">
        <v>598</v>
      </c>
      <c r="C175" s="302">
        <v>0</v>
      </c>
      <c r="D175" s="302">
        <v>0</v>
      </c>
      <c r="E175" s="302">
        <v>0</v>
      </c>
      <c r="F175" s="302">
        <v>0</v>
      </c>
      <c r="G175" s="302">
        <v>0</v>
      </c>
      <c r="H175" s="302">
        <v>0</v>
      </c>
      <c r="I175" s="302">
        <v>0</v>
      </c>
      <c r="J175" s="302">
        <v>0</v>
      </c>
      <c r="K175" s="302">
        <v>0</v>
      </c>
      <c r="L175" s="302">
        <v>0</v>
      </c>
      <c r="M175" s="302">
        <v>0</v>
      </c>
      <c r="N175" s="302">
        <v>0</v>
      </c>
      <c r="O175" s="302">
        <v>0</v>
      </c>
      <c r="P175" s="302">
        <v>0</v>
      </c>
      <c r="Q175" s="302">
        <v>0</v>
      </c>
      <c r="R175" s="302">
        <v>0</v>
      </c>
      <c r="S175" s="302">
        <v>0</v>
      </c>
      <c r="T175" s="302">
        <v>0</v>
      </c>
      <c r="U175" s="302">
        <v>0</v>
      </c>
      <c r="V175" s="302">
        <v>0</v>
      </c>
      <c r="W175" s="302">
        <v>0</v>
      </c>
      <c r="X175" s="295">
        <f t="shared" si="8"/>
        <v>0</v>
      </c>
      <c r="AJ175" s="276"/>
    </row>
    <row r="176" spans="1:36" ht="15" customHeight="1">
      <c r="A176" s="533"/>
      <c r="B176" s="347" t="s">
        <v>599</v>
      </c>
      <c r="C176" s="302">
        <v>0</v>
      </c>
      <c r="D176" s="302">
        <v>0</v>
      </c>
      <c r="E176" s="302">
        <v>0</v>
      </c>
      <c r="F176" s="302">
        <v>0</v>
      </c>
      <c r="G176" s="302">
        <v>0</v>
      </c>
      <c r="H176" s="302">
        <v>0</v>
      </c>
      <c r="I176" s="302">
        <v>0</v>
      </c>
      <c r="J176" s="302">
        <v>0</v>
      </c>
      <c r="K176" s="302">
        <v>0</v>
      </c>
      <c r="L176" s="302">
        <v>0</v>
      </c>
      <c r="M176" s="302">
        <v>0</v>
      </c>
      <c r="N176" s="302">
        <v>0</v>
      </c>
      <c r="O176" s="302">
        <v>0</v>
      </c>
      <c r="P176" s="302">
        <v>0</v>
      </c>
      <c r="Q176" s="302">
        <v>0</v>
      </c>
      <c r="R176" s="302">
        <v>0</v>
      </c>
      <c r="S176" s="302">
        <v>0</v>
      </c>
      <c r="T176" s="302">
        <v>0</v>
      </c>
      <c r="U176" s="302">
        <v>0</v>
      </c>
      <c r="V176" s="302">
        <v>0</v>
      </c>
      <c r="W176" s="302">
        <v>0</v>
      </c>
      <c r="X176" s="295">
        <f t="shared" si="8"/>
        <v>0</v>
      </c>
      <c r="AJ176" s="276"/>
    </row>
    <row r="177" spans="1:36" ht="15" customHeight="1">
      <c r="A177" s="533"/>
      <c r="B177" s="347" t="s">
        <v>600</v>
      </c>
      <c r="C177" s="302">
        <v>0</v>
      </c>
      <c r="D177" s="302">
        <v>0</v>
      </c>
      <c r="E177" s="302">
        <v>0</v>
      </c>
      <c r="F177" s="302">
        <v>0</v>
      </c>
      <c r="G177" s="302">
        <v>0</v>
      </c>
      <c r="H177" s="302">
        <v>0</v>
      </c>
      <c r="I177" s="302">
        <v>0</v>
      </c>
      <c r="J177" s="302">
        <v>0</v>
      </c>
      <c r="K177" s="302">
        <v>0</v>
      </c>
      <c r="L177" s="302">
        <v>0</v>
      </c>
      <c r="M177" s="302">
        <v>0</v>
      </c>
      <c r="N177" s="302">
        <v>0</v>
      </c>
      <c r="O177" s="302">
        <v>0</v>
      </c>
      <c r="P177" s="302">
        <v>0</v>
      </c>
      <c r="Q177" s="302">
        <v>0</v>
      </c>
      <c r="R177" s="302">
        <v>0</v>
      </c>
      <c r="S177" s="302">
        <v>0</v>
      </c>
      <c r="T177" s="302">
        <v>0</v>
      </c>
      <c r="U177" s="302">
        <v>0</v>
      </c>
      <c r="V177" s="302">
        <v>0</v>
      </c>
      <c r="W177" s="302">
        <v>0</v>
      </c>
      <c r="X177" s="295">
        <f t="shared" si="8"/>
        <v>0</v>
      </c>
      <c r="AJ177" s="276"/>
    </row>
    <row r="178" spans="1:36" ht="15" customHeight="1">
      <c r="A178" s="533"/>
      <c r="B178" s="347" t="s">
        <v>601</v>
      </c>
      <c r="C178" s="302">
        <v>0</v>
      </c>
      <c r="D178" s="302">
        <v>0</v>
      </c>
      <c r="E178" s="302">
        <v>0</v>
      </c>
      <c r="F178" s="302">
        <v>0</v>
      </c>
      <c r="G178" s="302">
        <v>0</v>
      </c>
      <c r="H178" s="302">
        <v>0</v>
      </c>
      <c r="I178" s="302">
        <v>0</v>
      </c>
      <c r="J178" s="302">
        <v>0</v>
      </c>
      <c r="K178" s="302">
        <v>0</v>
      </c>
      <c r="L178" s="302">
        <v>0</v>
      </c>
      <c r="M178" s="302">
        <v>0</v>
      </c>
      <c r="N178" s="302">
        <v>0</v>
      </c>
      <c r="O178" s="302">
        <v>0</v>
      </c>
      <c r="P178" s="302">
        <v>0</v>
      </c>
      <c r="Q178" s="302">
        <v>0</v>
      </c>
      <c r="R178" s="302">
        <v>0</v>
      </c>
      <c r="S178" s="302">
        <v>0</v>
      </c>
      <c r="T178" s="302">
        <v>0</v>
      </c>
      <c r="U178" s="302">
        <v>0</v>
      </c>
      <c r="V178" s="302">
        <v>0</v>
      </c>
      <c r="W178" s="302">
        <v>0</v>
      </c>
      <c r="X178" s="295">
        <f t="shared" si="8"/>
        <v>0</v>
      </c>
      <c r="AJ178" s="276"/>
    </row>
    <row r="179" spans="1:36" ht="15" customHeight="1">
      <c r="A179" s="533"/>
      <c r="B179" s="347" t="s">
        <v>602</v>
      </c>
      <c r="C179" s="302">
        <v>0</v>
      </c>
      <c r="D179" s="302">
        <v>0</v>
      </c>
      <c r="E179" s="302">
        <v>0</v>
      </c>
      <c r="F179" s="302">
        <v>0</v>
      </c>
      <c r="G179" s="302">
        <v>0</v>
      </c>
      <c r="H179" s="302">
        <v>0</v>
      </c>
      <c r="I179" s="302">
        <v>0</v>
      </c>
      <c r="J179" s="302">
        <v>0</v>
      </c>
      <c r="K179" s="302">
        <v>0</v>
      </c>
      <c r="L179" s="302">
        <v>0</v>
      </c>
      <c r="M179" s="302">
        <v>0</v>
      </c>
      <c r="N179" s="302">
        <v>0</v>
      </c>
      <c r="O179" s="302">
        <v>0</v>
      </c>
      <c r="P179" s="302">
        <v>0</v>
      </c>
      <c r="Q179" s="302">
        <v>0</v>
      </c>
      <c r="R179" s="302">
        <v>0</v>
      </c>
      <c r="S179" s="302">
        <v>0</v>
      </c>
      <c r="T179" s="302">
        <v>0</v>
      </c>
      <c r="U179" s="302">
        <v>0</v>
      </c>
      <c r="V179" s="302">
        <v>0</v>
      </c>
      <c r="W179" s="302">
        <v>0</v>
      </c>
      <c r="X179" s="295">
        <f t="shared" si="8"/>
        <v>0</v>
      </c>
      <c r="AJ179" s="276"/>
    </row>
    <row r="180" spans="1:36" ht="15" customHeight="1">
      <c r="A180" s="533"/>
      <c r="B180" s="347" t="s">
        <v>603</v>
      </c>
      <c r="C180" s="302">
        <v>0</v>
      </c>
      <c r="D180" s="302">
        <v>0</v>
      </c>
      <c r="E180" s="302">
        <v>0</v>
      </c>
      <c r="F180" s="302">
        <v>0</v>
      </c>
      <c r="G180" s="302">
        <v>0</v>
      </c>
      <c r="H180" s="302">
        <v>0</v>
      </c>
      <c r="I180" s="302">
        <v>0</v>
      </c>
      <c r="J180" s="302">
        <v>0</v>
      </c>
      <c r="K180" s="302">
        <v>0</v>
      </c>
      <c r="L180" s="302">
        <v>0</v>
      </c>
      <c r="M180" s="302">
        <v>0</v>
      </c>
      <c r="N180" s="302">
        <v>0</v>
      </c>
      <c r="O180" s="302">
        <v>0</v>
      </c>
      <c r="P180" s="302">
        <v>0</v>
      </c>
      <c r="Q180" s="302">
        <v>0</v>
      </c>
      <c r="R180" s="302">
        <v>0</v>
      </c>
      <c r="S180" s="302">
        <v>0</v>
      </c>
      <c r="T180" s="302">
        <v>0</v>
      </c>
      <c r="U180" s="302">
        <v>0</v>
      </c>
      <c r="V180" s="302">
        <v>0</v>
      </c>
      <c r="W180" s="302">
        <v>0</v>
      </c>
      <c r="X180" s="295">
        <f t="shared" si="8"/>
        <v>0</v>
      </c>
      <c r="AJ180" s="276"/>
    </row>
    <row r="181" spans="1:36" ht="15" customHeight="1">
      <c r="A181" s="533"/>
      <c r="B181" s="347" t="s">
        <v>604</v>
      </c>
      <c r="C181" s="302">
        <v>0</v>
      </c>
      <c r="D181" s="302">
        <v>0</v>
      </c>
      <c r="E181" s="302">
        <v>0</v>
      </c>
      <c r="F181" s="302">
        <v>0</v>
      </c>
      <c r="G181" s="302">
        <v>0</v>
      </c>
      <c r="H181" s="302">
        <v>0</v>
      </c>
      <c r="I181" s="302">
        <v>0</v>
      </c>
      <c r="J181" s="302">
        <v>0</v>
      </c>
      <c r="K181" s="302">
        <v>0</v>
      </c>
      <c r="L181" s="302">
        <v>0</v>
      </c>
      <c r="M181" s="302">
        <v>0</v>
      </c>
      <c r="N181" s="302">
        <v>0</v>
      </c>
      <c r="O181" s="302">
        <v>0</v>
      </c>
      <c r="P181" s="302">
        <v>0</v>
      </c>
      <c r="Q181" s="302">
        <v>0</v>
      </c>
      <c r="R181" s="302">
        <v>0</v>
      </c>
      <c r="S181" s="302">
        <v>0</v>
      </c>
      <c r="T181" s="302">
        <v>0</v>
      </c>
      <c r="U181" s="302">
        <v>0</v>
      </c>
      <c r="V181" s="302">
        <v>0</v>
      </c>
      <c r="W181" s="302">
        <v>0</v>
      </c>
      <c r="X181" s="295">
        <f t="shared" si="8"/>
        <v>0</v>
      </c>
      <c r="AJ181" s="276"/>
    </row>
    <row r="182" spans="1:36" ht="15" customHeight="1">
      <c r="A182" s="533"/>
      <c r="B182" s="347" t="s">
        <v>605</v>
      </c>
      <c r="C182" s="302">
        <v>0</v>
      </c>
      <c r="D182" s="302">
        <v>0</v>
      </c>
      <c r="E182" s="302">
        <v>0</v>
      </c>
      <c r="F182" s="302">
        <v>0</v>
      </c>
      <c r="G182" s="302">
        <v>0</v>
      </c>
      <c r="H182" s="302">
        <v>0</v>
      </c>
      <c r="I182" s="302">
        <v>0</v>
      </c>
      <c r="J182" s="302">
        <v>0</v>
      </c>
      <c r="K182" s="302">
        <v>0</v>
      </c>
      <c r="L182" s="302">
        <v>0</v>
      </c>
      <c r="M182" s="302">
        <v>0</v>
      </c>
      <c r="N182" s="302">
        <v>0</v>
      </c>
      <c r="O182" s="302">
        <v>0</v>
      </c>
      <c r="P182" s="302">
        <v>0</v>
      </c>
      <c r="Q182" s="302">
        <v>0</v>
      </c>
      <c r="R182" s="302">
        <v>0</v>
      </c>
      <c r="S182" s="302">
        <v>0</v>
      </c>
      <c r="T182" s="302">
        <v>0</v>
      </c>
      <c r="U182" s="302">
        <v>0</v>
      </c>
      <c r="V182" s="302">
        <v>0</v>
      </c>
      <c r="W182" s="302">
        <v>0</v>
      </c>
      <c r="X182" s="295">
        <f t="shared" si="8"/>
        <v>0</v>
      </c>
      <c r="AJ182" s="276"/>
    </row>
    <row r="183" spans="1:36" ht="15" customHeight="1">
      <c r="A183" s="533"/>
      <c r="B183" s="347" t="s">
        <v>606</v>
      </c>
      <c r="C183" s="302">
        <v>0</v>
      </c>
      <c r="D183" s="302">
        <v>0</v>
      </c>
      <c r="E183" s="302">
        <v>0</v>
      </c>
      <c r="F183" s="302">
        <v>0</v>
      </c>
      <c r="G183" s="302">
        <v>0</v>
      </c>
      <c r="H183" s="302">
        <v>0</v>
      </c>
      <c r="I183" s="302">
        <v>0</v>
      </c>
      <c r="J183" s="302">
        <v>0</v>
      </c>
      <c r="K183" s="302">
        <v>0</v>
      </c>
      <c r="L183" s="302">
        <v>0</v>
      </c>
      <c r="M183" s="302">
        <v>0</v>
      </c>
      <c r="N183" s="302">
        <v>0</v>
      </c>
      <c r="O183" s="302">
        <v>0</v>
      </c>
      <c r="P183" s="302">
        <v>0</v>
      </c>
      <c r="Q183" s="302">
        <v>0</v>
      </c>
      <c r="R183" s="302">
        <v>0</v>
      </c>
      <c r="S183" s="302">
        <v>0</v>
      </c>
      <c r="T183" s="302">
        <v>0</v>
      </c>
      <c r="U183" s="302">
        <v>0</v>
      </c>
      <c r="V183" s="302">
        <v>0</v>
      </c>
      <c r="W183" s="302">
        <v>0</v>
      </c>
      <c r="X183" s="295">
        <f t="shared" si="8"/>
        <v>0</v>
      </c>
      <c r="AJ183" s="276"/>
    </row>
    <row r="184" spans="1:36" ht="15" customHeight="1">
      <c r="A184" s="533"/>
      <c r="B184" s="347" t="s">
        <v>607</v>
      </c>
      <c r="C184" s="302">
        <v>0</v>
      </c>
      <c r="D184" s="302">
        <v>0</v>
      </c>
      <c r="E184" s="302">
        <v>0</v>
      </c>
      <c r="F184" s="302">
        <v>0</v>
      </c>
      <c r="G184" s="302">
        <v>0</v>
      </c>
      <c r="H184" s="302">
        <v>0</v>
      </c>
      <c r="I184" s="302">
        <v>0</v>
      </c>
      <c r="J184" s="302">
        <v>0</v>
      </c>
      <c r="K184" s="302">
        <v>0</v>
      </c>
      <c r="L184" s="302">
        <v>0</v>
      </c>
      <c r="M184" s="302">
        <v>0</v>
      </c>
      <c r="N184" s="302">
        <v>0</v>
      </c>
      <c r="O184" s="302">
        <v>0</v>
      </c>
      <c r="P184" s="302">
        <v>0</v>
      </c>
      <c r="Q184" s="302">
        <v>0</v>
      </c>
      <c r="R184" s="302">
        <v>0</v>
      </c>
      <c r="S184" s="302">
        <v>0</v>
      </c>
      <c r="T184" s="302">
        <v>0</v>
      </c>
      <c r="U184" s="302">
        <v>0</v>
      </c>
      <c r="V184" s="302">
        <v>0</v>
      </c>
      <c r="W184" s="302">
        <v>0</v>
      </c>
      <c r="X184" s="295">
        <f t="shared" si="8"/>
        <v>0</v>
      </c>
      <c r="AJ184" s="276"/>
    </row>
    <row r="185" spans="1:36" ht="15" customHeight="1">
      <c r="A185" s="533"/>
      <c r="B185" s="347" t="s">
        <v>608</v>
      </c>
      <c r="C185" s="302">
        <v>0</v>
      </c>
      <c r="D185" s="302">
        <v>0</v>
      </c>
      <c r="E185" s="302">
        <v>0</v>
      </c>
      <c r="F185" s="302">
        <v>0</v>
      </c>
      <c r="G185" s="302">
        <v>0</v>
      </c>
      <c r="H185" s="302">
        <v>0</v>
      </c>
      <c r="I185" s="302">
        <v>0</v>
      </c>
      <c r="J185" s="302">
        <v>0</v>
      </c>
      <c r="K185" s="302">
        <v>0</v>
      </c>
      <c r="L185" s="302">
        <v>0</v>
      </c>
      <c r="M185" s="302">
        <v>0</v>
      </c>
      <c r="N185" s="302">
        <v>0</v>
      </c>
      <c r="O185" s="302">
        <v>0</v>
      </c>
      <c r="P185" s="302">
        <v>0</v>
      </c>
      <c r="Q185" s="302">
        <v>0</v>
      </c>
      <c r="R185" s="302">
        <v>0</v>
      </c>
      <c r="S185" s="302">
        <v>0</v>
      </c>
      <c r="T185" s="302">
        <v>0</v>
      </c>
      <c r="U185" s="302">
        <v>0</v>
      </c>
      <c r="V185" s="302">
        <v>0</v>
      </c>
      <c r="W185" s="302">
        <v>0</v>
      </c>
      <c r="X185" s="295">
        <f t="shared" si="8"/>
        <v>0</v>
      </c>
      <c r="AJ185" s="276"/>
    </row>
    <row r="186" spans="1:36" ht="15" customHeight="1">
      <c r="A186" s="533"/>
      <c r="B186" s="347" t="s">
        <v>609</v>
      </c>
      <c r="C186" s="302">
        <v>0</v>
      </c>
      <c r="D186" s="302">
        <v>0</v>
      </c>
      <c r="E186" s="302">
        <v>0</v>
      </c>
      <c r="F186" s="302">
        <v>0</v>
      </c>
      <c r="G186" s="302">
        <v>0</v>
      </c>
      <c r="H186" s="302">
        <v>0</v>
      </c>
      <c r="I186" s="302">
        <v>0</v>
      </c>
      <c r="J186" s="302">
        <v>0</v>
      </c>
      <c r="K186" s="302">
        <v>0</v>
      </c>
      <c r="L186" s="302">
        <v>0</v>
      </c>
      <c r="M186" s="302">
        <v>0</v>
      </c>
      <c r="N186" s="302">
        <v>0</v>
      </c>
      <c r="O186" s="302">
        <v>0</v>
      </c>
      <c r="P186" s="302">
        <v>0</v>
      </c>
      <c r="Q186" s="302">
        <v>0</v>
      </c>
      <c r="R186" s="302">
        <v>0</v>
      </c>
      <c r="S186" s="302">
        <v>0</v>
      </c>
      <c r="T186" s="302">
        <v>0</v>
      </c>
      <c r="U186" s="302">
        <v>0</v>
      </c>
      <c r="V186" s="302">
        <v>0</v>
      </c>
      <c r="W186" s="302">
        <v>0</v>
      </c>
      <c r="X186" s="295">
        <f t="shared" si="8"/>
        <v>0</v>
      </c>
      <c r="AJ186" s="276"/>
    </row>
    <row r="187" spans="1:36" ht="15" customHeight="1">
      <c r="A187" s="533"/>
      <c r="B187" s="347" t="s">
        <v>610</v>
      </c>
      <c r="C187" s="302">
        <v>0</v>
      </c>
      <c r="D187" s="302">
        <v>0</v>
      </c>
      <c r="E187" s="302">
        <v>0</v>
      </c>
      <c r="F187" s="302">
        <v>0</v>
      </c>
      <c r="G187" s="302">
        <v>0</v>
      </c>
      <c r="H187" s="302">
        <v>0</v>
      </c>
      <c r="I187" s="302">
        <v>0</v>
      </c>
      <c r="J187" s="302">
        <v>0</v>
      </c>
      <c r="K187" s="302">
        <v>0</v>
      </c>
      <c r="L187" s="302">
        <v>0</v>
      </c>
      <c r="M187" s="302">
        <v>0</v>
      </c>
      <c r="N187" s="302">
        <v>0</v>
      </c>
      <c r="O187" s="302">
        <v>0</v>
      </c>
      <c r="P187" s="302">
        <v>0</v>
      </c>
      <c r="Q187" s="302">
        <v>0</v>
      </c>
      <c r="R187" s="302">
        <v>0</v>
      </c>
      <c r="S187" s="302">
        <v>0</v>
      </c>
      <c r="T187" s="302">
        <v>0</v>
      </c>
      <c r="U187" s="302">
        <v>0</v>
      </c>
      <c r="V187" s="302">
        <v>0</v>
      </c>
      <c r="W187" s="302">
        <v>0</v>
      </c>
      <c r="X187" s="295">
        <f t="shared" si="8"/>
        <v>0</v>
      </c>
      <c r="AJ187" s="276"/>
    </row>
    <row r="188" spans="1:36" ht="15" customHeight="1">
      <c r="A188" s="533"/>
      <c r="B188" s="347" t="s">
        <v>611</v>
      </c>
      <c r="C188" s="302">
        <v>0</v>
      </c>
      <c r="D188" s="302">
        <v>0</v>
      </c>
      <c r="E188" s="302">
        <v>0</v>
      </c>
      <c r="F188" s="302">
        <v>0</v>
      </c>
      <c r="G188" s="302">
        <v>0</v>
      </c>
      <c r="H188" s="302">
        <v>0</v>
      </c>
      <c r="I188" s="302">
        <v>0</v>
      </c>
      <c r="J188" s="302">
        <v>0</v>
      </c>
      <c r="K188" s="302">
        <v>0</v>
      </c>
      <c r="L188" s="302">
        <v>0</v>
      </c>
      <c r="M188" s="302">
        <v>0</v>
      </c>
      <c r="N188" s="302">
        <v>0</v>
      </c>
      <c r="O188" s="302">
        <v>0</v>
      </c>
      <c r="P188" s="302">
        <v>0</v>
      </c>
      <c r="Q188" s="302">
        <v>0</v>
      </c>
      <c r="R188" s="302">
        <v>0</v>
      </c>
      <c r="S188" s="302">
        <v>0</v>
      </c>
      <c r="T188" s="302">
        <v>0</v>
      </c>
      <c r="U188" s="302">
        <v>0</v>
      </c>
      <c r="V188" s="302">
        <v>0</v>
      </c>
      <c r="W188" s="302">
        <v>0</v>
      </c>
      <c r="X188" s="295">
        <f t="shared" si="8"/>
        <v>0</v>
      </c>
      <c r="AJ188" s="276"/>
    </row>
    <row r="189" spans="1:36" ht="15" customHeight="1">
      <c r="A189" s="533"/>
      <c r="B189" s="347" t="s">
        <v>612</v>
      </c>
      <c r="C189" s="302">
        <v>0</v>
      </c>
      <c r="D189" s="302">
        <v>0</v>
      </c>
      <c r="E189" s="302">
        <v>0</v>
      </c>
      <c r="F189" s="302">
        <v>0</v>
      </c>
      <c r="G189" s="302">
        <v>0</v>
      </c>
      <c r="H189" s="302">
        <v>0</v>
      </c>
      <c r="I189" s="302">
        <v>0</v>
      </c>
      <c r="J189" s="302">
        <v>0</v>
      </c>
      <c r="K189" s="302">
        <v>0</v>
      </c>
      <c r="L189" s="302">
        <v>0</v>
      </c>
      <c r="M189" s="302">
        <v>0</v>
      </c>
      <c r="N189" s="302">
        <v>0</v>
      </c>
      <c r="O189" s="302">
        <v>0</v>
      </c>
      <c r="P189" s="302">
        <v>0</v>
      </c>
      <c r="Q189" s="302">
        <v>0</v>
      </c>
      <c r="R189" s="302">
        <v>0</v>
      </c>
      <c r="S189" s="302">
        <v>0</v>
      </c>
      <c r="T189" s="302">
        <v>0</v>
      </c>
      <c r="U189" s="302">
        <v>0</v>
      </c>
      <c r="V189" s="302">
        <v>0</v>
      </c>
      <c r="W189" s="302">
        <v>0</v>
      </c>
      <c r="X189" s="295">
        <f t="shared" si="8"/>
        <v>0</v>
      </c>
      <c r="AJ189" s="276"/>
    </row>
    <row r="190" spans="1:36" ht="15" customHeight="1">
      <c r="A190" s="533"/>
      <c r="B190" s="347" t="s">
        <v>613</v>
      </c>
      <c r="C190" s="302">
        <v>0</v>
      </c>
      <c r="D190" s="302">
        <v>0</v>
      </c>
      <c r="E190" s="302">
        <v>0</v>
      </c>
      <c r="F190" s="302">
        <v>0</v>
      </c>
      <c r="G190" s="302">
        <v>0</v>
      </c>
      <c r="H190" s="302">
        <v>0</v>
      </c>
      <c r="I190" s="302">
        <v>0</v>
      </c>
      <c r="J190" s="302">
        <v>0</v>
      </c>
      <c r="K190" s="302">
        <v>0</v>
      </c>
      <c r="L190" s="302">
        <v>0</v>
      </c>
      <c r="M190" s="302">
        <v>0</v>
      </c>
      <c r="N190" s="302">
        <v>0</v>
      </c>
      <c r="O190" s="302">
        <v>0</v>
      </c>
      <c r="P190" s="302">
        <v>0</v>
      </c>
      <c r="Q190" s="302">
        <v>0</v>
      </c>
      <c r="R190" s="302">
        <v>0</v>
      </c>
      <c r="S190" s="302">
        <v>0</v>
      </c>
      <c r="T190" s="302">
        <v>0</v>
      </c>
      <c r="U190" s="302">
        <v>0</v>
      </c>
      <c r="V190" s="302">
        <v>0</v>
      </c>
      <c r="W190" s="302">
        <v>0</v>
      </c>
      <c r="X190" s="295">
        <f t="shared" si="8"/>
        <v>0</v>
      </c>
      <c r="AJ190" s="276"/>
    </row>
    <row r="191" spans="1:36" ht="15" customHeight="1">
      <c r="A191" s="533"/>
      <c r="B191" s="347" t="s">
        <v>910</v>
      </c>
      <c r="C191" s="302">
        <v>0</v>
      </c>
      <c r="D191" s="302">
        <v>0</v>
      </c>
      <c r="E191" s="302">
        <v>0</v>
      </c>
      <c r="F191" s="302">
        <v>0</v>
      </c>
      <c r="G191" s="302">
        <v>0</v>
      </c>
      <c r="H191" s="302">
        <v>0</v>
      </c>
      <c r="I191" s="302">
        <v>0</v>
      </c>
      <c r="J191" s="302">
        <v>0</v>
      </c>
      <c r="K191" s="302">
        <v>0</v>
      </c>
      <c r="L191" s="302">
        <v>0</v>
      </c>
      <c r="M191" s="302">
        <v>0</v>
      </c>
      <c r="N191" s="302">
        <v>0</v>
      </c>
      <c r="O191" s="302">
        <v>0</v>
      </c>
      <c r="P191" s="302">
        <v>0</v>
      </c>
      <c r="Q191" s="302">
        <v>0</v>
      </c>
      <c r="R191" s="302">
        <v>0</v>
      </c>
      <c r="S191" s="302">
        <v>0</v>
      </c>
      <c r="T191" s="302">
        <v>0</v>
      </c>
      <c r="U191" s="302">
        <v>0</v>
      </c>
      <c r="V191" s="302">
        <v>0</v>
      </c>
      <c r="W191" s="302">
        <v>0</v>
      </c>
      <c r="X191" s="295">
        <f t="shared" si="8"/>
        <v>0</v>
      </c>
      <c r="AJ191" s="276"/>
    </row>
    <row r="192" spans="1:36" ht="15" customHeight="1">
      <c r="A192" s="533"/>
      <c r="B192" s="347" t="s">
        <v>911</v>
      </c>
      <c r="C192" s="302">
        <v>0</v>
      </c>
      <c r="D192" s="302">
        <v>0</v>
      </c>
      <c r="E192" s="302">
        <v>0</v>
      </c>
      <c r="F192" s="302">
        <v>0</v>
      </c>
      <c r="G192" s="302">
        <v>0</v>
      </c>
      <c r="H192" s="302">
        <v>0</v>
      </c>
      <c r="I192" s="302">
        <v>0</v>
      </c>
      <c r="J192" s="302">
        <v>0</v>
      </c>
      <c r="K192" s="302">
        <v>0</v>
      </c>
      <c r="L192" s="302">
        <v>0</v>
      </c>
      <c r="M192" s="302">
        <v>0</v>
      </c>
      <c r="N192" s="302">
        <v>0</v>
      </c>
      <c r="O192" s="302">
        <v>0</v>
      </c>
      <c r="P192" s="302">
        <v>0</v>
      </c>
      <c r="Q192" s="302">
        <v>0</v>
      </c>
      <c r="R192" s="302">
        <v>0</v>
      </c>
      <c r="S192" s="302">
        <v>0</v>
      </c>
      <c r="T192" s="302">
        <v>0</v>
      </c>
      <c r="U192" s="302">
        <v>0</v>
      </c>
      <c r="V192" s="302">
        <v>0</v>
      </c>
      <c r="W192" s="302">
        <v>0</v>
      </c>
      <c r="X192" s="295">
        <f t="shared" si="8"/>
        <v>0</v>
      </c>
      <c r="AJ192" s="276"/>
    </row>
    <row r="193" spans="1:36" ht="15" customHeight="1">
      <c r="A193" s="533"/>
      <c r="B193" s="347" t="s">
        <v>912</v>
      </c>
      <c r="C193" s="302">
        <v>0</v>
      </c>
      <c r="D193" s="302">
        <v>0</v>
      </c>
      <c r="E193" s="302">
        <v>0</v>
      </c>
      <c r="F193" s="302">
        <v>0</v>
      </c>
      <c r="G193" s="302">
        <v>0</v>
      </c>
      <c r="H193" s="302">
        <v>0</v>
      </c>
      <c r="I193" s="302">
        <v>0</v>
      </c>
      <c r="J193" s="302">
        <v>0</v>
      </c>
      <c r="K193" s="302">
        <v>0</v>
      </c>
      <c r="L193" s="302">
        <v>0</v>
      </c>
      <c r="M193" s="302">
        <v>0</v>
      </c>
      <c r="N193" s="302">
        <v>0</v>
      </c>
      <c r="O193" s="302">
        <v>0</v>
      </c>
      <c r="P193" s="302">
        <v>0</v>
      </c>
      <c r="Q193" s="302">
        <v>0</v>
      </c>
      <c r="R193" s="302">
        <v>0</v>
      </c>
      <c r="S193" s="302">
        <v>0</v>
      </c>
      <c r="T193" s="302">
        <v>0</v>
      </c>
      <c r="U193" s="302">
        <v>0</v>
      </c>
      <c r="V193" s="302">
        <v>0</v>
      </c>
      <c r="W193" s="302">
        <v>0</v>
      </c>
      <c r="X193" s="295">
        <f t="shared" si="8"/>
        <v>0</v>
      </c>
      <c r="AJ193" s="276"/>
    </row>
    <row r="194" spans="1:36" ht="15" customHeight="1">
      <c r="A194" s="533"/>
      <c r="B194" s="347" t="s">
        <v>913</v>
      </c>
      <c r="C194" s="302">
        <v>0</v>
      </c>
      <c r="D194" s="302">
        <v>0</v>
      </c>
      <c r="E194" s="302">
        <v>0</v>
      </c>
      <c r="F194" s="302">
        <v>0</v>
      </c>
      <c r="G194" s="302">
        <v>0</v>
      </c>
      <c r="H194" s="302">
        <v>0</v>
      </c>
      <c r="I194" s="302">
        <v>0</v>
      </c>
      <c r="J194" s="302">
        <v>0</v>
      </c>
      <c r="K194" s="302">
        <v>0</v>
      </c>
      <c r="L194" s="302">
        <v>0</v>
      </c>
      <c r="M194" s="302">
        <v>0</v>
      </c>
      <c r="N194" s="302">
        <v>0</v>
      </c>
      <c r="O194" s="302">
        <v>0</v>
      </c>
      <c r="P194" s="302">
        <v>0</v>
      </c>
      <c r="Q194" s="302">
        <v>0</v>
      </c>
      <c r="R194" s="302">
        <v>0</v>
      </c>
      <c r="S194" s="302">
        <v>0</v>
      </c>
      <c r="T194" s="302">
        <v>0</v>
      </c>
      <c r="U194" s="302">
        <v>0</v>
      </c>
      <c r="V194" s="302">
        <v>0</v>
      </c>
      <c r="W194" s="302">
        <v>0</v>
      </c>
      <c r="X194" s="295">
        <f t="shared" si="8"/>
        <v>0</v>
      </c>
      <c r="AJ194" s="276"/>
    </row>
    <row r="195" spans="1:36" ht="15" customHeight="1">
      <c r="A195" s="533"/>
      <c r="B195" s="347" t="s">
        <v>914</v>
      </c>
      <c r="C195" s="302">
        <v>0</v>
      </c>
      <c r="D195" s="302">
        <v>0</v>
      </c>
      <c r="E195" s="302">
        <v>0</v>
      </c>
      <c r="F195" s="302">
        <v>0</v>
      </c>
      <c r="G195" s="302">
        <v>0</v>
      </c>
      <c r="H195" s="302">
        <v>0</v>
      </c>
      <c r="I195" s="302">
        <v>0</v>
      </c>
      <c r="J195" s="302">
        <v>0</v>
      </c>
      <c r="K195" s="302">
        <v>0</v>
      </c>
      <c r="L195" s="302">
        <v>0</v>
      </c>
      <c r="M195" s="302">
        <v>0</v>
      </c>
      <c r="N195" s="302">
        <v>0</v>
      </c>
      <c r="O195" s="302">
        <v>0</v>
      </c>
      <c r="P195" s="302">
        <v>0</v>
      </c>
      <c r="Q195" s="302">
        <v>0</v>
      </c>
      <c r="R195" s="302">
        <v>0</v>
      </c>
      <c r="S195" s="302">
        <v>0</v>
      </c>
      <c r="T195" s="302">
        <v>0</v>
      </c>
      <c r="U195" s="302">
        <v>0</v>
      </c>
      <c r="V195" s="302">
        <v>0</v>
      </c>
      <c r="W195" s="302">
        <v>0</v>
      </c>
      <c r="X195" s="295">
        <f t="shared" si="8"/>
        <v>0</v>
      </c>
      <c r="AJ195" s="276"/>
    </row>
    <row r="196" spans="1:36" ht="15" customHeight="1" thickBot="1">
      <c r="A196" s="534"/>
      <c r="B196" s="347" t="s">
        <v>915</v>
      </c>
      <c r="C196" s="302">
        <v>0</v>
      </c>
      <c r="D196" s="302">
        <v>0</v>
      </c>
      <c r="E196" s="302">
        <v>0</v>
      </c>
      <c r="F196" s="302">
        <v>0</v>
      </c>
      <c r="G196" s="302">
        <v>0</v>
      </c>
      <c r="H196" s="302">
        <v>0</v>
      </c>
      <c r="I196" s="302">
        <v>0</v>
      </c>
      <c r="J196" s="302">
        <v>0</v>
      </c>
      <c r="K196" s="302">
        <v>0</v>
      </c>
      <c r="L196" s="302">
        <v>0</v>
      </c>
      <c r="M196" s="302">
        <v>0</v>
      </c>
      <c r="N196" s="302">
        <v>0</v>
      </c>
      <c r="O196" s="302">
        <v>0</v>
      </c>
      <c r="P196" s="302">
        <v>0</v>
      </c>
      <c r="Q196" s="302">
        <v>0</v>
      </c>
      <c r="R196" s="302">
        <v>0</v>
      </c>
      <c r="S196" s="302">
        <v>0</v>
      </c>
      <c r="T196" s="302">
        <v>0</v>
      </c>
      <c r="U196" s="302">
        <v>0</v>
      </c>
      <c r="V196" s="302">
        <v>0</v>
      </c>
      <c r="W196" s="302">
        <v>0</v>
      </c>
      <c r="X196" s="295">
        <f t="shared" si="8"/>
        <v>0</v>
      </c>
      <c r="AJ196" s="276"/>
    </row>
    <row r="197" spans="1:36" ht="15" customHeight="1">
      <c r="A197" s="533" t="s">
        <v>917</v>
      </c>
      <c r="B197" s="347" t="s">
        <v>597</v>
      </c>
      <c r="C197" s="302">
        <v>0</v>
      </c>
      <c r="D197" s="302">
        <v>0</v>
      </c>
      <c r="E197" s="302">
        <v>0</v>
      </c>
      <c r="F197" s="302">
        <v>0</v>
      </c>
      <c r="G197" s="302">
        <v>0</v>
      </c>
      <c r="H197" s="302">
        <v>0</v>
      </c>
      <c r="I197" s="302">
        <v>0</v>
      </c>
      <c r="J197" s="302">
        <v>0</v>
      </c>
      <c r="K197" s="302">
        <v>0</v>
      </c>
      <c r="L197" s="302">
        <v>0</v>
      </c>
      <c r="M197" s="302">
        <v>0</v>
      </c>
      <c r="N197" s="302">
        <v>0</v>
      </c>
      <c r="O197" s="302">
        <v>0</v>
      </c>
      <c r="P197" s="302">
        <v>0</v>
      </c>
      <c r="Q197" s="302">
        <v>0</v>
      </c>
      <c r="R197" s="302">
        <v>0</v>
      </c>
      <c r="S197" s="302">
        <v>0</v>
      </c>
      <c r="T197" s="302">
        <v>0</v>
      </c>
      <c r="U197" s="302">
        <v>0</v>
      </c>
      <c r="V197" s="302">
        <v>0</v>
      </c>
      <c r="W197" s="302">
        <v>0</v>
      </c>
      <c r="X197" s="295">
        <f t="shared" si="8"/>
        <v>0</v>
      </c>
      <c r="AJ197" s="276"/>
    </row>
    <row r="198" spans="1:36" ht="15" customHeight="1">
      <c r="A198" s="533"/>
      <c r="B198" s="347" t="s">
        <v>598</v>
      </c>
      <c r="C198" s="302">
        <v>0</v>
      </c>
      <c r="D198" s="302">
        <v>0</v>
      </c>
      <c r="E198" s="302">
        <v>0</v>
      </c>
      <c r="F198" s="302">
        <v>0</v>
      </c>
      <c r="G198" s="302">
        <v>0</v>
      </c>
      <c r="H198" s="302">
        <v>0</v>
      </c>
      <c r="I198" s="302">
        <v>0</v>
      </c>
      <c r="J198" s="302">
        <v>0</v>
      </c>
      <c r="K198" s="302">
        <v>0</v>
      </c>
      <c r="L198" s="302">
        <v>0</v>
      </c>
      <c r="M198" s="302">
        <v>0</v>
      </c>
      <c r="N198" s="302">
        <v>0</v>
      </c>
      <c r="O198" s="302">
        <v>0</v>
      </c>
      <c r="P198" s="302">
        <v>0</v>
      </c>
      <c r="Q198" s="302">
        <v>0</v>
      </c>
      <c r="R198" s="302">
        <v>0</v>
      </c>
      <c r="S198" s="302">
        <v>0</v>
      </c>
      <c r="T198" s="302">
        <v>0</v>
      </c>
      <c r="U198" s="302">
        <v>0</v>
      </c>
      <c r="V198" s="302">
        <v>0</v>
      </c>
      <c r="W198" s="302">
        <v>0</v>
      </c>
      <c r="X198" s="295">
        <f t="shared" si="8"/>
        <v>0</v>
      </c>
      <c r="AJ198" s="276"/>
    </row>
    <row r="199" spans="1:36" ht="15" customHeight="1">
      <c r="A199" s="533"/>
      <c r="B199" s="347" t="s">
        <v>599</v>
      </c>
      <c r="C199" s="302">
        <v>0</v>
      </c>
      <c r="D199" s="302">
        <v>0</v>
      </c>
      <c r="E199" s="302">
        <v>0</v>
      </c>
      <c r="F199" s="302">
        <v>0</v>
      </c>
      <c r="G199" s="302">
        <v>0</v>
      </c>
      <c r="H199" s="302">
        <v>0</v>
      </c>
      <c r="I199" s="302">
        <v>0</v>
      </c>
      <c r="J199" s="302">
        <v>0</v>
      </c>
      <c r="K199" s="302">
        <v>0</v>
      </c>
      <c r="L199" s="302">
        <v>0</v>
      </c>
      <c r="M199" s="302">
        <v>0</v>
      </c>
      <c r="N199" s="302">
        <v>0</v>
      </c>
      <c r="O199" s="302">
        <v>0</v>
      </c>
      <c r="P199" s="302">
        <v>0</v>
      </c>
      <c r="Q199" s="302">
        <v>0</v>
      </c>
      <c r="R199" s="302">
        <v>0</v>
      </c>
      <c r="S199" s="302">
        <v>0</v>
      </c>
      <c r="T199" s="302">
        <v>0</v>
      </c>
      <c r="U199" s="302">
        <v>0</v>
      </c>
      <c r="V199" s="302">
        <v>0</v>
      </c>
      <c r="W199" s="302">
        <v>0</v>
      </c>
      <c r="X199" s="295">
        <f t="shared" si="8"/>
        <v>0</v>
      </c>
      <c r="AJ199" s="276"/>
    </row>
    <row r="200" spans="1:36" ht="15" customHeight="1">
      <c r="A200" s="533"/>
      <c r="B200" s="347" t="s">
        <v>600</v>
      </c>
      <c r="C200" s="302">
        <v>0</v>
      </c>
      <c r="D200" s="302">
        <v>0</v>
      </c>
      <c r="E200" s="302">
        <v>0</v>
      </c>
      <c r="F200" s="302">
        <v>0</v>
      </c>
      <c r="G200" s="302">
        <v>0</v>
      </c>
      <c r="H200" s="302">
        <v>0</v>
      </c>
      <c r="I200" s="302">
        <v>0</v>
      </c>
      <c r="J200" s="302">
        <v>0</v>
      </c>
      <c r="K200" s="302">
        <v>0</v>
      </c>
      <c r="L200" s="302">
        <v>0</v>
      </c>
      <c r="M200" s="302">
        <v>0</v>
      </c>
      <c r="N200" s="302">
        <v>0</v>
      </c>
      <c r="O200" s="302">
        <v>0</v>
      </c>
      <c r="P200" s="302">
        <v>0</v>
      </c>
      <c r="Q200" s="302">
        <v>0</v>
      </c>
      <c r="R200" s="302">
        <v>0</v>
      </c>
      <c r="S200" s="302">
        <v>0</v>
      </c>
      <c r="T200" s="302">
        <v>0</v>
      </c>
      <c r="U200" s="302">
        <v>0</v>
      </c>
      <c r="V200" s="302">
        <v>0</v>
      </c>
      <c r="W200" s="302">
        <v>0</v>
      </c>
      <c r="X200" s="295">
        <f t="shared" si="8"/>
        <v>0</v>
      </c>
      <c r="AJ200" s="276"/>
    </row>
    <row r="201" spans="1:36" ht="15" customHeight="1">
      <c r="A201" s="533"/>
      <c r="B201" s="347" t="s">
        <v>601</v>
      </c>
      <c r="C201" s="302">
        <v>0</v>
      </c>
      <c r="D201" s="302">
        <v>0</v>
      </c>
      <c r="E201" s="302">
        <v>0</v>
      </c>
      <c r="F201" s="302">
        <v>0</v>
      </c>
      <c r="G201" s="302">
        <v>0</v>
      </c>
      <c r="H201" s="302">
        <v>0</v>
      </c>
      <c r="I201" s="302">
        <v>0</v>
      </c>
      <c r="J201" s="302">
        <v>0</v>
      </c>
      <c r="K201" s="302">
        <v>0</v>
      </c>
      <c r="L201" s="302">
        <v>0</v>
      </c>
      <c r="M201" s="302">
        <v>0</v>
      </c>
      <c r="N201" s="302">
        <v>0</v>
      </c>
      <c r="O201" s="302">
        <v>0</v>
      </c>
      <c r="P201" s="302">
        <v>0</v>
      </c>
      <c r="Q201" s="302">
        <v>0</v>
      </c>
      <c r="R201" s="302">
        <v>0</v>
      </c>
      <c r="S201" s="302">
        <v>0</v>
      </c>
      <c r="T201" s="302">
        <v>0</v>
      </c>
      <c r="U201" s="302">
        <v>0</v>
      </c>
      <c r="V201" s="302">
        <v>0</v>
      </c>
      <c r="W201" s="302">
        <v>0</v>
      </c>
      <c r="X201" s="295">
        <f t="shared" si="8"/>
        <v>0</v>
      </c>
      <c r="AJ201" s="276"/>
    </row>
    <row r="202" spans="1:36" ht="15" customHeight="1">
      <c r="A202" s="533"/>
      <c r="B202" s="347" t="s">
        <v>602</v>
      </c>
      <c r="C202" s="302">
        <v>0</v>
      </c>
      <c r="D202" s="302">
        <v>0</v>
      </c>
      <c r="E202" s="302">
        <v>0</v>
      </c>
      <c r="F202" s="302">
        <v>0</v>
      </c>
      <c r="G202" s="302">
        <v>0</v>
      </c>
      <c r="H202" s="302">
        <v>0</v>
      </c>
      <c r="I202" s="302">
        <v>0</v>
      </c>
      <c r="J202" s="302">
        <v>0</v>
      </c>
      <c r="K202" s="302">
        <v>0</v>
      </c>
      <c r="L202" s="302">
        <v>0</v>
      </c>
      <c r="M202" s="302">
        <v>0</v>
      </c>
      <c r="N202" s="302">
        <v>0</v>
      </c>
      <c r="O202" s="302">
        <v>0</v>
      </c>
      <c r="P202" s="302">
        <v>0</v>
      </c>
      <c r="Q202" s="302">
        <v>0</v>
      </c>
      <c r="R202" s="302">
        <v>0</v>
      </c>
      <c r="S202" s="302">
        <v>0</v>
      </c>
      <c r="T202" s="302">
        <v>0</v>
      </c>
      <c r="U202" s="302">
        <v>0</v>
      </c>
      <c r="V202" s="302">
        <v>0</v>
      </c>
      <c r="W202" s="302">
        <v>0</v>
      </c>
      <c r="X202" s="295">
        <f t="shared" si="8"/>
        <v>0</v>
      </c>
      <c r="AJ202" s="276"/>
    </row>
    <row r="203" spans="1:36" ht="15" customHeight="1">
      <c r="A203" s="533"/>
      <c r="B203" s="347" t="s">
        <v>603</v>
      </c>
      <c r="C203" s="302">
        <v>0</v>
      </c>
      <c r="D203" s="302">
        <v>0</v>
      </c>
      <c r="E203" s="302">
        <v>0</v>
      </c>
      <c r="F203" s="302">
        <v>0</v>
      </c>
      <c r="G203" s="302">
        <v>0</v>
      </c>
      <c r="H203" s="302">
        <v>0</v>
      </c>
      <c r="I203" s="302">
        <v>0</v>
      </c>
      <c r="J203" s="302">
        <v>0</v>
      </c>
      <c r="K203" s="302">
        <v>0</v>
      </c>
      <c r="L203" s="302">
        <v>0</v>
      </c>
      <c r="M203" s="302">
        <v>0</v>
      </c>
      <c r="N203" s="302">
        <v>0</v>
      </c>
      <c r="O203" s="302">
        <v>0</v>
      </c>
      <c r="P203" s="302">
        <v>0</v>
      </c>
      <c r="Q203" s="302">
        <v>0</v>
      </c>
      <c r="R203" s="302">
        <v>0</v>
      </c>
      <c r="S203" s="302">
        <v>0</v>
      </c>
      <c r="T203" s="302">
        <v>0</v>
      </c>
      <c r="U203" s="302">
        <v>0</v>
      </c>
      <c r="V203" s="302">
        <v>0</v>
      </c>
      <c r="W203" s="302">
        <v>0</v>
      </c>
      <c r="X203" s="295">
        <f t="shared" si="8"/>
        <v>0</v>
      </c>
      <c r="AJ203" s="276"/>
    </row>
    <row r="204" spans="1:36" ht="15" customHeight="1">
      <c r="A204" s="533"/>
      <c r="B204" s="347" t="s">
        <v>604</v>
      </c>
      <c r="C204" s="302">
        <v>0</v>
      </c>
      <c r="D204" s="302">
        <v>0</v>
      </c>
      <c r="E204" s="302">
        <v>0</v>
      </c>
      <c r="F204" s="302">
        <v>0</v>
      </c>
      <c r="G204" s="302">
        <v>0</v>
      </c>
      <c r="H204" s="302">
        <v>0</v>
      </c>
      <c r="I204" s="302">
        <v>0</v>
      </c>
      <c r="J204" s="302">
        <v>0</v>
      </c>
      <c r="K204" s="302">
        <v>0</v>
      </c>
      <c r="L204" s="302">
        <v>0</v>
      </c>
      <c r="M204" s="302">
        <v>0</v>
      </c>
      <c r="N204" s="302">
        <v>0</v>
      </c>
      <c r="O204" s="302">
        <v>0</v>
      </c>
      <c r="P204" s="302">
        <v>0</v>
      </c>
      <c r="Q204" s="302">
        <v>0</v>
      </c>
      <c r="R204" s="302">
        <v>0</v>
      </c>
      <c r="S204" s="302">
        <v>0</v>
      </c>
      <c r="T204" s="302">
        <v>0</v>
      </c>
      <c r="U204" s="302">
        <v>0</v>
      </c>
      <c r="V204" s="302">
        <v>0</v>
      </c>
      <c r="W204" s="302">
        <v>0</v>
      </c>
      <c r="X204" s="295">
        <f t="shared" si="8"/>
        <v>0</v>
      </c>
      <c r="AJ204" s="276"/>
    </row>
    <row r="205" spans="1:36" ht="15" customHeight="1">
      <c r="A205" s="533"/>
      <c r="B205" s="347" t="s">
        <v>605</v>
      </c>
      <c r="C205" s="302">
        <v>0</v>
      </c>
      <c r="D205" s="302">
        <v>0</v>
      </c>
      <c r="E205" s="302">
        <v>0</v>
      </c>
      <c r="F205" s="302">
        <v>0</v>
      </c>
      <c r="G205" s="302">
        <v>0</v>
      </c>
      <c r="H205" s="302">
        <v>0</v>
      </c>
      <c r="I205" s="302">
        <v>0</v>
      </c>
      <c r="J205" s="302">
        <v>0</v>
      </c>
      <c r="K205" s="302">
        <v>0</v>
      </c>
      <c r="L205" s="302">
        <v>0</v>
      </c>
      <c r="M205" s="302">
        <v>0</v>
      </c>
      <c r="N205" s="302">
        <v>0</v>
      </c>
      <c r="O205" s="302">
        <v>0</v>
      </c>
      <c r="P205" s="302">
        <v>0</v>
      </c>
      <c r="Q205" s="302">
        <v>0</v>
      </c>
      <c r="R205" s="302">
        <v>0</v>
      </c>
      <c r="S205" s="302">
        <v>0</v>
      </c>
      <c r="T205" s="302">
        <v>0</v>
      </c>
      <c r="U205" s="302">
        <v>0</v>
      </c>
      <c r="V205" s="302">
        <v>0</v>
      </c>
      <c r="W205" s="302">
        <v>0</v>
      </c>
      <c r="X205" s="295">
        <f t="shared" si="8"/>
        <v>0</v>
      </c>
      <c r="AJ205" s="276"/>
    </row>
    <row r="206" spans="1:36" ht="15" customHeight="1">
      <c r="A206" s="533"/>
      <c r="B206" s="347" t="s">
        <v>606</v>
      </c>
      <c r="C206" s="302">
        <v>0</v>
      </c>
      <c r="D206" s="302">
        <v>0</v>
      </c>
      <c r="E206" s="302">
        <v>0</v>
      </c>
      <c r="F206" s="302">
        <v>0</v>
      </c>
      <c r="G206" s="302">
        <v>0</v>
      </c>
      <c r="H206" s="302">
        <v>0</v>
      </c>
      <c r="I206" s="302">
        <v>0</v>
      </c>
      <c r="J206" s="302">
        <v>0</v>
      </c>
      <c r="K206" s="302">
        <v>0</v>
      </c>
      <c r="L206" s="302">
        <v>0</v>
      </c>
      <c r="M206" s="302">
        <v>0</v>
      </c>
      <c r="N206" s="302">
        <v>0</v>
      </c>
      <c r="O206" s="302">
        <v>0</v>
      </c>
      <c r="P206" s="302">
        <v>0</v>
      </c>
      <c r="Q206" s="302">
        <v>0</v>
      </c>
      <c r="R206" s="302">
        <v>0</v>
      </c>
      <c r="S206" s="302">
        <v>0</v>
      </c>
      <c r="T206" s="302">
        <v>0</v>
      </c>
      <c r="U206" s="302">
        <v>0</v>
      </c>
      <c r="V206" s="302">
        <v>0</v>
      </c>
      <c r="W206" s="302">
        <v>0</v>
      </c>
      <c r="X206" s="295">
        <f t="shared" si="8"/>
        <v>0</v>
      </c>
      <c r="AJ206" s="276"/>
    </row>
    <row r="207" spans="1:36" ht="15" customHeight="1">
      <c r="A207" s="533"/>
      <c r="B207" s="347" t="s">
        <v>607</v>
      </c>
      <c r="C207" s="302">
        <v>0</v>
      </c>
      <c r="D207" s="302">
        <v>0</v>
      </c>
      <c r="E207" s="302">
        <v>0</v>
      </c>
      <c r="F207" s="302">
        <v>0</v>
      </c>
      <c r="G207" s="302">
        <v>0</v>
      </c>
      <c r="H207" s="302">
        <v>0</v>
      </c>
      <c r="I207" s="302">
        <v>0</v>
      </c>
      <c r="J207" s="302">
        <v>0</v>
      </c>
      <c r="K207" s="302">
        <v>0</v>
      </c>
      <c r="L207" s="302">
        <v>0</v>
      </c>
      <c r="M207" s="302">
        <v>0</v>
      </c>
      <c r="N207" s="302">
        <v>0</v>
      </c>
      <c r="O207" s="302">
        <v>0</v>
      </c>
      <c r="P207" s="302">
        <v>0</v>
      </c>
      <c r="Q207" s="302">
        <v>0</v>
      </c>
      <c r="R207" s="302">
        <v>0</v>
      </c>
      <c r="S207" s="302">
        <v>0</v>
      </c>
      <c r="T207" s="302">
        <v>0</v>
      </c>
      <c r="U207" s="302">
        <v>0</v>
      </c>
      <c r="V207" s="302">
        <v>0</v>
      </c>
      <c r="W207" s="302">
        <v>0</v>
      </c>
      <c r="X207" s="295">
        <f t="shared" si="8"/>
        <v>0</v>
      </c>
      <c r="AJ207" s="276"/>
    </row>
    <row r="208" spans="1:36" ht="15" customHeight="1">
      <c r="A208" s="533"/>
      <c r="B208" s="347" t="s">
        <v>608</v>
      </c>
      <c r="C208" s="302">
        <v>0</v>
      </c>
      <c r="D208" s="302">
        <v>0</v>
      </c>
      <c r="E208" s="302">
        <v>0</v>
      </c>
      <c r="F208" s="302">
        <v>0</v>
      </c>
      <c r="G208" s="302">
        <v>0</v>
      </c>
      <c r="H208" s="302">
        <v>0</v>
      </c>
      <c r="I208" s="302">
        <v>0</v>
      </c>
      <c r="J208" s="302">
        <v>0</v>
      </c>
      <c r="K208" s="302">
        <v>0</v>
      </c>
      <c r="L208" s="302">
        <v>0</v>
      </c>
      <c r="M208" s="302">
        <v>0</v>
      </c>
      <c r="N208" s="302">
        <v>0</v>
      </c>
      <c r="O208" s="302">
        <v>0</v>
      </c>
      <c r="P208" s="302">
        <v>0</v>
      </c>
      <c r="Q208" s="302">
        <v>0</v>
      </c>
      <c r="R208" s="302">
        <v>0</v>
      </c>
      <c r="S208" s="302">
        <v>0</v>
      </c>
      <c r="T208" s="302">
        <v>0</v>
      </c>
      <c r="U208" s="302">
        <v>0</v>
      </c>
      <c r="V208" s="302">
        <v>0</v>
      </c>
      <c r="W208" s="302">
        <v>0</v>
      </c>
      <c r="X208" s="295">
        <f t="shared" si="8"/>
        <v>0</v>
      </c>
      <c r="AJ208" s="276"/>
    </row>
    <row r="209" spans="1:36" ht="15" customHeight="1">
      <c r="A209" s="533"/>
      <c r="B209" s="347" t="s">
        <v>609</v>
      </c>
      <c r="C209" s="302">
        <v>0</v>
      </c>
      <c r="D209" s="302">
        <v>0</v>
      </c>
      <c r="E209" s="302">
        <v>0</v>
      </c>
      <c r="F209" s="302">
        <v>0</v>
      </c>
      <c r="G209" s="302">
        <v>0</v>
      </c>
      <c r="H209" s="302">
        <v>0</v>
      </c>
      <c r="I209" s="302">
        <v>0</v>
      </c>
      <c r="J209" s="302">
        <v>0</v>
      </c>
      <c r="K209" s="302">
        <v>0</v>
      </c>
      <c r="L209" s="302">
        <v>0</v>
      </c>
      <c r="M209" s="302">
        <v>0</v>
      </c>
      <c r="N209" s="302">
        <v>0</v>
      </c>
      <c r="O209" s="302">
        <v>0</v>
      </c>
      <c r="P209" s="302">
        <v>0</v>
      </c>
      <c r="Q209" s="302">
        <v>0</v>
      </c>
      <c r="R209" s="302">
        <v>0</v>
      </c>
      <c r="S209" s="302">
        <v>0</v>
      </c>
      <c r="T209" s="302">
        <v>0</v>
      </c>
      <c r="U209" s="302">
        <v>0</v>
      </c>
      <c r="V209" s="302">
        <v>0</v>
      </c>
      <c r="W209" s="302">
        <v>0</v>
      </c>
      <c r="X209" s="295">
        <f t="shared" si="8"/>
        <v>0</v>
      </c>
      <c r="AJ209" s="276"/>
    </row>
    <row r="210" spans="1:36" ht="15" customHeight="1">
      <c r="A210" s="533"/>
      <c r="B210" s="347" t="s">
        <v>610</v>
      </c>
      <c r="C210" s="302">
        <v>0</v>
      </c>
      <c r="D210" s="302">
        <v>0</v>
      </c>
      <c r="E210" s="302">
        <v>0</v>
      </c>
      <c r="F210" s="302">
        <v>0</v>
      </c>
      <c r="G210" s="302">
        <v>0</v>
      </c>
      <c r="H210" s="302">
        <v>0</v>
      </c>
      <c r="I210" s="302">
        <v>0</v>
      </c>
      <c r="J210" s="302">
        <v>0</v>
      </c>
      <c r="K210" s="302">
        <v>0</v>
      </c>
      <c r="L210" s="302">
        <v>0</v>
      </c>
      <c r="M210" s="302">
        <v>0</v>
      </c>
      <c r="N210" s="302">
        <v>0</v>
      </c>
      <c r="O210" s="302">
        <v>0</v>
      </c>
      <c r="P210" s="302">
        <v>0</v>
      </c>
      <c r="Q210" s="302">
        <v>0</v>
      </c>
      <c r="R210" s="302">
        <v>0</v>
      </c>
      <c r="S210" s="302">
        <v>0</v>
      </c>
      <c r="T210" s="302">
        <v>0</v>
      </c>
      <c r="U210" s="302">
        <v>0</v>
      </c>
      <c r="V210" s="302">
        <v>0</v>
      </c>
      <c r="W210" s="302">
        <v>0</v>
      </c>
      <c r="X210" s="295">
        <f t="shared" si="8"/>
        <v>0</v>
      </c>
      <c r="AJ210" s="276"/>
    </row>
    <row r="211" spans="1:36" ht="15" customHeight="1">
      <c r="A211" s="533"/>
      <c r="B211" s="347" t="s">
        <v>611</v>
      </c>
      <c r="C211" s="302">
        <v>0</v>
      </c>
      <c r="D211" s="302">
        <v>0</v>
      </c>
      <c r="E211" s="302">
        <v>0</v>
      </c>
      <c r="F211" s="302">
        <v>0</v>
      </c>
      <c r="G211" s="302">
        <v>0</v>
      </c>
      <c r="H211" s="302">
        <v>0</v>
      </c>
      <c r="I211" s="302">
        <v>0</v>
      </c>
      <c r="J211" s="302">
        <v>0</v>
      </c>
      <c r="K211" s="302">
        <v>0</v>
      </c>
      <c r="L211" s="302">
        <v>0</v>
      </c>
      <c r="M211" s="302">
        <v>0</v>
      </c>
      <c r="N211" s="302">
        <v>0</v>
      </c>
      <c r="O211" s="302">
        <v>0</v>
      </c>
      <c r="P211" s="302">
        <v>0</v>
      </c>
      <c r="Q211" s="302">
        <v>0</v>
      </c>
      <c r="R211" s="302">
        <v>0</v>
      </c>
      <c r="S211" s="302">
        <v>0</v>
      </c>
      <c r="T211" s="302">
        <v>0</v>
      </c>
      <c r="U211" s="302">
        <v>0</v>
      </c>
      <c r="V211" s="302">
        <v>0</v>
      </c>
      <c r="W211" s="302">
        <v>0</v>
      </c>
      <c r="X211" s="295">
        <f t="shared" si="8"/>
        <v>0</v>
      </c>
      <c r="AJ211" s="276"/>
    </row>
    <row r="212" spans="1:36" ht="15" customHeight="1">
      <c r="A212" s="533"/>
      <c r="B212" s="347" t="s">
        <v>612</v>
      </c>
      <c r="C212" s="302">
        <v>0</v>
      </c>
      <c r="D212" s="302">
        <v>0</v>
      </c>
      <c r="E212" s="302">
        <v>0</v>
      </c>
      <c r="F212" s="302">
        <v>0</v>
      </c>
      <c r="G212" s="302">
        <v>0</v>
      </c>
      <c r="H212" s="302">
        <v>0</v>
      </c>
      <c r="I212" s="302">
        <v>0</v>
      </c>
      <c r="J212" s="302">
        <v>0</v>
      </c>
      <c r="K212" s="302">
        <v>0</v>
      </c>
      <c r="L212" s="302">
        <v>0</v>
      </c>
      <c r="M212" s="302">
        <v>0</v>
      </c>
      <c r="N212" s="302">
        <v>0</v>
      </c>
      <c r="O212" s="302">
        <v>0</v>
      </c>
      <c r="P212" s="302">
        <v>0</v>
      </c>
      <c r="Q212" s="302">
        <v>0</v>
      </c>
      <c r="R212" s="302">
        <v>0</v>
      </c>
      <c r="S212" s="302">
        <v>0</v>
      </c>
      <c r="T212" s="302">
        <v>0</v>
      </c>
      <c r="U212" s="302">
        <v>0</v>
      </c>
      <c r="V212" s="302">
        <v>0</v>
      </c>
      <c r="W212" s="302">
        <v>0</v>
      </c>
      <c r="X212" s="295">
        <f t="shared" si="8"/>
        <v>0</v>
      </c>
      <c r="AJ212" s="276"/>
    </row>
    <row r="213" spans="1:36" ht="15" customHeight="1">
      <c r="A213" s="533"/>
      <c r="B213" s="347" t="s">
        <v>613</v>
      </c>
      <c r="C213" s="302">
        <v>0</v>
      </c>
      <c r="D213" s="302">
        <v>0</v>
      </c>
      <c r="E213" s="302">
        <v>0</v>
      </c>
      <c r="F213" s="302">
        <v>0</v>
      </c>
      <c r="G213" s="302">
        <v>0</v>
      </c>
      <c r="H213" s="302">
        <v>0</v>
      </c>
      <c r="I213" s="302">
        <v>0</v>
      </c>
      <c r="J213" s="302">
        <v>0</v>
      </c>
      <c r="K213" s="302">
        <v>0</v>
      </c>
      <c r="L213" s="302">
        <v>0</v>
      </c>
      <c r="M213" s="302">
        <v>0</v>
      </c>
      <c r="N213" s="302">
        <v>0</v>
      </c>
      <c r="O213" s="302">
        <v>0</v>
      </c>
      <c r="P213" s="302">
        <v>0</v>
      </c>
      <c r="Q213" s="302">
        <v>0</v>
      </c>
      <c r="R213" s="302">
        <v>0</v>
      </c>
      <c r="S213" s="302">
        <v>0</v>
      </c>
      <c r="T213" s="302">
        <v>0</v>
      </c>
      <c r="U213" s="302">
        <v>0</v>
      </c>
      <c r="V213" s="302">
        <v>0</v>
      </c>
      <c r="W213" s="302">
        <v>0</v>
      </c>
      <c r="X213" s="295">
        <f t="shared" si="8"/>
        <v>0</v>
      </c>
      <c r="AJ213" s="276"/>
    </row>
    <row r="214" spans="1:36" ht="15" customHeight="1">
      <c r="A214" s="533"/>
      <c r="B214" s="347" t="s">
        <v>910</v>
      </c>
      <c r="C214" s="302">
        <v>0</v>
      </c>
      <c r="D214" s="302">
        <v>0</v>
      </c>
      <c r="E214" s="302">
        <v>0</v>
      </c>
      <c r="F214" s="302">
        <v>0</v>
      </c>
      <c r="G214" s="302">
        <v>0</v>
      </c>
      <c r="H214" s="302">
        <v>0</v>
      </c>
      <c r="I214" s="302">
        <v>0</v>
      </c>
      <c r="J214" s="302">
        <v>0</v>
      </c>
      <c r="K214" s="302">
        <v>0</v>
      </c>
      <c r="L214" s="302">
        <v>0</v>
      </c>
      <c r="M214" s="302">
        <v>0</v>
      </c>
      <c r="N214" s="302">
        <v>0</v>
      </c>
      <c r="O214" s="302">
        <v>0</v>
      </c>
      <c r="P214" s="302">
        <v>0</v>
      </c>
      <c r="Q214" s="302">
        <v>0</v>
      </c>
      <c r="R214" s="302">
        <v>0</v>
      </c>
      <c r="S214" s="302">
        <v>0</v>
      </c>
      <c r="T214" s="302">
        <v>0</v>
      </c>
      <c r="U214" s="302">
        <v>0</v>
      </c>
      <c r="V214" s="302">
        <v>0</v>
      </c>
      <c r="W214" s="302">
        <v>0</v>
      </c>
      <c r="X214" s="295">
        <f t="shared" si="8"/>
        <v>0</v>
      </c>
      <c r="AJ214" s="276"/>
    </row>
    <row r="215" spans="1:36" ht="15" customHeight="1">
      <c r="A215" s="533"/>
      <c r="B215" s="347" t="s">
        <v>911</v>
      </c>
      <c r="C215" s="302">
        <v>0</v>
      </c>
      <c r="D215" s="302">
        <v>0</v>
      </c>
      <c r="E215" s="302">
        <v>0</v>
      </c>
      <c r="F215" s="302">
        <v>0</v>
      </c>
      <c r="G215" s="302">
        <v>0</v>
      </c>
      <c r="H215" s="302">
        <v>0</v>
      </c>
      <c r="I215" s="302">
        <v>0</v>
      </c>
      <c r="J215" s="302">
        <v>0</v>
      </c>
      <c r="K215" s="302">
        <v>0</v>
      </c>
      <c r="L215" s="302">
        <v>0</v>
      </c>
      <c r="M215" s="302">
        <v>0</v>
      </c>
      <c r="N215" s="302">
        <v>0</v>
      </c>
      <c r="O215" s="302">
        <v>0</v>
      </c>
      <c r="P215" s="302">
        <v>0</v>
      </c>
      <c r="Q215" s="302">
        <v>0</v>
      </c>
      <c r="R215" s="302">
        <v>0</v>
      </c>
      <c r="S215" s="302">
        <v>0</v>
      </c>
      <c r="T215" s="302">
        <v>0</v>
      </c>
      <c r="U215" s="302">
        <v>0</v>
      </c>
      <c r="V215" s="302">
        <v>0</v>
      </c>
      <c r="W215" s="302">
        <v>0</v>
      </c>
      <c r="X215" s="295">
        <f t="shared" si="8"/>
        <v>0</v>
      </c>
      <c r="AJ215" s="276"/>
    </row>
    <row r="216" spans="1:36" ht="15" customHeight="1">
      <c r="A216" s="533"/>
      <c r="B216" s="347" t="s">
        <v>912</v>
      </c>
      <c r="C216" s="302">
        <v>0</v>
      </c>
      <c r="D216" s="302">
        <v>0</v>
      </c>
      <c r="E216" s="302">
        <v>0</v>
      </c>
      <c r="F216" s="302">
        <v>0</v>
      </c>
      <c r="G216" s="302">
        <v>0</v>
      </c>
      <c r="H216" s="302">
        <v>0</v>
      </c>
      <c r="I216" s="302">
        <v>0</v>
      </c>
      <c r="J216" s="302">
        <v>0</v>
      </c>
      <c r="K216" s="302">
        <v>0</v>
      </c>
      <c r="L216" s="302">
        <v>0</v>
      </c>
      <c r="M216" s="302">
        <v>0</v>
      </c>
      <c r="N216" s="302">
        <v>0</v>
      </c>
      <c r="O216" s="302">
        <v>0</v>
      </c>
      <c r="P216" s="302">
        <v>0</v>
      </c>
      <c r="Q216" s="302">
        <v>0</v>
      </c>
      <c r="R216" s="302">
        <v>0</v>
      </c>
      <c r="S216" s="302">
        <v>0</v>
      </c>
      <c r="T216" s="302">
        <v>0</v>
      </c>
      <c r="U216" s="302">
        <v>0</v>
      </c>
      <c r="V216" s="302">
        <v>0</v>
      </c>
      <c r="W216" s="302">
        <v>0</v>
      </c>
      <c r="X216" s="295">
        <f t="shared" si="8"/>
        <v>0</v>
      </c>
      <c r="AJ216" s="276"/>
    </row>
    <row r="217" spans="1:36" ht="15" customHeight="1" thickBot="1">
      <c r="A217" s="534"/>
      <c r="B217" s="347" t="s">
        <v>913</v>
      </c>
      <c r="C217" s="302">
        <v>0</v>
      </c>
      <c r="D217" s="302">
        <v>0</v>
      </c>
      <c r="E217" s="302">
        <v>0</v>
      </c>
      <c r="F217" s="302">
        <v>0</v>
      </c>
      <c r="G217" s="302">
        <v>0</v>
      </c>
      <c r="H217" s="302">
        <v>0</v>
      </c>
      <c r="I217" s="302">
        <v>0</v>
      </c>
      <c r="J217" s="302">
        <v>0</v>
      </c>
      <c r="K217" s="302">
        <v>0</v>
      </c>
      <c r="L217" s="302">
        <v>0</v>
      </c>
      <c r="M217" s="302">
        <v>0</v>
      </c>
      <c r="N217" s="302">
        <v>0</v>
      </c>
      <c r="O217" s="302">
        <v>0</v>
      </c>
      <c r="P217" s="302">
        <v>0</v>
      </c>
      <c r="Q217" s="302">
        <v>0</v>
      </c>
      <c r="R217" s="302">
        <v>0</v>
      </c>
      <c r="S217" s="302">
        <v>0</v>
      </c>
      <c r="T217" s="302">
        <v>0</v>
      </c>
      <c r="U217" s="302">
        <v>0</v>
      </c>
      <c r="V217" s="302">
        <v>0</v>
      </c>
      <c r="W217" s="302">
        <v>0</v>
      </c>
      <c r="X217" s="295">
        <f t="shared" si="8"/>
        <v>0</v>
      </c>
      <c r="AJ217" s="276"/>
    </row>
    <row r="218" spans="1:36" ht="20.100000000000001" customHeight="1" thickBot="1">
      <c r="A218" s="535" t="s">
        <v>755</v>
      </c>
      <c r="B218" s="536"/>
      <c r="C218" s="296"/>
      <c r="D218" s="296"/>
      <c r="E218" s="296"/>
      <c r="F218" s="296"/>
      <c r="G218" s="296"/>
      <c r="H218" s="296"/>
      <c r="I218" s="296"/>
      <c r="J218" s="296"/>
      <c r="K218" s="296"/>
      <c r="L218" s="296"/>
      <c r="M218" s="296"/>
      <c r="N218" s="296"/>
      <c r="O218" s="296"/>
      <c r="P218" s="296"/>
      <c r="Q218" s="296"/>
      <c r="R218" s="296"/>
      <c r="S218" s="296"/>
      <c r="T218" s="296"/>
      <c r="U218" s="296"/>
      <c r="V218" s="296"/>
      <c r="W218" s="296"/>
      <c r="X218" s="512"/>
    </row>
    <row r="219" spans="1:36" ht="20.100000000000001" customHeight="1" thickBot="1">
      <c r="A219" s="535" t="s">
        <v>754</v>
      </c>
      <c r="B219" s="536"/>
      <c r="C219" s="296">
        <f t="shared" ref="C219:W219" si="9">+AVERAGE(C174:C217)</f>
        <v>0</v>
      </c>
      <c r="D219" s="296">
        <f t="shared" si="9"/>
        <v>0</v>
      </c>
      <c r="E219" s="296">
        <f t="shared" si="9"/>
        <v>0</v>
      </c>
      <c r="F219" s="296">
        <f t="shared" si="9"/>
        <v>0</v>
      </c>
      <c r="G219" s="296">
        <f t="shared" si="9"/>
        <v>0</v>
      </c>
      <c r="H219" s="296">
        <f t="shared" si="9"/>
        <v>0</v>
      </c>
      <c r="I219" s="296">
        <f t="shared" si="9"/>
        <v>0</v>
      </c>
      <c r="J219" s="296">
        <f t="shared" si="9"/>
        <v>0</v>
      </c>
      <c r="K219" s="296">
        <f t="shared" si="9"/>
        <v>0</v>
      </c>
      <c r="L219" s="296">
        <f t="shared" si="9"/>
        <v>0</v>
      </c>
      <c r="M219" s="296">
        <f t="shared" si="9"/>
        <v>0</v>
      </c>
      <c r="N219" s="296">
        <f t="shared" si="9"/>
        <v>0</v>
      </c>
      <c r="O219" s="296">
        <f t="shared" si="9"/>
        <v>0</v>
      </c>
      <c r="P219" s="296">
        <f t="shared" si="9"/>
        <v>0</v>
      </c>
      <c r="Q219" s="296">
        <f t="shared" si="9"/>
        <v>0</v>
      </c>
      <c r="R219" s="296">
        <f t="shared" si="9"/>
        <v>0</v>
      </c>
      <c r="S219" s="296">
        <f t="shared" si="9"/>
        <v>0</v>
      </c>
      <c r="T219" s="296">
        <f t="shared" si="9"/>
        <v>0</v>
      </c>
      <c r="U219" s="296">
        <f t="shared" si="9"/>
        <v>0</v>
      </c>
      <c r="V219" s="296">
        <f t="shared" si="9"/>
        <v>0</v>
      </c>
      <c r="W219" s="296">
        <f t="shared" si="9"/>
        <v>0</v>
      </c>
      <c r="X219" s="513"/>
      <c r="AJ219" s="276"/>
    </row>
    <row r="220" spans="1:36" ht="20.100000000000001" customHeight="1" thickBot="1">
      <c r="A220" s="535" t="s">
        <v>759</v>
      </c>
      <c r="B220" s="537"/>
      <c r="C220" s="516">
        <f>+AVERAGE(C219:W219)</f>
        <v>0</v>
      </c>
      <c r="D220" s="517"/>
      <c r="E220" s="517"/>
      <c r="F220" s="517"/>
      <c r="G220" s="517"/>
      <c r="H220" s="517"/>
      <c r="I220" s="517"/>
      <c r="J220" s="517"/>
      <c r="K220" s="517"/>
      <c r="L220" s="517"/>
      <c r="M220" s="517"/>
      <c r="N220" s="517"/>
      <c r="O220" s="517"/>
      <c r="P220" s="517"/>
      <c r="Q220" s="517"/>
      <c r="R220" s="517"/>
      <c r="S220" s="517"/>
      <c r="T220" s="517"/>
      <c r="U220" s="517"/>
      <c r="V220" s="517"/>
      <c r="W220" s="518"/>
      <c r="X220" s="514"/>
      <c r="AJ220" s="276"/>
    </row>
    <row r="221" spans="1:36" ht="15" customHeight="1">
      <c r="A221" s="532" t="s">
        <v>924</v>
      </c>
      <c r="B221" s="350" t="s">
        <v>614</v>
      </c>
      <c r="C221" s="299">
        <v>0</v>
      </c>
      <c r="D221" s="299">
        <v>0</v>
      </c>
      <c r="E221" s="299">
        <v>0</v>
      </c>
      <c r="F221" s="299">
        <v>0</v>
      </c>
      <c r="G221" s="299">
        <v>0</v>
      </c>
      <c r="H221" s="299">
        <v>0</v>
      </c>
      <c r="I221" s="299">
        <v>0</v>
      </c>
      <c r="J221" s="299">
        <v>0</v>
      </c>
      <c r="K221" s="299">
        <v>0</v>
      </c>
      <c r="L221" s="299">
        <v>0</v>
      </c>
      <c r="M221" s="299">
        <v>0</v>
      </c>
      <c r="N221" s="299">
        <v>0</v>
      </c>
      <c r="O221" s="299">
        <v>0</v>
      </c>
      <c r="P221" s="299">
        <v>0</v>
      </c>
      <c r="Q221" s="299">
        <v>0</v>
      </c>
      <c r="R221" s="299">
        <v>0</v>
      </c>
      <c r="S221" s="299">
        <v>0</v>
      </c>
      <c r="T221" s="299">
        <v>0</v>
      </c>
      <c r="U221" s="299">
        <v>0</v>
      </c>
      <c r="V221" s="299">
        <v>0</v>
      </c>
      <c r="W221" s="299">
        <v>0</v>
      </c>
      <c r="X221" s="293">
        <f t="shared" ref="X221:X264" si="10">+AVERAGE(C221:W221)</f>
        <v>0</v>
      </c>
      <c r="AJ221" s="276"/>
    </row>
    <row r="222" spans="1:36" ht="15" customHeight="1">
      <c r="A222" s="533"/>
      <c r="B222" s="347" t="s">
        <v>615</v>
      </c>
      <c r="C222" s="299">
        <v>0</v>
      </c>
      <c r="D222" s="299">
        <v>0</v>
      </c>
      <c r="E222" s="299">
        <v>0</v>
      </c>
      <c r="F222" s="299">
        <v>0</v>
      </c>
      <c r="G222" s="299">
        <v>0</v>
      </c>
      <c r="H222" s="299">
        <v>0</v>
      </c>
      <c r="I222" s="299">
        <v>0</v>
      </c>
      <c r="J222" s="299">
        <v>0</v>
      </c>
      <c r="K222" s="299">
        <v>0</v>
      </c>
      <c r="L222" s="299">
        <v>0</v>
      </c>
      <c r="M222" s="299">
        <v>0</v>
      </c>
      <c r="N222" s="299">
        <v>0</v>
      </c>
      <c r="O222" s="299">
        <v>0</v>
      </c>
      <c r="P222" s="299">
        <v>0</v>
      </c>
      <c r="Q222" s="299">
        <v>0</v>
      </c>
      <c r="R222" s="299">
        <v>0</v>
      </c>
      <c r="S222" s="299">
        <v>0</v>
      </c>
      <c r="T222" s="299">
        <v>0</v>
      </c>
      <c r="U222" s="299">
        <v>0</v>
      </c>
      <c r="V222" s="299">
        <v>0</v>
      </c>
      <c r="W222" s="299">
        <v>0</v>
      </c>
      <c r="X222" s="295">
        <f t="shared" si="10"/>
        <v>0</v>
      </c>
      <c r="AJ222" s="276"/>
    </row>
    <row r="223" spans="1:36" ht="15" customHeight="1">
      <c r="A223" s="533"/>
      <c r="B223" s="347" t="s">
        <v>616</v>
      </c>
      <c r="C223" s="299">
        <v>0</v>
      </c>
      <c r="D223" s="299">
        <v>0</v>
      </c>
      <c r="E223" s="299">
        <v>0</v>
      </c>
      <c r="F223" s="299">
        <v>0</v>
      </c>
      <c r="G223" s="299">
        <v>0</v>
      </c>
      <c r="H223" s="299">
        <v>0</v>
      </c>
      <c r="I223" s="299">
        <v>0</v>
      </c>
      <c r="J223" s="299">
        <v>0</v>
      </c>
      <c r="K223" s="299">
        <v>0</v>
      </c>
      <c r="L223" s="299">
        <v>0</v>
      </c>
      <c r="M223" s="299">
        <v>0</v>
      </c>
      <c r="N223" s="299">
        <v>0</v>
      </c>
      <c r="O223" s="299">
        <v>0</v>
      </c>
      <c r="P223" s="299">
        <v>0</v>
      </c>
      <c r="Q223" s="299">
        <v>0</v>
      </c>
      <c r="R223" s="299">
        <v>0</v>
      </c>
      <c r="S223" s="299">
        <v>0</v>
      </c>
      <c r="T223" s="299">
        <v>0</v>
      </c>
      <c r="U223" s="299">
        <v>0</v>
      </c>
      <c r="V223" s="299">
        <v>0</v>
      </c>
      <c r="W223" s="299">
        <v>0</v>
      </c>
      <c r="X223" s="295">
        <f t="shared" si="10"/>
        <v>0</v>
      </c>
      <c r="AJ223" s="276"/>
    </row>
    <row r="224" spans="1:36" ht="15" customHeight="1">
      <c r="A224" s="533"/>
      <c r="B224" s="347" t="s">
        <v>617</v>
      </c>
      <c r="C224" s="299">
        <v>0</v>
      </c>
      <c r="D224" s="299">
        <v>0</v>
      </c>
      <c r="E224" s="299">
        <v>0</v>
      </c>
      <c r="F224" s="299">
        <v>0</v>
      </c>
      <c r="G224" s="299">
        <v>0</v>
      </c>
      <c r="H224" s="299">
        <v>0</v>
      </c>
      <c r="I224" s="299">
        <v>0</v>
      </c>
      <c r="J224" s="299">
        <v>0</v>
      </c>
      <c r="K224" s="299">
        <v>0</v>
      </c>
      <c r="L224" s="299">
        <v>0</v>
      </c>
      <c r="M224" s="299">
        <v>0</v>
      </c>
      <c r="N224" s="299">
        <v>0</v>
      </c>
      <c r="O224" s="299">
        <v>0</v>
      </c>
      <c r="P224" s="299">
        <v>0</v>
      </c>
      <c r="Q224" s="299">
        <v>0</v>
      </c>
      <c r="R224" s="299">
        <v>0</v>
      </c>
      <c r="S224" s="299">
        <v>0</v>
      </c>
      <c r="T224" s="299">
        <v>0</v>
      </c>
      <c r="U224" s="299">
        <v>0</v>
      </c>
      <c r="V224" s="299">
        <v>0</v>
      </c>
      <c r="W224" s="299">
        <v>0</v>
      </c>
      <c r="X224" s="295">
        <f t="shared" si="10"/>
        <v>0</v>
      </c>
      <c r="AJ224" s="276"/>
    </row>
    <row r="225" spans="1:36" ht="15" customHeight="1">
      <c r="A225" s="533"/>
      <c r="B225" s="347" t="s">
        <v>618</v>
      </c>
      <c r="C225" s="299">
        <v>0</v>
      </c>
      <c r="D225" s="299">
        <v>0</v>
      </c>
      <c r="E225" s="299">
        <v>0</v>
      </c>
      <c r="F225" s="299">
        <v>0</v>
      </c>
      <c r="G225" s="299">
        <v>0</v>
      </c>
      <c r="H225" s="299">
        <v>0</v>
      </c>
      <c r="I225" s="299">
        <v>0</v>
      </c>
      <c r="J225" s="299">
        <v>0</v>
      </c>
      <c r="K225" s="299">
        <v>0</v>
      </c>
      <c r="L225" s="299">
        <v>0</v>
      </c>
      <c r="M225" s="299">
        <v>0</v>
      </c>
      <c r="N225" s="299">
        <v>0</v>
      </c>
      <c r="O225" s="299">
        <v>0</v>
      </c>
      <c r="P225" s="299">
        <v>0</v>
      </c>
      <c r="Q225" s="299">
        <v>0</v>
      </c>
      <c r="R225" s="299">
        <v>0</v>
      </c>
      <c r="S225" s="299">
        <v>0</v>
      </c>
      <c r="T225" s="299">
        <v>0</v>
      </c>
      <c r="U225" s="299">
        <v>0</v>
      </c>
      <c r="V225" s="299">
        <v>0</v>
      </c>
      <c r="W225" s="299">
        <v>0</v>
      </c>
      <c r="X225" s="295">
        <f t="shared" si="10"/>
        <v>0</v>
      </c>
      <c r="AJ225" s="276"/>
    </row>
    <row r="226" spans="1:36" ht="15" customHeight="1">
      <c r="A226" s="533"/>
      <c r="B226" s="347" t="s">
        <v>619</v>
      </c>
      <c r="C226" s="299">
        <v>0</v>
      </c>
      <c r="D226" s="299">
        <v>0</v>
      </c>
      <c r="E226" s="299">
        <v>0</v>
      </c>
      <c r="F226" s="299">
        <v>0</v>
      </c>
      <c r="G226" s="299">
        <v>0</v>
      </c>
      <c r="H226" s="299">
        <v>0</v>
      </c>
      <c r="I226" s="299">
        <v>0</v>
      </c>
      <c r="J226" s="299">
        <v>0</v>
      </c>
      <c r="K226" s="299">
        <v>0</v>
      </c>
      <c r="L226" s="299">
        <v>0</v>
      </c>
      <c r="M226" s="299">
        <v>0</v>
      </c>
      <c r="N226" s="299">
        <v>0</v>
      </c>
      <c r="O226" s="299">
        <v>0</v>
      </c>
      <c r="P226" s="299">
        <v>0</v>
      </c>
      <c r="Q226" s="299">
        <v>0</v>
      </c>
      <c r="R226" s="299">
        <v>0</v>
      </c>
      <c r="S226" s="299">
        <v>0</v>
      </c>
      <c r="T226" s="299">
        <v>0</v>
      </c>
      <c r="U226" s="299">
        <v>0</v>
      </c>
      <c r="V226" s="299">
        <v>0</v>
      </c>
      <c r="W226" s="299">
        <v>0</v>
      </c>
      <c r="X226" s="295">
        <f t="shared" si="10"/>
        <v>0</v>
      </c>
      <c r="AJ226" s="276"/>
    </row>
    <row r="227" spans="1:36" ht="15" customHeight="1">
      <c r="A227" s="533"/>
      <c r="B227" s="347" t="s">
        <v>620</v>
      </c>
      <c r="C227" s="299">
        <v>0</v>
      </c>
      <c r="D227" s="299">
        <v>0</v>
      </c>
      <c r="E227" s="299">
        <v>0</v>
      </c>
      <c r="F227" s="299">
        <v>0</v>
      </c>
      <c r="G227" s="299">
        <v>0</v>
      </c>
      <c r="H227" s="299">
        <v>0</v>
      </c>
      <c r="I227" s="299">
        <v>0</v>
      </c>
      <c r="J227" s="299">
        <v>0</v>
      </c>
      <c r="K227" s="299">
        <v>0</v>
      </c>
      <c r="L227" s="299">
        <v>0</v>
      </c>
      <c r="M227" s="299">
        <v>0</v>
      </c>
      <c r="N227" s="299">
        <v>0</v>
      </c>
      <c r="O227" s="299">
        <v>0</v>
      </c>
      <c r="P227" s="299">
        <v>0</v>
      </c>
      <c r="Q227" s="299">
        <v>0</v>
      </c>
      <c r="R227" s="299">
        <v>0</v>
      </c>
      <c r="S227" s="299">
        <v>0</v>
      </c>
      <c r="T227" s="299">
        <v>0</v>
      </c>
      <c r="U227" s="299">
        <v>0</v>
      </c>
      <c r="V227" s="299">
        <v>0</v>
      </c>
      <c r="W227" s="299">
        <v>0</v>
      </c>
      <c r="X227" s="295">
        <f t="shared" si="10"/>
        <v>0</v>
      </c>
      <c r="AJ227" s="276"/>
    </row>
    <row r="228" spans="1:36" ht="15" customHeight="1">
      <c r="A228" s="533"/>
      <c r="B228" s="347" t="s">
        <v>621</v>
      </c>
      <c r="C228" s="299">
        <v>0</v>
      </c>
      <c r="D228" s="299">
        <v>0</v>
      </c>
      <c r="E228" s="299">
        <v>0</v>
      </c>
      <c r="F228" s="299">
        <v>0</v>
      </c>
      <c r="G228" s="299">
        <v>0</v>
      </c>
      <c r="H228" s="299">
        <v>0</v>
      </c>
      <c r="I228" s="299">
        <v>0</v>
      </c>
      <c r="J228" s="299">
        <v>0</v>
      </c>
      <c r="K228" s="299">
        <v>0</v>
      </c>
      <c r="L228" s="299">
        <v>0</v>
      </c>
      <c r="M228" s="299">
        <v>0</v>
      </c>
      <c r="N228" s="299">
        <v>0</v>
      </c>
      <c r="O228" s="299">
        <v>0</v>
      </c>
      <c r="P228" s="299">
        <v>0</v>
      </c>
      <c r="Q228" s="299">
        <v>0</v>
      </c>
      <c r="R228" s="299">
        <v>0</v>
      </c>
      <c r="S228" s="299">
        <v>0</v>
      </c>
      <c r="T228" s="299">
        <v>0</v>
      </c>
      <c r="U228" s="299">
        <v>0</v>
      </c>
      <c r="V228" s="299">
        <v>0</v>
      </c>
      <c r="W228" s="299">
        <v>0</v>
      </c>
      <c r="X228" s="295">
        <f t="shared" si="10"/>
        <v>0</v>
      </c>
      <c r="AJ228" s="276"/>
    </row>
    <row r="229" spans="1:36" ht="15" customHeight="1">
      <c r="A229" s="533"/>
      <c r="B229" s="347" t="s">
        <v>622</v>
      </c>
      <c r="C229" s="299">
        <v>0</v>
      </c>
      <c r="D229" s="299">
        <v>0</v>
      </c>
      <c r="E229" s="299">
        <v>0</v>
      </c>
      <c r="F229" s="299">
        <v>0</v>
      </c>
      <c r="G229" s="299">
        <v>0</v>
      </c>
      <c r="H229" s="299">
        <v>0</v>
      </c>
      <c r="I229" s="299">
        <v>0</v>
      </c>
      <c r="J229" s="299">
        <v>0</v>
      </c>
      <c r="K229" s="299">
        <v>0</v>
      </c>
      <c r="L229" s="299">
        <v>0</v>
      </c>
      <c r="M229" s="299">
        <v>0</v>
      </c>
      <c r="N229" s="299">
        <v>0</v>
      </c>
      <c r="O229" s="299">
        <v>0</v>
      </c>
      <c r="P229" s="299">
        <v>0</v>
      </c>
      <c r="Q229" s="299">
        <v>0</v>
      </c>
      <c r="R229" s="299">
        <v>0</v>
      </c>
      <c r="S229" s="299">
        <v>0</v>
      </c>
      <c r="T229" s="299">
        <v>0</v>
      </c>
      <c r="U229" s="299">
        <v>0</v>
      </c>
      <c r="V229" s="299">
        <v>0</v>
      </c>
      <c r="W229" s="299">
        <v>0</v>
      </c>
      <c r="X229" s="295">
        <f t="shared" si="10"/>
        <v>0</v>
      </c>
      <c r="AJ229" s="276"/>
    </row>
    <row r="230" spans="1:36" ht="15" customHeight="1">
      <c r="A230" s="533"/>
      <c r="B230" s="347" t="s">
        <v>623</v>
      </c>
      <c r="C230" s="299">
        <v>0</v>
      </c>
      <c r="D230" s="299">
        <v>0</v>
      </c>
      <c r="E230" s="299">
        <v>0</v>
      </c>
      <c r="F230" s="299">
        <v>0</v>
      </c>
      <c r="G230" s="299">
        <v>0</v>
      </c>
      <c r="H230" s="299">
        <v>0</v>
      </c>
      <c r="I230" s="299">
        <v>0</v>
      </c>
      <c r="J230" s="299">
        <v>0</v>
      </c>
      <c r="K230" s="299">
        <v>0</v>
      </c>
      <c r="L230" s="299">
        <v>0</v>
      </c>
      <c r="M230" s="299">
        <v>0</v>
      </c>
      <c r="N230" s="299">
        <v>0</v>
      </c>
      <c r="O230" s="299">
        <v>0</v>
      </c>
      <c r="P230" s="299">
        <v>0</v>
      </c>
      <c r="Q230" s="299">
        <v>0</v>
      </c>
      <c r="R230" s="299">
        <v>0</v>
      </c>
      <c r="S230" s="299">
        <v>0</v>
      </c>
      <c r="T230" s="299">
        <v>0</v>
      </c>
      <c r="U230" s="299">
        <v>0</v>
      </c>
      <c r="V230" s="299">
        <v>0</v>
      </c>
      <c r="W230" s="299">
        <v>0</v>
      </c>
      <c r="X230" s="295">
        <f t="shared" si="10"/>
        <v>0</v>
      </c>
      <c r="AJ230" s="276"/>
    </row>
    <row r="231" spans="1:36" ht="15" customHeight="1">
      <c r="A231" s="533"/>
      <c r="B231" s="347" t="s">
        <v>624</v>
      </c>
      <c r="C231" s="299">
        <v>0</v>
      </c>
      <c r="D231" s="299">
        <v>0</v>
      </c>
      <c r="E231" s="299">
        <v>0</v>
      </c>
      <c r="F231" s="299">
        <v>0</v>
      </c>
      <c r="G231" s="299">
        <v>0</v>
      </c>
      <c r="H231" s="299">
        <v>0</v>
      </c>
      <c r="I231" s="299">
        <v>0</v>
      </c>
      <c r="J231" s="299">
        <v>0</v>
      </c>
      <c r="K231" s="299">
        <v>0</v>
      </c>
      <c r="L231" s="299">
        <v>0</v>
      </c>
      <c r="M231" s="299">
        <v>0</v>
      </c>
      <c r="N231" s="299">
        <v>0</v>
      </c>
      <c r="O231" s="299">
        <v>0</v>
      </c>
      <c r="P231" s="299">
        <v>0</v>
      </c>
      <c r="Q231" s="299">
        <v>0</v>
      </c>
      <c r="R231" s="299">
        <v>0</v>
      </c>
      <c r="S231" s="299">
        <v>0</v>
      </c>
      <c r="T231" s="299">
        <v>0</v>
      </c>
      <c r="U231" s="299">
        <v>0</v>
      </c>
      <c r="V231" s="299">
        <v>0</v>
      </c>
      <c r="W231" s="299">
        <v>0</v>
      </c>
      <c r="X231" s="295">
        <f t="shared" si="10"/>
        <v>0</v>
      </c>
      <c r="AJ231" s="276"/>
    </row>
    <row r="232" spans="1:36" ht="15" customHeight="1">
      <c r="A232" s="533"/>
      <c r="B232" s="347" t="s">
        <v>625</v>
      </c>
      <c r="C232" s="299">
        <v>0</v>
      </c>
      <c r="D232" s="299">
        <v>0</v>
      </c>
      <c r="E232" s="299">
        <v>0</v>
      </c>
      <c r="F232" s="299">
        <v>0</v>
      </c>
      <c r="G232" s="299">
        <v>0</v>
      </c>
      <c r="H232" s="299">
        <v>0</v>
      </c>
      <c r="I232" s="299">
        <v>0</v>
      </c>
      <c r="J232" s="299">
        <v>0</v>
      </c>
      <c r="K232" s="299">
        <v>0</v>
      </c>
      <c r="L232" s="299">
        <v>0</v>
      </c>
      <c r="M232" s="299">
        <v>0</v>
      </c>
      <c r="N232" s="299">
        <v>0</v>
      </c>
      <c r="O232" s="299">
        <v>0</v>
      </c>
      <c r="P232" s="299">
        <v>0</v>
      </c>
      <c r="Q232" s="299">
        <v>0</v>
      </c>
      <c r="R232" s="299">
        <v>0</v>
      </c>
      <c r="S232" s="299">
        <v>0</v>
      </c>
      <c r="T232" s="299">
        <v>0</v>
      </c>
      <c r="U232" s="299">
        <v>0</v>
      </c>
      <c r="V232" s="299">
        <v>0</v>
      </c>
      <c r="W232" s="299">
        <v>0</v>
      </c>
      <c r="X232" s="295">
        <f t="shared" si="10"/>
        <v>0</v>
      </c>
      <c r="AJ232" s="276"/>
    </row>
    <row r="233" spans="1:36" ht="15" customHeight="1">
      <c r="A233" s="533"/>
      <c r="B233" s="347" t="s">
        <v>626</v>
      </c>
      <c r="C233" s="299">
        <v>0</v>
      </c>
      <c r="D233" s="299">
        <v>0</v>
      </c>
      <c r="E233" s="299">
        <v>0</v>
      </c>
      <c r="F233" s="299">
        <v>0</v>
      </c>
      <c r="G233" s="299">
        <v>0</v>
      </c>
      <c r="H233" s="299">
        <v>0</v>
      </c>
      <c r="I233" s="299">
        <v>0</v>
      </c>
      <c r="J233" s="299">
        <v>0</v>
      </c>
      <c r="K233" s="299">
        <v>0</v>
      </c>
      <c r="L233" s="299">
        <v>0</v>
      </c>
      <c r="M233" s="299">
        <v>0</v>
      </c>
      <c r="N233" s="299">
        <v>0</v>
      </c>
      <c r="O233" s="299">
        <v>0</v>
      </c>
      <c r="P233" s="299">
        <v>0</v>
      </c>
      <c r="Q233" s="299">
        <v>0</v>
      </c>
      <c r="R233" s="299">
        <v>0</v>
      </c>
      <c r="S233" s="299">
        <v>0</v>
      </c>
      <c r="T233" s="299">
        <v>0</v>
      </c>
      <c r="U233" s="299">
        <v>0</v>
      </c>
      <c r="V233" s="299">
        <v>0</v>
      </c>
      <c r="W233" s="299">
        <v>0</v>
      </c>
      <c r="X233" s="295">
        <f t="shared" si="10"/>
        <v>0</v>
      </c>
      <c r="AJ233" s="276"/>
    </row>
    <row r="234" spans="1:36" ht="15" customHeight="1">
      <c r="A234" s="533"/>
      <c r="B234" s="347" t="s">
        <v>627</v>
      </c>
      <c r="C234" s="299">
        <v>0</v>
      </c>
      <c r="D234" s="299">
        <v>0</v>
      </c>
      <c r="E234" s="299">
        <v>0</v>
      </c>
      <c r="F234" s="299">
        <v>0</v>
      </c>
      <c r="G234" s="299">
        <v>0</v>
      </c>
      <c r="H234" s="299">
        <v>0</v>
      </c>
      <c r="I234" s="299">
        <v>0</v>
      </c>
      <c r="J234" s="299">
        <v>0</v>
      </c>
      <c r="K234" s="299">
        <v>0</v>
      </c>
      <c r="L234" s="299">
        <v>0</v>
      </c>
      <c r="M234" s="299">
        <v>0</v>
      </c>
      <c r="N234" s="299">
        <v>0</v>
      </c>
      <c r="O234" s="299">
        <v>0</v>
      </c>
      <c r="P234" s="299">
        <v>0</v>
      </c>
      <c r="Q234" s="299">
        <v>0</v>
      </c>
      <c r="R234" s="299">
        <v>0</v>
      </c>
      <c r="S234" s="299">
        <v>0</v>
      </c>
      <c r="T234" s="299">
        <v>0</v>
      </c>
      <c r="U234" s="299">
        <v>0</v>
      </c>
      <c r="V234" s="299">
        <v>0</v>
      </c>
      <c r="W234" s="299">
        <v>0</v>
      </c>
      <c r="X234" s="295">
        <f t="shared" si="10"/>
        <v>0</v>
      </c>
      <c r="AJ234" s="276"/>
    </row>
    <row r="235" spans="1:36" ht="15" customHeight="1">
      <c r="A235" s="533"/>
      <c r="B235" s="347" t="s">
        <v>628</v>
      </c>
      <c r="C235" s="299">
        <v>0</v>
      </c>
      <c r="D235" s="299">
        <v>0</v>
      </c>
      <c r="E235" s="299">
        <v>0</v>
      </c>
      <c r="F235" s="299">
        <v>0</v>
      </c>
      <c r="G235" s="299">
        <v>0</v>
      </c>
      <c r="H235" s="299">
        <v>0</v>
      </c>
      <c r="I235" s="299">
        <v>0</v>
      </c>
      <c r="J235" s="299">
        <v>0</v>
      </c>
      <c r="K235" s="299">
        <v>0</v>
      </c>
      <c r="L235" s="299">
        <v>0</v>
      </c>
      <c r="M235" s="299">
        <v>0</v>
      </c>
      <c r="N235" s="299">
        <v>0</v>
      </c>
      <c r="O235" s="299">
        <v>0</v>
      </c>
      <c r="P235" s="299">
        <v>0</v>
      </c>
      <c r="Q235" s="299">
        <v>0</v>
      </c>
      <c r="R235" s="299">
        <v>0</v>
      </c>
      <c r="S235" s="299">
        <v>0</v>
      </c>
      <c r="T235" s="299">
        <v>0</v>
      </c>
      <c r="U235" s="299">
        <v>0</v>
      </c>
      <c r="V235" s="299">
        <v>0</v>
      </c>
      <c r="W235" s="299">
        <v>0</v>
      </c>
      <c r="X235" s="295">
        <f t="shared" si="10"/>
        <v>0</v>
      </c>
      <c r="AJ235" s="276"/>
    </row>
    <row r="236" spans="1:36" ht="15" customHeight="1">
      <c r="A236" s="533"/>
      <c r="B236" s="347" t="s">
        <v>629</v>
      </c>
      <c r="C236" s="299">
        <v>0</v>
      </c>
      <c r="D236" s="299">
        <v>0</v>
      </c>
      <c r="E236" s="299">
        <v>0</v>
      </c>
      <c r="F236" s="299">
        <v>0</v>
      </c>
      <c r="G236" s="299">
        <v>0</v>
      </c>
      <c r="H236" s="299">
        <v>0</v>
      </c>
      <c r="I236" s="299">
        <v>0</v>
      </c>
      <c r="J236" s="299">
        <v>0</v>
      </c>
      <c r="K236" s="299">
        <v>0</v>
      </c>
      <c r="L236" s="299">
        <v>0</v>
      </c>
      <c r="M236" s="299">
        <v>0</v>
      </c>
      <c r="N236" s="299">
        <v>0</v>
      </c>
      <c r="O236" s="299">
        <v>0</v>
      </c>
      <c r="P236" s="299">
        <v>0</v>
      </c>
      <c r="Q236" s="299">
        <v>0</v>
      </c>
      <c r="R236" s="299">
        <v>0</v>
      </c>
      <c r="S236" s="299">
        <v>0</v>
      </c>
      <c r="T236" s="299">
        <v>0</v>
      </c>
      <c r="U236" s="299">
        <v>0</v>
      </c>
      <c r="V236" s="299">
        <v>0</v>
      </c>
      <c r="W236" s="299">
        <v>0</v>
      </c>
      <c r="X236" s="295">
        <f t="shared" si="10"/>
        <v>0</v>
      </c>
      <c r="AJ236" s="276"/>
    </row>
    <row r="237" spans="1:36" ht="15" customHeight="1">
      <c r="A237" s="533"/>
      <c r="B237" s="347" t="s">
        <v>630</v>
      </c>
      <c r="C237" s="299">
        <v>0</v>
      </c>
      <c r="D237" s="299">
        <v>0</v>
      </c>
      <c r="E237" s="299">
        <v>0</v>
      </c>
      <c r="F237" s="299">
        <v>0</v>
      </c>
      <c r="G237" s="299">
        <v>0</v>
      </c>
      <c r="H237" s="299">
        <v>0</v>
      </c>
      <c r="I237" s="299">
        <v>0</v>
      </c>
      <c r="J237" s="299">
        <v>0</v>
      </c>
      <c r="K237" s="299">
        <v>0</v>
      </c>
      <c r="L237" s="299">
        <v>0</v>
      </c>
      <c r="M237" s="299">
        <v>0</v>
      </c>
      <c r="N237" s="299">
        <v>0</v>
      </c>
      <c r="O237" s="299">
        <v>0</v>
      </c>
      <c r="P237" s="299">
        <v>0</v>
      </c>
      <c r="Q237" s="299">
        <v>0</v>
      </c>
      <c r="R237" s="299">
        <v>0</v>
      </c>
      <c r="S237" s="299">
        <v>0</v>
      </c>
      <c r="T237" s="299">
        <v>0</v>
      </c>
      <c r="U237" s="299">
        <v>0</v>
      </c>
      <c r="V237" s="299">
        <v>0</v>
      </c>
      <c r="W237" s="299">
        <v>0</v>
      </c>
      <c r="X237" s="295">
        <f t="shared" si="10"/>
        <v>0</v>
      </c>
      <c r="AJ237" s="276"/>
    </row>
    <row r="238" spans="1:36" ht="15" customHeight="1">
      <c r="A238" s="533"/>
      <c r="B238" s="347" t="s">
        <v>918</v>
      </c>
      <c r="C238" s="299">
        <v>0</v>
      </c>
      <c r="D238" s="299">
        <v>0</v>
      </c>
      <c r="E238" s="299">
        <v>0</v>
      </c>
      <c r="F238" s="299">
        <v>0</v>
      </c>
      <c r="G238" s="299">
        <v>0</v>
      </c>
      <c r="H238" s="299">
        <v>0</v>
      </c>
      <c r="I238" s="299">
        <v>0</v>
      </c>
      <c r="J238" s="299">
        <v>0</v>
      </c>
      <c r="K238" s="299">
        <v>0</v>
      </c>
      <c r="L238" s="299">
        <v>0</v>
      </c>
      <c r="M238" s="299">
        <v>0</v>
      </c>
      <c r="N238" s="299">
        <v>0</v>
      </c>
      <c r="O238" s="299">
        <v>0</v>
      </c>
      <c r="P238" s="299">
        <v>0</v>
      </c>
      <c r="Q238" s="299">
        <v>0</v>
      </c>
      <c r="R238" s="299">
        <v>0</v>
      </c>
      <c r="S238" s="299">
        <v>0</v>
      </c>
      <c r="T238" s="299">
        <v>0</v>
      </c>
      <c r="U238" s="299">
        <v>0</v>
      </c>
      <c r="V238" s="299">
        <v>0</v>
      </c>
      <c r="W238" s="299">
        <v>0</v>
      </c>
      <c r="X238" s="295">
        <f t="shared" si="10"/>
        <v>0</v>
      </c>
      <c r="AJ238" s="276"/>
    </row>
    <row r="239" spans="1:36" ht="15" customHeight="1">
      <c r="A239" s="533"/>
      <c r="B239" s="347" t="s">
        <v>919</v>
      </c>
      <c r="C239" s="299">
        <v>0</v>
      </c>
      <c r="D239" s="299">
        <v>0</v>
      </c>
      <c r="E239" s="299">
        <v>0</v>
      </c>
      <c r="F239" s="299">
        <v>0</v>
      </c>
      <c r="G239" s="299">
        <v>0</v>
      </c>
      <c r="H239" s="299">
        <v>0</v>
      </c>
      <c r="I239" s="299">
        <v>0</v>
      </c>
      <c r="J239" s="299">
        <v>0</v>
      </c>
      <c r="K239" s="299">
        <v>0</v>
      </c>
      <c r="L239" s="299">
        <v>0</v>
      </c>
      <c r="M239" s="299">
        <v>0</v>
      </c>
      <c r="N239" s="299">
        <v>0</v>
      </c>
      <c r="O239" s="299">
        <v>0</v>
      </c>
      <c r="P239" s="299">
        <v>0</v>
      </c>
      <c r="Q239" s="299">
        <v>0</v>
      </c>
      <c r="R239" s="299">
        <v>0</v>
      </c>
      <c r="S239" s="299">
        <v>0</v>
      </c>
      <c r="T239" s="299">
        <v>0</v>
      </c>
      <c r="U239" s="299">
        <v>0</v>
      </c>
      <c r="V239" s="299">
        <v>0</v>
      </c>
      <c r="W239" s="299">
        <v>0</v>
      </c>
      <c r="X239" s="295">
        <f t="shared" si="10"/>
        <v>0</v>
      </c>
      <c r="AJ239" s="276"/>
    </row>
    <row r="240" spans="1:36" ht="15" customHeight="1">
      <c r="A240" s="533"/>
      <c r="B240" s="347" t="s">
        <v>920</v>
      </c>
      <c r="C240" s="299">
        <v>0</v>
      </c>
      <c r="D240" s="299">
        <v>0</v>
      </c>
      <c r="E240" s="299">
        <v>0</v>
      </c>
      <c r="F240" s="299">
        <v>0</v>
      </c>
      <c r="G240" s="299">
        <v>0</v>
      </c>
      <c r="H240" s="299">
        <v>0</v>
      </c>
      <c r="I240" s="299">
        <v>0</v>
      </c>
      <c r="J240" s="299">
        <v>0</v>
      </c>
      <c r="K240" s="299">
        <v>0</v>
      </c>
      <c r="L240" s="299">
        <v>0</v>
      </c>
      <c r="M240" s="299">
        <v>0</v>
      </c>
      <c r="N240" s="299">
        <v>0</v>
      </c>
      <c r="O240" s="299">
        <v>0</v>
      </c>
      <c r="P240" s="299">
        <v>0</v>
      </c>
      <c r="Q240" s="299">
        <v>0</v>
      </c>
      <c r="R240" s="299">
        <v>0</v>
      </c>
      <c r="S240" s="299">
        <v>0</v>
      </c>
      <c r="T240" s="299">
        <v>0</v>
      </c>
      <c r="U240" s="299">
        <v>0</v>
      </c>
      <c r="V240" s="299">
        <v>0</v>
      </c>
      <c r="W240" s="299">
        <v>0</v>
      </c>
      <c r="X240" s="295">
        <f t="shared" si="10"/>
        <v>0</v>
      </c>
      <c r="AJ240" s="276"/>
    </row>
    <row r="241" spans="1:36" ht="15" customHeight="1">
      <c r="A241" s="533"/>
      <c r="B241" s="347" t="s">
        <v>921</v>
      </c>
      <c r="C241" s="299">
        <v>0</v>
      </c>
      <c r="D241" s="299">
        <v>0</v>
      </c>
      <c r="E241" s="299">
        <v>0</v>
      </c>
      <c r="F241" s="299">
        <v>0</v>
      </c>
      <c r="G241" s="299">
        <v>0</v>
      </c>
      <c r="H241" s="299">
        <v>0</v>
      </c>
      <c r="I241" s="299">
        <v>0</v>
      </c>
      <c r="J241" s="299">
        <v>0</v>
      </c>
      <c r="K241" s="299">
        <v>0</v>
      </c>
      <c r="L241" s="299">
        <v>0</v>
      </c>
      <c r="M241" s="299">
        <v>0</v>
      </c>
      <c r="N241" s="299">
        <v>0</v>
      </c>
      <c r="O241" s="299">
        <v>0</v>
      </c>
      <c r="P241" s="299">
        <v>0</v>
      </c>
      <c r="Q241" s="299">
        <v>0</v>
      </c>
      <c r="R241" s="299">
        <v>0</v>
      </c>
      <c r="S241" s="299">
        <v>0</v>
      </c>
      <c r="T241" s="299">
        <v>0</v>
      </c>
      <c r="U241" s="299">
        <v>0</v>
      </c>
      <c r="V241" s="299">
        <v>0</v>
      </c>
      <c r="W241" s="299">
        <v>0</v>
      </c>
      <c r="X241" s="295">
        <f t="shared" si="10"/>
        <v>0</v>
      </c>
      <c r="AJ241" s="276"/>
    </row>
    <row r="242" spans="1:36" ht="15" customHeight="1">
      <c r="A242" s="533"/>
      <c r="B242" s="347" t="s">
        <v>922</v>
      </c>
      <c r="C242" s="299">
        <v>0</v>
      </c>
      <c r="D242" s="299">
        <v>0</v>
      </c>
      <c r="E242" s="299">
        <v>0</v>
      </c>
      <c r="F242" s="299">
        <v>0</v>
      </c>
      <c r="G242" s="299">
        <v>0</v>
      </c>
      <c r="H242" s="299">
        <v>0</v>
      </c>
      <c r="I242" s="299">
        <v>0</v>
      </c>
      <c r="J242" s="299">
        <v>0</v>
      </c>
      <c r="K242" s="299">
        <v>0</v>
      </c>
      <c r="L242" s="299">
        <v>0</v>
      </c>
      <c r="M242" s="299">
        <v>0</v>
      </c>
      <c r="N242" s="299">
        <v>0</v>
      </c>
      <c r="O242" s="299">
        <v>0</v>
      </c>
      <c r="P242" s="299">
        <v>0</v>
      </c>
      <c r="Q242" s="299">
        <v>0</v>
      </c>
      <c r="R242" s="299">
        <v>0</v>
      </c>
      <c r="S242" s="299">
        <v>0</v>
      </c>
      <c r="T242" s="299">
        <v>0</v>
      </c>
      <c r="U242" s="299">
        <v>0</v>
      </c>
      <c r="V242" s="299">
        <v>0</v>
      </c>
      <c r="W242" s="299">
        <v>0</v>
      </c>
      <c r="X242" s="295">
        <f t="shared" si="10"/>
        <v>0</v>
      </c>
      <c r="AJ242" s="276"/>
    </row>
    <row r="243" spans="1:36" ht="15" customHeight="1" thickBot="1">
      <c r="A243" s="534"/>
      <c r="B243" s="347" t="s">
        <v>923</v>
      </c>
      <c r="C243" s="299">
        <v>0</v>
      </c>
      <c r="D243" s="299">
        <v>0</v>
      </c>
      <c r="E243" s="299">
        <v>0</v>
      </c>
      <c r="F243" s="299">
        <v>0</v>
      </c>
      <c r="G243" s="299">
        <v>0</v>
      </c>
      <c r="H243" s="299">
        <v>0</v>
      </c>
      <c r="I243" s="299">
        <v>0</v>
      </c>
      <c r="J243" s="299">
        <v>0</v>
      </c>
      <c r="K243" s="299">
        <v>0</v>
      </c>
      <c r="L243" s="299">
        <v>0</v>
      </c>
      <c r="M243" s="299">
        <v>0</v>
      </c>
      <c r="N243" s="299">
        <v>0</v>
      </c>
      <c r="O243" s="299">
        <v>0</v>
      </c>
      <c r="P243" s="299">
        <v>0</v>
      </c>
      <c r="Q243" s="299">
        <v>0</v>
      </c>
      <c r="R243" s="299">
        <v>0</v>
      </c>
      <c r="S243" s="299">
        <v>0</v>
      </c>
      <c r="T243" s="299">
        <v>0</v>
      </c>
      <c r="U243" s="299">
        <v>0</v>
      </c>
      <c r="V243" s="299">
        <v>0</v>
      </c>
      <c r="W243" s="299">
        <v>0</v>
      </c>
      <c r="X243" s="295">
        <f t="shared" si="10"/>
        <v>0</v>
      </c>
      <c r="AJ243" s="276"/>
    </row>
    <row r="244" spans="1:36" ht="15" customHeight="1">
      <c r="A244" s="533" t="s">
        <v>925</v>
      </c>
      <c r="B244" s="347" t="s">
        <v>614</v>
      </c>
      <c r="C244" s="299">
        <v>0</v>
      </c>
      <c r="D244" s="299">
        <v>0</v>
      </c>
      <c r="E244" s="299">
        <v>0</v>
      </c>
      <c r="F244" s="299">
        <v>0</v>
      </c>
      <c r="G244" s="299">
        <v>0</v>
      </c>
      <c r="H244" s="299">
        <v>0</v>
      </c>
      <c r="I244" s="299">
        <v>0</v>
      </c>
      <c r="J244" s="299">
        <v>0</v>
      </c>
      <c r="K244" s="299">
        <v>0</v>
      </c>
      <c r="L244" s="299">
        <v>0</v>
      </c>
      <c r="M244" s="299">
        <v>0</v>
      </c>
      <c r="N244" s="299">
        <v>0</v>
      </c>
      <c r="O244" s="299">
        <v>0</v>
      </c>
      <c r="P244" s="299">
        <v>0</v>
      </c>
      <c r="Q244" s="299">
        <v>0</v>
      </c>
      <c r="R244" s="299">
        <v>0</v>
      </c>
      <c r="S244" s="299">
        <v>0</v>
      </c>
      <c r="T244" s="299">
        <v>0</v>
      </c>
      <c r="U244" s="299">
        <v>0</v>
      </c>
      <c r="V244" s="299">
        <v>0</v>
      </c>
      <c r="W244" s="299">
        <v>0</v>
      </c>
      <c r="X244" s="295">
        <f t="shared" si="10"/>
        <v>0</v>
      </c>
      <c r="AJ244" s="276"/>
    </row>
    <row r="245" spans="1:36" ht="15" customHeight="1">
      <c r="A245" s="533"/>
      <c r="B245" s="347" t="s">
        <v>615</v>
      </c>
      <c r="C245" s="299">
        <v>0</v>
      </c>
      <c r="D245" s="299">
        <v>0</v>
      </c>
      <c r="E245" s="299">
        <v>0</v>
      </c>
      <c r="F245" s="299">
        <v>0</v>
      </c>
      <c r="G245" s="299">
        <v>0</v>
      </c>
      <c r="H245" s="299">
        <v>0</v>
      </c>
      <c r="I245" s="299">
        <v>0</v>
      </c>
      <c r="J245" s="299">
        <v>0</v>
      </c>
      <c r="K245" s="299">
        <v>0</v>
      </c>
      <c r="L245" s="299">
        <v>0</v>
      </c>
      <c r="M245" s="299">
        <v>0</v>
      </c>
      <c r="N245" s="299">
        <v>0</v>
      </c>
      <c r="O245" s="299">
        <v>0</v>
      </c>
      <c r="P245" s="299">
        <v>0</v>
      </c>
      <c r="Q245" s="299">
        <v>0</v>
      </c>
      <c r="R245" s="299">
        <v>0</v>
      </c>
      <c r="S245" s="299">
        <v>0</v>
      </c>
      <c r="T245" s="299">
        <v>0</v>
      </c>
      <c r="U245" s="299">
        <v>0</v>
      </c>
      <c r="V245" s="299">
        <v>0</v>
      </c>
      <c r="W245" s="299">
        <v>0</v>
      </c>
      <c r="X245" s="295">
        <f t="shared" si="10"/>
        <v>0</v>
      </c>
      <c r="AJ245" s="276"/>
    </row>
    <row r="246" spans="1:36" ht="15" customHeight="1">
      <c r="A246" s="533"/>
      <c r="B246" s="347" t="s">
        <v>616</v>
      </c>
      <c r="C246" s="299">
        <v>0</v>
      </c>
      <c r="D246" s="299">
        <v>0</v>
      </c>
      <c r="E246" s="299">
        <v>0</v>
      </c>
      <c r="F246" s="299">
        <v>0</v>
      </c>
      <c r="G246" s="299">
        <v>0</v>
      </c>
      <c r="H246" s="299">
        <v>0</v>
      </c>
      <c r="I246" s="299">
        <v>0</v>
      </c>
      <c r="J246" s="299">
        <v>0</v>
      </c>
      <c r="K246" s="299">
        <v>0</v>
      </c>
      <c r="L246" s="299">
        <v>0</v>
      </c>
      <c r="M246" s="299">
        <v>0</v>
      </c>
      <c r="N246" s="299">
        <v>0</v>
      </c>
      <c r="O246" s="299">
        <v>0</v>
      </c>
      <c r="P246" s="299">
        <v>0</v>
      </c>
      <c r="Q246" s="299">
        <v>0</v>
      </c>
      <c r="R246" s="299">
        <v>0</v>
      </c>
      <c r="S246" s="299">
        <v>0</v>
      </c>
      <c r="T246" s="299">
        <v>0</v>
      </c>
      <c r="U246" s="299">
        <v>0</v>
      </c>
      <c r="V246" s="299">
        <v>0</v>
      </c>
      <c r="W246" s="299">
        <v>0</v>
      </c>
      <c r="X246" s="295">
        <f t="shared" si="10"/>
        <v>0</v>
      </c>
      <c r="AJ246" s="276"/>
    </row>
    <row r="247" spans="1:36" ht="15" customHeight="1">
      <c r="A247" s="533"/>
      <c r="B247" s="347" t="s">
        <v>617</v>
      </c>
      <c r="C247" s="299">
        <v>0</v>
      </c>
      <c r="D247" s="299">
        <v>0</v>
      </c>
      <c r="E247" s="299">
        <v>0</v>
      </c>
      <c r="F247" s="299">
        <v>0</v>
      </c>
      <c r="G247" s="299">
        <v>0</v>
      </c>
      <c r="H247" s="299">
        <v>0</v>
      </c>
      <c r="I247" s="299">
        <v>0</v>
      </c>
      <c r="J247" s="299">
        <v>0</v>
      </c>
      <c r="K247" s="299">
        <v>0</v>
      </c>
      <c r="L247" s="299">
        <v>0</v>
      </c>
      <c r="M247" s="299">
        <v>0</v>
      </c>
      <c r="N247" s="299">
        <v>0</v>
      </c>
      <c r="O247" s="299">
        <v>0</v>
      </c>
      <c r="P247" s="299">
        <v>0</v>
      </c>
      <c r="Q247" s="299">
        <v>0</v>
      </c>
      <c r="R247" s="299">
        <v>0</v>
      </c>
      <c r="S247" s="299">
        <v>0</v>
      </c>
      <c r="T247" s="299">
        <v>0</v>
      </c>
      <c r="U247" s="299">
        <v>0</v>
      </c>
      <c r="V247" s="299">
        <v>0</v>
      </c>
      <c r="W247" s="299">
        <v>0</v>
      </c>
      <c r="X247" s="295">
        <f t="shared" si="10"/>
        <v>0</v>
      </c>
      <c r="AJ247" s="276"/>
    </row>
    <row r="248" spans="1:36" ht="15" customHeight="1">
      <c r="A248" s="533"/>
      <c r="B248" s="347" t="s">
        <v>618</v>
      </c>
      <c r="C248" s="299">
        <v>0</v>
      </c>
      <c r="D248" s="299">
        <v>0</v>
      </c>
      <c r="E248" s="299">
        <v>0</v>
      </c>
      <c r="F248" s="299">
        <v>0</v>
      </c>
      <c r="G248" s="299">
        <v>0</v>
      </c>
      <c r="H248" s="299">
        <v>0</v>
      </c>
      <c r="I248" s="299">
        <v>0</v>
      </c>
      <c r="J248" s="299">
        <v>0</v>
      </c>
      <c r="K248" s="299">
        <v>0</v>
      </c>
      <c r="L248" s="299">
        <v>0</v>
      </c>
      <c r="M248" s="299">
        <v>0</v>
      </c>
      <c r="N248" s="299">
        <v>0</v>
      </c>
      <c r="O248" s="299">
        <v>0</v>
      </c>
      <c r="P248" s="299">
        <v>0</v>
      </c>
      <c r="Q248" s="299">
        <v>0</v>
      </c>
      <c r="R248" s="299">
        <v>0</v>
      </c>
      <c r="S248" s="299">
        <v>0</v>
      </c>
      <c r="T248" s="299">
        <v>0</v>
      </c>
      <c r="U248" s="299">
        <v>0</v>
      </c>
      <c r="V248" s="299">
        <v>0</v>
      </c>
      <c r="W248" s="299">
        <v>0</v>
      </c>
      <c r="X248" s="295">
        <f t="shared" si="10"/>
        <v>0</v>
      </c>
      <c r="AJ248" s="276"/>
    </row>
    <row r="249" spans="1:36" ht="15" customHeight="1">
      <c r="A249" s="533"/>
      <c r="B249" s="347" t="s">
        <v>619</v>
      </c>
      <c r="C249" s="299">
        <v>0</v>
      </c>
      <c r="D249" s="299">
        <v>0</v>
      </c>
      <c r="E249" s="299">
        <v>0</v>
      </c>
      <c r="F249" s="299">
        <v>0</v>
      </c>
      <c r="G249" s="299">
        <v>0</v>
      </c>
      <c r="H249" s="299">
        <v>0</v>
      </c>
      <c r="I249" s="299">
        <v>0</v>
      </c>
      <c r="J249" s="299">
        <v>0</v>
      </c>
      <c r="K249" s="299">
        <v>0</v>
      </c>
      <c r="L249" s="299">
        <v>0</v>
      </c>
      <c r="M249" s="299">
        <v>0</v>
      </c>
      <c r="N249" s="299">
        <v>0</v>
      </c>
      <c r="O249" s="299">
        <v>0</v>
      </c>
      <c r="P249" s="299">
        <v>0</v>
      </c>
      <c r="Q249" s="299">
        <v>0</v>
      </c>
      <c r="R249" s="299">
        <v>0</v>
      </c>
      <c r="S249" s="299">
        <v>0</v>
      </c>
      <c r="T249" s="299">
        <v>0</v>
      </c>
      <c r="U249" s="299">
        <v>0</v>
      </c>
      <c r="V249" s="299">
        <v>0</v>
      </c>
      <c r="W249" s="299">
        <v>0</v>
      </c>
      <c r="X249" s="295">
        <f t="shared" si="10"/>
        <v>0</v>
      </c>
      <c r="AJ249" s="276"/>
    </row>
    <row r="250" spans="1:36" ht="15" customHeight="1">
      <c r="A250" s="533"/>
      <c r="B250" s="347" t="s">
        <v>620</v>
      </c>
      <c r="C250" s="299">
        <v>0</v>
      </c>
      <c r="D250" s="299">
        <v>0</v>
      </c>
      <c r="E250" s="299">
        <v>0</v>
      </c>
      <c r="F250" s="299">
        <v>0</v>
      </c>
      <c r="G250" s="299">
        <v>0</v>
      </c>
      <c r="H250" s="299">
        <v>0</v>
      </c>
      <c r="I250" s="299">
        <v>0</v>
      </c>
      <c r="J250" s="299">
        <v>0</v>
      </c>
      <c r="K250" s="299">
        <v>0</v>
      </c>
      <c r="L250" s="299">
        <v>0</v>
      </c>
      <c r="M250" s="299">
        <v>0</v>
      </c>
      <c r="N250" s="299">
        <v>0</v>
      </c>
      <c r="O250" s="299">
        <v>0</v>
      </c>
      <c r="P250" s="299">
        <v>0</v>
      </c>
      <c r="Q250" s="299">
        <v>0</v>
      </c>
      <c r="R250" s="299">
        <v>0</v>
      </c>
      <c r="S250" s="299">
        <v>0</v>
      </c>
      <c r="T250" s="299">
        <v>0</v>
      </c>
      <c r="U250" s="299">
        <v>0</v>
      </c>
      <c r="V250" s="299">
        <v>0</v>
      </c>
      <c r="W250" s="299">
        <v>0</v>
      </c>
      <c r="X250" s="295">
        <f t="shared" si="10"/>
        <v>0</v>
      </c>
      <c r="AJ250" s="276"/>
    </row>
    <row r="251" spans="1:36" ht="15" customHeight="1">
      <c r="A251" s="533"/>
      <c r="B251" s="347" t="s">
        <v>621</v>
      </c>
      <c r="C251" s="299">
        <v>0</v>
      </c>
      <c r="D251" s="299">
        <v>0</v>
      </c>
      <c r="E251" s="299">
        <v>0</v>
      </c>
      <c r="F251" s="299">
        <v>0</v>
      </c>
      <c r="G251" s="299">
        <v>0</v>
      </c>
      <c r="H251" s="299">
        <v>0</v>
      </c>
      <c r="I251" s="299">
        <v>0</v>
      </c>
      <c r="J251" s="299">
        <v>0</v>
      </c>
      <c r="K251" s="299">
        <v>0</v>
      </c>
      <c r="L251" s="299">
        <v>0</v>
      </c>
      <c r="M251" s="299">
        <v>0</v>
      </c>
      <c r="N251" s="299">
        <v>0</v>
      </c>
      <c r="O251" s="299">
        <v>0</v>
      </c>
      <c r="P251" s="299">
        <v>0</v>
      </c>
      <c r="Q251" s="299">
        <v>0</v>
      </c>
      <c r="R251" s="299">
        <v>0</v>
      </c>
      <c r="S251" s="299">
        <v>0</v>
      </c>
      <c r="T251" s="299">
        <v>0</v>
      </c>
      <c r="U251" s="299">
        <v>0</v>
      </c>
      <c r="V251" s="299">
        <v>0</v>
      </c>
      <c r="W251" s="299">
        <v>0</v>
      </c>
      <c r="X251" s="295">
        <f t="shared" si="10"/>
        <v>0</v>
      </c>
      <c r="AJ251" s="276"/>
    </row>
    <row r="252" spans="1:36" ht="15" customHeight="1">
      <c r="A252" s="533"/>
      <c r="B252" s="347" t="s">
        <v>622</v>
      </c>
      <c r="C252" s="299">
        <v>0</v>
      </c>
      <c r="D252" s="299">
        <v>0</v>
      </c>
      <c r="E252" s="299">
        <v>0</v>
      </c>
      <c r="F252" s="299">
        <v>0</v>
      </c>
      <c r="G252" s="299">
        <v>0</v>
      </c>
      <c r="H252" s="299">
        <v>0</v>
      </c>
      <c r="I252" s="299">
        <v>0</v>
      </c>
      <c r="J252" s="299">
        <v>0</v>
      </c>
      <c r="K252" s="299">
        <v>0</v>
      </c>
      <c r="L252" s="299">
        <v>0</v>
      </c>
      <c r="M252" s="299">
        <v>0</v>
      </c>
      <c r="N252" s="299">
        <v>0</v>
      </c>
      <c r="O252" s="299">
        <v>0</v>
      </c>
      <c r="P252" s="299">
        <v>0</v>
      </c>
      <c r="Q252" s="299">
        <v>0</v>
      </c>
      <c r="R252" s="299">
        <v>0</v>
      </c>
      <c r="S252" s="299">
        <v>0</v>
      </c>
      <c r="T252" s="299">
        <v>0</v>
      </c>
      <c r="U252" s="299">
        <v>0</v>
      </c>
      <c r="V252" s="299">
        <v>0</v>
      </c>
      <c r="W252" s="299">
        <v>0</v>
      </c>
      <c r="X252" s="295">
        <f>+AVERAGE(C252:W252)</f>
        <v>0</v>
      </c>
      <c r="AJ252" s="276"/>
    </row>
    <row r="253" spans="1:36" ht="15" customHeight="1">
      <c r="A253" s="533"/>
      <c r="B253" s="347" t="s">
        <v>623</v>
      </c>
      <c r="C253" s="299">
        <v>0</v>
      </c>
      <c r="D253" s="299">
        <v>0</v>
      </c>
      <c r="E253" s="299">
        <v>0</v>
      </c>
      <c r="F253" s="299">
        <v>0</v>
      </c>
      <c r="G253" s="299">
        <v>0</v>
      </c>
      <c r="H253" s="299">
        <v>0</v>
      </c>
      <c r="I253" s="299">
        <v>0</v>
      </c>
      <c r="J253" s="299">
        <v>0</v>
      </c>
      <c r="K253" s="299">
        <v>0</v>
      </c>
      <c r="L253" s="299">
        <v>0</v>
      </c>
      <c r="M253" s="299">
        <v>0</v>
      </c>
      <c r="N253" s="299">
        <v>0</v>
      </c>
      <c r="O253" s="299">
        <v>0</v>
      </c>
      <c r="P253" s="299">
        <v>0</v>
      </c>
      <c r="Q253" s="299">
        <v>0</v>
      </c>
      <c r="R253" s="299">
        <v>0</v>
      </c>
      <c r="S253" s="299">
        <v>0</v>
      </c>
      <c r="T253" s="299">
        <v>0</v>
      </c>
      <c r="U253" s="299">
        <v>0</v>
      </c>
      <c r="V253" s="299">
        <v>0</v>
      </c>
      <c r="W253" s="299">
        <v>0</v>
      </c>
      <c r="X253" s="295">
        <f t="shared" si="10"/>
        <v>0</v>
      </c>
      <c r="AJ253" s="276"/>
    </row>
    <row r="254" spans="1:36" ht="15" customHeight="1">
      <c r="A254" s="533"/>
      <c r="B254" s="347" t="s">
        <v>624</v>
      </c>
      <c r="C254" s="299">
        <v>0</v>
      </c>
      <c r="D254" s="299">
        <v>0</v>
      </c>
      <c r="E254" s="299">
        <v>0</v>
      </c>
      <c r="F254" s="299">
        <v>0</v>
      </c>
      <c r="G254" s="299">
        <v>0</v>
      </c>
      <c r="H254" s="299">
        <v>0</v>
      </c>
      <c r="I254" s="299">
        <v>0</v>
      </c>
      <c r="J254" s="299">
        <v>0</v>
      </c>
      <c r="K254" s="299">
        <v>0</v>
      </c>
      <c r="L254" s="299">
        <v>0</v>
      </c>
      <c r="M254" s="299">
        <v>0</v>
      </c>
      <c r="N254" s="299">
        <v>0</v>
      </c>
      <c r="O254" s="299">
        <v>0</v>
      </c>
      <c r="P254" s="299">
        <v>0</v>
      </c>
      <c r="Q254" s="299">
        <v>0</v>
      </c>
      <c r="R254" s="299">
        <v>0</v>
      </c>
      <c r="S254" s="299">
        <v>0</v>
      </c>
      <c r="T254" s="299">
        <v>0</v>
      </c>
      <c r="U254" s="299">
        <v>0</v>
      </c>
      <c r="V254" s="299">
        <v>0</v>
      </c>
      <c r="W254" s="299">
        <v>0</v>
      </c>
      <c r="X254" s="295">
        <f t="shared" si="10"/>
        <v>0</v>
      </c>
      <c r="AJ254" s="276"/>
    </row>
    <row r="255" spans="1:36" ht="15" customHeight="1">
      <c r="A255" s="533"/>
      <c r="B255" s="347" t="s">
        <v>625</v>
      </c>
      <c r="C255" s="299">
        <v>0</v>
      </c>
      <c r="D255" s="299">
        <v>0</v>
      </c>
      <c r="E255" s="299">
        <v>0</v>
      </c>
      <c r="F255" s="299">
        <v>0</v>
      </c>
      <c r="G255" s="299">
        <v>0</v>
      </c>
      <c r="H255" s="299">
        <v>0</v>
      </c>
      <c r="I255" s="299">
        <v>0</v>
      </c>
      <c r="J255" s="299">
        <v>0</v>
      </c>
      <c r="K255" s="299">
        <v>0</v>
      </c>
      <c r="L255" s="299">
        <v>0</v>
      </c>
      <c r="M255" s="299">
        <v>0</v>
      </c>
      <c r="N255" s="299">
        <v>0</v>
      </c>
      <c r="O255" s="299">
        <v>0</v>
      </c>
      <c r="P255" s="299">
        <v>0</v>
      </c>
      <c r="Q255" s="299">
        <v>0</v>
      </c>
      <c r="R255" s="299">
        <v>0</v>
      </c>
      <c r="S255" s="299">
        <v>0</v>
      </c>
      <c r="T255" s="299">
        <v>0</v>
      </c>
      <c r="U255" s="299">
        <v>0</v>
      </c>
      <c r="V255" s="299">
        <v>0</v>
      </c>
      <c r="W255" s="299">
        <v>0</v>
      </c>
      <c r="X255" s="295">
        <f t="shared" si="10"/>
        <v>0</v>
      </c>
      <c r="AJ255" s="276"/>
    </row>
    <row r="256" spans="1:36" ht="15" customHeight="1">
      <c r="A256" s="533"/>
      <c r="B256" s="347" t="s">
        <v>626</v>
      </c>
      <c r="C256" s="299">
        <v>0</v>
      </c>
      <c r="D256" s="299">
        <v>0</v>
      </c>
      <c r="E256" s="299">
        <v>0</v>
      </c>
      <c r="F256" s="299">
        <v>0</v>
      </c>
      <c r="G256" s="299">
        <v>0</v>
      </c>
      <c r="H256" s="299">
        <v>0</v>
      </c>
      <c r="I256" s="299">
        <v>0</v>
      </c>
      <c r="J256" s="299">
        <v>0</v>
      </c>
      <c r="K256" s="299">
        <v>0</v>
      </c>
      <c r="L256" s="299">
        <v>0</v>
      </c>
      <c r="M256" s="299">
        <v>0</v>
      </c>
      <c r="N256" s="299">
        <v>0</v>
      </c>
      <c r="O256" s="299">
        <v>0</v>
      </c>
      <c r="P256" s="299">
        <v>0</v>
      </c>
      <c r="Q256" s="299">
        <v>0</v>
      </c>
      <c r="R256" s="299">
        <v>0</v>
      </c>
      <c r="S256" s="299">
        <v>0</v>
      </c>
      <c r="T256" s="299">
        <v>0</v>
      </c>
      <c r="U256" s="299">
        <v>0</v>
      </c>
      <c r="V256" s="299">
        <v>0</v>
      </c>
      <c r="W256" s="299">
        <v>0</v>
      </c>
      <c r="X256" s="295">
        <f t="shared" si="10"/>
        <v>0</v>
      </c>
      <c r="AJ256" s="276"/>
    </row>
    <row r="257" spans="1:36" ht="15" customHeight="1">
      <c r="A257" s="533"/>
      <c r="B257" s="347" t="s">
        <v>627</v>
      </c>
      <c r="C257" s="299">
        <v>0</v>
      </c>
      <c r="D257" s="299">
        <v>0</v>
      </c>
      <c r="E257" s="299">
        <v>0</v>
      </c>
      <c r="F257" s="299">
        <v>0</v>
      </c>
      <c r="G257" s="299">
        <v>0</v>
      </c>
      <c r="H257" s="299">
        <v>0</v>
      </c>
      <c r="I257" s="299">
        <v>0</v>
      </c>
      <c r="J257" s="299">
        <v>0</v>
      </c>
      <c r="K257" s="299">
        <v>0</v>
      </c>
      <c r="L257" s="299">
        <v>0</v>
      </c>
      <c r="M257" s="299">
        <v>0</v>
      </c>
      <c r="N257" s="299">
        <v>0</v>
      </c>
      <c r="O257" s="299">
        <v>0</v>
      </c>
      <c r="P257" s="299">
        <v>0</v>
      </c>
      <c r="Q257" s="299">
        <v>0</v>
      </c>
      <c r="R257" s="299">
        <v>0</v>
      </c>
      <c r="S257" s="299">
        <v>0</v>
      </c>
      <c r="T257" s="299">
        <v>0</v>
      </c>
      <c r="U257" s="299">
        <v>0</v>
      </c>
      <c r="V257" s="299">
        <v>0</v>
      </c>
      <c r="W257" s="299">
        <v>0</v>
      </c>
      <c r="X257" s="295">
        <f t="shared" si="10"/>
        <v>0</v>
      </c>
      <c r="AJ257" s="276"/>
    </row>
    <row r="258" spans="1:36" ht="15" customHeight="1">
      <c r="A258" s="533"/>
      <c r="B258" s="347" t="s">
        <v>628</v>
      </c>
      <c r="C258" s="299">
        <v>0</v>
      </c>
      <c r="D258" s="299">
        <v>0</v>
      </c>
      <c r="E258" s="299">
        <v>0</v>
      </c>
      <c r="F258" s="299">
        <v>0</v>
      </c>
      <c r="G258" s="299">
        <v>0</v>
      </c>
      <c r="H258" s="299">
        <v>0</v>
      </c>
      <c r="I258" s="299">
        <v>0</v>
      </c>
      <c r="J258" s="299">
        <v>0</v>
      </c>
      <c r="K258" s="299">
        <v>0</v>
      </c>
      <c r="L258" s="299">
        <v>0</v>
      </c>
      <c r="M258" s="299">
        <v>0</v>
      </c>
      <c r="N258" s="299">
        <v>0</v>
      </c>
      <c r="O258" s="299">
        <v>0</v>
      </c>
      <c r="P258" s="299">
        <v>0</v>
      </c>
      <c r="Q258" s="299">
        <v>0</v>
      </c>
      <c r="R258" s="299">
        <v>0</v>
      </c>
      <c r="S258" s="299">
        <v>0</v>
      </c>
      <c r="T258" s="299">
        <v>0</v>
      </c>
      <c r="U258" s="299">
        <v>0</v>
      </c>
      <c r="V258" s="299">
        <v>0</v>
      </c>
      <c r="W258" s="299">
        <v>0</v>
      </c>
      <c r="X258" s="295">
        <f t="shared" si="10"/>
        <v>0</v>
      </c>
      <c r="AJ258" s="276"/>
    </row>
    <row r="259" spans="1:36" ht="15" customHeight="1">
      <c r="A259" s="533"/>
      <c r="B259" s="347" t="s">
        <v>629</v>
      </c>
      <c r="C259" s="299">
        <v>0</v>
      </c>
      <c r="D259" s="299">
        <v>0</v>
      </c>
      <c r="E259" s="299">
        <v>0</v>
      </c>
      <c r="F259" s="299">
        <v>0</v>
      </c>
      <c r="G259" s="299">
        <v>0</v>
      </c>
      <c r="H259" s="299">
        <v>0</v>
      </c>
      <c r="I259" s="299">
        <v>0</v>
      </c>
      <c r="J259" s="299">
        <v>0</v>
      </c>
      <c r="K259" s="299">
        <v>0</v>
      </c>
      <c r="L259" s="299">
        <v>0</v>
      </c>
      <c r="M259" s="299">
        <v>0</v>
      </c>
      <c r="N259" s="299">
        <v>0</v>
      </c>
      <c r="O259" s="299">
        <v>0</v>
      </c>
      <c r="P259" s="299">
        <v>0</v>
      </c>
      <c r="Q259" s="299">
        <v>0</v>
      </c>
      <c r="R259" s="299">
        <v>0</v>
      </c>
      <c r="S259" s="299">
        <v>0</v>
      </c>
      <c r="T259" s="299">
        <v>0</v>
      </c>
      <c r="U259" s="299">
        <v>0</v>
      </c>
      <c r="V259" s="299">
        <v>0</v>
      </c>
      <c r="W259" s="299">
        <v>0</v>
      </c>
      <c r="X259" s="295">
        <f t="shared" si="10"/>
        <v>0</v>
      </c>
      <c r="AJ259" s="276"/>
    </row>
    <row r="260" spans="1:36" ht="15" customHeight="1">
      <c r="A260" s="533"/>
      <c r="B260" s="347" t="s">
        <v>630</v>
      </c>
      <c r="C260" s="299">
        <v>0</v>
      </c>
      <c r="D260" s="299">
        <v>0</v>
      </c>
      <c r="E260" s="299">
        <v>0</v>
      </c>
      <c r="F260" s="299">
        <v>0</v>
      </c>
      <c r="G260" s="299">
        <v>0</v>
      </c>
      <c r="H260" s="299">
        <v>0</v>
      </c>
      <c r="I260" s="299">
        <v>0</v>
      </c>
      <c r="J260" s="299">
        <v>0</v>
      </c>
      <c r="K260" s="299">
        <v>0</v>
      </c>
      <c r="L260" s="299">
        <v>0</v>
      </c>
      <c r="M260" s="299">
        <v>0</v>
      </c>
      <c r="N260" s="299">
        <v>0</v>
      </c>
      <c r="O260" s="299">
        <v>0</v>
      </c>
      <c r="P260" s="299">
        <v>0</v>
      </c>
      <c r="Q260" s="299">
        <v>0</v>
      </c>
      <c r="R260" s="299">
        <v>0</v>
      </c>
      <c r="S260" s="299">
        <v>0</v>
      </c>
      <c r="T260" s="299">
        <v>0</v>
      </c>
      <c r="U260" s="299">
        <v>0</v>
      </c>
      <c r="V260" s="299">
        <v>0</v>
      </c>
      <c r="W260" s="299">
        <v>0</v>
      </c>
      <c r="X260" s="295">
        <f t="shared" si="10"/>
        <v>0</v>
      </c>
      <c r="AJ260" s="276"/>
    </row>
    <row r="261" spans="1:36" ht="15" customHeight="1">
      <c r="A261" s="533"/>
      <c r="B261" s="347" t="s">
        <v>918</v>
      </c>
      <c r="C261" s="299">
        <v>0</v>
      </c>
      <c r="D261" s="299">
        <v>0</v>
      </c>
      <c r="E261" s="299">
        <v>0</v>
      </c>
      <c r="F261" s="299">
        <v>0</v>
      </c>
      <c r="G261" s="299">
        <v>0</v>
      </c>
      <c r="H261" s="299">
        <v>0</v>
      </c>
      <c r="I261" s="299">
        <v>0</v>
      </c>
      <c r="J261" s="299">
        <v>0</v>
      </c>
      <c r="K261" s="299">
        <v>0</v>
      </c>
      <c r="L261" s="299">
        <v>0</v>
      </c>
      <c r="M261" s="299">
        <v>0</v>
      </c>
      <c r="N261" s="299">
        <v>0</v>
      </c>
      <c r="O261" s="299">
        <v>0</v>
      </c>
      <c r="P261" s="299">
        <v>0</v>
      </c>
      <c r="Q261" s="299">
        <v>0</v>
      </c>
      <c r="R261" s="299">
        <v>0</v>
      </c>
      <c r="S261" s="299">
        <v>0</v>
      </c>
      <c r="T261" s="299">
        <v>0</v>
      </c>
      <c r="U261" s="299">
        <v>0</v>
      </c>
      <c r="V261" s="299">
        <v>0</v>
      </c>
      <c r="W261" s="299">
        <v>0</v>
      </c>
      <c r="X261" s="295">
        <f t="shared" si="10"/>
        <v>0</v>
      </c>
      <c r="AJ261" s="276"/>
    </row>
    <row r="262" spans="1:36" ht="15" customHeight="1">
      <c r="A262" s="533"/>
      <c r="B262" s="347" t="s">
        <v>919</v>
      </c>
      <c r="C262" s="299">
        <v>0</v>
      </c>
      <c r="D262" s="299">
        <v>0</v>
      </c>
      <c r="E262" s="299">
        <v>0</v>
      </c>
      <c r="F262" s="299">
        <v>0</v>
      </c>
      <c r="G262" s="299">
        <v>0</v>
      </c>
      <c r="H262" s="299">
        <v>0</v>
      </c>
      <c r="I262" s="299">
        <v>0</v>
      </c>
      <c r="J262" s="299">
        <v>0</v>
      </c>
      <c r="K262" s="299">
        <v>0</v>
      </c>
      <c r="L262" s="299">
        <v>0</v>
      </c>
      <c r="M262" s="299">
        <v>0</v>
      </c>
      <c r="N262" s="299">
        <v>0</v>
      </c>
      <c r="O262" s="299">
        <v>0</v>
      </c>
      <c r="P262" s="299">
        <v>0</v>
      </c>
      <c r="Q262" s="299">
        <v>0</v>
      </c>
      <c r="R262" s="299">
        <v>0</v>
      </c>
      <c r="S262" s="299">
        <v>0</v>
      </c>
      <c r="T262" s="299">
        <v>0</v>
      </c>
      <c r="U262" s="299">
        <v>0</v>
      </c>
      <c r="V262" s="299">
        <v>0</v>
      </c>
      <c r="W262" s="299">
        <v>0</v>
      </c>
      <c r="X262" s="295">
        <f t="shared" si="10"/>
        <v>0</v>
      </c>
      <c r="AJ262" s="276"/>
    </row>
    <row r="263" spans="1:36" ht="15" customHeight="1">
      <c r="A263" s="533"/>
      <c r="B263" s="347" t="s">
        <v>920</v>
      </c>
      <c r="C263" s="299">
        <v>0</v>
      </c>
      <c r="D263" s="299">
        <v>0</v>
      </c>
      <c r="E263" s="299">
        <v>0</v>
      </c>
      <c r="F263" s="299">
        <v>0</v>
      </c>
      <c r="G263" s="299">
        <v>0</v>
      </c>
      <c r="H263" s="299">
        <v>0</v>
      </c>
      <c r="I263" s="299">
        <v>0</v>
      </c>
      <c r="J263" s="299">
        <v>0</v>
      </c>
      <c r="K263" s="299">
        <v>0</v>
      </c>
      <c r="L263" s="299">
        <v>0</v>
      </c>
      <c r="M263" s="299">
        <v>0</v>
      </c>
      <c r="N263" s="299">
        <v>0</v>
      </c>
      <c r="O263" s="299">
        <v>0</v>
      </c>
      <c r="P263" s="299">
        <v>0</v>
      </c>
      <c r="Q263" s="299">
        <v>0</v>
      </c>
      <c r="R263" s="299">
        <v>0</v>
      </c>
      <c r="S263" s="299">
        <v>0</v>
      </c>
      <c r="T263" s="299">
        <v>0</v>
      </c>
      <c r="U263" s="299">
        <v>0</v>
      </c>
      <c r="V263" s="299">
        <v>0</v>
      </c>
      <c r="W263" s="299">
        <v>0</v>
      </c>
      <c r="X263" s="295">
        <f t="shared" si="10"/>
        <v>0</v>
      </c>
      <c r="AJ263" s="276"/>
    </row>
    <row r="264" spans="1:36" ht="15" customHeight="1" thickBot="1">
      <c r="A264" s="534"/>
      <c r="B264" s="347" t="s">
        <v>921</v>
      </c>
      <c r="C264" s="299">
        <v>0</v>
      </c>
      <c r="D264" s="299">
        <v>0</v>
      </c>
      <c r="E264" s="299">
        <v>0</v>
      </c>
      <c r="F264" s="299">
        <v>0</v>
      </c>
      <c r="G264" s="299">
        <v>0</v>
      </c>
      <c r="H264" s="299">
        <v>0</v>
      </c>
      <c r="I264" s="299">
        <v>0</v>
      </c>
      <c r="J264" s="299">
        <v>0</v>
      </c>
      <c r="K264" s="299">
        <v>0</v>
      </c>
      <c r="L264" s="299">
        <v>0</v>
      </c>
      <c r="M264" s="299">
        <v>0</v>
      </c>
      <c r="N264" s="299">
        <v>0</v>
      </c>
      <c r="O264" s="299">
        <v>0</v>
      </c>
      <c r="P264" s="299">
        <v>0</v>
      </c>
      <c r="Q264" s="299">
        <v>0</v>
      </c>
      <c r="R264" s="299">
        <v>0</v>
      </c>
      <c r="S264" s="299">
        <v>0</v>
      </c>
      <c r="T264" s="299">
        <v>0</v>
      </c>
      <c r="U264" s="299">
        <v>0</v>
      </c>
      <c r="V264" s="299">
        <v>0</v>
      </c>
      <c r="W264" s="299">
        <v>0</v>
      </c>
      <c r="X264" s="295">
        <f t="shared" si="10"/>
        <v>0</v>
      </c>
      <c r="AJ264" s="276"/>
    </row>
    <row r="265" spans="1:36" ht="20.100000000000001" customHeight="1" thickBot="1">
      <c r="A265" s="535" t="s">
        <v>755</v>
      </c>
      <c r="B265" s="536"/>
      <c r="C265" s="296"/>
      <c r="D265" s="296"/>
      <c r="E265" s="296"/>
      <c r="F265" s="296"/>
      <c r="G265" s="296"/>
      <c r="H265" s="296"/>
      <c r="I265" s="296"/>
      <c r="J265" s="296"/>
      <c r="K265" s="296"/>
      <c r="L265" s="296"/>
      <c r="M265" s="296"/>
      <c r="N265" s="296"/>
      <c r="O265" s="296"/>
      <c r="P265" s="296"/>
      <c r="Q265" s="296"/>
      <c r="R265" s="296"/>
      <c r="S265" s="296"/>
      <c r="T265" s="296"/>
      <c r="U265" s="296"/>
      <c r="V265" s="296"/>
      <c r="W265" s="296"/>
      <c r="X265" s="512"/>
      <c r="AJ265" s="276"/>
    </row>
    <row r="266" spans="1:36" ht="20.100000000000001" customHeight="1" thickBot="1">
      <c r="A266" s="535" t="s">
        <v>754</v>
      </c>
      <c r="B266" s="536"/>
      <c r="C266" s="296">
        <f t="shared" ref="C266:W266" si="11">+AVERAGE(C221:C264)</f>
        <v>0</v>
      </c>
      <c r="D266" s="296">
        <f t="shared" si="11"/>
        <v>0</v>
      </c>
      <c r="E266" s="296">
        <f t="shared" si="11"/>
        <v>0</v>
      </c>
      <c r="F266" s="296">
        <f t="shared" si="11"/>
        <v>0</v>
      </c>
      <c r="G266" s="296">
        <f t="shared" si="11"/>
        <v>0</v>
      </c>
      <c r="H266" s="296">
        <f t="shared" si="11"/>
        <v>0</v>
      </c>
      <c r="I266" s="296">
        <f t="shared" si="11"/>
        <v>0</v>
      </c>
      <c r="J266" s="296">
        <f t="shared" si="11"/>
        <v>0</v>
      </c>
      <c r="K266" s="296">
        <f t="shared" si="11"/>
        <v>0</v>
      </c>
      <c r="L266" s="296">
        <f t="shared" si="11"/>
        <v>0</v>
      </c>
      <c r="M266" s="296">
        <f t="shared" si="11"/>
        <v>0</v>
      </c>
      <c r="N266" s="296">
        <f t="shared" si="11"/>
        <v>0</v>
      </c>
      <c r="O266" s="296">
        <f t="shared" si="11"/>
        <v>0</v>
      </c>
      <c r="P266" s="296">
        <f t="shared" si="11"/>
        <v>0</v>
      </c>
      <c r="Q266" s="296">
        <f t="shared" si="11"/>
        <v>0</v>
      </c>
      <c r="R266" s="296">
        <f t="shared" si="11"/>
        <v>0</v>
      </c>
      <c r="S266" s="296">
        <f t="shared" si="11"/>
        <v>0</v>
      </c>
      <c r="T266" s="296">
        <f t="shared" si="11"/>
        <v>0</v>
      </c>
      <c r="U266" s="296">
        <f t="shared" si="11"/>
        <v>0</v>
      </c>
      <c r="V266" s="296">
        <f t="shared" si="11"/>
        <v>0</v>
      </c>
      <c r="W266" s="296">
        <f t="shared" si="11"/>
        <v>0</v>
      </c>
      <c r="X266" s="513"/>
      <c r="AJ266" s="276"/>
    </row>
    <row r="267" spans="1:36" ht="20.100000000000001" customHeight="1" thickBot="1">
      <c r="A267" s="535" t="s">
        <v>760</v>
      </c>
      <c r="B267" s="537"/>
      <c r="C267" s="516">
        <f>+AVERAGE(C266:W266)</f>
        <v>0</v>
      </c>
      <c r="D267" s="517"/>
      <c r="E267" s="517"/>
      <c r="F267" s="517"/>
      <c r="G267" s="517"/>
      <c r="H267" s="517"/>
      <c r="I267" s="517"/>
      <c r="J267" s="517"/>
      <c r="K267" s="517"/>
      <c r="L267" s="517"/>
      <c r="M267" s="517"/>
      <c r="N267" s="517"/>
      <c r="O267" s="517"/>
      <c r="P267" s="517"/>
      <c r="Q267" s="517"/>
      <c r="R267" s="517"/>
      <c r="S267" s="517"/>
      <c r="T267" s="517"/>
      <c r="U267" s="517"/>
      <c r="V267" s="517"/>
      <c r="W267" s="518"/>
      <c r="X267" s="514"/>
      <c r="AJ267" s="276"/>
    </row>
    <row r="268" spans="1:36" ht="15" customHeight="1">
      <c r="A268" s="532" t="s">
        <v>933</v>
      </c>
      <c r="B268" s="350" t="s">
        <v>631</v>
      </c>
      <c r="C268" s="301">
        <v>0</v>
      </c>
      <c r="D268" s="301">
        <v>0</v>
      </c>
      <c r="E268" s="301">
        <v>0</v>
      </c>
      <c r="F268" s="301">
        <v>0</v>
      </c>
      <c r="G268" s="301">
        <v>0</v>
      </c>
      <c r="H268" s="301">
        <v>0</v>
      </c>
      <c r="I268" s="301">
        <v>0</v>
      </c>
      <c r="J268" s="301">
        <v>0</v>
      </c>
      <c r="K268" s="301">
        <v>0</v>
      </c>
      <c r="L268" s="301">
        <v>0</v>
      </c>
      <c r="M268" s="301">
        <v>0</v>
      </c>
      <c r="N268" s="301">
        <v>0</v>
      </c>
      <c r="O268" s="301">
        <v>0</v>
      </c>
      <c r="P268" s="301">
        <v>0</v>
      </c>
      <c r="Q268" s="301">
        <v>0</v>
      </c>
      <c r="R268" s="301">
        <v>0</v>
      </c>
      <c r="S268" s="301">
        <v>0</v>
      </c>
      <c r="T268" s="301">
        <v>0</v>
      </c>
      <c r="U268" s="301">
        <v>0</v>
      </c>
      <c r="V268" s="301">
        <v>0</v>
      </c>
      <c r="W268" s="301">
        <v>0</v>
      </c>
      <c r="X268" s="293">
        <f t="shared" ref="X268:X311" si="12">+AVERAGE(C268:W268)</f>
        <v>0</v>
      </c>
      <c r="AJ268" s="276"/>
    </row>
    <row r="269" spans="1:36" ht="15" customHeight="1">
      <c r="A269" s="533"/>
      <c r="B269" s="347" t="s">
        <v>632</v>
      </c>
      <c r="C269" s="302">
        <v>0</v>
      </c>
      <c r="D269" s="302">
        <v>0</v>
      </c>
      <c r="E269" s="302">
        <v>0</v>
      </c>
      <c r="F269" s="302">
        <v>0</v>
      </c>
      <c r="G269" s="302">
        <v>0</v>
      </c>
      <c r="H269" s="302">
        <v>0</v>
      </c>
      <c r="I269" s="302">
        <v>0</v>
      </c>
      <c r="J269" s="302">
        <v>0</v>
      </c>
      <c r="K269" s="302">
        <v>0</v>
      </c>
      <c r="L269" s="302">
        <v>0</v>
      </c>
      <c r="M269" s="302">
        <v>0</v>
      </c>
      <c r="N269" s="302">
        <v>0</v>
      </c>
      <c r="O269" s="302">
        <v>0</v>
      </c>
      <c r="P269" s="302">
        <v>0</v>
      </c>
      <c r="Q269" s="302">
        <v>0</v>
      </c>
      <c r="R269" s="302">
        <v>0</v>
      </c>
      <c r="S269" s="302">
        <v>0</v>
      </c>
      <c r="T269" s="302">
        <v>0</v>
      </c>
      <c r="U269" s="302">
        <v>0</v>
      </c>
      <c r="V269" s="302">
        <v>0</v>
      </c>
      <c r="W269" s="302">
        <v>0</v>
      </c>
      <c r="X269" s="295">
        <f t="shared" si="12"/>
        <v>0</v>
      </c>
      <c r="AJ269" s="276"/>
    </row>
    <row r="270" spans="1:36" ht="15" customHeight="1">
      <c r="A270" s="533"/>
      <c r="B270" s="347" t="s">
        <v>926</v>
      </c>
      <c r="C270" s="302">
        <v>0</v>
      </c>
      <c r="D270" s="302">
        <v>0</v>
      </c>
      <c r="E270" s="302">
        <v>0</v>
      </c>
      <c r="F270" s="302">
        <v>0</v>
      </c>
      <c r="G270" s="302">
        <v>0</v>
      </c>
      <c r="H270" s="302">
        <v>0</v>
      </c>
      <c r="I270" s="302">
        <v>0</v>
      </c>
      <c r="J270" s="302">
        <v>0</v>
      </c>
      <c r="K270" s="302">
        <v>0</v>
      </c>
      <c r="L270" s="302">
        <v>0</v>
      </c>
      <c r="M270" s="302">
        <v>0</v>
      </c>
      <c r="N270" s="302">
        <v>0</v>
      </c>
      <c r="O270" s="302">
        <v>0</v>
      </c>
      <c r="P270" s="302">
        <v>0</v>
      </c>
      <c r="Q270" s="302">
        <v>0</v>
      </c>
      <c r="R270" s="302">
        <v>0</v>
      </c>
      <c r="S270" s="302">
        <v>0</v>
      </c>
      <c r="T270" s="302">
        <v>0</v>
      </c>
      <c r="U270" s="302">
        <v>0</v>
      </c>
      <c r="V270" s="302">
        <v>0</v>
      </c>
      <c r="W270" s="302">
        <v>0</v>
      </c>
      <c r="X270" s="295">
        <f t="shared" si="12"/>
        <v>0</v>
      </c>
      <c r="AJ270" s="276"/>
    </row>
    <row r="271" spans="1:36" ht="15" customHeight="1">
      <c r="A271" s="533"/>
      <c r="B271" s="347" t="s">
        <v>634</v>
      </c>
      <c r="C271" s="302">
        <v>0</v>
      </c>
      <c r="D271" s="302">
        <v>0</v>
      </c>
      <c r="E271" s="302">
        <v>0</v>
      </c>
      <c r="F271" s="302">
        <v>0</v>
      </c>
      <c r="G271" s="302">
        <v>0</v>
      </c>
      <c r="H271" s="302">
        <v>0</v>
      </c>
      <c r="I271" s="302">
        <v>0</v>
      </c>
      <c r="J271" s="302">
        <v>0</v>
      </c>
      <c r="K271" s="302">
        <v>0</v>
      </c>
      <c r="L271" s="302">
        <v>0</v>
      </c>
      <c r="M271" s="302">
        <v>0</v>
      </c>
      <c r="N271" s="302">
        <v>0</v>
      </c>
      <c r="O271" s="302">
        <v>0</v>
      </c>
      <c r="P271" s="302">
        <v>0</v>
      </c>
      <c r="Q271" s="302">
        <v>0</v>
      </c>
      <c r="R271" s="302">
        <v>0</v>
      </c>
      <c r="S271" s="302">
        <v>0</v>
      </c>
      <c r="T271" s="302">
        <v>0</v>
      </c>
      <c r="U271" s="302">
        <v>0</v>
      </c>
      <c r="V271" s="302">
        <v>0</v>
      </c>
      <c r="W271" s="302">
        <v>0</v>
      </c>
      <c r="X271" s="295">
        <f t="shared" si="12"/>
        <v>0</v>
      </c>
      <c r="AJ271" s="276"/>
    </row>
    <row r="272" spans="1:36" ht="15" customHeight="1">
      <c r="A272" s="533"/>
      <c r="B272" s="347" t="s">
        <v>635</v>
      </c>
      <c r="C272" s="302">
        <v>0</v>
      </c>
      <c r="D272" s="302">
        <v>0</v>
      </c>
      <c r="E272" s="302">
        <v>0</v>
      </c>
      <c r="F272" s="302">
        <v>0</v>
      </c>
      <c r="G272" s="302">
        <v>0</v>
      </c>
      <c r="H272" s="302">
        <v>0</v>
      </c>
      <c r="I272" s="302">
        <v>0</v>
      </c>
      <c r="J272" s="302">
        <v>0</v>
      </c>
      <c r="K272" s="302">
        <v>0</v>
      </c>
      <c r="L272" s="302">
        <v>0</v>
      </c>
      <c r="M272" s="302">
        <v>0</v>
      </c>
      <c r="N272" s="302">
        <v>0</v>
      </c>
      <c r="O272" s="302">
        <v>0</v>
      </c>
      <c r="P272" s="302">
        <v>0</v>
      </c>
      <c r="Q272" s="302">
        <v>0</v>
      </c>
      <c r="R272" s="302">
        <v>0</v>
      </c>
      <c r="S272" s="302">
        <v>0</v>
      </c>
      <c r="T272" s="302">
        <v>0</v>
      </c>
      <c r="U272" s="302">
        <v>0</v>
      </c>
      <c r="V272" s="302">
        <v>0</v>
      </c>
      <c r="W272" s="302">
        <v>0</v>
      </c>
      <c r="X272" s="295">
        <f t="shared" si="12"/>
        <v>0</v>
      </c>
      <c r="AJ272" s="276"/>
    </row>
    <row r="273" spans="1:36" ht="15" customHeight="1">
      <c r="A273" s="533"/>
      <c r="B273" s="347" t="s">
        <v>636</v>
      </c>
      <c r="C273" s="302">
        <v>0</v>
      </c>
      <c r="D273" s="302">
        <v>0</v>
      </c>
      <c r="E273" s="302">
        <v>0</v>
      </c>
      <c r="F273" s="302">
        <v>0</v>
      </c>
      <c r="G273" s="302">
        <v>0</v>
      </c>
      <c r="H273" s="302">
        <v>0</v>
      </c>
      <c r="I273" s="302">
        <v>0</v>
      </c>
      <c r="J273" s="302">
        <v>0</v>
      </c>
      <c r="K273" s="302">
        <v>0</v>
      </c>
      <c r="L273" s="302">
        <v>0</v>
      </c>
      <c r="M273" s="302">
        <v>0</v>
      </c>
      <c r="N273" s="302">
        <v>0</v>
      </c>
      <c r="O273" s="302">
        <v>0</v>
      </c>
      <c r="P273" s="302">
        <v>0</v>
      </c>
      <c r="Q273" s="302">
        <v>0</v>
      </c>
      <c r="R273" s="302">
        <v>0</v>
      </c>
      <c r="S273" s="302">
        <v>0</v>
      </c>
      <c r="T273" s="302">
        <v>0</v>
      </c>
      <c r="U273" s="302">
        <v>0</v>
      </c>
      <c r="V273" s="302">
        <v>0</v>
      </c>
      <c r="W273" s="302">
        <v>0</v>
      </c>
      <c r="X273" s="295">
        <f t="shared" si="12"/>
        <v>0</v>
      </c>
      <c r="AJ273" s="276"/>
    </row>
    <row r="274" spans="1:36" ht="15" customHeight="1">
      <c r="A274" s="533"/>
      <c r="B274" s="347" t="s">
        <v>637</v>
      </c>
      <c r="C274" s="302">
        <v>0</v>
      </c>
      <c r="D274" s="302">
        <v>0</v>
      </c>
      <c r="E274" s="302">
        <v>0</v>
      </c>
      <c r="F274" s="302">
        <v>0</v>
      </c>
      <c r="G274" s="302">
        <v>0</v>
      </c>
      <c r="H274" s="302">
        <v>0</v>
      </c>
      <c r="I274" s="302">
        <v>0</v>
      </c>
      <c r="J274" s="302">
        <v>0</v>
      </c>
      <c r="K274" s="302">
        <v>0</v>
      </c>
      <c r="L274" s="302">
        <v>0</v>
      </c>
      <c r="M274" s="302">
        <v>0</v>
      </c>
      <c r="N274" s="302">
        <v>0</v>
      </c>
      <c r="O274" s="302">
        <v>0</v>
      </c>
      <c r="P274" s="302">
        <v>0</v>
      </c>
      <c r="Q274" s="302">
        <v>0</v>
      </c>
      <c r="R274" s="302">
        <v>0</v>
      </c>
      <c r="S274" s="302">
        <v>0</v>
      </c>
      <c r="T274" s="302">
        <v>0</v>
      </c>
      <c r="U274" s="302">
        <v>0</v>
      </c>
      <c r="V274" s="302">
        <v>0</v>
      </c>
      <c r="W274" s="302">
        <v>0</v>
      </c>
      <c r="X274" s="295">
        <f t="shared" si="12"/>
        <v>0</v>
      </c>
      <c r="AJ274" s="276"/>
    </row>
    <row r="275" spans="1:36" ht="15" customHeight="1">
      <c r="A275" s="533"/>
      <c r="B275" s="347" t="s">
        <v>638</v>
      </c>
      <c r="C275" s="302">
        <v>0</v>
      </c>
      <c r="D275" s="302">
        <v>0</v>
      </c>
      <c r="E275" s="302">
        <v>0</v>
      </c>
      <c r="F275" s="302">
        <v>0</v>
      </c>
      <c r="G275" s="302">
        <v>0</v>
      </c>
      <c r="H275" s="302">
        <v>0</v>
      </c>
      <c r="I275" s="302">
        <v>0</v>
      </c>
      <c r="J275" s="302">
        <v>0</v>
      </c>
      <c r="K275" s="302">
        <v>0</v>
      </c>
      <c r="L275" s="302">
        <v>0</v>
      </c>
      <c r="M275" s="302">
        <v>0</v>
      </c>
      <c r="N275" s="302">
        <v>0</v>
      </c>
      <c r="O275" s="302">
        <v>0</v>
      </c>
      <c r="P275" s="302">
        <v>0</v>
      </c>
      <c r="Q275" s="302">
        <v>0</v>
      </c>
      <c r="R275" s="302">
        <v>0</v>
      </c>
      <c r="S275" s="302">
        <v>0</v>
      </c>
      <c r="T275" s="302">
        <v>0</v>
      </c>
      <c r="U275" s="302">
        <v>0</v>
      </c>
      <c r="V275" s="302">
        <v>0</v>
      </c>
      <c r="W275" s="302">
        <v>0</v>
      </c>
      <c r="X275" s="295">
        <f t="shared" si="12"/>
        <v>0</v>
      </c>
      <c r="AJ275" s="276"/>
    </row>
    <row r="276" spans="1:36" ht="15" customHeight="1">
      <c r="A276" s="533"/>
      <c r="B276" s="347" t="s">
        <v>639</v>
      </c>
      <c r="C276" s="302">
        <v>0</v>
      </c>
      <c r="D276" s="302">
        <v>0</v>
      </c>
      <c r="E276" s="302">
        <v>0</v>
      </c>
      <c r="F276" s="302">
        <v>0</v>
      </c>
      <c r="G276" s="302">
        <v>0</v>
      </c>
      <c r="H276" s="302">
        <v>0</v>
      </c>
      <c r="I276" s="302">
        <v>0</v>
      </c>
      <c r="J276" s="302">
        <v>0</v>
      </c>
      <c r="K276" s="302">
        <v>0</v>
      </c>
      <c r="L276" s="302">
        <v>0</v>
      </c>
      <c r="M276" s="302">
        <v>0</v>
      </c>
      <c r="N276" s="302">
        <v>0</v>
      </c>
      <c r="O276" s="302">
        <v>0</v>
      </c>
      <c r="P276" s="302">
        <v>0</v>
      </c>
      <c r="Q276" s="302">
        <v>0</v>
      </c>
      <c r="R276" s="302">
        <v>0</v>
      </c>
      <c r="S276" s="302">
        <v>0</v>
      </c>
      <c r="T276" s="302">
        <v>0</v>
      </c>
      <c r="U276" s="302">
        <v>0</v>
      </c>
      <c r="V276" s="302">
        <v>0</v>
      </c>
      <c r="W276" s="302">
        <v>0</v>
      </c>
      <c r="X276" s="295">
        <f t="shared" si="12"/>
        <v>0</v>
      </c>
      <c r="AJ276" s="276"/>
    </row>
    <row r="277" spans="1:36" ht="15" customHeight="1">
      <c r="A277" s="533"/>
      <c r="B277" s="347" t="s">
        <v>640</v>
      </c>
      <c r="C277" s="302">
        <v>0</v>
      </c>
      <c r="D277" s="302">
        <v>0</v>
      </c>
      <c r="E277" s="302">
        <v>0</v>
      </c>
      <c r="F277" s="302">
        <v>0</v>
      </c>
      <c r="G277" s="302">
        <v>0</v>
      </c>
      <c r="H277" s="302">
        <v>0</v>
      </c>
      <c r="I277" s="302">
        <v>0</v>
      </c>
      <c r="J277" s="302">
        <v>0</v>
      </c>
      <c r="K277" s="302">
        <v>0</v>
      </c>
      <c r="L277" s="302">
        <v>0</v>
      </c>
      <c r="M277" s="302">
        <v>0</v>
      </c>
      <c r="N277" s="302">
        <v>0</v>
      </c>
      <c r="O277" s="302">
        <v>0</v>
      </c>
      <c r="P277" s="302">
        <v>0</v>
      </c>
      <c r="Q277" s="302">
        <v>0</v>
      </c>
      <c r="R277" s="302">
        <v>0</v>
      </c>
      <c r="S277" s="302">
        <v>0</v>
      </c>
      <c r="T277" s="302">
        <v>0</v>
      </c>
      <c r="U277" s="302">
        <v>0</v>
      </c>
      <c r="V277" s="302">
        <v>0</v>
      </c>
      <c r="W277" s="302">
        <v>0</v>
      </c>
      <c r="X277" s="295">
        <f t="shared" si="12"/>
        <v>0</v>
      </c>
      <c r="AJ277" s="276"/>
    </row>
    <row r="278" spans="1:36" ht="15" customHeight="1">
      <c r="A278" s="533"/>
      <c r="B278" s="347" t="s">
        <v>641</v>
      </c>
      <c r="C278" s="302">
        <v>0</v>
      </c>
      <c r="D278" s="302">
        <v>0</v>
      </c>
      <c r="E278" s="302">
        <v>0</v>
      </c>
      <c r="F278" s="302">
        <v>0</v>
      </c>
      <c r="G278" s="302">
        <v>0</v>
      </c>
      <c r="H278" s="302">
        <v>0</v>
      </c>
      <c r="I278" s="302">
        <v>0</v>
      </c>
      <c r="J278" s="302">
        <v>0</v>
      </c>
      <c r="K278" s="302">
        <v>0</v>
      </c>
      <c r="L278" s="302">
        <v>0</v>
      </c>
      <c r="M278" s="302">
        <v>0</v>
      </c>
      <c r="N278" s="302">
        <v>0</v>
      </c>
      <c r="O278" s="302">
        <v>0</v>
      </c>
      <c r="P278" s="302">
        <v>0</v>
      </c>
      <c r="Q278" s="302">
        <v>0</v>
      </c>
      <c r="R278" s="302">
        <v>0</v>
      </c>
      <c r="S278" s="302">
        <v>0</v>
      </c>
      <c r="T278" s="302">
        <v>0</v>
      </c>
      <c r="U278" s="302">
        <v>0</v>
      </c>
      <c r="V278" s="302">
        <v>0</v>
      </c>
      <c r="W278" s="302">
        <v>0</v>
      </c>
      <c r="X278" s="295">
        <f t="shared" si="12"/>
        <v>0</v>
      </c>
      <c r="AJ278" s="276"/>
    </row>
    <row r="279" spans="1:36" ht="15" customHeight="1">
      <c r="A279" s="533"/>
      <c r="B279" s="347" t="s">
        <v>642</v>
      </c>
      <c r="C279" s="302">
        <v>0</v>
      </c>
      <c r="D279" s="302">
        <v>0</v>
      </c>
      <c r="E279" s="302">
        <v>0</v>
      </c>
      <c r="F279" s="302">
        <v>0</v>
      </c>
      <c r="G279" s="302">
        <v>0</v>
      </c>
      <c r="H279" s="302">
        <v>0</v>
      </c>
      <c r="I279" s="302">
        <v>0</v>
      </c>
      <c r="J279" s="302">
        <v>0</v>
      </c>
      <c r="K279" s="302">
        <v>0</v>
      </c>
      <c r="L279" s="302">
        <v>0</v>
      </c>
      <c r="M279" s="302">
        <v>0</v>
      </c>
      <c r="N279" s="302">
        <v>0</v>
      </c>
      <c r="O279" s="302">
        <v>0</v>
      </c>
      <c r="P279" s="302">
        <v>0</v>
      </c>
      <c r="Q279" s="302">
        <v>0</v>
      </c>
      <c r="R279" s="302">
        <v>0</v>
      </c>
      <c r="S279" s="302">
        <v>0</v>
      </c>
      <c r="T279" s="302">
        <v>0</v>
      </c>
      <c r="U279" s="302">
        <v>0</v>
      </c>
      <c r="V279" s="302">
        <v>0</v>
      </c>
      <c r="W279" s="302">
        <v>0</v>
      </c>
      <c r="X279" s="295">
        <f t="shared" si="12"/>
        <v>0</v>
      </c>
      <c r="AJ279" s="276"/>
    </row>
    <row r="280" spans="1:36" ht="15" customHeight="1">
      <c r="A280" s="533"/>
      <c r="B280" s="347" t="s">
        <v>643</v>
      </c>
      <c r="C280" s="302">
        <v>0</v>
      </c>
      <c r="D280" s="302">
        <v>0</v>
      </c>
      <c r="E280" s="302">
        <v>0</v>
      </c>
      <c r="F280" s="302">
        <v>0</v>
      </c>
      <c r="G280" s="302">
        <v>0</v>
      </c>
      <c r="H280" s="302">
        <v>0</v>
      </c>
      <c r="I280" s="302">
        <v>0</v>
      </c>
      <c r="J280" s="302">
        <v>0</v>
      </c>
      <c r="K280" s="302">
        <v>0</v>
      </c>
      <c r="L280" s="302">
        <v>0</v>
      </c>
      <c r="M280" s="302">
        <v>0</v>
      </c>
      <c r="N280" s="302">
        <v>0</v>
      </c>
      <c r="O280" s="302">
        <v>0</v>
      </c>
      <c r="P280" s="302">
        <v>0</v>
      </c>
      <c r="Q280" s="302">
        <v>0</v>
      </c>
      <c r="R280" s="302">
        <v>0</v>
      </c>
      <c r="S280" s="302">
        <v>0</v>
      </c>
      <c r="T280" s="302">
        <v>0</v>
      </c>
      <c r="U280" s="302">
        <v>0</v>
      </c>
      <c r="V280" s="302">
        <v>0</v>
      </c>
      <c r="W280" s="302">
        <v>0</v>
      </c>
      <c r="X280" s="295">
        <f t="shared" si="12"/>
        <v>0</v>
      </c>
      <c r="AJ280" s="276"/>
    </row>
    <row r="281" spans="1:36" ht="15" customHeight="1">
      <c r="A281" s="533"/>
      <c r="B281" s="347" t="s">
        <v>644</v>
      </c>
      <c r="C281" s="302">
        <v>0</v>
      </c>
      <c r="D281" s="302">
        <v>0</v>
      </c>
      <c r="E281" s="302">
        <v>0</v>
      </c>
      <c r="F281" s="302">
        <v>0</v>
      </c>
      <c r="G281" s="302">
        <v>0</v>
      </c>
      <c r="H281" s="302">
        <v>0</v>
      </c>
      <c r="I281" s="302">
        <v>0</v>
      </c>
      <c r="J281" s="302">
        <v>0</v>
      </c>
      <c r="K281" s="302">
        <v>0</v>
      </c>
      <c r="L281" s="302">
        <v>0</v>
      </c>
      <c r="M281" s="302">
        <v>0</v>
      </c>
      <c r="N281" s="302">
        <v>0</v>
      </c>
      <c r="O281" s="302">
        <v>0</v>
      </c>
      <c r="P281" s="302">
        <v>0</v>
      </c>
      <c r="Q281" s="302">
        <v>0</v>
      </c>
      <c r="R281" s="302">
        <v>0</v>
      </c>
      <c r="S281" s="302">
        <v>0</v>
      </c>
      <c r="T281" s="302">
        <v>0</v>
      </c>
      <c r="U281" s="302">
        <v>0</v>
      </c>
      <c r="V281" s="302">
        <v>0</v>
      </c>
      <c r="W281" s="302">
        <v>0</v>
      </c>
      <c r="X281" s="295">
        <f t="shared" si="12"/>
        <v>0</v>
      </c>
      <c r="AJ281" s="276"/>
    </row>
    <row r="282" spans="1:36" ht="15" customHeight="1">
      <c r="A282" s="533"/>
      <c r="B282" s="347" t="s">
        <v>645</v>
      </c>
      <c r="C282" s="302">
        <v>0</v>
      </c>
      <c r="D282" s="302">
        <v>0</v>
      </c>
      <c r="E282" s="302">
        <v>0</v>
      </c>
      <c r="F282" s="302">
        <v>0</v>
      </c>
      <c r="G282" s="302">
        <v>0</v>
      </c>
      <c r="H282" s="302">
        <v>0</v>
      </c>
      <c r="I282" s="302">
        <v>0</v>
      </c>
      <c r="J282" s="302">
        <v>0</v>
      </c>
      <c r="K282" s="302">
        <v>0</v>
      </c>
      <c r="L282" s="302">
        <v>0</v>
      </c>
      <c r="M282" s="302">
        <v>0</v>
      </c>
      <c r="N282" s="302">
        <v>0</v>
      </c>
      <c r="O282" s="302">
        <v>0</v>
      </c>
      <c r="P282" s="302">
        <v>0</v>
      </c>
      <c r="Q282" s="302">
        <v>0</v>
      </c>
      <c r="R282" s="302">
        <v>0</v>
      </c>
      <c r="S282" s="302">
        <v>0</v>
      </c>
      <c r="T282" s="302">
        <v>0</v>
      </c>
      <c r="U282" s="302">
        <v>0</v>
      </c>
      <c r="V282" s="302">
        <v>0</v>
      </c>
      <c r="W282" s="302">
        <v>0</v>
      </c>
      <c r="X282" s="295">
        <f t="shared" si="12"/>
        <v>0</v>
      </c>
      <c r="AJ282" s="276"/>
    </row>
    <row r="283" spans="1:36" ht="15" customHeight="1">
      <c r="A283" s="533"/>
      <c r="B283" s="347" t="s">
        <v>646</v>
      </c>
      <c r="C283" s="302">
        <v>0</v>
      </c>
      <c r="D283" s="302">
        <v>0</v>
      </c>
      <c r="E283" s="302">
        <v>0</v>
      </c>
      <c r="F283" s="302">
        <v>0</v>
      </c>
      <c r="G283" s="302">
        <v>0</v>
      </c>
      <c r="H283" s="302">
        <v>0</v>
      </c>
      <c r="I283" s="302">
        <v>0</v>
      </c>
      <c r="J283" s="302">
        <v>0</v>
      </c>
      <c r="K283" s="302">
        <v>0</v>
      </c>
      <c r="L283" s="302">
        <v>0</v>
      </c>
      <c r="M283" s="302">
        <v>0</v>
      </c>
      <c r="N283" s="302">
        <v>0</v>
      </c>
      <c r="O283" s="302">
        <v>0</v>
      </c>
      <c r="P283" s="302">
        <v>0</v>
      </c>
      <c r="Q283" s="302">
        <v>0</v>
      </c>
      <c r="R283" s="302">
        <v>0</v>
      </c>
      <c r="S283" s="302">
        <v>0</v>
      </c>
      <c r="T283" s="302">
        <v>0</v>
      </c>
      <c r="U283" s="302">
        <v>0</v>
      </c>
      <c r="V283" s="302">
        <v>0</v>
      </c>
      <c r="W283" s="302">
        <v>0</v>
      </c>
      <c r="X283" s="295">
        <f t="shared" si="12"/>
        <v>0</v>
      </c>
      <c r="AJ283" s="276"/>
    </row>
    <row r="284" spans="1:36" ht="15" customHeight="1">
      <c r="A284" s="533"/>
      <c r="B284" s="347" t="s">
        <v>647</v>
      </c>
      <c r="C284" s="302">
        <v>0</v>
      </c>
      <c r="D284" s="302">
        <v>0</v>
      </c>
      <c r="E284" s="302">
        <v>0</v>
      </c>
      <c r="F284" s="302">
        <v>0</v>
      </c>
      <c r="G284" s="302">
        <v>0</v>
      </c>
      <c r="H284" s="302">
        <v>0</v>
      </c>
      <c r="I284" s="302">
        <v>0</v>
      </c>
      <c r="J284" s="302">
        <v>0</v>
      </c>
      <c r="K284" s="302">
        <v>0</v>
      </c>
      <c r="L284" s="302">
        <v>0</v>
      </c>
      <c r="M284" s="302">
        <v>0</v>
      </c>
      <c r="N284" s="302">
        <v>0</v>
      </c>
      <c r="O284" s="302">
        <v>0</v>
      </c>
      <c r="P284" s="302">
        <v>0</v>
      </c>
      <c r="Q284" s="302">
        <v>0</v>
      </c>
      <c r="R284" s="302">
        <v>0</v>
      </c>
      <c r="S284" s="302">
        <v>0</v>
      </c>
      <c r="T284" s="302">
        <v>0</v>
      </c>
      <c r="U284" s="302">
        <v>0</v>
      </c>
      <c r="V284" s="302">
        <v>0</v>
      </c>
      <c r="W284" s="302">
        <v>0</v>
      </c>
      <c r="X284" s="295">
        <f t="shared" si="12"/>
        <v>0</v>
      </c>
      <c r="AJ284" s="276"/>
    </row>
    <row r="285" spans="1:36" ht="15" customHeight="1">
      <c r="A285" s="533"/>
      <c r="B285" s="347" t="s">
        <v>927</v>
      </c>
      <c r="C285" s="302">
        <v>0</v>
      </c>
      <c r="D285" s="302">
        <v>0</v>
      </c>
      <c r="E285" s="302">
        <v>0</v>
      </c>
      <c r="F285" s="302">
        <v>0</v>
      </c>
      <c r="G285" s="302">
        <v>0</v>
      </c>
      <c r="H285" s="302">
        <v>0</v>
      </c>
      <c r="I285" s="302">
        <v>0</v>
      </c>
      <c r="J285" s="302">
        <v>0</v>
      </c>
      <c r="K285" s="302">
        <v>0</v>
      </c>
      <c r="L285" s="302">
        <v>0</v>
      </c>
      <c r="M285" s="302">
        <v>0</v>
      </c>
      <c r="N285" s="302">
        <v>0</v>
      </c>
      <c r="O285" s="302">
        <v>0</v>
      </c>
      <c r="P285" s="302">
        <v>0</v>
      </c>
      <c r="Q285" s="302">
        <v>0</v>
      </c>
      <c r="R285" s="302">
        <v>0</v>
      </c>
      <c r="S285" s="302">
        <v>0</v>
      </c>
      <c r="T285" s="302">
        <v>0</v>
      </c>
      <c r="U285" s="302">
        <v>0</v>
      </c>
      <c r="V285" s="302">
        <v>0</v>
      </c>
      <c r="W285" s="302">
        <v>0</v>
      </c>
      <c r="X285" s="295">
        <f t="shared" si="12"/>
        <v>0</v>
      </c>
      <c r="AJ285" s="276"/>
    </row>
    <row r="286" spans="1:36" ht="15" customHeight="1">
      <c r="A286" s="533"/>
      <c r="B286" s="347" t="s">
        <v>928</v>
      </c>
      <c r="C286" s="302">
        <v>0</v>
      </c>
      <c r="D286" s="302">
        <v>0</v>
      </c>
      <c r="E286" s="302">
        <v>0</v>
      </c>
      <c r="F286" s="302">
        <v>0</v>
      </c>
      <c r="G286" s="302">
        <v>0</v>
      </c>
      <c r="H286" s="302">
        <v>0</v>
      </c>
      <c r="I286" s="302">
        <v>0</v>
      </c>
      <c r="J286" s="302">
        <v>0</v>
      </c>
      <c r="K286" s="302">
        <v>0</v>
      </c>
      <c r="L286" s="302">
        <v>0</v>
      </c>
      <c r="M286" s="302">
        <v>0</v>
      </c>
      <c r="N286" s="302">
        <v>0</v>
      </c>
      <c r="O286" s="302">
        <v>0</v>
      </c>
      <c r="P286" s="302">
        <v>0</v>
      </c>
      <c r="Q286" s="302">
        <v>0</v>
      </c>
      <c r="R286" s="302">
        <v>0</v>
      </c>
      <c r="S286" s="302">
        <v>0</v>
      </c>
      <c r="T286" s="302">
        <v>0</v>
      </c>
      <c r="U286" s="302">
        <v>0</v>
      </c>
      <c r="V286" s="302">
        <v>0</v>
      </c>
      <c r="W286" s="302">
        <v>0</v>
      </c>
      <c r="X286" s="295">
        <f t="shared" si="12"/>
        <v>0</v>
      </c>
      <c r="AJ286" s="276"/>
    </row>
    <row r="287" spans="1:36" ht="15" customHeight="1">
      <c r="A287" s="533"/>
      <c r="B287" s="347" t="s">
        <v>929</v>
      </c>
      <c r="C287" s="302">
        <v>0</v>
      </c>
      <c r="D287" s="302">
        <v>0</v>
      </c>
      <c r="E287" s="302">
        <v>0</v>
      </c>
      <c r="F287" s="302">
        <v>0</v>
      </c>
      <c r="G287" s="302">
        <v>0</v>
      </c>
      <c r="H287" s="302">
        <v>0</v>
      </c>
      <c r="I287" s="302">
        <v>0</v>
      </c>
      <c r="J287" s="302">
        <v>0</v>
      </c>
      <c r="K287" s="302">
        <v>0</v>
      </c>
      <c r="L287" s="302">
        <v>0</v>
      </c>
      <c r="M287" s="302">
        <v>0</v>
      </c>
      <c r="N287" s="302">
        <v>0</v>
      </c>
      <c r="O287" s="302">
        <v>0</v>
      </c>
      <c r="P287" s="302">
        <v>0</v>
      </c>
      <c r="Q287" s="302">
        <v>0</v>
      </c>
      <c r="R287" s="302">
        <v>0</v>
      </c>
      <c r="S287" s="302">
        <v>0</v>
      </c>
      <c r="T287" s="302">
        <v>0</v>
      </c>
      <c r="U287" s="302">
        <v>0</v>
      </c>
      <c r="V287" s="302">
        <v>0</v>
      </c>
      <c r="W287" s="302">
        <v>0</v>
      </c>
      <c r="X287" s="295">
        <f t="shared" si="12"/>
        <v>0</v>
      </c>
      <c r="AJ287" s="276"/>
    </row>
    <row r="288" spans="1:36" ht="15" customHeight="1">
      <c r="A288" s="533"/>
      <c r="B288" s="347" t="s">
        <v>930</v>
      </c>
      <c r="C288" s="302">
        <v>0</v>
      </c>
      <c r="D288" s="302">
        <v>0</v>
      </c>
      <c r="E288" s="302">
        <v>0</v>
      </c>
      <c r="F288" s="302">
        <v>0</v>
      </c>
      <c r="G288" s="302">
        <v>0</v>
      </c>
      <c r="H288" s="302">
        <v>0</v>
      </c>
      <c r="I288" s="302">
        <v>0</v>
      </c>
      <c r="J288" s="302">
        <v>0</v>
      </c>
      <c r="K288" s="302">
        <v>0</v>
      </c>
      <c r="L288" s="302">
        <v>0</v>
      </c>
      <c r="M288" s="302">
        <v>0</v>
      </c>
      <c r="N288" s="302">
        <v>0</v>
      </c>
      <c r="O288" s="302">
        <v>0</v>
      </c>
      <c r="P288" s="302">
        <v>0</v>
      </c>
      <c r="Q288" s="302">
        <v>0</v>
      </c>
      <c r="R288" s="302">
        <v>0</v>
      </c>
      <c r="S288" s="302">
        <v>0</v>
      </c>
      <c r="T288" s="302">
        <v>0</v>
      </c>
      <c r="U288" s="302">
        <v>0</v>
      </c>
      <c r="V288" s="302">
        <v>0</v>
      </c>
      <c r="W288" s="302">
        <v>0</v>
      </c>
      <c r="X288" s="295">
        <f t="shared" si="12"/>
        <v>0</v>
      </c>
      <c r="AJ288" s="276"/>
    </row>
    <row r="289" spans="1:36" ht="15" customHeight="1">
      <c r="A289" s="533"/>
      <c r="B289" s="347" t="s">
        <v>931</v>
      </c>
      <c r="C289" s="302">
        <v>0</v>
      </c>
      <c r="D289" s="302">
        <v>0</v>
      </c>
      <c r="E289" s="302">
        <v>0</v>
      </c>
      <c r="F289" s="302">
        <v>0</v>
      </c>
      <c r="G289" s="302">
        <v>0</v>
      </c>
      <c r="H289" s="302">
        <v>0</v>
      </c>
      <c r="I289" s="302">
        <v>0</v>
      </c>
      <c r="J289" s="302">
        <v>0</v>
      </c>
      <c r="K289" s="302">
        <v>0</v>
      </c>
      <c r="L289" s="302">
        <v>0</v>
      </c>
      <c r="M289" s="302">
        <v>0</v>
      </c>
      <c r="N289" s="302">
        <v>0</v>
      </c>
      <c r="O289" s="302">
        <v>0</v>
      </c>
      <c r="P289" s="302">
        <v>0</v>
      </c>
      <c r="Q289" s="302">
        <v>0</v>
      </c>
      <c r="R289" s="302">
        <v>0</v>
      </c>
      <c r="S289" s="302">
        <v>0</v>
      </c>
      <c r="T289" s="302">
        <v>0</v>
      </c>
      <c r="U289" s="302">
        <v>0</v>
      </c>
      <c r="V289" s="302">
        <v>0</v>
      </c>
      <c r="W289" s="302">
        <v>0</v>
      </c>
      <c r="X289" s="295">
        <f t="shared" si="12"/>
        <v>0</v>
      </c>
      <c r="AJ289" s="276"/>
    </row>
    <row r="290" spans="1:36" ht="15" customHeight="1" thickBot="1">
      <c r="A290" s="533"/>
      <c r="B290" s="347" t="s">
        <v>932</v>
      </c>
      <c r="C290" s="302">
        <v>0</v>
      </c>
      <c r="D290" s="302">
        <v>0</v>
      </c>
      <c r="E290" s="302">
        <v>0</v>
      </c>
      <c r="F290" s="302">
        <v>0</v>
      </c>
      <c r="G290" s="302">
        <v>0</v>
      </c>
      <c r="H290" s="302">
        <v>0</v>
      </c>
      <c r="I290" s="302">
        <v>0</v>
      </c>
      <c r="J290" s="302">
        <v>0</v>
      </c>
      <c r="K290" s="302">
        <v>0</v>
      </c>
      <c r="L290" s="302">
        <v>0</v>
      </c>
      <c r="M290" s="302">
        <v>0</v>
      </c>
      <c r="N290" s="302">
        <v>0</v>
      </c>
      <c r="O290" s="302">
        <v>0</v>
      </c>
      <c r="P290" s="302">
        <v>0</v>
      </c>
      <c r="Q290" s="302">
        <v>0</v>
      </c>
      <c r="R290" s="302">
        <v>0</v>
      </c>
      <c r="S290" s="302">
        <v>0</v>
      </c>
      <c r="T290" s="302">
        <v>0</v>
      </c>
      <c r="U290" s="302">
        <v>0</v>
      </c>
      <c r="V290" s="302">
        <v>0</v>
      </c>
      <c r="W290" s="302">
        <v>0</v>
      </c>
      <c r="X290" s="295">
        <f t="shared" si="12"/>
        <v>0</v>
      </c>
      <c r="AJ290" s="276"/>
    </row>
    <row r="291" spans="1:36" ht="15" customHeight="1">
      <c r="A291" s="532" t="s">
        <v>934</v>
      </c>
      <c r="B291" s="347" t="s">
        <v>631</v>
      </c>
      <c r="C291" s="302">
        <v>0</v>
      </c>
      <c r="D291" s="302">
        <v>0</v>
      </c>
      <c r="E291" s="302">
        <v>0</v>
      </c>
      <c r="F291" s="302">
        <v>0</v>
      </c>
      <c r="G291" s="302">
        <v>0</v>
      </c>
      <c r="H291" s="302">
        <v>0</v>
      </c>
      <c r="I291" s="302">
        <v>0</v>
      </c>
      <c r="J291" s="302">
        <v>0</v>
      </c>
      <c r="K291" s="302">
        <v>0</v>
      </c>
      <c r="L291" s="302">
        <v>0</v>
      </c>
      <c r="M291" s="302">
        <v>0</v>
      </c>
      <c r="N291" s="302">
        <v>0</v>
      </c>
      <c r="O291" s="302">
        <v>0</v>
      </c>
      <c r="P291" s="302">
        <v>0</v>
      </c>
      <c r="Q291" s="302">
        <v>0</v>
      </c>
      <c r="R291" s="302">
        <v>0</v>
      </c>
      <c r="S291" s="302">
        <v>0</v>
      </c>
      <c r="T291" s="302">
        <v>0</v>
      </c>
      <c r="U291" s="302">
        <v>0</v>
      </c>
      <c r="V291" s="302">
        <v>0</v>
      </c>
      <c r="W291" s="302">
        <v>0</v>
      </c>
      <c r="X291" s="295">
        <f t="shared" si="12"/>
        <v>0</v>
      </c>
      <c r="AJ291" s="276"/>
    </row>
    <row r="292" spans="1:36" ht="15" customHeight="1">
      <c r="A292" s="533"/>
      <c r="B292" s="347" t="s">
        <v>632</v>
      </c>
      <c r="C292" s="302">
        <v>0</v>
      </c>
      <c r="D292" s="302">
        <v>0</v>
      </c>
      <c r="E292" s="302">
        <v>0</v>
      </c>
      <c r="F292" s="302">
        <v>0</v>
      </c>
      <c r="G292" s="302">
        <v>0</v>
      </c>
      <c r="H292" s="302">
        <v>0</v>
      </c>
      <c r="I292" s="302">
        <v>0</v>
      </c>
      <c r="J292" s="302">
        <v>0</v>
      </c>
      <c r="K292" s="302">
        <v>0</v>
      </c>
      <c r="L292" s="302">
        <v>0</v>
      </c>
      <c r="M292" s="302">
        <v>0</v>
      </c>
      <c r="N292" s="302">
        <v>0</v>
      </c>
      <c r="O292" s="302">
        <v>0</v>
      </c>
      <c r="P292" s="302">
        <v>0</v>
      </c>
      <c r="Q292" s="302">
        <v>0</v>
      </c>
      <c r="R292" s="302">
        <v>0</v>
      </c>
      <c r="S292" s="302">
        <v>0</v>
      </c>
      <c r="T292" s="302">
        <v>0</v>
      </c>
      <c r="U292" s="302">
        <v>0</v>
      </c>
      <c r="V292" s="302">
        <v>0</v>
      </c>
      <c r="W292" s="302">
        <v>0</v>
      </c>
      <c r="X292" s="295">
        <f t="shared" si="12"/>
        <v>0</v>
      </c>
      <c r="AJ292" s="276"/>
    </row>
    <row r="293" spans="1:36" ht="15" customHeight="1">
      <c r="A293" s="533"/>
      <c r="B293" s="347" t="s">
        <v>633</v>
      </c>
      <c r="C293" s="302">
        <v>0</v>
      </c>
      <c r="D293" s="302">
        <v>0</v>
      </c>
      <c r="E293" s="302">
        <v>0</v>
      </c>
      <c r="F293" s="302">
        <v>0</v>
      </c>
      <c r="G293" s="302">
        <v>0</v>
      </c>
      <c r="H293" s="302">
        <v>0</v>
      </c>
      <c r="I293" s="302">
        <v>0</v>
      </c>
      <c r="J293" s="302">
        <v>0</v>
      </c>
      <c r="K293" s="302">
        <v>0</v>
      </c>
      <c r="L293" s="302">
        <v>0</v>
      </c>
      <c r="M293" s="302">
        <v>0</v>
      </c>
      <c r="N293" s="302">
        <v>0</v>
      </c>
      <c r="O293" s="302">
        <v>0</v>
      </c>
      <c r="P293" s="302">
        <v>0</v>
      </c>
      <c r="Q293" s="302">
        <v>0</v>
      </c>
      <c r="R293" s="302">
        <v>0</v>
      </c>
      <c r="S293" s="302">
        <v>0</v>
      </c>
      <c r="T293" s="302">
        <v>0</v>
      </c>
      <c r="U293" s="302">
        <v>0</v>
      </c>
      <c r="V293" s="302">
        <v>0</v>
      </c>
      <c r="W293" s="302">
        <v>0</v>
      </c>
      <c r="X293" s="295">
        <f t="shared" si="12"/>
        <v>0</v>
      </c>
      <c r="AJ293" s="276"/>
    </row>
    <row r="294" spans="1:36" ht="15" customHeight="1">
      <c r="A294" s="533"/>
      <c r="B294" s="347" t="s">
        <v>634</v>
      </c>
      <c r="C294" s="302">
        <v>0</v>
      </c>
      <c r="D294" s="302">
        <v>0</v>
      </c>
      <c r="E294" s="302">
        <v>0</v>
      </c>
      <c r="F294" s="302">
        <v>0</v>
      </c>
      <c r="G294" s="302">
        <v>0</v>
      </c>
      <c r="H294" s="302">
        <v>0</v>
      </c>
      <c r="I294" s="302">
        <v>0</v>
      </c>
      <c r="J294" s="302">
        <v>0</v>
      </c>
      <c r="K294" s="302">
        <v>0</v>
      </c>
      <c r="L294" s="302">
        <v>0</v>
      </c>
      <c r="M294" s="302">
        <v>0</v>
      </c>
      <c r="N294" s="302">
        <v>0</v>
      </c>
      <c r="O294" s="302">
        <v>0</v>
      </c>
      <c r="P294" s="302">
        <v>0</v>
      </c>
      <c r="Q294" s="302">
        <v>0</v>
      </c>
      <c r="R294" s="302">
        <v>0</v>
      </c>
      <c r="S294" s="302">
        <v>0</v>
      </c>
      <c r="T294" s="302">
        <v>0</v>
      </c>
      <c r="U294" s="302">
        <v>0</v>
      </c>
      <c r="V294" s="302">
        <v>0</v>
      </c>
      <c r="W294" s="302">
        <v>0</v>
      </c>
      <c r="X294" s="295">
        <f t="shared" si="12"/>
        <v>0</v>
      </c>
      <c r="AJ294" s="276"/>
    </row>
    <row r="295" spans="1:36" ht="15" customHeight="1">
      <c r="A295" s="533"/>
      <c r="B295" s="347" t="s">
        <v>635</v>
      </c>
      <c r="C295" s="302">
        <v>0</v>
      </c>
      <c r="D295" s="302">
        <v>0</v>
      </c>
      <c r="E295" s="302">
        <v>0</v>
      </c>
      <c r="F295" s="302">
        <v>0</v>
      </c>
      <c r="G295" s="302">
        <v>0</v>
      </c>
      <c r="H295" s="302">
        <v>0</v>
      </c>
      <c r="I295" s="302">
        <v>0</v>
      </c>
      <c r="J295" s="302">
        <v>0</v>
      </c>
      <c r="K295" s="302">
        <v>0</v>
      </c>
      <c r="L295" s="302">
        <v>0</v>
      </c>
      <c r="M295" s="302">
        <v>0</v>
      </c>
      <c r="N295" s="302">
        <v>0</v>
      </c>
      <c r="O295" s="302">
        <v>0</v>
      </c>
      <c r="P295" s="302">
        <v>0</v>
      </c>
      <c r="Q295" s="302">
        <v>0</v>
      </c>
      <c r="R295" s="302">
        <v>0</v>
      </c>
      <c r="S295" s="302">
        <v>0</v>
      </c>
      <c r="T295" s="302">
        <v>0</v>
      </c>
      <c r="U295" s="302">
        <v>0</v>
      </c>
      <c r="V295" s="302">
        <v>0</v>
      </c>
      <c r="W295" s="302">
        <v>0</v>
      </c>
      <c r="X295" s="295">
        <f t="shared" si="12"/>
        <v>0</v>
      </c>
      <c r="AJ295" s="276"/>
    </row>
    <row r="296" spans="1:36" ht="15" customHeight="1">
      <c r="A296" s="533"/>
      <c r="B296" s="347" t="s">
        <v>636</v>
      </c>
      <c r="C296" s="302">
        <v>0</v>
      </c>
      <c r="D296" s="302">
        <v>0</v>
      </c>
      <c r="E296" s="302">
        <v>0</v>
      </c>
      <c r="F296" s="302">
        <v>0</v>
      </c>
      <c r="G296" s="302">
        <v>0</v>
      </c>
      <c r="H296" s="302">
        <v>0</v>
      </c>
      <c r="I296" s="302">
        <v>0</v>
      </c>
      <c r="J296" s="302">
        <v>0</v>
      </c>
      <c r="K296" s="302">
        <v>0</v>
      </c>
      <c r="L296" s="302">
        <v>0</v>
      </c>
      <c r="M296" s="302">
        <v>0</v>
      </c>
      <c r="N296" s="302">
        <v>0</v>
      </c>
      <c r="O296" s="302">
        <v>0</v>
      </c>
      <c r="P296" s="302">
        <v>0</v>
      </c>
      <c r="Q296" s="302">
        <v>0</v>
      </c>
      <c r="R296" s="302">
        <v>0</v>
      </c>
      <c r="S296" s="302">
        <v>0</v>
      </c>
      <c r="T296" s="302">
        <v>0</v>
      </c>
      <c r="U296" s="302">
        <v>0</v>
      </c>
      <c r="V296" s="302">
        <v>0</v>
      </c>
      <c r="W296" s="302">
        <v>0</v>
      </c>
      <c r="X296" s="295">
        <f t="shared" si="12"/>
        <v>0</v>
      </c>
      <c r="AJ296" s="276"/>
    </row>
    <row r="297" spans="1:36" ht="15" customHeight="1">
      <c r="A297" s="533"/>
      <c r="B297" s="347" t="s">
        <v>637</v>
      </c>
      <c r="C297" s="302">
        <v>0</v>
      </c>
      <c r="D297" s="302">
        <v>0</v>
      </c>
      <c r="E297" s="302">
        <v>0</v>
      </c>
      <c r="F297" s="302">
        <v>0</v>
      </c>
      <c r="G297" s="302">
        <v>0</v>
      </c>
      <c r="H297" s="302">
        <v>0</v>
      </c>
      <c r="I297" s="302">
        <v>0</v>
      </c>
      <c r="J297" s="302">
        <v>0</v>
      </c>
      <c r="K297" s="302">
        <v>0</v>
      </c>
      <c r="L297" s="302">
        <v>0</v>
      </c>
      <c r="M297" s="302">
        <v>0</v>
      </c>
      <c r="N297" s="302">
        <v>0</v>
      </c>
      <c r="O297" s="302">
        <v>0</v>
      </c>
      <c r="P297" s="302">
        <v>0</v>
      </c>
      <c r="Q297" s="302">
        <v>0</v>
      </c>
      <c r="R297" s="302">
        <v>0</v>
      </c>
      <c r="S297" s="302">
        <v>0</v>
      </c>
      <c r="T297" s="302">
        <v>0</v>
      </c>
      <c r="U297" s="302">
        <v>0</v>
      </c>
      <c r="V297" s="302">
        <v>0</v>
      </c>
      <c r="W297" s="302">
        <v>0</v>
      </c>
      <c r="X297" s="295">
        <f t="shared" si="12"/>
        <v>0</v>
      </c>
      <c r="AJ297" s="276"/>
    </row>
    <row r="298" spans="1:36" ht="15" customHeight="1">
      <c r="A298" s="533"/>
      <c r="B298" s="347" t="s">
        <v>638</v>
      </c>
      <c r="C298" s="302">
        <v>0</v>
      </c>
      <c r="D298" s="302">
        <v>0</v>
      </c>
      <c r="E298" s="302">
        <v>0</v>
      </c>
      <c r="F298" s="302">
        <v>0</v>
      </c>
      <c r="G298" s="302">
        <v>0</v>
      </c>
      <c r="H298" s="302">
        <v>0</v>
      </c>
      <c r="I298" s="302">
        <v>0</v>
      </c>
      <c r="J298" s="302">
        <v>0</v>
      </c>
      <c r="K298" s="302">
        <v>0</v>
      </c>
      <c r="L298" s="302">
        <v>0</v>
      </c>
      <c r="M298" s="302">
        <v>0</v>
      </c>
      <c r="N298" s="302">
        <v>0</v>
      </c>
      <c r="O298" s="302">
        <v>0</v>
      </c>
      <c r="P298" s="302">
        <v>0</v>
      </c>
      <c r="Q298" s="302">
        <v>0</v>
      </c>
      <c r="R298" s="302">
        <v>0</v>
      </c>
      <c r="S298" s="302">
        <v>0</v>
      </c>
      <c r="T298" s="302">
        <v>0</v>
      </c>
      <c r="U298" s="302">
        <v>0</v>
      </c>
      <c r="V298" s="302">
        <v>0</v>
      </c>
      <c r="W298" s="302">
        <v>0</v>
      </c>
      <c r="X298" s="295">
        <f t="shared" si="12"/>
        <v>0</v>
      </c>
      <c r="AJ298" s="276"/>
    </row>
    <row r="299" spans="1:36" ht="15" customHeight="1">
      <c r="A299" s="533"/>
      <c r="B299" s="347" t="s">
        <v>639</v>
      </c>
      <c r="C299" s="302">
        <v>0</v>
      </c>
      <c r="D299" s="302">
        <v>0</v>
      </c>
      <c r="E299" s="302">
        <v>0</v>
      </c>
      <c r="F299" s="302">
        <v>0</v>
      </c>
      <c r="G299" s="302">
        <v>0</v>
      </c>
      <c r="H299" s="302">
        <v>0</v>
      </c>
      <c r="I299" s="302">
        <v>0</v>
      </c>
      <c r="J299" s="302">
        <v>0</v>
      </c>
      <c r="K299" s="302">
        <v>0</v>
      </c>
      <c r="L299" s="302">
        <v>0</v>
      </c>
      <c r="M299" s="302">
        <v>0</v>
      </c>
      <c r="N299" s="302">
        <v>0</v>
      </c>
      <c r="O299" s="302">
        <v>0</v>
      </c>
      <c r="P299" s="302">
        <v>0</v>
      </c>
      <c r="Q299" s="302">
        <v>0</v>
      </c>
      <c r="R299" s="302">
        <v>0</v>
      </c>
      <c r="S299" s="302">
        <v>0</v>
      </c>
      <c r="T299" s="302">
        <v>0</v>
      </c>
      <c r="U299" s="302">
        <v>0</v>
      </c>
      <c r="V299" s="302">
        <v>0</v>
      </c>
      <c r="W299" s="302">
        <v>0</v>
      </c>
      <c r="X299" s="295">
        <f t="shared" si="12"/>
        <v>0</v>
      </c>
      <c r="AJ299" s="276"/>
    </row>
    <row r="300" spans="1:36" ht="15" customHeight="1">
      <c r="A300" s="533"/>
      <c r="B300" s="347" t="s">
        <v>640</v>
      </c>
      <c r="C300" s="302">
        <v>0</v>
      </c>
      <c r="D300" s="302">
        <v>0</v>
      </c>
      <c r="E300" s="302">
        <v>0</v>
      </c>
      <c r="F300" s="302">
        <v>0</v>
      </c>
      <c r="G300" s="302">
        <v>0</v>
      </c>
      <c r="H300" s="302">
        <v>0</v>
      </c>
      <c r="I300" s="302">
        <v>0</v>
      </c>
      <c r="J300" s="302">
        <v>0</v>
      </c>
      <c r="K300" s="302">
        <v>0</v>
      </c>
      <c r="L300" s="302">
        <v>0</v>
      </c>
      <c r="M300" s="302">
        <v>0</v>
      </c>
      <c r="N300" s="302">
        <v>0</v>
      </c>
      <c r="O300" s="302">
        <v>0</v>
      </c>
      <c r="P300" s="302">
        <v>0</v>
      </c>
      <c r="Q300" s="302">
        <v>0</v>
      </c>
      <c r="R300" s="302">
        <v>0</v>
      </c>
      <c r="S300" s="302">
        <v>0</v>
      </c>
      <c r="T300" s="302">
        <v>0</v>
      </c>
      <c r="U300" s="302">
        <v>0</v>
      </c>
      <c r="V300" s="302">
        <v>0</v>
      </c>
      <c r="W300" s="302">
        <v>0</v>
      </c>
      <c r="X300" s="295">
        <f t="shared" si="12"/>
        <v>0</v>
      </c>
      <c r="AJ300" s="276"/>
    </row>
    <row r="301" spans="1:36" ht="15" customHeight="1">
      <c r="A301" s="533"/>
      <c r="B301" s="347" t="s">
        <v>641</v>
      </c>
      <c r="C301" s="302">
        <v>0</v>
      </c>
      <c r="D301" s="302">
        <v>0</v>
      </c>
      <c r="E301" s="302">
        <v>0</v>
      </c>
      <c r="F301" s="302">
        <v>0</v>
      </c>
      <c r="G301" s="302">
        <v>0</v>
      </c>
      <c r="H301" s="302">
        <v>0</v>
      </c>
      <c r="I301" s="302">
        <v>0</v>
      </c>
      <c r="J301" s="302">
        <v>0</v>
      </c>
      <c r="K301" s="302">
        <v>0</v>
      </c>
      <c r="L301" s="302">
        <v>0</v>
      </c>
      <c r="M301" s="302">
        <v>0</v>
      </c>
      <c r="N301" s="302">
        <v>0</v>
      </c>
      <c r="O301" s="302">
        <v>0</v>
      </c>
      <c r="P301" s="302">
        <v>0</v>
      </c>
      <c r="Q301" s="302">
        <v>0</v>
      </c>
      <c r="R301" s="302">
        <v>0</v>
      </c>
      <c r="S301" s="302">
        <v>0</v>
      </c>
      <c r="T301" s="302">
        <v>0</v>
      </c>
      <c r="U301" s="302">
        <v>0</v>
      </c>
      <c r="V301" s="302">
        <v>0</v>
      </c>
      <c r="W301" s="302">
        <v>0</v>
      </c>
      <c r="X301" s="295">
        <f t="shared" si="12"/>
        <v>0</v>
      </c>
      <c r="AJ301" s="276"/>
    </row>
    <row r="302" spans="1:36" ht="15" customHeight="1">
      <c r="A302" s="533"/>
      <c r="B302" s="347" t="s">
        <v>642</v>
      </c>
      <c r="C302" s="302">
        <v>0</v>
      </c>
      <c r="D302" s="302">
        <v>0</v>
      </c>
      <c r="E302" s="302">
        <v>0</v>
      </c>
      <c r="F302" s="302">
        <v>0</v>
      </c>
      <c r="G302" s="302">
        <v>0</v>
      </c>
      <c r="H302" s="302">
        <v>0</v>
      </c>
      <c r="I302" s="302">
        <v>0</v>
      </c>
      <c r="J302" s="302">
        <v>0</v>
      </c>
      <c r="K302" s="302">
        <v>0</v>
      </c>
      <c r="L302" s="302">
        <v>0</v>
      </c>
      <c r="M302" s="302">
        <v>0</v>
      </c>
      <c r="N302" s="302">
        <v>0</v>
      </c>
      <c r="O302" s="302">
        <v>0</v>
      </c>
      <c r="P302" s="302">
        <v>0</v>
      </c>
      <c r="Q302" s="302">
        <v>0</v>
      </c>
      <c r="R302" s="302">
        <v>0</v>
      </c>
      <c r="S302" s="302">
        <v>0</v>
      </c>
      <c r="T302" s="302">
        <v>0</v>
      </c>
      <c r="U302" s="302">
        <v>0</v>
      </c>
      <c r="V302" s="302">
        <v>0</v>
      </c>
      <c r="W302" s="302">
        <v>0</v>
      </c>
      <c r="X302" s="295">
        <f t="shared" si="12"/>
        <v>0</v>
      </c>
      <c r="AJ302" s="276"/>
    </row>
    <row r="303" spans="1:36" ht="15" customHeight="1">
      <c r="A303" s="533"/>
      <c r="B303" s="347" t="s">
        <v>643</v>
      </c>
      <c r="C303" s="302">
        <v>0</v>
      </c>
      <c r="D303" s="302">
        <v>0</v>
      </c>
      <c r="E303" s="302">
        <v>0</v>
      </c>
      <c r="F303" s="302">
        <v>0</v>
      </c>
      <c r="G303" s="302">
        <v>0</v>
      </c>
      <c r="H303" s="302">
        <v>0</v>
      </c>
      <c r="I303" s="302">
        <v>0</v>
      </c>
      <c r="J303" s="302">
        <v>0</v>
      </c>
      <c r="K303" s="302">
        <v>0</v>
      </c>
      <c r="L303" s="302">
        <v>0</v>
      </c>
      <c r="M303" s="302">
        <v>0</v>
      </c>
      <c r="N303" s="302">
        <v>0</v>
      </c>
      <c r="O303" s="302">
        <v>0</v>
      </c>
      <c r="P303" s="302">
        <v>0</v>
      </c>
      <c r="Q303" s="302">
        <v>0</v>
      </c>
      <c r="R303" s="302">
        <v>0</v>
      </c>
      <c r="S303" s="302">
        <v>0</v>
      </c>
      <c r="T303" s="302">
        <v>0</v>
      </c>
      <c r="U303" s="302">
        <v>0</v>
      </c>
      <c r="V303" s="302">
        <v>0</v>
      </c>
      <c r="W303" s="302">
        <v>0</v>
      </c>
      <c r="X303" s="295">
        <f t="shared" si="12"/>
        <v>0</v>
      </c>
      <c r="AJ303" s="276"/>
    </row>
    <row r="304" spans="1:36" ht="15" customHeight="1">
      <c r="A304" s="533"/>
      <c r="B304" s="347" t="s">
        <v>644</v>
      </c>
      <c r="C304" s="302">
        <v>0</v>
      </c>
      <c r="D304" s="302">
        <v>0</v>
      </c>
      <c r="E304" s="302">
        <v>0</v>
      </c>
      <c r="F304" s="302">
        <v>0</v>
      </c>
      <c r="G304" s="302">
        <v>0</v>
      </c>
      <c r="H304" s="302">
        <v>0</v>
      </c>
      <c r="I304" s="302">
        <v>0</v>
      </c>
      <c r="J304" s="302">
        <v>0</v>
      </c>
      <c r="K304" s="302">
        <v>0</v>
      </c>
      <c r="L304" s="302">
        <v>0</v>
      </c>
      <c r="M304" s="302">
        <v>0</v>
      </c>
      <c r="N304" s="302">
        <v>0</v>
      </c>
      <c r="O304" s="302">
        <v>0</v>
      </c>
      <c r="P304" s="302">
        <v>0</v>
      </c>
      <c r="Q304" s="302">
        <v>0</v>
      </c>
      <c r="R304" s="302">
        <v>0</v>
      </c>
      <c r="S304" s="302">
        <v>0</v>
      </c>
      <c r="T304" s="302">
        <v>0</v>
      </c>
      <c r="U304" s="302">
        <v>0</v>
      </c>
      <c r="V304" s="302">
        <v>0</v>
      </c>
      <c r="W304" s="302">
        <v>0</v>
      </c>
      <c r="X304" s="295">
        <f t="shared" si="12"/>
        <v>0</v>
      </c>
      <c r="AJ304" s="276"/>
    </row>
    <row r="305" spans="1:36" ht="15" customHeight="1">
      <c r="A305" s="533"/>
      <c r="B305" s="347" t="s">
        <v>645</v>
      </c>
      <c r="C305" s="302">
        <v>0</v>
      </c>
      <c r="D305" s="302">
        <v>0</v>
      </c>
      <c r="E305" s="302">
        <v>0</v>
      </c>
      <c r="F305" s="302">
        <v>0</v>
      </c>
      <c r="G305" s="302">
        <v>0</v>
      </c>
      <c r="H305" s="302">
        <v>0</v>
      </c>
      <c r="I305" s="302">
        <v>0</v>
      </c>
      <c r="J305" s="302">
        <v>0</v>
      </c>
      <c r="K305" s="302">
        <v>0</v>
      </c>
      <c r="L305" s="302">
        <v>0</v>
      </c>
      <c r="M305" s="302">
        <v>0</v>
      </c>
      <c r="N305" s="302">
        <v>0</v>
      </c>
      <c r="O305" s="302">
        <v>0</v>
      </c>
      <c r="P305" s="302">
        <v>0</v>
      </c>
      <c r="Q305" s="302">
        <v>0</v>
      </c>
      <c r="R305" s="302">
        <v>0</v>
      </c>
      <c r="S305" s="302">
        <v>0</v>
      </c>
      <c r="T305" s="302">
        <v>0</v>
      </c>
      <c r="U305" s="302">
        <v>0</v>
      </c>
      <c r="V305" s="302">
        <v>0</v>
      </c>
      <c r="W305" s="302">
        <v>0</v>
      </c>
      <c r="X305" s="295">
        <f t="shared" si="12"/>
        <v>0</v>
      </c>
      <c r="AJ305" s="276"/>
    </row>
    <row r="306" spans="1:36" ht="15" customHeight="1">
      <c r="A306" s="533"/>
      <c r="B306" s="347" t="s">
        <v>646</v>
      </c>
      <c r="C306" s="302">
        <v>0</v>
      </c>
      <c r="D306" s="302">
        <v>0</v>
      </c>
      <c r="E306" s="302">
        <v>0</v>
      </c>
      <c r="F306" s="302">
        <v>0</v>
      </c>
      <c r="G306" s="302">
        <v>0</v>
      </c>
      <c r="H306" s="302">
        <v>0</v>
      </c>
      <c r="I306" s="302">
        <v>0</v>
      </c>
      <c r="J306" s="302">
        <v>0</v>
      </c>
      <c r="K306" s="302">
        <v>0</v>
      </c>
      <c r="L306" s="302">
        <v>0</v>
      </c>
      <c r="M306" s="302">
        <v>0</v>
      </c>
      <c r="N306" s="302">
        <v>0</v>
      </c>
      <c r="O306" s="302">
        <v>0</v>
      </c>
      <c r="P306" s="302">
        <v>0</v>
      </c>
      <c r="Q306" s="302">
        <v>0</v>
      </c>
      <c r="R306" s="302">
        <v>0</v>
      </c>
      <c r="S306" s="302">
        <v>0</v>
      </c>
      <c r="T306" s="302">
        <v>0</v>
      </c>
      <c r="U306" s="302">
        <v>0</v>
      </c>
      <c r="V306" s="302">
        <v>0</v>
      </c>
      <c r="W306" s="302">
        <v>0</v>
      </c>
      <c r="X306" s="295">
        <f t="shared" si="12"/>
        <v>0</v>
      </c>
      <c r="AJ306" s="276"/>
    </row>
    <row r="307" spans="1:36" ht="15" customHeight="1">
      <c r="A307" s="533"/>
      <c r="B307" s="347" t="s">
        <v>647</v>
      </c>
      <c r="C307" s="302">
        <v>0</v>
      </c>
      <c r="D307" s="302">
        <v>0</v>
      </c>
      <c r="E307" s="302">
        <v>0</v>
      </c>
      <c r="F307" s="302">
        <v>0</v>
      </c>
      <c r="G307" s="302">
        <v>0</v>
      </c>
      <c r="H307" s="302">
        <v>0</v>
      </c>
      <c r="I307" s="302">
        <v>0</v>
      </c>
      <c r="J307" s="302">
        <v>0</v>
      </c>
      <c r="K307" s="302">
        <v>0</v>
      </c>
      <c r="L307" s="302">
        <v>0</v>
      </c>
      <c r="M307" s="302">
        <v>0</v>
      </c>
      <c r="N307" s="302">
        <v>0</v>
      </c>
      <c r="O307" s="302">
        <v>0</v>
      </c>
      <c r="P307" s="302">
        <v>0</v>
      </c>
      <c r="Q307" s="302">
        <v>0</v>
      </c>
      <c r="R307" s="302">
        <v>0</v>
      </c>
      <c r="S307" s="302">
        <v>0</v>
      </c>
      <c r="T307" s="302">
        <v>0</v>
      </c>
      <c r="U307" s="302">
        <v>0</v>
      </c>
      <c r="V307" s="302">
        <v>0</v>
      </c>
      <c r="W307" s="302">
        <v>0</v>
      </c>
      <c r="X307" s="295">
        <f t="shared" si="12"/>
        <v>0</v>
      </c>
      <c r="AJ307" s="276"/>
    </row>
    <row r="308" spans="1:36" ht="15" customHeight="1">
      <c r="A308" s="533"/>
      <c r="B308" s="347" t="s">
        <v>927</v>
      </c>
      <c r="C308" s="302">
        <v>0</v>
      </c>
      <c r="D308" s="302">
        <v>0</v>
      </c>
      <c r="E308" s="302">
        <v>0</v>
      </c>
      <c r="F308" s="302">
        <v>0</v>
      </c>
      <c r="G308" s="302">
        <v>0</v>
      </c>
      <c r="H308" s="302">
        <v>0</v>
      </c>
      <c r="I308" s="302">
        <v>0</v>
      </c>
      <c r="J308" s="302">
        <v>0</v>
      </c>
      <c r="K308" s="302">
        <v>0</v>
      </c>
      <c r="L308" s="302">
        <v>0</v>
      </c>
      <c r="M308" s="302">
        <v>0</v>
      </c>
      <c r="N308" s="302">
        <v>0</v>
      </c>
      <c r="O308" s="302">
        <v>0</v>
      </c>
      <c r="P308" s="302">
        <v>0</v>
      </c>
      <c r="Q308" s="302">
        <v>0</v>
      </c>
      <c r="R308" s="302">
        <v>0</v>
      </c>
      <c r="S308" s="302">
        <v>0</v>
      </c>
      <c r="T308" s="302">
        <v>0</v>
      </c>
      <c r="U308" s="302">
        <v>0</v>
      </c>
      <c r="V308" s="302">
        <v>0</v>
      </c>
      <c r="W308" s="302">
        <v>0</v>
      </c>
      <c r="X308" s="295">
        <f t="shared" si="12"/>
        <v>0</v>
      </c>
      <c r="AJ308" s="276"/>
    </row>
    <row r="309" spans="1:36" ht="15" customHeight="1">
      <c r="A309" s="533"/>
      <c r="B309" s="347" t="s">
        <v>928</v>
      </c>
      <c r="C309" s="302">
        <v>0</v>
      </c>
      <c r="D309" s="302">
        <v>0</v>
      </c>
      <c r="E309" s="302">
        <v>0</v>
      </c>
      <c r="F309" s="302">
        <v>0</v>
      </c>
      <c r="G309" s="302">
        <v>0</v>
      </c>
      <c r="H309" s="302">
        <v>0</v>
      </c>
      <c r="I309" s="302">
        <v>0</v>
      </c>
      <c r="J309" s="302">
        <v>0</v>
      </c>
      <c r="K309" s="302">
        <v>0</v>
      </c>
      <c r="L309" s="302">
        <v>0</v>
      </c>
      <c r="M309" s="302">
        <v>0</v>
      </c>
      <c r="N309" s="302">
        <v>0</v>
      </c>
      <c r="O309" s="302">
        <v>0</v>
      </c>
      <c r="P309" s="302">
        <v>0</v>
      </c>
      <c r="Q309" s="302">
        <v>0</v>
      </c>
      <c r="R309" s="302">
        <v>0</v>
      </c>
      <c r="S309" s="302">
        <v>0</v>
      </c>
      <c r="T309" s="302">
        <v>0</v>
      </c>
      <c r="U309" s="302">
        <v>0</v>
      </c>
      <c r="V309" s="302">
        <v>0</v>
      </c>
      <c r="W309" s="302">
        <v>0</v>
      </c>
      <c r="X309" s="295">
        <f t="shared" si="12"/>
        <v>0</v>
      </c>
      <c r="AJ309" s="276"/>
    </row>
    <row r="310" spans="1:36" ht="15" customHeight="1">
      <c r="A310" s="533"/>
      <c r="B310" s="347" t="s">
        <v>929</v>
      </c>
      <c r="C310" s="302">
        <v>0</v>
      </c>
      <c r="D310" s="302">
        <v>0</v>
      </c>
      <c r="E310" s="302">
        <v>0</v>
      </c>
      <c r="F310" s="302">
        <v>0</v>
      </c>
      <c r="G310" s="302">
        <v>0</v>
      </c>
      <c r="H310" s="302">
        <v>0</v>
      </c>
      <c r="I310" s="302">
        <v>0</v>
      </c>
      <c r="J310" s="302">
        <v>0</v>
      </c>
      <c r="K310" s="302">
        <v>0</v>
      </c>
      <c r="L310" s="302">
        <v>0</v>
      </c>
      <c r="M310" s="302">
        <v>0</v>
      </c>
      <c r="N310" s="302">
        <v>0</v>
      </c>
      <c r="O310" s="302">
        <v>0</v>
      </c>
      <c r="P310" s="302">
        <v>0</v>
      </c>
      <c r="Q310" s="302">
        <v>0</v>
      </c>
      <c r="R310" s="302">
        <v>0</v>
      </c>
      <c r="S310" s="302">
        <v>0</v>
      </c>
      <c r="T310" s="302">
        <v>0</v>
      </c>
      <c r="U310" s="302">
        <v>0</v>
      </c>
      <c r="V310" s="302">
        <v>0</v>
      </c>
      <c r="W310" s="302">
        <v>0</v>
      </c>
      <c r="X310" s="295">
        <f t="shared" si="12"/>
        <v>0</v>
      </c>
      <c r="AJ310" s="276"/>
    </row>
    <row r="311" spans="1:36" ht="15" customHeight="1" thickBot="1">
      <c r="A311" s="534"/>
      <c r="B311" s="347" t="s">
        <v>930</v>
      </c>
      <c r="C311" s="302">
        <v>0</v>
      </c>
      <c r="D311" s="302">
        <v>0</v>
      </c>
      <c r="E311" s="302">
        <v>0</v>
      </c>
      <c r="F311" s="302">
        <v>0</v>
      </c>
      <c r="G311" s="302">
        <v>0</v>
      </c>
      <c r="H311" s="302">
        <v>0</v>
      </c>
      <c r="I311" s="302">
        <v>0</v>
      </c>
      <c r="J311" s="302">
        <v>0</v>
      </c>
      <c r="K311" s="302">
        <v>0</v>
      </c>
      <c r="L311" s="302">
        <v>0</v>
      </c>
      <c r="M311" s="302">
        <v>0</v>
      </c>
      <c r="N311" s="302">
        <v>0</v>
      </c>
      <c r="O311" s="302">
        <v>0</v>
      </c>
      <c r="P311" s="302">
        <v>0</v>
      </c>
      <c r="Q311" s="302">
        <v>0</v>
      </c>
      <c r="R311" s="302">
        <v>0</v>
      </c>
      <c r="S311" s="302">
        <v>0</v>
      </c>
      <c r="T311" s="302">
        <v>0</v>
      </c>
      <c r="U311" s="302">
        <v>0</v>
      </c>
      <c r="V311" s="302">
        <v>0</v>
      </c>
      <c r="W311" s="302">
        <v>0</v>
      </c>
      <c r="X311" s="295">
        <f t="shared" si="12"/>
        <v>0</v>
      </c>
      <c r="AJ311" s="276"/>
    </row>
    <row r="312" spans="1:36" ht="20.100000000000001" customHeight="1" thickBot="1">
      <c r="A312" s="535" t="s">
        <v>755</v>
      </c>
      <c r="B312" s="536"/>
      <c r="C312" s="296"/>
      <c r="D312" s="296"/>
      <c r="E312" s="296"/>
      <c r="F312" s="296"/>
      <c r="G312" s="296"/>
      <c r="H312" s="296"/>
      <c r="I312" s="296"/>
      <c r="J312" s="296"/>
      <c r="K312" s="296"/>
      <c r="L312" s="296"/>
      <c r="M312" s="296"/>
      <c r="N312" s="296"/>
      <c r="O312" s="296"/>
      <c r="P312" s="296"/>
      <c r="Q312" s="296"/>
      <c r="R312" s="296"/>
      <c r="S312" s="296"/>
      <c r="T312" s="296"/>
      <c r="U312" s="296"/>
      <c r="V312" s="296"/>
      <c r="W312" s="296"/>
      <c r="X312" s="512"/>
      <c r="AJ312" s="276"/>
    </row>
    <row r="313" spans="1:36" ht="20.100000000000001" customHeight="1" thickBot="1">
      <c r="A313" s="535" t="s">
        <v>754</v>
      </c>
      <c r="B313" s="536"/>
      <c r="C313" s="296">
        <f t="shared" ref="C313:W313" si="13">+AVERAGE(C268:C311)</f>
        <v>0</v>
      </c>
      <c r="D313" s="296">
        <f t="shared" si="13"/>
        <v>0</v>
      </c>
      <c r="E313" s="296">
        <f t="shared" si="13"/>
        <v>0</v>
      </c>
      <c r="F313" s="296">
        <f t="shared" si="13"/>
        <v>0</v>
      </c>
      <c r="G313" s="296">
        <f t="shared" si="13"/>
        <v>0</v>
      </c>
      <c r="H313" s="296">
        <f t="shared" si="13"/>
        <v>0</v>
      </c>
      <c r="I313" s="296">
        <f t="shared" si="13"/>
        <v>0</v>
      </c>
      <c r="J313" s="296">
        <f t="shared" si="13"/>
        <v>0</v>
      </c>
      <c r="K313" s="296">
        <f t="shared" si="13"/>
        <v>0</v>
      </c>
      <c r="L313" s="296">
        <f t="shared" si="13"/>
        <v>0</v>
      </c>
      <c r="M313" s="296">
        <f t="shared" si="13"/>
        <v>0</v>
      </c>
      <c r="N313" s="296">
        <f t="shared" si="13"/>
        <v>0</v>
      </c>
      <c r="O313" s="296">
        <f t="shared" si="13"/>
        <v>0</v>
      </c>
      <c r="P313" s="296">
        <f t="shared" si="13"/>
        <v>0</v>
      </c>
      <c r="Q313" s="296">
        <f t="shared" si="13"/>
        <v>0</v>
      </c>
      <c r="R313" s="296">
        <f t="shared" si="13"/>
        <v>0</v>
      </c>
      <c r="S313" s="296">
        <f t="shared" si="13"/>
        <v>0</v>
      </c>
      <c r="T313" s="296">
        <f t="shared" si="13"/>
        <v>0</v>
      </c>
      <c r="U313" s="296">
        <f t="shared" si="13"/>
        <v>0</v>
      </c>
      <c r="V313" s="296">
        <f t="shared" si="13"/>
        <v>0</v>
      </c>
      <c r="W313" s="296">
        <f t="shared" si="13"/>
        <v>0</v>
      </c>
      <c r="X313" s="513"/>
      <c r="AJ313" s="276"/>
    </row>
    <row r="314" spans="1:36" ht="20.100000000000001" customHeight="1" thickBot="1">
      <c r="A314" s="535" t="s">
        <v>761</v>
      </c>
      <c r="B314" s="537"/>
      <c r="C314" s="516">
        <f>+AVERAGE(C313:W313)</f>
        <v>0</v>
      </c>
      <c r="D314" s="517"/>
      <c r="E314" s="517"/>
      <c r="F314" s="517"/>
      <c r="G314" s="517"/>
      <c r="H314" s="517"/>
      <c r="I314" s="517"/>
      <c r="J314" s="517"/>
      <c r="K314" s="517"/>
      <c r="L314" s="517"/>
      <c r="M314" s="517"/>
      <c r="N314" s="517"/>
      <c r="O314" s="517"/>
      <c r="P314" s="517"/>
      <c r="Q314" s="517"/>
      <c r="R314" s="517"/>
      <c r="S314" s="517"/>
      <c r="T314" s="517"/>
      <c r="U314" s="517"/>
      <c r="V314" s="517"/>
      <c r="W314" s="518"/>
      <c r="X314" s="514"/>
      <c r="AJ314" s="276"/>
    </row>
    <row r="315" spans="1:36" ht="15" customHeight="1">
      <c r="A315" s="532" t="s">
        <v>942</v>
      </c>
      <c r="B315" s="350" t="s">
        <v>648</v>
      </c>
      <c r="C315" s="301">
        <v>0</v>
      </c>
      <c r="D315" s="301">
        <v>0</v>
      </c>
      <c r="E315" s="301">
        <v>0</v>
      </c>
      <c r="F315" s="301">
        <v>0</v>
      </c>
      <c r="G315" s="301">
        <v>0</v>
      </c>
      <c r="H315" s="301">
        <v>0</v>
      </c>
      <c r="I315" s="301">
        <v>0</v>
      </c>
      <c r="J315" s="301">
        <v>0</v>
      </c>
      <c r="K315" s="301">
        <v>0</v>
      </c>
      <c r="L315" s="301">
        <v>0</v>
      </c>
      <c r="M315" s="301">
        <v>0</v>
      </c>
      <c r="N315" s="301">
        <v>0</v>
      </c>
      <c r="O315" s="301">
        <v>0</v>
      </c>
      <c r="P315" s="301">
        <v>0</v>
      </c>
      <c r="Q315" s="301">
        <v>0</v>
      </c>
      <c r="R315" s="301">
        <v>0</v>
      </c>
      <c r="S315" s="301">
        <v>0</v>
      </c>
      <c r="T315" s="301">
        <v>0</v>
      </c>
      <c r="U315" s="301">
        <v>0</v>
      </c>
      <c r="V315" s="301">
        <v>0</v>
      </c>
      <c r="W315" s="301">
        <v>0</v>
      </c>
      <c r="X315" s="295">
        <f t="shared" ref="X315:X358" si="14">+AVERAGE(C315:W315)</f>
        <v>0</v>
      </c>
      <c r="AJ315" s="276"/>
    </row>
    <row r="316" spans="1:36" ht="15" customHeight="1">
      <c r="A316" s="533"/>
      <c r="B316" s="347" t="s">
        <v>649</v>
      </c>
      <c r="C316" s="302">
        <v>0</v>
      </c>
      <c r="D316" s="302">
        <v>0</v>
      </c>
      <c r="E316" s="302">
        <v>0</v>
      </c>
      <c r="F316" s="302">
        <v>0</v>
      </c>
      <c r="G316" s="302">
        <v>0</v>
      </c>
      <c r="H316" s="302">
        <v>0</v>
      </c>
      <c r="I316" s="302">
        <v>0</v>
      </c>
      <c r="J316" s="302">
        <v>0</v>
      </c>
      <c r="K316" s="302">
        <v>0</v>
      </c>
      <c r="L316" s="302">
        <v>0</v>
      </c>
      <c r="M316" s="302">
        <v>0</v>
      </c>
      <c r="N316" s="302">
        <v>0</v>
      </c>
      <c r="O316" s="302">
        <v>0</v>
      </c>
      <c r="P316" s="302">
        <v>0</v>
      </c>
      <c r="Q316" s="302">
        <v>0</v>
      </c>
      <c r="R316" s="302">
        <v>0</v>
      </c>
      <c r="S316" s="302">
        <v>0</v>
      </c>
      <c r="T316" s="302">
        <v>0</v>
      </c>
      <c r="U316" s="302">
        <v>0</v>
      </c>
      <c r="V316" s="302">
        <v>0</v>
      </c>
      <c r="W316" s="302">
        <v>0</v>
      </c>
      <c r="X316" s="295">
        <f t="shared" si="14"/>
        <v>0</v>
      </c>
      <c r="AJ316" s="276"/>
    </row>
    <row r="317" spans="1:36" ht="15" customHeight="1">
      <c r="A317" s="533"/>
      <c r="B317" s="347" t="s">
        <v>935</v>
      </c>
      <c r="C317" s="302">
        <v>0</v>
      </c>
      <c r="D317" s="302">
        <v>0</v>
      </c>
      <c r="E317" s="302">
        <v>0</v>
      </c>
      <c r="F317" s="302">
        <v>0</v>
      </c>
      <c r="G317" s="302">
        <v>0</v>
      </c>
      <c r="H317" s="302">
        <v>0</v>
      </c>
      <c r="I317" s="302">
        <v>0</v>
      </c>
      <c r="J317" s="302">
        <v>0</v>
      </c>
      <c r="K317" s="302">
        <v>0</v>
      </c>
      <c r="L317" s="302">
        <v>0</v>
      </c>
      <c r="M317" s="302">
        <v>0</v>
      </c>
      <c r="N317" s="302">
        <v>0</v>
      </c>
      <c r="O317" s="302">
        <v>0</v>
      </c>
      <c r="P317" s="302">
        <v>0</v>
      </c>
      <c r="Q317" s="302">
        <v>0</v>
      </c>
      <c r="R317" s="302">
        <v>0</v>
      </c>
      <c r="S317" s="302">
        <v>0</v>
      </c>
      <c r="T317" s="302">
        <v>0</v>
      </c>
      <c r="U317" s="302">
        <v>0</v>
      </c>
      <c r="V317" s="302">
        <v>0</v>
      </c>
      <c r="W317" s="302">
        <v>0</v>
      </c>
      <c r="X317" s="295">
        <f t="shared" si="14"/>
        <v>0</v>
      </c>
      <c r="AJ317" s="276"/>
    </row>
    <row r="318" spans="1:36" ht="15" customHeight="1">
      <c r="A318" s="533"/>
      <c r="B318" s="347" t="s">
        <v>651</v>
      </c>
      <c r="C318" s="302">
        <v>0</v>
      </c>
      <c r="D318" s="302">
        <v>0</v>
      </c>
      <c r="E318" s="302">
        <v>0</v>
      </c>
      <c r="F318" s="302">
        <v>0</v>
      </c>
      <c r="G318" s="302">
        <v>0</v>
      </c>
      <c r="H318" s="302">
        <v>0</v>
      </c>
      <c r="I318" s="302">
        <v>0</v>
      </c>
      <c r="J318" s="302">
        <v>0</v>
      </c>
      <c r="K318" s="302">
        <v>0</v>
      </c>
      <c r="L318" s="302">
        <v>0</v>
      </c>
      <c r="M318" s="302">
        <v>0</v>
      </c>
      <c r="N318" s="302">
        <v>0</v>
      </c>
      <c r="O318" s="302">
        <v>0</v>
      </c>
      <c r="P318" s="302">
        <v>0</v>
      </c>
      <c r="Q318" s="302">
        <v>0</v>
      </c>
      <c r="R318" s="302">
        <v>0</v>
      </c>
      <c r="S318" s="302">
        <v>0</v>
      </c>
      <c r="T318" s="302">
        <v>0</v>
      </c>
      <c r="U318" s="302">
        <v>0</v>
      </c>
      <c r="V318" s="302">
        <v>0</v>
      </c>
      <c r="W318" s="302">
        <v>0</v>
      </c>
      <c r="X318" s="295">
        <f t="shared" si="14"/>
        <v>0</v>
      </c>
      <c r="AJ318" s="276"/>
    </row>
    <row r="319" spans="1:36" ht="15" customHeight="1">
      <c r="A319" s="533"/>
      <c r="B319" s="347" t="s">
        <v>652</v>
      </c>
      <c r="C319" s="302">
        <v>0</v>
      </c>
      <c r="D319" s="302">
        <v>0</v>
      </c>
      <c r="E319" s="302">
        <v>0</v>
      </c>
      <c r="F319" s="302">
        <v>0</v>
      </c>
      <c r="G319" s="302">
        <v>0</v>
      </c>
      <c r="H319" s="302">
        <v>0</v>
      </c>
      <c r="I319" s="302">
        <v>0</v>
      </c>
      <c r="J319" s="302">
        <v>0</v>
      </c>
      <c r="K319" s="302">
        <v>0</v>
      </c>
      <c r="L319" s="302">
        <v>0</v>
      </c>
      <c r="M319" s="302">
        <v>0</v>
      </c>
      <c r="N319" s="302">
        <v>0</v>
      </c>
      <c r="O319" s="302">
        <v>0</v>
      </c>
      <c r="P319" s="302">
        <v>0</v>
      </c>
      <c r="Q319" s="302">
        <v>0</v>
      </c>
      <c r="R319" s="302">
        <v>0</v>
      </c>
      <c r="S319" s="302">
        <v>0</v>
      </c>
      <c r="T319" s="302">
        <v>0</v>
      </c>
      <c r="U319" s="302">
        <v>0</v>
      </c>
      <c r="V319" s="302">
        <v>0</v>
      </c>
      <c r="W319" s="302">
        <v>0</v>
      </c>
      <c r="X319" s="295">
        <f t="shared" si="14"/>
        <v>0</v>
      </c>
      <c r="AJ319" s="276"/>
    </row>
    <row r="320" spans="1:36" ht="15" customHeight="1">
      <c r="A320" s="533"/>
      <c r="B320" s="347" t="s">
        <v>653</v>
      </c>
      <c r="C320" s="302">
        <v>0</v>
      </c>
      <c r="D320" s="302">
        <v>0</v>
      </c>
      <c r="E320" s="302">
        <v>0</v>
      </c>
      <c r="F320" s="302">
        <v>0</v>
      </c>
      <c r="G320" s="302">
        <v>0</v>
      </c>
      <c r="H320" s="302">
        <v>0</v>
      </c>
      <c r="I320" s="302">
        <v>0</v>
      </c>
      <c r="J320" s="302">
        <v>0</v>
      </c>
      <c r="K320" s="302">
        <v>0</v>
      </c>
      <c r="L320" s="302">
        <v>0</v>
      </c>
      <c r="M320" s="302">
        <v>0</v>
      </c>
      <c r="N320" s="302">
        <v>0</v>
      </c>
      <c r="O320" s="302">
        <v>0</v>
      </c>
      <c r="P320" s="302">
        <v>0</v>
      </c>
      <c r="Q320" s="302">
        <v>0</v>
      </c>
      <c r="R320" s="302">
        <v>0</v>
      </c>
      <c r="S320" s="302">
        <v>0</v>
      </c>
      <c r="T320" s="302">
        <v>0</v>
      </c>
      <c r="U320" s="302">
        <v>0</v>
      </c>
      <c r="V320" s="302">
        <v>0</v>
      </c>
      <c r="W320" s="302">
        <v>0</v>
      </c>
      <c r="X320" s="295">
        <f t="shared" si="14"/>
        <v>0</v>
      </c>
      <c r="AJ320" s="276"/>
    </row>
    <row r="321" spans="1:36" ht="15" customHeight="1">
      <c r="A321" s="533"/>
      <c r="B321" s="347" t="s">
        <v>654</v>
      </c>
      <c r="C321" s="302">
        <v>0</v>
      </c>
      <c r="D321" s="302">
        <v>0</v>
      </c>
      <c r="E321" s="302">
        <v>0</v>
      </c>
      <c r="F321" s="302">
        <v>0</v>
      </c>
      <c r="G321" s="302">
        <v>0</v>
      </c>
      <c r="H321" s="302">
        <v>0</v>
      </c>
      <c r="I321" s="302">
        <v>0</v>
      </c>
      <c r="J321" s="302">
        <v>0</v>
      </c>
      <c r="K321" s="302">
        <v>0</v>
      </c>
      <c r="L321" s="302">
        <v>0</v>
      </c>
      <c r="M321" s="302">
        <v>0</v>
      </c>
      <c r="N321" s="302">
        <v>0</v>
      </c>
      <c r="O321" s="302">
        <v>0</v>
      </c>
      <c r="P321" s="302">
        <v>0</v>
      </c>
      <c r="Q321" s="302">
        <v>0</v>
      </c>
      <c r="R321" s="302">
        <v>0</v>
      </c>
      <c r="S321" s="302">
        <v>0</v>
      </c>
      <c r="T321" s="302">
        <v>0</v>
      </c>
      <c r="U321" s="302">
        <v>0</v>
      </c>
      <c r="V321" s="302">
        <v>0</v>
      </c>
      <c r="W321" s="302">
        <v>0</v>
      </c>
      <c r="X321" s="295">
        <f t="shared" si="14"/>
        <v>0</v>
      </c>
      <c r="AJ321" s="276"/>
    </row>
    <row r="322" spans="1:36" ht="15" customHeight="1">
      <c r="A322" s="533"/>
      <c r="B322" s="347" t="s">
        <v>655</v>
      </c>
      <c r="C322" s="302">
        <v>0</v>
      </c>
      <c r="D322" s="302">
        <v>0</v>
      </c>
      <c r="E322" s="302">
        <v>0</v>
      </c>
      <c r="F322" s="302">
        <v>0</v>
      </c>
      <c r="G322" s="302">
        <v>0</v>
      </c>
      <c r="H322" s="302">
        <v>0</v>
      </c>
      <c r="I322" s="302">
        <v>0</v>
      </c>
      <c r="J322" s="302">
        <v>0</v>
      </c>
      <c r="K322" s="302">
        <v>0</v>
      </c>
      <c r="L322" s="302">
        <v>0</v>
      </c>
      <c r="M322" s="302">
        <v>0</v>
      </c>
      <c r="N322" s="302">
        <v>0</v>
      </c>
      <c r="O322" s="302">
        <v>0</v>
      </c>
      <c r="P322" s="302">
        <v>0</v>
      </c>
      <c r="Q322" s="302">
        <v>0</v>
      </c>
      <c r="R322" s="302">
        <v>0</v>
      </c>
      <c r="S322" s="302">
        <v>0</v>
      </c>
      <c r="T322" s="302">
        <v>0</v>
      </c>
      <c r="U322" s="302">
        <v>0</v>
      </c>
      <c r="V322" s="302">
        <v>0</v>
      </c>
      <c r="W322" s="302">
        <v>0</v>
      </c>
      <c r="X322" s="295">
        <f t="shared" si="14"/>
        <v>0</v>
      </c>
      <c r="AJ322" s="276"/>
    </row>
    <row r="323" spans="1:36" ht="15" customHeight="1">
      <c r="A323" s="533"/>
      <c r="B323" s="347" t="s">
        <v>656</v>
      </c>
      <c r="C323" s="302">
        <v>0</v>
      </c>
      <c r="D323" s="302">
        <v>0</v>
      </c>
      <c r="E323" s="302">
        <v>0</v>
      </c>
      <c r="F323" s="302">
        <v>0</v>
      </c>
      <c r="G323" s="302">
        <v>0</v>
      </c>
      <c r="H323" s="302">
        <v>0</v>
      </c>
      <c r="I323" s="302">
        <v>0</v>
      </c>
      <c r="J323" s="302">
        <v>0</v>
      </c>
      <c r="K323" s="302">
        <v>0</v>
      </c>
      <c r="L323" s="302">
        <v>0</v>
      </c>
      <c r="M323" s="302">
        <v>0</v>
      </c>
      <c r="N323" s="302">
        <v>0</v>
      </c>
      <c r="O323" s="302">
        <v>0</v>
      </c>
      <c r="P323" s="302">
        <v>0</v>
      </c>
      <c r="Q323" s="302">
        <v>0</v>
      </c>
      <c r="R323" s="302">
        <v>0</v>
      </c>
      <c r="S323" s="302">
        <v>0</v>
      </c>
      <c r="T323" s="302">
        <v>0</v>
      </c>
      <c r="U323" s="302">
        <v>0</v>
      </c>
      <c r="V323" s="302">
        <v>0</v>
      </c>
      <c r="W323" s="302">
        <v>0</v>
      </c>
      <c r="X323" s="295">
        <f t="shared" si="14"/>
        <v>0</v>
      </c>
      <c r="AJ323" s="276"/>
    </row>
    <row r="324" spans="1:36" ht="15" customHeight="1">
      <c r="A324" s="533"/>
      <c r="B324" s="347" t="s">
        <v>657</v>
      </c>
      <c r="C324" s="302">
        <v>0</v>
      </c>
      <c r="D324" s="302">
        <v>0</v>
      </c>
      <c r="E324" s="302">
        <v>0</v>
      </c>
      <c r="F324" s="302">
        <v>0</v>
      </c>
      <c r="G324" s="302">
        <v>0</v>
      </c>
      <c r="H324" s="302">
        <v>0</v>
      </c>
      <c r="I324" s="302">
        <v>0</v>
      </c>
      <c r="J324" s="302">
        <v>0</v>
      </c>
      <c r="K324" s="302">
        <v>0</v>
      </c>
      <c r="L324" s="302">
        <v>0</v>
      </c>
      <c r="M324" s="302">
        <v>0</v>
      </c>
      <c r="N324" s="302">
        <v>0</v>
      </c>
      <c r="O324" s="302">
        <v>0</v>
      </c>
      <c r="P324" s="302">
        <v>0</v>
      </c>
      <c r="Q324" s="302">
        <v>0</v>
      </c>
      <c r="R324" s="302">
        <v>0</v>
      </c>
      <c r="S324" s="302">
        <v>0</v>
      </c>
      <c r="T324" s="302">
        <v>0</v>
      </c>
      <c r="U324" s="302">
        <v>0</v>
      </c>
      <c r="V324" s="302">
        <v>0</v>
      </c>
      <c r="W324" s="302">
        <v>0</v>
      </c>
      <c r="X324" s="295">
        <f t="shared" si="14"/>
        <v>0</v>
      </c>
      <c r="AJ324" s="276"/>
    </row>
    <row r="325" spans="1:36" ht="15" customHeight="1">
      <c r="A325" s="533"/>
      <c r="B325" s="347" t="s">
        <v>658</v>
      </c>
      <c r="C325" s="302">
        <v>0</v>
      </c>
      <c r="D325" s="302">
        <v>0</v>
      </c>
      <c r="E325" s="302">
        <v>0</v>
      </c>
      <c r="F325" s="302">
        <v>0</v>
      </c>
      <c r="G325" s="302">
        <v>0</v>
      </c>
      <c r="H325" s="302">
        <v>0</v>
      </c>
      <c r="I325" s="302">
        <v>0</v>
      </c>
      <c r="J325" s="302">
        <v>0</v>
      </c>
      <c r="K325" s="302">
        <v>0</v>
      </c>
      <c r="L325" s="302">
        <v>0</v>
      </c>
      <c r="M325" s="302">
        <v>0</v>
      </c>
      <c r="N325" s="302">
        <v>0</v>
      </c>
      <c r="O325" s="302">
        <v>0</v>
      </c>
      <c r="P325" s="302">
        <v>0</v>
      </c>
      <c r="Q325" s="302">
        <v>0</v>
      </c>
      <c r="R325" s="302">
        <v>0</v>
      </c>
      <c r="S325" s="302">
        <v>0</v>
      </c>
      <c r="T325" s="302">
        <v>0</v>
      </c>
      <c r="U325" s="302">
        <v>0</v>
      </c>
      <c r="V325" s="302">
        <v>0</v>
      </c>
      <c r="W325" s="302">
        <v>0</v>
      </c>
      <c r="X325" s="295">
        <f t="shared" si="14"/>
        <v>0</v>
      </c>
      <c r="AJ325" s="276"/>
    </row>
    <row r="326" spans="1:36" ht="15" customHeight="1">
      <c r="A326" s="533"/>
      <c r="B326" s="347" t="s">
        <v>659</v>
      </c>
      <c r="C326" s="302">
        <v>0</v>
      </c>
      <c r="D326" s="302">
        <v>0</v>
      </c>
      <c r="E326" s="302">
        <v>0</v>
      </c>
      <c r="F326" s="302">
        <v>0</v>
      </c>
      <c r="G326" s="302">
        <v>0</v>
      </c>
      <c r="H326" s="302">
        <v>0</v>
      </c>
      <c r="I326" s="302">
        <v>0</v>
      </c>
      <c r="J326" s="302">
        <v>0</v>
      </c>
      <c r="K326" s="302">
        <v>0</v>
      </c>
      <c r="L326" s="302">
        <v>0</v>
      </c>
      <c r="M326" s="302">
        <v>0</v>
      </c>
      <c r="N326" s="302">
        <v>0</v>
      </c>
      <c r="O326" s="302">
        <v>0</v>
      </c>
      <c r="P326" s="302">
        <v>0</v>
      </c>
      <c r="Q326" s="302">
        <v>0</v>
      </c>
      <c r="R326" s="302">
        <v>0</v>
      </c>
      <c r="S326" s="302">
        <v>0</v>
      </c>
      <c r="T326" s="302">
        <v>0</v>
      </c>
      <c r="U326" s="302">
        <v>0</v>
      </c>
      <c r="V326" s="302">
        <v>0</v>
      </c>
      <c r="W326" s="302">
        <v>0</v>
      </c>
      <c r="X326" s="295">
        <f t="shared" si="14"/>
        <v>0</v>
      </c>
      <c r="AJ326" s="276"/>
    </row>
    <row r="327" spans="1:36" ht="15" customHeight="1">
      <c r="A327" s="533"/>
      <c r="B327" s="347" t="s">
        <v>660</v>
      </c>
      <c r="C327" s="302">
        <v>0</v>
      </c>
      <c r="D327" s="302">
        <v>0</v>
      </c>
      <c r="E327" s="302">
        <v>0</v>
      </c>
      <c r="F327" s="302">
        <v>0</v>
      </c>
      <c r="G327" s="302">
        <v>0</v>
      </c>
      <c r="H327" s="302">
        <v>0</v>
      </c>
      <c r="I327" s="302">
        <v>0</v>
      </c>
      <c r="J327" s="302">
        <v>0</v>
      </c>
      <c r="K327" s="302">
        <v>0</v>
      </c>
      <c r="L327" s="302">
        <v>0</v>
      </c>
      <c r="M327" s="302">
        <v>0</v>
      </c>
      <c r="N327" s="302">
        <v>0</v>
      </c>
      <c r="O327" s="302">
        <v>0</v>
      </c>
      <c r="P327" s="302">
        <v>0</v>
      </c>
      <c r="Q327" s="302">
        <v>0</v>
      </c>
      <c r="R327" s="302">
        <v>0</v>
      </c>
      <c r="S327" s="302">
        <v>0</v>
      </c>
      <c r="T327" s="302">
        <v>0</v>
      </c>
      <c r="U327" s="302">
        <v>0</v>
      </c>
      <c r="V327" s="302">
        <v>0</v>
      </c>
      <c r="W327" s="302">
        <v>0</v>
      </c>
      <c r="X327" s="295">
        <f t="shared" si="14"/>
        <v>0</v>
      </c>
      <c r="AJ327" s="276"/>
    </row>
    <row r="328" spans="1:36" ht="15" customHeight="1">
      <c r="A328" s="533"/>
      <c r="B328" s="347" t="s">
        <v>661</v>
      </c>
      <c r="C328" s="302">
        <v>0</v>
      </c>
      <c r="D328" s="302">
        <v>0</v>
      </c>
      <c r="E328" s="302">
        <v>0</v>
      </c>
      <c r="F328" s="302">
        <v>0</v>
      </c>
      <c r="G328" s="302">
        <v>0</v>
      </c>
      <c r="H328" s="302">
        <v>0</v>
      </c>
      <c r="I328" s="302">
        <v>0</v>
      </c>
      <c r="J328" s="302">
        <v>0</v>
      </c>
      <c r="K328" s="302">
        <v>0</v>
      </c>
      <c r="L328" s="302">
        <v>0</v>
      </c>
      <c r="M328" s="302">
        <v>0</v>
      </c>
      <c r="N328" s="302">
        <v>0</v>
      </c>
      <c r="O328" s="302">
        <v>0</v>
      </c>
      <c r="P328" s="302">
        <v>0</v>
      </c>
      <c r="Q328" s="302">
        <v>0</v>
      </c>
      <c r="R328" s="302">
        <v>0</v>
      </c>
      <c r="S328" s="302">
        <v>0</v>
      </c>
      <c r="T328" s="302">
        <v>0</v>
      </c>
      <c r="U328" s="302">
        <v>0</v>
      </c>
      <c r="V328" s="302">
        <v>0</v>
      </c>
      <c r="W328" s="302">
        <v>0</v>
      </c>
      <c r="X328" s="295">
        <f t="shared" si="14"/>
        <v>0</v>
      </c>
      <c r="AJ328" s="276"/>
    </row>
    <row r="329" spans="1:36" ht="15" customHeight="1">
      <c r="A329" s="533"/>
      <c r="B329" s="347" t="s">
        <v>662</v>
      </c>
      <c r="C329" s="302">
        <v>0</v>
      </c>
      <c r="D329" s="302">
        <v>0</v>
      </c>
      <c r="E329" s="302">
        <v>0</v>
      </c>
      <c r="F329" s="302">
        <v>0</v>
      </c>
      <c r="G329" s="302">
        <v>0</v>
      </c>
      <c r="H329" s="302">
        <v>0</v>
      </c>
      <c r="I329" s="302">
        <v>0</v>
      </c>
      <c r="J329" s="302">
        <v>0</v>
      </c>
      <c r="K329" s="302">
        <v>0</v>
      </c>
      <c r="L329" s="302">
        <v>0</v>
      </c>
      <c r="M329" s="302">
        <v>0</v>
      </c>
      <c r="N329" s="302">
        <v>0</v>
      </c>
      <c r="O329" s="302">
        <v>0</v>
      </c>
      <c r="P329" s="302">
        <v>0</v>
      </c>
      <c r="Q329" s="302">
        <v>0</v>
      </c>
      <c r="R329" s="302">
        <v>0</v>
      </c>
      <c r="S329" s="302">
        <v>0</v>
      </c>
      <c r="T329" s="302">
        <v>0</v>
      </c>
      <c r="U329" s="302">
        <v>0</v>
      </c>
      <c r="V329" s="302">
        <v>0</v>
      </c>
      <c r="W329" s="302">
        <v>0</v>
      </c>
      <c r="X329" s="295">
        <f t="shared" si="14"/>
        <v>0</v>
      </c>
      <c r="AJ329" s="276"/>
    </row>
    <row r="330" spans="1:36" ht="15" customHeight="1">
      <c r="A330" s="533"/>
      <c r="B330" s="347" t="s">
        <v>663</v>
      </c>
      <c r="C330" s="302">
        <v>0</v>
      </c>
      <c r="D330" s="302">
        <v>0</v>
      </c>
      <c r="E330" s="302">
        <v>0</v>
      </c>
      <c r="F330" s="302">
        <v>0</v>
      </c>
      <c r="G330" s="302">
        <v>0</v>
      </c>
      <c r="H330" s="302">
        <v>0</v>
      </c>
      <c r="I330" s="302">
        <v>0</v>
      </c>
      <c r="J330" s="302">
        <v>0</v>
      </c>
      <c r="K330" s="302">
        <v>0</v>
      </c>
      <c r="L330" s="302">
        <v>0</v>
      </c>
      <c r="M330" s="302">
        <v>0</v>
      </c>
      <c r="N330" s="302">
        <v>0</v>
      </c>
      <c r="O330" s="302">
        <v>0</v>
      </c>
      <c r="P330" s="302">
        <v>0</v>
      </c>
      <c r="Q330" s="302">
        <v>0</v>
      </c>
      <c r="R330" s="302">
        <v>0</v>
      </c>
      <c r="S330" s="302">
        <v>0</v>
      </c>
      <c r="T330" s="302">
        <v>0</v>
      </c>
      <c r="U330" s="302">
        <v>0</v>
      </c>
      <c r="V330" s="302">
        <v>0</v>
      </c>
      <c r="W330" s="302">
        <v>0</v>
      </c>
      <c r="X330" s="295">
        <f t="shared" si="14"/>
        <v>0</v>
      </c>
      <c r="AJ330" s="276"/>
    </row>
    <row r="331" spans="1:36" ht="15" customHeight="1">
      <c r="A331" s="533"/>
      <c r="B331" s="347" t="s">
        <v>664</v>
      </c>
      <c r="C331" s="302">
        <v>0</v>
      </c>
      <c r="D331" s="302">
        <v>0</v>
      </c>
      <c r="E331" s="302">
        <v>0</v>
      </c>
      <c r="F331" s="302">
        <v>0</v>
      </c>
      <c r="G331" s="302">
        <v>0</v>
      </c>
      <c r="H331" s="302">
        <v>0</v>
      </c>
      <c r="I331" s="302">
        <v>0</v>
      </c>
      <c r="J331" s="302">
        <v>0</v>
      </c>
      <c r="K331" s="302">
        <v>0</v>
      </c>
      <c r="L331" s="302">
        <v>0</v>
      </c>
      <c r="M331" s="302">
        <v>0</v>
      </c>
      <c r="N331" s="302">
        <v>0</v>
      </c>
      <c r="O331" s="302">
        <v>0</v>
      </c>
      <c r="P331" s="302">
        <v>0</v>
      </c>
      <c r="Q331" s="302">
        <v>0</v>
      </c>
      <c r="R331" s="302">
        <v>0</v>
      </c>
      <c r="S331" s="302">
        <v>0</v>
      </c>
      <c r="T331" s="302">
        <v>0</v>
      </c>
      <c r="U331" s="302">
        <v>0</v>
      </c>
      <c r="V331" s="302">
        <v>0</v>
      </c>
      <c r="W331" s="302">
        <v>0</v>
      </c>
      <c r="X331" s="295">
        <f t="shared" si="14"/>
        <v>0</v>
      </c>
      <c r="AJ331" s="276"/>
    </row>
    <row r="332" spans="1:36" ht="15" customHeight="1">
      <c r="A332" s="533"/>
      <c r="B332" s="347" t="s">
        <v>936</v>
      </c>
      <c r="C332" s="302">
        <v>0</v>
      </c>
      <c r="D332" s="302">
        <v>0</v>
      </c>
      <c r="E332" s="302">
        <v>0</v>
      </c>
      <c r="F332" s="302">
        <v>0</v>
      </c>
      <c r="G332" s="302">
        <v>0</v>
      </c>
      <c r="H332" s="302">
        <v>0</v>
      </c>
      <c r="I332" s="302">
        <v>0</v>
      </c>
      <c r="J332" s="302">
        <v>0</v>
      </c>
      <c r="K332" s="302">
        <v>0</v>
      </c>
      <c r="L332" s="302">
        <v>0</v>
      </c>
      <c r="M332" s="302">
        <v>0</v>
      </c>
      <c r="N332" s="302">
        <v>0</v>
      </c>
      <c r="O332" s="302">
        <v>0</v>
      </c>
      <c r="P332" s="302">
        <v>0</v>
      </c>
      <c r="Q332" s="302">
        <v>0</v>
      </c>
      <c r="R332" s="302">
        <v>0</v>
      </c>
      <c r="S332" s="302">
        <v>0</v>
      </c>
      <c r="T332" s="302">
        <v>0</v>
      </c>
      <c r="U332" s="302">
        <v>0</v>
      </c>
      <c r="V332" s="302">
        <v>0</v>
      </c>
      <c r="W332" s="302">
        <v>0</v>
      </c>
      <c r="X332" s="295">
        <f t="shared" si="14"/>
        <v>0</v>
      </c>
      <c r="AJ332" s="276"/>
    </row>
    <row r="333" spans="1:36" ht="15" customHeight="1">
      <c r="A333" s="533"/>
      <c r="B333" s="347" t="s">
        <v>937</v>
      </c>
      <c r="C333" s="302">
        <v>0</v>
      </c>
      <c r="D333" s="302">
        <v>0</v>
      </c>
      <c r="E333" s="302">
        <v>0</v>
      </c>
      <c r="F333" s="302">
        <v>0</v>
      </c>
      <c r="G333" s="302">
        <v>0</v>
      </c>
      <c r="H333" s="302">
        <v>0</v>
      </c>
      <c r="I333" s="302">
        <v>0</v>
      </c>
      <c r="J333" s="302">
        <v>0</v>
      </c>
      <c r="K333" s="302">
        <v>0</v>
      </c>
      <c r="L333" s="302">
        <v>0</v>
      </c>
      <c r="M333" s="302">
        <v>0</v>
      </c>
      <c r="N333" s="302">
        <v>0</v>
      </c>
      <c r="O333" s="302">
        <v>0</v>
      </c>
      <c r="P333" s="302">
        <v>0</v>
      </c>
      <c r="Q333" s="302">
        <v>0</v>
      </c>
      <c r="R333" s="302">
        <v>0</v>
      </c>
      <c r="S333" s="302">
        <v>0</v>
      </c>
      <c r="T333" s="302">
        <v>0</v>
      </c>
      <c r="U333" s="302">
        <v>0</v>
      </c>
      <c r="V333" s="302">
        <v>0</v>
      </c>
      <c r="W333" s="302">
        <v>0</v>
      </c>
      <c r="X333" s="295">
        <f t="shared" si="14"/>
        <v>0</v>
      </c>
      <c r="AJ333" s="276"/>
    </row>
    <row r="334" spans="1:36" ht="15" customHeight="1">
      <c r="A334" s="533"/>
      <c r="B334" s="347" t="s">
        <v>938</v>
      </c>
      <c r="C334" s="302">
        <v>0</v>
      </c>
      <c r="D334" s="302">
        <v>0</v>
      </c>
      <c r="E334" s="302">
        <v>0</v>
      </c>
      <c r="F334" s="302">
        <v>0</v>
      </c>
      <c r="G334" s="302">
        <v>0</v>
      </c>
      <c r="H334" s="302">
        <v>0</v>
      </c>
      <c r="I334" s="302">
        <v>0</v>
      </c>
      <c r="J334" s="302">
        <v>0</v>
      </c>
      <c r="K334" s="302">
        <v>0</v>
      </c>
      <c r="L334" s="302">
        <v>0</v>
      </c>
      <c r="M334" s="302">
        <v>0</v>
      </c>
      <c r="N334" s="302">
        <v>0</v>
      </c>
      <c r="O334" s="302">
        <v>0</v>
      </c>
      <c r="P334" s="302">
        <v>0</v>
      </c>
      <c r="Q334" s="302">
        <v>0</v>
      </c>
      <c r="R334" s="302">
        <v>0</v>
      </c>
      <c r="S334" s="302">
        <v>0</v>
      </c>
      <c r="T334" s="302">
        <v>0</v>
      </c>
      <c r="U334" s="302">
        <v>0</v>
      </c>
      <c r="V334" s="302">
        <v>0</v>
      </c>
      <c r="W334" s="302">
        <v>0</v>
      </c>
      <c r="X334" s="295">
        <f t="shared" si="14"/>
        <v>0</v>
      </c>
      <c r="AJ334" s="276"/>
    </row>
    <row r="335" spans="1:36" ht="15" customHeight="1">
      <c r="A335" s="533"/>
      <c r="B335" s="347" t="s">
        <v>939</v>
      </c>
      <c r="C335" s="302">
        <v>0</v>
      </c>
      <c r="D335" s="302">
        <v>0</v>
      </c>
      <c r="E335" s="302">
        <v>0</v>
      </c>
      <c r="F335" s="302">
        <v>0</v>
      </c>
      <c r="G335" s="302">
        <v>0</v>
      </c>
      <c r="H335" s="302">
        <v>0</v>
      </c>
      <c r="I335" s="302">
        <v>0</v>
      </c>
      <c r="J335" s="302">
        <v>0</v>
      </c>
      <c r="K335" s="302">
        <v>0</v>
      </c>
      <c r="L335" s="302">
        <v>0</v>
      </c>
      <c r="M335" s="302">
        <v>0</v>
      </c>
      <c r="N335" s="302">
        <v>0</v>
      </c>
      <c r="O335" s="302">
        <v>0</v>
      </c>
      <c r="P335" s="302">
        <v>0</v>
      </c>
      <c r="Q335" s="302">
        <v>0</v>
      </c>
      <c r="R335" s="302">
        <v>0</v>
      </c>
      <c r="S335" s="302">
        <v>0</v>
      </c>
      <c r="T335" s="302">
        <v>0</v>
      </c>
      <c r="U335" s="302">
        <v>0</v>
      </c>
      <c r="V335" s="302">
        <v>0</v>
      </c>
      <c r="W335" s="302">
        <v>0</v>
      </c>
      <c r="X335" s="295">
        <f t="shared" si="14"/>
        <v>0</v>
      </c>
      <c r="AJ335" s="276"/>
    </row>
    <row r="336" spans="1:36" ht="15" customHeight="1">
      <c r="A336" s="533"/>
      <c r="B336" s="347" t="s">
        <v>940</v>
      </c>
      <c r="C336" s="302">
        <v>0</v>
      </c>
      <c r="D336" s="302">
        <v>0</v>
      </c>
      <c r="E336" s="302">
        <v>0</v>
      </c>
      <c r="F336" s="302">
        <v>0</v>
      </c>
      <c r="G336" s="302">
        <v>0</v>
      </c>
      <c r="H336" s="302">
        <v>0</v>
      </c>
      <c r="I336" s="302">
        <v>0</v>
      </c>
      <c r="J336" s="302">
        <v>0</v>
      </c>
      <c r="K336" s="302">
        <v>0</v>
      </c>
      <c r="L336" s="302">
        <v>0</v>
      </c>
      <c r="M336" s="302">
        <v>0</v>
      </c>
      <c r="N336" s="302">
        <v>0</v>
      </c>
      <c r="O336" s="302">
        <v>0</v>
      </c>
      <c r="P336" s="302">
        <v>0</v>
      </c>
      <c r="Q336" s="302">
        <v>0</v>
      </c>
      <c r="R336" s="302">
        <v>0</v>
      </c>
      <c r="S336" s="302">
        <v>0</v>
      </c>
      <c r="T336" s="302">
        <v>0</v>
      </c>
      <c r="U336" s="302">
        <v>0</v>
      </c>
      <c r="V336" s="302">
        <v>0</v>
      </c>
      <c r="W336" s="302">
        <v>0</v>
      </c>
      <c r="X336" s="295">
        <f t="shared" si="14"/>
        <v>0</v>
      </c>
      <c r="AJ336" s="276"/>
    </row>
    <row r="337" spans="1:36" ht="15" customHeight="1" thickBot="1">
      <c r="A337" s="534"/>
      <c r="B337" s="347" t="s">
        <v>941</v>
      </c>
      <c r="C337" s="302">
        <v>0</v>
      </c>
      <c r="D337" s="302">
        <v>0</v>
      </c>
      <c r="E337" s="302">
        <v>0</v>
      </c>
      <c r="F337" s="302">
        <v>0</v>
      </c>
      <c r="G337" s="302">
        <v>0</v>
      </c>
      <c r="H337" s="302">
        <v>0</v>
      </c>
      <c r="I337" s="302">
        <v>0</v>
      </c>
      <c r="J337" s="302">
        <v>0</v>
      </c>
      <c r="K337" s="302">
        <v>0</v>
      </c>
      <c r="L337" s="302">
        <v>0</v>
      </c>
      <c r="M337" s="302">
        <v>0</v>
      </c>
      <c r="N337" s="302">
        <v>0</v>
      </c>
      <c r="O337" s="302">
        <v>0</v>
      </c>
      <c r="P337" s="302">
        <v>0</v>
      </c>
      <c r="Q337" s="302">
        <v>0</v>
      </c>
      <c r="R337" s="302">
        <v>0</v>
      </c>
      <c r="S337" s="302">
        <v>0</v>
      </c>
      <c r="T337" s="302">
        <v>0</v>
      </c>
      <c r="U337" s="302">
        <v>0</v>
      </c>
      <c r="V337" s="302">
        <v>0</v>
      </c>
      <c r="W337" s="302">
        <v>0</v>
      </c>
      <c r="X337" s="295">
        <f t="shared" si="14"/>
        <v>0</v>
      </c>
      <c r="AJ337" s="276"/>
    </row>
    <row r="338" spans="1:36" ht="15" customHeight="1">
      <c r="A338" s="533" t="s">
        <v>943</v>
      </c>
      <c r="B338" s="347" t="s">
        <v>648</v>
      </c>
      <c r="C338" s="302">
        <v>0</v>
      </c>
      <c r="D338" s="302">
        <v>0</v>
      </c>
      <c r="E338" s="302">
        <v>0</v>
      </c>
      <c r="F338" s="302">
        <v>0</v>
      </c>
      <c r="G338" s="302">
        <v>0</v>
      </c>
      <c r="H338" s="302">
        <v>0</v>
      </c>
      <c r="I338" s="302">
        <v>0</v>
      </c>
      <c r="J338" s="302">
        <v>0</v>
      </c>
      <c r="K338" s="302">
        <v>0</v>
      </c>
      <c r="L338" s="302">
        <v>0</v>
      </c>
      <c r="M338" s="302">
        <v>0</v>
      </c>
      <c r="N338" s="302">
        <v>0</v>
      </c>
      <c r="O338" s="302">
        <v>0</v>
      </c>
      <c r="P338" s="302">
        <v>0</v>
      </c>
      <c r="Q338" s="302">
        <v>0</v>
      </c>
      <c r="R338" s="302">
        <v>0</v>
      </c>
      <c r="S338" s="302">
        <v>0</v>
      </c>
      <c r="T338" s="302">
        <v>0</v>
      </c>
      <c r="U338" s="302">
        <v>0</v>
      </c>
      <c r="V338" s="302">
        <v>0</v>
      </c>
      <c r="W338" s="302">
        <v>0</v>
      </c>
      <c r="X338" s="295">
        <f t="shared" si="14"/>
        <v>0</v>
      </c>
      <c r="AJ338" s="276"/>
    </row>
    <row r="339" spans="1:36" ht="15" customHeight="1">
      <c r="A339" s="533"/>
      <c r="B339" s="347" t="s">
        <v>649</v>
      </c>
      <c r="C339" s="302">
        <v>0</v>
      </c>
      <c r="D339" s="302">
        <v>0</v>
      </c>
      <c r="E339" s="302">
        <v>0</v>
      </c>
      <c r="F339" s="302">
        <v>0</v>
      </c>
      <c r="G339" s="302">
        <v>0</v>
      </c>
      <c r="H339" s="302">
        <v>0</v>
      </c>
      <c r="I339" s="302">
        <v>0</v>
      </c>
      <c r="J339" s="302">
        <v>0</v>
      </c>
      <c r="K339" s="302">
        <v>0</v>
      </c>
      <c r="L339" s="302">
        <v>0</v>
      </c>
      <c r="M339" s="302">
        <v>0</v>
      </c>
      <c r="N339" s="302">
        <v>0</v>
      </c>
      <c r="O339" s="302">
        <v>0</v>
      </c>
      <c r="P339" s="302">
        <v>0</v>
      </c>
      <c r="Q339" s="302">
        <v>0</v>
      </c>
      <c r="R339" s="302">
        <v>0</v>
      </c>
      <c r="S339" s="302">
        <v>0</v>
      </c>
      <c r="T339" s="302">
        <v>0</v>
      </c>
      <c r="U339" s="302">
        <v>0</v>
      </c>
      <c r="V339" s="302">
        <v>0</v>
      </c>
      <c r="W339" s="302">
        <v>0</v>
      </c>
      <c r="X339" s="295">
        <f t="shared" si="14"/>
        <v>0</v>
      </c>
      <c r="AJ339" s="276"/>
    </row>
    <row r="340" spans="1:36" ht="15" customHeight="1">
      <c r="A340" s="533"/>
      <c r="B340" s="347" t="s">
        <v>650</v>
      </c>
      <c r="C340" s="302">
        <v>0</v>
      </c>
      <c r="D340" s="302">
        <v>0</v>
      </c>
      <c r="E340" s="302">
        <v>0</v>
      </c>
      <c r="F340" s="302">
        <v>0</v>
      </c>
      <c r="G340" s="302">
        <v>0</v>
      </c>
      <c r="H340" s="302">
        <v>0</v>
      </c>
      <c r="I340" s="302">
        <v>0</v>
      </c>
      <c r="J340" s="302">
        <v>0</v>
      </c>
      <c r="K340" s="302">
        <v>0</v>
      </c>
      <c r="L340" s="302">
        <v>0</v>
      </c>
      <c r="M340" s="302">
        <v>0</v>
      </c>
      <c r="N340" s="302">
        <v>0</v>
      </c>
      <c r="O340" s="302">
        <v>0</v>
      </c>
      <c r="P340" s="302">
        <v>0</v>
      </c>
      <c r="Q340" s="302">
        <v>0</v>
      </c>
      <c r="R340" s="302">
        <v>0</v>
      </c>
      <c r="S340" s="302">
        <v>0</v>
      </c>
      <c r="T340" s="302">
        <v>0</v>
      </c>
      <c r="U340" s="302">
        <v>0</v>
      </c>
      <c r="V340" s="302">
        <v>0</v>
      </c>
      <c r="W340" s="302">
        <v>0</v>
      </c>
      <c r="X340" s="295">
        <f t="shared" si="14"/>
        <v>0</v>
      </c>
      <c r="AJ340" s="276"/>
    </row>
    <row r="341" spans="1:36" ht="15" customHeight="1">
      <c r="A341" s="533"/>
      <c r="B341" s="347" t="s">
        <v>651</v>
      </c>
      <c r="C341" s="302">
        <v>0</v>
      </c>
      <c r="D341" s="302">
        <v>0</v>
      </c>
      <c r="E341" s="302">
        <v>0</v>
      </c>
      <c r="F341" s="302">
        <v>0</v>
      </c>
      <c r="G341" s="302">
        <v>0</v>
      </c>
      <c r="H341" s="302">
        <v>0</v>
      </c>
      <c r="I341" s="302">
        <v>0</v>
      </c>
      <c r="J341" s="302">
        <v>0</v>
      </c>
      <c r="K341" s="302">
        <v>0</v>
      </c>
      <c r="L341" s="302">
        <v>0</v>
      </c>
      <c r="M341" s="302">
        <v>0</v>
      </c>
      <c r="N341" s="302">
        <v>0</v>
      </c>
      <c r="O341" s="302">
        <v>0</v>
      </c>
      <c r="P341" s="302">
        <v>0</v>
      </c>
      <c r="Q341" s="302">
        <v>0</v>
      </c>
      <c r="R341" s="302">
        <v>0</v>
      </c>
      <c r="S341" s="302">
        <v>0</v>
      </c>
      <c r="T341" s="302">
        <v>0</v>
      </c>
      <c r="U341" s="302">
        <v>0</v>
      </c>
      <c r="V341" s="302">
        <v>0</v>
      </c>
      <c r="W341" s="302">
        <v>0</v>
      </c>
      <c r="X341" s="295">
        <f t="shared" si="14"/>
        <v>0</v>
      </c>
      <c r="AJ341" s="276"/>
    </row>
    <row r="342" spans="1:36" ht="15" customHeight="1">
      <c r="A342" s="533"/>
      <c r="B342" s="347" t="s">
        <v>652</v>
      </c>
      <c r="C342" s="302">
        <v>0</v>
      </c>
      <c r="D342" s="302">
        <v>0</v>
      </c>
      <c r="E342" s="302">
        <v>0</v>
      </c>
      <c r="F342" s="302">
        <v>0</v>
      </c>
      <c r="G342" s="302">
        <v>0</v>
      </c>
      <c r="H342" s="302">
        <v>0</v>
      </c>
      <c r="I342" s="302">
        <v>0</v>
      </c>
      <c r="J342" s="302">
        <v>0</v>
      </c>
      <c r="K342" s="302">
        <v>0</v>
      </c>
      <c r="L342" s="302">
        <v>0</v>
      </c>
      <c r="M342" s="302">
        <v>0</v>
      </c>
      <c r="N342" s="302">
        <v>0</v>
      </c>
      <c r="O342" s="302">
        <v>0</v>
      </c>
      <c r="P342" s="302">
        <v>0</v>
      </c>
      <c r="Q342" s="302">
        <v>0</v>
      </c>
      <c r="R342" s="302">
        <v>0</v>
      </c>
      <c r="S342" s="302">
        <v>0</v>
      </c>
      <c r="T342" s="302">
        <v>0</v>
      </c>
      <c r="U342" s="302">
        <v>0</v>
      </c>
      <c r="V342" s="302">
        <v>0</v>
      </c>
      <c r="W342" s="302">
        <v>0</v>
      </c>
      <c r="X342" s="295">
        <f t="shared" si="14"/>
        <v>0</v>
      </c>
      <c r="AJ342" s="276"/>
    </row>
    <row r="343" spans="1:36" ht="15" customHeight="1">
      <c r="A343" s="533"/>
      <c r="B343" s="347" t="s">
        <v>653</v>
      </c>
      <c r="C343" s="302">
        <v>0</v>
      </c>
      <c r="D343" s="302">
        <v>0</v>
      </c>
      <c r="E343" s="302">
        <v>0</v>
      </c>
      <c r="F343" s="302">
        <v>0</v>
      </c>
      <c r="G343" s="302">
        <v>0</v>
      </c>
      <c r="H343" s="302">
        <v>0</v>
      </c>
      <c r="I343" s="302">
        <v>0</v>
      </c>
      <c r="J343" s="302">
        <v>0</v>
      </c>
      <c r="K343" s="302">
        <v>0</v>
      </c>
      <c r="L343" s="302">
        <v>0</v>
      </c>
      <c r="M343" s="302">
        <v>0</v>
      </c>
      <c r="N343" s="302">
        <v>0</v>
      </c>
      <c r="O343" s="302">
        <v>0</v>
      </c>
      <c r="P343" s="302">
        <v>0</v>
      </c>
      <c r="Q343" s="302">
        <v>0</v>
      </c>
      <c r="R343" s="302">
        <v>0</v>
      </c>
      <c r="S343" s="302">
        <v>0</v>
      </c>
      <c r="T343" s="302">
        <v>0</v>
      </c>
      <c r="U343" s="302">
        <v>0</v>
      </c>
      <c r="V343" s="302">
        <v>0</v>
      </c>
      <c r="W343" s="302">
        <v>0</v>
      </c>
      <c r="X343" s="295">
        <f t="shared" si="14"/>
        <v>0</v>
      </c>
      <c r="AJ343" s="276"/>
    </row>
    <row r="344" spans="1:36" ht="15" customHeight="1">
      <c r="A344" s="533"/>
      <c r="B344" s="347" t="s">
        <v>654</v>
      </c>
      <c r="C344" s="302">
        <v>0</v>
      </c>
      <c r="D344" s="302">
        <v>0</v>
      </c>
      <c r="E344" s="302">
        <v>0</v>
      </c>
      <c r="F344" s="302">
        <v>0</v>
      </c>
      <c r="G344" s="302">
        <v>0</v>
      </c>
      <c r="H344" s="302">
        <v>0</v>
      </c>
      <c r="I344" s="302">
        <v>0</v>
      </c>
      <c r="J344" s="302">
        <v>0</v>
      </c>
      <c r="K344" s="302">
        <v>0</v>
      </c>
      <c r="L344" s="302">
        <v>0</v>
      </c>
      <c r="M344" s="302">
        <v>0</v>
      </c>
      <c r="N344" s="302">
        <v>0</v>
      </c>
      <c r="O344" s="302">
        <v>0</v>
      </c>
      <c r="P344" s="302">
        <v>0</v>
      </c>
      <c r="Q344" s="302">
        <v>0</v>
      </c>
      <c r="R344" s="302">
        <v>0</v>
      </c>
      <c r="S344" s="302">
        <v>0</v>
      </c>
      <c r="T344" s="302">
        <v>0</v>
      </c>
      <c r="U344" s="302">
        <v>0</v>
      </c>
      <c r="V344" s="302">
        <v>0</v>
      </c>
      <c r="W344" s="302">
        <v>0</v>
      </c>
      <c r="X344" s="295">
        <f t="shared" si="14"/>
        <v>0</v>
      </c>
      <c r="AJ344" s="276"/>
    </row>
    <row r="345" spans="1:36" ht="15" customHeight="1">
      <c r="A345" s="533"/>
      <c r="B345" s="347" t="s">
        <v>655</v>
      </c>
      <c r="C345" s="302">
        <v>0</v>
      </c>
      <c r="D345" s="302">
        <v>0</v>
      </c>
      <c r="E345" s="302">
        <v>0</v>
      </c>
      <c r="F345" s="302">
        <v>0</v>
      </c>
      <c r="G345" s="302">
        <v>0</v>
      </c>
      <c r="H345" s="302">
        <v>0</v>
      </c>
      <c r="I345" s="302">
        <v>0</v>
      </c>
      <c r="J345" s="302">
        <v>0</v>
      </c>
      <c r="K345" s="302">
        <v>0</v>
      </c>
      <c r="L345" s="302">
        <v>0</v>
      </c>
      <c r="M345" s="302">
        <v>0</v>
      </c>
      <c r="N345" s="302">
        <v>0</v>
      </c>
      <c r="O345" s="302">
        <v>0</v>
      </c>
      <c r="P345" s="302">
        <v>0</v>
      </c>
      <c r="Q345" s="302">
        <v>0</v>
      </c>
      <c r="R345" s="302">
        <v>0</v>
      </c>
      <c r="S345" s="302">
        <v>0</v>
      </c>
      <c r="T345" s="302">
        <v>0</v>
      </c>
      <c r="U345" s="302">
        <v>0</v>
      </c>
      <c r="V345" s="302">
        <v>0</v>
      </c>
      <c r="W345" s="302">
        <v>0</v>
      </c>
      <c r="X345" s="295">
        <f t="shared" si="14"/>
        <v>0</v>
      </c>
      <c r="AJ345" s="276"/>
    </row>
    <row r="346" spans="1:36" ht="15" customHeight="1">
      <c r="A346" s="533"/>
      <c r="B346" s="347" t="s">
        <v>656</v>
      </c>
      <c r="C346" s="302">
        <v>0</v>
      </c>
      <c r="D346" s="302">
        <v>0</v>
      </c>
      <c r="E346" s="302">
        <v>0</v>
      </c>
      <c r="F346" s="302">
        <v>0</v>
      </c>
      <c r="G346" s="302">
        <v>0</v>
      </c>
      <c r="H346" s="302">
        <v>0</v>
      </c>
      <c r="I346" s="302">
        <v>0</v>
      </c>
      <c r="J346" s="302">
        <v>0</v>
      </c>
      <c r="K346" s="302">
        <v>0</v>
      </c>
      <c r="L346" s="302">
        <v>0</v>
      </c>
      <c r="M346" s="302">
        <v>0</v>
      </c>
      <c r="N346" s="302">
        <v>0</v>
      </c>
      <c r="O346" s="302">
        <v>0</v>
      </c>
      <c r="P346" s="302">
        <v>0</v>
      </c>
      <c r="Q346" s="302">
        <v>0</v>
      </c>
      <c r="R346" s="302">
        <v>0</v>
      </c>
      <c r="S346" s="302">
        <v>0</v>
      </c>
      <c r="T346" s="302">
        <v>0</v>
      </c>
      <c r="U346" s="302">
        <v>0</v>
      </c>
      <c r="V346" s="302">
        <v>0</v>
      </c>
      <c r="W346" s="302">
        <v>0</v>
      </c>
      <c r="X346" s="295">
        <f t="shared" si="14"/>
        <v>0</v>
      </c>
      <c r="AJ346" s="276"/>
    </row>
    <row r="347" spans="1:36" ht="15" customHeight="1">
      <c r="A347" s="533"/>
      <c r="B347" s="347" t="s">
        <v>657</v>
      </c>
      <c r="C347" s="302">
        <v>0</v>
      </c>
      <c r="D347" s="302">
        <v>0</v>
      </c>
      <c r="E347" s="302">
        <v>0</v>
      </c>
      <c r="F347" s="302">
        <v>0</v>
      </c>
      <c r="G347" s="302">
        <v>0</v>
      </c>
      <c r="H347" s="302">
        <v>0</v>
      </c>
      <c r="I347" s="302">
        <v>0</v>
      </c>
      <c r="J347" s="302">
        <v>0</v>
      </c>
      <c r="K347" s="302">
        <v>0</v>
      </c>
      <c r="L347" s="302">
        <v>0</v>
      </c>
      <c r="M347" s="302">
        <v>0</v>
      </c>
      <c r="N347" s="302">
        <v>0</v>
      </c>
      <c r="O347" s="302">
        <v>0</v>
      </c>
      <c r="P347" s="302">
        <v>0</v>
      </c>
      <c r="Q347" s="302">
        <v>0</v>
      </c>
      <c r="R347" s="302">
        <v>0</v>
      </c>
      <c r="S347" s="302">
        <v>0</v>
      </c>
      <c r="T347" s="302">
        <v>0</v>
      </c>
      <c r="U347" s="302">
        <v>0</v>
      </c>
      <c r="V347" s="302">
        <v>0</v>
      </c>
      <c r="W347" s="302">
        <v>0</v>
      </c>
      <c r="X347" s="295">
        <f t="shared" si="14"/>
        <v>0</v>
      </c>
      <c r="AJ347" s="276"/>
    </row>
    <row r="348" spans="1:36" ht="15" customHeight="1">
      <c r="A348" s="533"/>
      <c r="B348" s="347" t="s">
        <v>658</v>
      </c>
      <c r="C348" s="302">
        <v>0</v>
      </c>
      <c r="D348" s="302">
        <v>0</v>
      </c>
      <c r="E348" s="302">
        <v>0</v>
      </c>
      <c r="F348" s="302">
        <v>0</v>
      </c>
      <c r="G348" s="302">
        <v>0</v>
      </c>
      <c r="H348" s="302">
        <v>0</v>
      </c>
      <c r="I348" s="302">
        <v>0</v>
      </c>
      <c r="J348" s="302">
        <v>0</v>
      </c>
      <c r="K348" s="302">
        <v>0</v>
      </c>
      <c r="L348" s="302">
        <v>0</v>
      </c>
      <c r="M348" s="302">
        <v>0</v>
      </c>
      <c r="N348" s="302">
        <v>0</v>
      </c>
      <c r="O348" s="302">
        <v>0</v>
      </c>
      <c r="P348" s="302">
        <v>0</v>
      </c>
      <c r="Q348" s="302">
        <v>0</v>
      </c>
      <c r="R348" s="302">
        <v>0</v>
      </c>
      <c r="S348" s="302">
        <v>0</v>
      </c>
      <c r="T348" s="302">
        <v>0</v>
      </c>
      <c r="U348" s="302">
        <v>0</v>
      </c>
      <c r="V348" s="302">
        <v>0</v>
      </c>
      <c r="W348" s="302">
        <v>0</v>
      </c>
      <c r="X348" s="295">
        <f t="shared" si="14"/>
        <v>0</v>
      </c>
      <c r="AJ348" s="276"/>
    </row>
    <row r="349" spans="1:36" ht="15" customHeight="1">
      <c r="A349" s="533"/>
      <c r="B349" s="347" t="s">
        <v>659</v>
      </c>
      <c r="C349" s="302">
        <v>0</v>
      </c>
      <c r="D349" s="302">
        <v>0</v>
      </c>
      <c r="E349" s="302">
        <v>0</v>
      </c>
      <c r="F349" s="302">
        <v>0</v>
      </c>
      <c r="G349" s="302">
        <v>0</v>
      </c>
      <c r="H349" s="302">
        <v>0</v>
      </c>
      <c r="I349" s="302">
        <v>0</v>
      </c>
      <c r="J349" s="302">
        <v>0</v>
      </c>
      <c r="K349" s="302">
        <v>0</v>
      </c>
      <c r="L349" s="302">
        <v>0</v>
      </c>
      <c r="M349" s="302">
        <v>0</v>
      </c>
      <c r="N349" s="302">
        <v>0</v>
      </c>
      <c r="O349" s="302">
        <v>0</v>
      </c>
      <c r="P349" s="302">
        <v>0</v>
      </c>
      <c r="Q349" s="302">
        <v>0</v>
      </c>
      <c r="R349" s="302">
        <v>0</v>
      </c>
      <c r="S349" s="302">
        <v>0</v>
      </c>
      <c r="T349" s="302">
        <v>0</v>
      </c>
      <c r="U349" s="302">
        <v>0</v>
      </c>
      <c r="V349" s="302">
        <v>0</v>
      </c>
      <c r="W349" s="302">
        <v>0</v>
      </c>
      <c r="X349" s="295">
        <f t="shared" si="14"/>
        <v>0</v>
      </c>
      <c r="AJ349" s="276"/>
    </row>
    <row r="350" spans="1:36" ht="15" customHeight="1">
      <c r="A350" s="533"/>
      <c r="B350" s="347" t="s">
        <v>660</v>
      </c>
      <c r="C350" s="302">
        <v>0</v>
      </c>
      <c r="D350" s="302">
        <v>0</v>
      </c>
      <c r="E350" s="302">
        <v>0</v>
      </c>
      <c r="F350" s="302">
        <v>0</v>
      </c>
      <c r="G350" s="302">
        <v>0</v>
      </c>
      <c r="H350" s="302">
        <v>0</v>
      </c>
      <c r="I350" s="302">
        <v>0</v>
      </c>
      <c r="J350" s="302">
        <v>0</v>
      </c>
      <c r="K350" s="302">
        <v>0</v>
      </c>
      <c r="L350" s="302">
        <v>0</v>
      </c>
      <c r="M350" s="302">
        <v>0</v>
      </c>
      <c r="N350" s="302">
        <v>0</v>
      </c>
      <c r="O350" s="302">
        <v>0</v>
      </c>
      <c r="P350" s="302">
        <v>0</v>
      </c>
      <c r="Q350" s="302">
        <v>0</v>
      </c>
      <c r="R350" s="302">
        <v>0</v>
      </c>
      <c r="S350" s="302">
        <v>0</v>
      </c>
      <c r="T350" s="302">
        <v>0</v>
      </c>
      <c r="U350" s="302">
        <v>0</v>
      </c>
      <c r="V350" s="302">
        <v>0</v>
      </c>
      <c r="W350" s="302">
        <v>0</v>
      </c>
      <c r="X350" s="295">
        <f t="shared" si="14"/>
        <v>0</v>
      </c>
      <c r="AJ350" s="276"/>
    </row>
    <row r="351" spans="1:36" ht="15" customHeight="1">
      <c r="A351" s="533"/>
      <c r="B351" s="347" t="s">
        <v>661</v>
      </c>
      <c r="C351" s="302">
        <v>0</v>
      </c>
      <c r="D351" s="302">
        <v>0</v>
      </c>
      <c r="E351" s="302">
        <v>0</v>
      </c>
      <c r="F351" s="302">
        <v>0</v>
      </c>
      <c r="G351" s="302">
        <v>0</v>
      </c>
      <c r="H351" s="302">
        <v>0</v>
      </c>
      <c r="I351" s="302">
        <v>0</v>
      </c>
      <c r="J351" s="302">
        <v>0</v>
      </c>
      <c r="K351" s="302">
        <v>0</v>
      </c>
      <c r="L351" s="302">
        <v>0</v>
      </c>
      <c r="M351" s="302">
        <v>0</v>
      </c>
      <c r="N351" s="302">
        <v>0</v>
      </c>
      <c r="O351" s="302">
        <v>0</v>
      </c>
      <c r="P351" s="302">
        <v>0</v>
      </c>
      <c r="Q351" s="302">
        <v>0</v>
      </c>
      <c r="R351" s="302">
        <v>0</v>
      </c>
      <c r="S351" s="302">
        <v>0</v>
      </c>
      <c r="T351" s="302">
        <v>0</v>
      </c>
      <c r="U351" s="302">
        <v>0</v>
      </c>
      <c r="V351" s="302">
        <v>0</v>
      </c>
      <c r="W351" s="302">
        <v>0</v>
      </c>
      <c r="X351" s="295">
        <f t="shared" si="14"/>
        <v>0</v>
      </c>
      <c r="AJ351" s="276"/>
    </row>
    <row r="352" spans="1:36" ht="15" customHeight="1">
      <c r="A352" s="533"/>
      <c r="B352" s="347" t="s">
        <v>662</v>
      </c>
      <c r="C352" s="302">
        <v>0</v>
      </c>
      <c r="D352" s="302">
        <v>0</v>
      </c>
      <c r="E352" s="302">
        <v>0</v>
      </c>
      <c r="F352" s="302">
        <v>0</v>
      </c>
      <c r="G352" s="302">
        <v>0</v>
      </c>
      <c r="H352" s="302">
        <v>0</v>
      </c>
      <c r="I352" s="302">
        <v>0</v>
      </c>
      <c r="J352" s="302">
        <v>0</v>
      </c>
      <c r="K352" s="302">
        <v>0</v>
      </c>
      <c r="L352" s="302">
        <v>0</v>
      </c>
      <c r="M352" s="302">
        <v>0</v>
      </c>
      <c r="N352" s="302">
        <v>0</v>
      </c>
      <c r="O352" s="302">
        <v>0</v>
      </c>
      <c r="P352" s="302">
        <v>0</v>
      </c>
      <c r="Q352" s="302">
        <v>0</v>
      </c>
      <c r="R352" s="302">
        <v>0</v>
      </c>
      <c r="S352" s="302">
        <v>0</v>
      </c>
      <c r="T352" s="302">
        <v>0</v>
      </c>
      <c r="U352" s="302">
        <v>0</v>
      </c>
      <c r="V352" s="302">
        <v>0</v>
      </c>
      <c r="W352" s="302">
        <v>0</v>
      </c>
      <c r="X352" s="295">
        <f t="shared" si="14"/>
        <v>0</v>
      </c>
      <c r="AJ352" s="276"/>
    </row>
    <row r="353" spans="1:36" ht="15" customHeight="1">
      <c r="A353" s="533"/>
      <c r="B353" s="347" t="s">
        <v>663</v>
      </c>
      <c r="C353" s="302">
        <v>0</v>
      </c>
      <c r="D353" s="302">
        <v>0</v>
      </c>
      <c r="E353" s="302">
        <v>0</v>
      </c>
      <c r="F353" s="302">
        <v>0</v>
      </c>
      <c r="G353" s="302">
        <v>0</v>
      </c>
      <c r="H353" s="302">
        <v>0</v>
      </c>
      <c r="I353" s="302">
        <v>0</v>
      </c>
      <c r="J353" s="302">
        <v>0</v>
      </c>
      <c r="K353" s="302">
        <v>0</v>
      </c>
      <c r="L353" s="302">
        <v>0</v>
      </c>
      <c r="M353" s="302">
        <v>0</v>
      </c>
      <c r="N353" s="302">
        <v>0</v>
      </c>
      <c r="O353" s="302">
        <v>0</v>
      </c>
      <c r="P353" s="302">
        <v>0</v>
      </c>
      <c r="Q353" s="302">
        <v>0</v>
      </c>
      <c r="R353" s="302">
        <v>0</v>
      </c>
      <c r="S353" s="302">
        <v>0</v>
      </c>
      <c r="T353" s="302">
        <v>0</v>
      </c>
      <c r="U353" s="302">
        <v>0</v>
      </c>
      <c r="V353" s="302">
        <v>0</v>
      </c>
      <c r="W353" s="302">
        <v>0</v>
      </c>
      <c r="X353" s="295">
        <f t="shared" si="14"/>
        <v>0</v>
      </c>
      <c r="AJ353" s="276"/>
    </row>
    <row r="354" spans="1:36" ht="15" customHeight="1">
      <c r="A354" s="533"/>
      <c r="B354" s="347" t="s">
        <v>664</v>
      </c>
      <c r="C354" s="302">
        <v>0</v>
      </c>
      <c r="D354" s="302">
        <v>0</v>
      </c>
      <c r="E354" s="302">
        <v>0</v>
      </c>
      <c r="F354" s="302">
        <v>0</v>
      </c>
      <c r="G354" s="302">
        <v>0</v>
      </c>
      <c r="H354" s="302">
        <v>0</v>
      </c>
      <c r="I354" s="302">
        <v>0</v>
      </c>
      <c r="J354" s="302">
        <v>0</v>
      </c>
      <c r="K354" s="302">
        <v>0</v>
      </c>
      <c r="L354" s="302">
        <v>0</v>
      </c>
      <c r="M354" s="302">
        <v>0</v>
      </c>
      <c r="N354" s="302">
        <v>0</v>
      </c>
      <c r="O354" s="302">
        <v>0</v>
      </c>
      <c r="P354" s="302">
        <v>0</v>
      </c>
      <c r="Q354" s="302">
        <v>0</v>
      </c>
      <c r="R354" s="302">
        <v>0</v>
      </c>
      <c r="S354" s="302">
        <v>0</v>
      </c>
      <c r="T354" s="302">
        <v>0</v>
      </c>
      <c r="U354" s="302">
        <v>0</v>
      </c>
      <c r="V354" s="302">
        <v>0</v>
      </c>
      <c r="W354" s="302">
        <v>0</v>
      </c>
      <c r="X354" s="295">
        <f t="shared" si="14"/>
        <v>0</v>
      </c>
      <c r="AJ354" s="276"/>
    </row>
    <row r="355" spans="1:36" ht="15" customHeight="1">
      <c r="A355" s="533"/>
      <c r="B355" s="347" t="s">
        <v>936</v>
      </c>
      <c r="C355" s="302">
        <v>0</v>
      </c>
      <c r="D355" s="302">
        <v>0</v>
      </c>
      <c r="E355" s="302">
        <v>0</v>
      </c>
      <c r="F355" s="302">
        <v>0</v>
      </c>
      <c r="G355" s="302">
        <v>0</v>
      </c>
      <c r="H355" s="302">
        <v>0</v>
      </c>
      <c r="I355" s="302">
        <v>0</v>
      </c>
      <c r="J355" s="302">
        <v>0</v>
      </c>
      <c r="K355" s="302">
        <v>0</v>
      </c>
      <c r="L355" s="302">
        <v>0</v>
      </c>
      <c r="M355" s="302">
        <v>0</v>
      </c>
      <c r="N355" s="302">
        <v>0</v>
      </c>
      <c r="O355" s="302">
        <v>0</v>
      </c>
      <c r="P355" s="302">
        <v>0</v>
      </c>
      <c r="Q355" s="302">
        <v>0</v>
      </c>
      <c r="R355" s="302">
        <v>0</v>
      </c>
      <c r="S355" s="302">
        <v>0</v>
      </c>
      <c r="T355" s="302">
        <v>0</v>
      </c>
      <c r="U355" s="302">
        <v>0</v>
      </c>
      <c r="V355" s="302">
        <v>0</v>
      </c>
      <c r="W355" s="302">
        <v>0</v>
      </c>
      <c r="X355" s="295">
        <f t="shared" si="14"/>
        <v>0</v>
      </c>
      <c r="AJ355" s="276"/>
    </row>
    <row r="356" spans="1:36" ht="15" customHeight="1">
      <c r="A356" s="533"/>
      <c r="B356" s="347" t="s">
        <v>937</v>
      </c>
      <c r="C356" s="302">
        <v>0</v>
      </c>
      <c r="D356" s="302">
        <v>0</v>
      </c>
      <c r="E356" s="302">
        <v>0</v>
      </c>
      <c r="F356" s="302">
        <v>0</v>
      </c>
      <c r="G356" s="302">
        <v>0</v>
      </c>
      <c r="H356" s="302">
        <v>0</v>
      </c>
      <c r="I356" s="302">
        <v>0</v>
      </c>
      <c r="J356" s="302">
        <v>0</v>
      </c>
      <c r="K356" s="302">
        <v>0</v>
      </c>
      <c r="L356" s="302">
        <v>0</v>
      </c>
      <c r="M356" s="302">
        <v>0</v>
      </c>
      <c r="N356" s="302">
        <v>0</v>
      </c>
      <c r="O356" s="302">
        <v>0</v>
      </c>
      <c r="P356" s="302">
        <v>0</v>
      </c>
      <c r="Q356" s="302">
        <v>0</v>
      </c>
      <c r="R356" s="302">
        <v>0</v>
      </c>
      <c r="S356" s="302">
        <v>0</v>
      </c>
      <c r="T356" s="302">
        <v>0</v>
      </c>
      <c r="U356" s="302">
        <v>0</v>
      </c>
      <c r="V356" s="302">
        <v>0</v>
      </c>
      <c r="W356" s="302">
        <v>0</v>
      </c>
      <c r="X356" s="295">
        <f t="shared" si="14"/>
        <v>0</v>
      </c>
      <c r="AJ356" s="276"/>
    </row>
    <row r="357" spans="1:36" ht="15" customHeight="1">
      <c r="A357" s="533"/>
      <c r="B357" s="347" t="s">
        <v>938</v>
      </c>
      <c r="C357" s="302">
        <v>0</v>
      </c>
      <c r="D357" s="302">
        <v>0</v>
      </c>
      <c r="E357" s="302">
        <v>0</v>
      </c>
      <c r="F357" s="302">
        <v>0</v>
      </c>
      <c r="G357" s="302">
        <v>0</v>
      </c>
      <c r="H357" s="302">
        <v>0</v>
      </c>
      <c r="I357" s="302">
        <v>0</v>
      </c>
      <c r="J357" s="302">
        <v>0</v>
      </c>
      <c r="K357" s="302">
        <v>0</v>
      </c>
      <c r="L357" s="302">
        <v>0</v>
      </c>
      <c r="M357" s="302">
        <v>0</v>
      </c>
      <c r="N357" s="302">
        <v>0</v>
      </c>
      <c r="O357" s="302">
        <v>0</v>
      </c>
      <c r="P357" s="302">
        <v>0</v>
      </c>
      <c r="Q357" s="302">
        <v>0</v>
      </c>
      <c r="R357" s="302">
        <v>0</v>
      </c>
      <c r="S357" s="302">
        <v>0</v>
      </c>
      <c r="T357" s="302">
        <v>0</v>
      </c>
      <c r="U357" s="302">
        <v>0</v>
      </c>
      <c r="V357" s="302">
        <v>0</v>
      </c>
      <c r="W357" s="302">
        <v>0</v>
      </c>
      <c r="X357" s="295">
        <f t="shared" si="14"/>
        <v>0</v>
      </c>
      <c r="AJ357" s="276"/>
    </row>
    <row r="358" spans="1:36" ht="15" customHeight="1" thickBot="1">
      <c r="A358" s="534"/>
      <c r="B358" s="347" t="s">
        <v>939</v>
      </c>
      <c r="C358" s="302">
        <v>0</v>
      </c>
      <c r="D358" s="302">
        <v>0</v>
      </c>
      <c r="E358" s="302">
        <v>0</v>
      </c>
      <c r="F358" s="302">
        <v>0</v>
      </c>
      <c r="G358" s="302">
        <v>0</v>
      </c>
      <c r="H358" s="302">
        <v>0</v>
      </c>
      <c r="I358" s="302">
        <v>0</v>
      </c>
      <c r="J358" s="302">
        <v>0</v>
      </c>
      <c r="K358" s="302">
        <v>0</v>
      </c>
      <c r="L358" s="302">
        <v>0</v>
      </c>
      <c r="M358" s="302">
        <v>0</v>
      </c>
      <c r="N358" s="302">
        <v>0</v>
      </c>
      <c r="O358" s="302">
        <v>0</v>
      </c>
      <c r="P358" s="302">
        <v>0</v>
      </c>
      <c r="Q358" s="302">
        <v>0</v>
      </c>
      <c r="R358" s="302">
        <v>0</v>
      </c>
      <c r="S358" s="302">
        <v>0</v>
      </c>
      <c r="T358" s="302">
        <v>0</v>
      </c>
      <c r="U358" s="302">
        <v>0</v>
      </c>
      <c r="V358" s="302">
        <v>0</v>
      </c>
      <c r="W358" s="302">
        <v>0</v>
      </c>
      <c r="X358" s="295">
        <f t="shared" si="14"/>
        <v>0</v>
      </c>
      <c r="AJ358" s="276"/>
    </row>
    <row r="359" spans="1:36" ht="20.100000000000001" customHeight="1" thickBot="1">
      <c r="A359" s="535" t="s">
        <v>755</v>
      </c>
      <c r="B359" s="536"/>
      <c r="C359" s="296"/>
      <c r="D359" s="296"/>
      <c r="E359" s="296"/>
      <c r="F359" s="296"/>
      <c r="G359" s="296"/>
      <c r="H359" s="296"/>
      <c r="I359" s="296"/>
      <c r="J359" s="296"/>
      <c r="K359" s="296"/>
      <c r="L359" s="296"/>
      <c r="M359" s="296"/>
      <c r="N359" s="296"/>
      <c r="O359" s="296"/>
      <c r="P359" s="296"/>
      <c r="Q359" s="296"/>
      <c r="R359" s="296"/>
      <c r="S359" s="296"/>
      <c r="T359" s="296"/>
      <c r="U359" s="296"/>
      <c r="V359" s="296"/>
      <c r="W359" s="296"/>
      <c r="X359" s="512"/>
      <c r="AJ359" s="276"/>
    </row>
    <row r="360" spans="1:36" ht="20.100000000000001" customHeight="1" thickBot="1">
      <c r="A360" s="535" t="s">
        <v>754</v>
      </c>
      <c r="B360" s="536"/>
      <c r="C360" s="296">
        <f t="shared" ref="C360:W360" si="15">+AVERAGE(C315:C358)</f>
        <v>0</v>
      </c>
      <c r="D360" s="296">
        <f t="shared" si="15"/>
        <v>0</v>
      </c>
      <c r="E360" s="296">
        <f t="shared" si="15"/>
        <v>0</v>
      </c>
      <c r="F360" s="296">
        <f t="shared" si="15"/>
        <v>0</v>
      </c>
      <c r="G360" s="296">
        <f t="shared" si="15"/>
        <v>0</v>
      </c>
      <c r="H360" s="296">
        <f t="shared" si="15"/>
        <v>0</v>
      </c>
      <c r="I360" s="296">
        <f t="shared" si="15"/>
        <v>0</v>
      </c>
      <c r="J360" s="296">
        <f t="shared" si="15"/>
        <v>0</v>
      </c>
      <c r="K360" s="296">
        <f t="shared" si="15"/>
        <v>0</v>
      </c>
      <c r="L360" s="296">
        <f t="shared" si="15"/>
        <v>0</v>
      </c>
      <c r="M360" s="296">
        <f t="shared" si="15"/>
        <v>0</v>
      </c>
      <c r="N360" s="296">
        <f t="shared" si="15"/>
        <v>0</v>
      </c>
      <c r="O360" s="296">
        <f t="shared" si="15"/>
        <v>0</v>
      </c>
      <c r="P360" s="296">
        <f t="shared" si="15"/>
        <v>0</v>
      </c>
      <c r="Q360" s="296">
        <f t="shared" si="15"/>
        <v>0</v>
      </c>
      <c r="R360" s="296">
        <f t="shared" si="15"/>
        <v>0</v>
      </c>
      <c r="S360" s="296">
        <f t="shared" si="15"/>
        <v>0</v>
      </c>
      <c r="T360" s="296">
        <f t="shared" si="15"/>
        <v>0</v>
      </c>
      <c r="U360" s="296">
        <f t="shared" si="15"/>
        <v>0</v>
      </c>
      <c r="V360" s="296">
        <f t="shared" si="15"/>
        <v>0</v>
      </c>
      <c r="W360" s="296">
        <f t="shared" si="15"/>
        <v>0</v>
      </c>
      <c r="X360" s="513"/>
      <c r="AJ360" s="276"/>
    </row>
    <row r="361" spans="1:36" ht="20.100000000000001" customHeight="1" thickBot="1">
      <c r="A361" s="535" t="s">
        <v>762</v>
      </c>
      <c r="B361" s="537"/>
      <c r="C361" s="516">
        <f>+AVERAGE(C360:W360)</f>
        <v>0</v>
      </c>
      <c r="D361" s="517"/>
      <c r="E361" s="517"/>
      <c r="F361" s="517"/>
      <c r="G361" s="517"/>
      <c r="H361" s="517"/>
      <c r="I361" s="517"/>
      <c r="J361" s="517"/>
      <c r="K361" s="517"/>
      <c r="L361" s="517"/>
      <c r="M361" s="517"/>
      <c r="N361" s="517"/>
      <c r="O361" s="517"/>
      <c r="P361" s="517"/>
      <c r="Q361" s="517"/>
      <c r="R361" s="517"/>
      <c r="S361" s="517"/>
      <c r="T361" s="517"/>
      <c r="U361" s="517"/>
      <c r="V361" s="517"/>
      <c r="W361" s="518"/>
      <c r="X361" s="514"/>
      <c r="AJ361" s="276"/>
    </row>
    <row r="362" spans="1:36" ht="15" customHeight="1">
      <c r="A362" s="549" t="s">
        <v>949</v>
      </c>
      <c r="B362" s="350" t="s">
        <v>665</v>
      </c>
      <c r="C362" s="299">
        <v>0</v>
      </c>
      <c r="D362" s="299">
        <v>0</v>
      </c>
      <c r="E362" s="299">
        <v>0</v>
      </c>
      <c r="F362" s="299">
        <v>0</v>
      </c>
      <c r="G362" s="299">
        <v>0</v>
      </c>
      <c r="H362" s="299">
        <v>0</v>
      </c>
      <c r="I362" s="299">
        <v>0</v>
      </c>
      <c r="J362" s="299">
        <v>0</v>
      </c>
      <c r="K362" s="299">
        <v>0</v>
      </c>
      <c r="L362" s="299">
        <v>0</v>
      </c>
      <c r="M362" s="299">
        <v>0</v>
      </c>
      <c r="N362" s="299">
        <v>0</v>
      </c>
      <c r="O362" s="299">
        <v>0</v>
      </c>
      <c r="P362" s="299">
        <v>0</v>
      </c>
      <c r="Q362" s="299">
        <v>0</v>
      </c>
      <c r="R362" s="299">
        <v>0</v>
      </c>
      <c r="S362" s="299">
        <v>0</v>
      </c>
      <c r="T362" s="299">
        <v>0</v>
      </c>
      <c r="U362" s="299">
        <v>0</v>
      </c>
      <c r="V362" s="299">
        <v>0</v>
      </c>
      <c r="W362" s="299">
        <v>0</v>
      </c>
      <c r="X362" s="293">
        <f t="shared" ref="X362:X372" si="16">+AVERAGE(C362:W362)</f>
        <v>0</v>
      </c>
      <c r="AJ362" s="276"/>
    </row>
    <row r="363" spans="1:36" ht="15" customHeight="1">
      <c r="A363" s="550"/>
      <c r="B363" s="347" t="s">
        <v>666</v>
      </c>
      <c r="C363" s="299">
        <v>0</v>
      </c>
      <c r="D363" s="299">
        <v>0</v>
      </c>
      <c r="E363" s="299">
        <v>0</v>
      </c>
      <c r="F363" s="299">
        <v>0</v>
      </c>
      <c r="G363" s="299">
        <v>0</v>
      </c>
      <c r="H363" s="299">
        <v>0</v>
      </c>
      <c r="I363" s="299">
        <v>0</v>
      </c>
      <c r="J363" s="299">
        <v>0</v>
      </c>
      <c r="K363" s="299">
        <v>0</v>
      </c>
      <c r="L363" s="299">
        <v>0</v>
      </c>
      <c r="M363" s="299">
        <v>0</v>
      </c>
      <c r="N363" s="299">
        <v>0</v>
      </c>
      <c r="O363" s="299">
        <v>0</v>
      </c>
      <c r="P363" s="299">
        <v>0</v>
      </c>
      <c r="Q363" s="299">
        <v>0</v>
      </c>
      <c r="R363" s="299">
        <v>0</v>
      </c>
      <c r="S363" s="299">
        <v>0</v>
      </c>
      <c r="T363" s="299">
        <v>0</v>
      </c>
      <c r="U363" s="299">
        <v>0</v>
      </c>
      <c r="V363" s="299">
        <v>0</v>
      </c>
      <c r="W363" s="299">
        <v>0</v>
      </c>
      <c r="X363" s="295">
        <f t="shared" si="16"/>
        <v>0</v>
      </c>
      <c r="AJ363" s="276"/>
    </row>
    <row r="364" spans="1:36" ht="15" customHeight="1">
      <c r="A364" s="550"/>
      <c r="B364" s="347" t="s">
        <v>667</v>
      </c>
      <c r="C364" s="299">
        <v>0</v>
      </c>
      <c r="D364" s="299">
        <v>0</v>
      </c>
      <c r="E364" s="299">
        <v>0</v>
      </c>
      <c r="F364" s="299">
        <v>0</v>
      </c>
      <c r="G364" s="299">
        <v>0</v>
      </c>
      <c r="H364" s="299">
        <v>0</v>
      </c>
      <c r="I364" s="299">
        <v>0</v>
      </c>
      <c r="J364" s="299">
        <v>0</v>
      </c>
      <c r="K364" s="299">
        <v>0</v>
      </c>
      <c r="L364" s="299">
        <v>0</v>
      </c>
      <c r="M364" s="299">
        <v>0</v>
      </c>
      <c r="N364" s="299">
        <v>0</v>
      </c>
      <c r="O364" s="299">
        <v>0</v>
      </c>
      <c r="P364" s="299">
        <v>0</v>
      </c>
      <c r="Q364" s="299">
        <v>0</v>
      </c>
      <c r="R364" s="299">
        <v>0</v>
      </c>
      <c r="S364" s="299">
        <v>0</v>
      </c>
      <c r="T364" s="299">
        <v>0</v>
      </c>
      <c r="U364" s="299">
        <v>0</v>
      </c>
      <c r="V364" s="299">
        <v>0</v>
      </c>
      <c r="W364" s="299">
        <v>0</v>
      </c>
      <c r="X364" s="295">
        <f t="shared" si="16"/>
        <v>0</v>
      </c>
      <c r="AJ364" s="276"/>
    </row>
    <row r="365" spans="1:36" ht="15" customHeight="1">
      <c r="A365" s="550"/>
      <c r="B365" s="347" t="s">
        <v>668</v>
      </c>
      <c r="C365" s="299">
        <v>0</v>
      </c>
      <c r="D365" s="299">
        <v>0</v>
      </c>
      <c r="E365" s="299">
        <v>0</v>
      </c>
      <c r="F365" s="299">
        <v>0</v>
      </c>
      <c r="G365" s="299">
        <v>0</v>
      </c>
      <c r="H365" s="299">
        <v>0</v>
      </c>
      <c r="I365" s="299">
        <v>0</v>
      </c>
      <c r="J365" s="299">
        <v>0</v>
      </c>
      <c r="K365" s="299">
        <v>0</v>
      </c>
      <c r="L365" s="299">
        <v>0</v>
      </c>
      <c r="M365" s="299">
        <v>0</v>
      </c>
      <c r="N365" s="299">
        <v>0</v>
      </c>
      <c r="O365" s="299">
        <v>0</v>
      </c>
      <c r="P365" s="299">
        <v>0</v>
      </c>
      <c r="Q365" s="299">
        <v>0</v>
      </c>
      <c r="R365" s="299">
        <v>0</v>
      </c>
      <c r="S365" s="299">
        <v>0</v>
      </c>
      <c r="T365" s="299">
        <v>0</v>
      </c>
      <c r="U365" s="299">
        <v>0</v>
      </c>
      <c r="V365" s="299">
        <v>0</v>
      </c>
      <c r="W365" s="299">
        <v>0</v>
      </c>
      <c r="X365" s="295">
        <f t="shared" si="16"/>
        <v>0</v>
      </c>
      <c r="AJ365" s="276"/>
    </row>
    <row r="366" spans="1:36" ht="15" customHeight="1">
      <c r="A366" s="550"/>
      <c r="B366" s="347" t="s">
        <v>669</v>
      </c>
      <c r="C366" s="299">
        <v>0</v>
      </c>
      <c r="D366" s="299">
        <v>0</v>
      </c>
      <c r="E366" s="299">
        <v>0</v>
      </c>
      <c r="F366" s="299">
        <v>0</v>
      </c>
      <c r="G366" s="299">
        <v>0</v>
      </c>
      <c r="H366" s="299">
        <v>0</v>
      </c>
      <c r="I366" s="299">
        <v>0</v>
      </c>
      <c r="J366" s="299">
        <v>0</v>
      </c>
      <c r="K366" s="299">
        <v>0</v>
      </c>
      <c r="L366" s="299">
        <v>0</v>
      </c>
      <c r="M366" s="299">
        <v>0</v>
      </c>
      <c r="N366" s="299">
        <v>0</v>
      </c>
      <c r="O366" s="299">
        <v>0</v>
      </c>
      <c r="P366" s="299">
        <v>0</v>
      </c>
      <c r="Q366" s="299">
        <v>0</v>
      </c>
      <c r="R366" s="299">
        <v>0</v>
      </c>
      <c r="S366" s="299">
        <v>0</v>
      </c>
      <c r="T366" s="299">
        <v>0</v>
      </c>
      <c r="U366" s="299">
        <v>0</v>
      </c>
      <c r="V366" s="299">
        <v>0</v>
      </c>
      <c r="W366" s="299">
        <v>0</v>
      </c>
      <c r="X366" s="295">
        <f t="shared" si="16"/>
        <v>0</v>
      </c>
      <c r="AJ366" s="276"/>
    </row>
    <row r="367" spans="1:36" ht="15" customHeight="1">
      <c r="A367" s="550"/>
      <c r="B367" s="347" t="s">
        <v>670</v>
      </c>
      <c r="C367" s="299">
        <v>0</v>
      </c>
      <c r="D367" s="299">
        <v>0</v>
      </c>
      <c r="E367" s="299">
        <v>0</v>
      </c>
      <c r="F367" s="299">
        <v>0</v>
      </c>
      <c r="G367" s="299">
        <v>0</v>
      </c>
      <c r="H367" s="299">
        <v>0</v>
      </c>
      <c r="I367" s="299">
        <v>0</v>
      </c>
      <c r="J367" s="299">
        <v>0</v>
      </c>
      <c r="K367" s="299">
        <v>0</v>
      </c>
      <c r="L367" s="299">
        <v>0</v>
      </c>
      <c r="M367" s="299">
        <v>0</v>
      </c>
      <c r="N367" s="299">
        <v>0</v>
      </c>
      <c r="O367" s="299">
        <v>0</v>
      </c>
      <c r="P367" s="299">
        <v>0</v>
      </c>
      <c r="Q367" s="299">
        <v>0</v>
      </c>
      <c r="R367" s="299">
        <v>0</v>
      </c>
      <c r="S367" s="299">
        <v>0</v>
      </c>
      <c r="T367" s="299">
        <v>0</v>
      </c>
      <c r="U367" s="299">
        <v>0</v>
      </c>
      <c r="V367" s="299">
        <v>0</v>
      </c>
      <c r="W367" s="299">
        <v>0</v>
      </c>
      <c r="X367" s="295">
        <f t="shared" si="16"/>
        <v>0</v>
      </c>
      <c r="AJ367" s="276"/>
    </row>
    <row r="368" spans="1:36" ht="15" customHeight="1">
      <c r="A368" s="550"/>
      <c r="B368" s="347" t="s">
        <v>671</v>
      </c>
      <c r="C368" s="299">
        <v>0</v>
      </c>
      <c r="D368" s="299">
        <v>0</v>
      </c>
      <c r="E368" s="299">
        <v>0</v>
      </c>
      <c r="F368" s="299">
        <v>0</v>
      </c>
      <c r="G368" s="299">
        <v>0</v>
      </c>
      <c r="H368" s="299">
        <v>0</v>
      </c>
      <c r="I368" s="299">
        <v>0</v>
      </c>
      <c r="J368" s="299">
        <v>0</v>
      </c>
      <c r="K368" s="299">
        <v>0</v>
      </c>
      <c r="L368" s="299">
        <v>0</v>
      </c>
      <c r="M368" s="299">
        <v>0</v>
      </c>
      <c r="N368" s="299">
        <v>0</v>
      </c>
      <c r="O368" s="299">
        <v>0</v>
      </c>
      <c r="P368" s="299">
        <v>0</v>
      </c>
      <c r="Q368" s="299">
        <v>0</v>
      </c>
      <c r="R368" s="299">
        <v>0</v>
      </c>
      <c r="S368" s="299">
        <v>0</v>
      </c>
      <c r="T368" s="299">
        <v>0</v>
      </c>
      <c r="U368" s="299">
        <v>0</v>
      </c>
      <c r="V368" s="299">
        <v>0</v>
      </c>
      <c r="W368" s="299">
        <v>0</v>
      </c>
      <c r="X368" s="295">
        <f t="shared" si="16"/>
        <v>0</v>
      </c>
      <c r="AJ368" s="276"/>
    </row>
    <row r="369" spans="1:36" ht="15" customHeight="1">
      <c r="A369" s="550"/>
      <c r="B369" s="347" t="s">
        <v>672</v>
      </c>
      <c r="C369" s="299">
        <v>0</v>
      </c>
      <c r="D369" s="299">
        <v>0</v>
      </c>
      <c r="E369" s="299">
        <v>0</v>
      </c>
      <c r="F369" s="299">
        <v>0</v>
      </c>
      <c r="G369" s="299">
        <v>0</v>
      </c>
      <c r="H369" s="299">
        <v>0</v>
      </c>
      <c r="I369" s="299">
        <v>0</v>
      </c>
      <c r="J369" s="299">
        <v>0</v>
      </c>
      <c r="K369" s="299">
        <v>0</v>
      </c>
      <c r="L369" s="299">
        <v>0</v>
      </c>
      <c r="M369" s="299">
        <v>0</v>
      </c>
      <c r="N369" s="299">
        <v>0</v>
      </c>
      <c r="O369" s="299">
        <v>0</v>
      </c>
      <c r="P369" s="299">
        <v>0</v>
      </c>
      <c r="Q369" s="299">
        <v>0</v>
      </c>
      <c r="R369" s="299">
        <v>0</v>
      </c>
      <c r="S369" s="299">
        <v>0</v>
      </c>
      <c r="T369" s="299">
        <v>0</v>
      </c>
      <c r="U369" s="299">
        <v>0</v>
      </c>
      <c r="V369" s="299">
        <v>0</v>
      </c>
      <c r="W369" s="299">
        <v>0</v>
      </c>
      <c r="X369" s="295">
        <f t="shared" si="16"/>
        <v>0</v>
      </c>
      <c r="AJ369" s="276"/>
    </row>
    <row r="370" spans="1:36" ht="15" customHeight="1">
      <c r="A370" s="550"/>
      <c r="B370" s="347" t="s">
        <v>673</v>
      </c>
      <c r="C370" s="299">
        <v>0</v>
      </c>
      <c r="D370" s="299">
        <v>0</v>
      </c>
      <c r="E370" s="299">
        <v>0</v>
      </c>
      <c r="F370" s="299">
        <v>0</v>
      </c>
      <c r="G370" s="299">
        <v>0</v>
      </c>
      <c r="H370" s="299">
        <v>0</v>
      </c>
      <c r="I370" s="299">
        <v>0</v>
      </c>
      <c r="J370" s="299">
        <v>0</v>
      </c>
      <c r="K370" s="299">
        <v>0</v>
      </c>
      <c r="L370" s="299">
        <v>0</v>
      </c>
      <c r="M370" s="299">
        <v>0</v>
      </c>
      <c r="N370" s="299">
        <v>0</v>
      </c>
      <c r="O370" s="299">
        <v>0</v>
      </c>
      <c r="P370" s="299">
        <v>0</v>
      </c>
      <c r="Q370" s="299">
        <v>0</v>
      </c>
      <c r="R370" s="299">
        <v>0</v>
      </c>
      <c r="S370" s="299">
        <v>0</v>
      </c>
      <c r="T370" s="299">
        <v>0</v>
      </c>
      <c r="U370" s="299">
        <v>0</v>
      </c>
      <c r="V370" s="299">
        <v>0</v>
      </c>
      <c r="W370" s="299">
        <v>0</v>
      </c>
      <c r="X370" s="295">
        <f t="shared" si="16"/>
        <v>0</v>
      </c>
      <c r="AJ370" s="276"/>
    </row>
    <row r="371" spans="1:36" ht="15" customHeight="1">
      <c r="A371" s="550"/>
      <c r="B371" s="347" t="s">
        <v>674</v>
      </c>
      <c r="C371" s="299">
        <v>0</v>
      </c>
      <c r="D371" s="299">
        <v>0</v>
      </c>
      <c r="E371" s="299">
        <v>0</v>
      </c>
      <c r="F371" s="299">
        <v>0</v>
      </c>
      <c r="G371" s="299">
        <v>0</v>
      </c>
      <c r="H371" s="299">
        <v>0</v>
      </c>
      <c r="I371" s="299">
        <v>0</v>
      </c>
      <c r="J371" s="299">
        <v>0</v>
      </c>
      <c r="K371" s="299">
        <v>0</v>
      </c>
      <c r="L371" s="299">
        <v>0</v>
      </c>
      <c r="M371" s="299">
        <v>0</v>
      </c>
      <c r="N371" s="299">
        <v>0</v>
      </c>
      <c r="O371" s="299">
        <v>0</v>
      </c>
      <c r="P371" s="299">
        <v>0</v>
      </c>
      <c r="Q371" s="299">
        <v>0</v>
      </c>
      <c r="R371" s="299">
        <v>0</v>
      </c>
      <c r="S371" s="299">
        <v>0</v>
      </c>
      <c r="T371" s="299">
        <v>0</v>
      </c>
      <c r="U371" s="299">
        <v>0</v>
      </c>
      <c r="V371" s="299">
        <v>0</v>
      </c>
      <c r="W371" s="299">
        <v>0</v>
      </c>
      <c r="X371" s="295">
        <f t="shared" si="16"/>
        <v>0</v>
      </c>
      <c r="AJ371" s="276"/>
    </row>
    <row r="372" spans="1:36" ht="15" customHeight="1">
      <c r="A372" s="550"/>
      <c r="B372" s="347" t="s">
        <v>675</v>
      </c>
      <c r="C372" s="299">
        <v>0</v>
      </c>
      <c r="D372" s="299">
        <v>0</v>
      </c>
      <c r="E372" s="299">
        <v>0</v>
      </c>
      <c r="F372" s="299">
        <v>0</v>
      </c>
      <c r="G372" s="299">
        <v>0</v>
      </c>
      <c r="H372" s="299">
        <v>0</v>
      </c>
      <c r="I372" s="299">
        <v>0</v>
      </c>
      <c r="J372" s="299">
        <v>0</v>
      </c>
      <c r="K372" s="299">
        <v>0</v>
      </c>
      <c r="L372" s="299">
        <v>0</v>
      </c>
      <c r="M372" s="299">
        <v>0</v>
      </c>
      <c r="N372" s="299">
        <v>0</v>
      </c>
      <c r="O372" s="299">
        <v>0</v>
      </c>
      <c r="P372" s="299">
        <v>0</v>
      </c>
      <c r="Q372" s="299">
        <v>0</v>
      </c>
      <c r="R372" s="299">
        <v>0</v>
      </c>
      <c r="S372" s="299">
        <v>0</v>
      </c>
      <c r="T372" s="299">
        <v>0</v>
      </c>
      <c r="U372" s="299">
        <v>0</v>
      </c>
      <c r="V372" s="299">
        <v>0</v>
      </c>
      <c r="W372" s="299">
        <v>0</v>
      </c>
      <c r="X372" s="295">
        <f t="shared" si="16"/>
        <v>0</v>
      </c>
      <c r="AJ372" s="276"/>
    </row>
    <row r="373" spans="1:36" ht="15" customHeight="1">
      <c r="A373" s="550"/>
      <c r="B373" s="347" t="s">
        <v>676</v>
      </c>
      <c r="C373" s="299">
        <v>0</v>
      </c>
      <c r="D373" s="299">
        <v>0</v>
      </c>
      <c r="E373" s="299">
        <v>0</v>
      </c>
      <c r="F373" s="299">
        <v>0</v>
      </c>
      <c r="G373" s="299">
        <v>0</v>
      </c>
      <c r="H373" s="299">
        <v>0</v>
      </c>
      <c r="I373" s="299">
        <v>0</v>
      </c>
      <c r="J373" s="299">
        <v>0</v>
      </c>
      <c r="K373" s="299">
        <v>0</v>
      </c>
      <c r="L373" s="299">
        <v>0</v>
      </c>
      <c r="M373" s="299">
        <v>0</v>
      </c>
      <c r="N373" s="299">
        <v>0</v>
      </c>
      <c r="O373" s="299">
        <v>0</v>
      </c>
      <c r="P373" s="299">
        <v>0</v>
      </c>
      <c r="Q373" s="299">
        <v>0</v>
      </c>
      <c r="R373" s="299">
        <v>0</v>
      </c>
      <c r="S373" s="299">
        <v>0</v>
      </c>
      <c r="T373" s="299">
        <v>0</v>
      </c>
      <c r="U373" s="299">
        <v>0</v>
      </c>
      <c r="V373" s="299">
        <v>0</v>
      </c>
      <c r="W373" s="299">
        <v>0</v>
      </c>
      <c r="X373" s="295">
        <f t="shared" ref="X373:X402" si="17">+AVERAGE(C373:W373)</f>
        <v>0</v>
      </c>
      <c r="AJ373" s="276"/>
    </row>
    <row r="374" spans="1:36" ht="15" customHeight="1">
      <c r="A374" s="550"/>
      <c r="B374" s="347" t="s">
        <v>677</v>
      </c>
      <c r="C374" s="299">
        <v>0</v>
      </c>
      <c r="D374" s="299">
        <v>0</v>
      </c>
      <c r="E374" s="299">
        <v>0</v>
      </c>
      <c r="F374" s="299">
        <v>0</v>
      </c>
      <c r="G374" s="299">
        <v>0</v>
      </c>
      <c r="H374" s="299">
        <v>0</v>
      </c>
      <c r="I374" s="299">
        <v>0</v>
      </c>
      <c r="J374" s="299">
        <v>0</v>
      </c>
      <c r="K374" s="299">
        <v>0</v>
      </c>
      <c r="L374" s="299">
        <v>0</v>
      </c>
      <c r="M374" s="299">
        <v>0</v>
      </c>
      <c r="N374" s="299">
        <v>0</v>
      </c>
      <c r="O374" s="299">
        <v>0</v>
      </c>
      <c r="P374" s="299">
        <v>0</v>
      </c>
      <c r="Q374" s="299">
        <v>0</v>
      </c>
      <c r="R374" s="299">
        <v>0</v>
      </c>
      <c r="S374" s="299">
        <v>0</v>
      </c>
      <c r="T374" s="299">
        <v>0</v>
      </c>
      <c r="U374" s="299">
        <v>0</v>
      </c>
      <c r="V374" s="299">
        <v>0</v>
      </c>
      <c r="W374" s="299">
        <v>0</v>
      </c>
      <c r="X374" s="295">
        <f t="shared" si="17"/>
        <v>0</v>
      </c>
      <c r="AJ374" s="276"/>
    </row>
    <row r="375" spans="1:36" ht="15" customHeight="1">
      <c r="A375" s="550"/>
      <c r="B375" s="347" t="s">
        <v>678</v>
      </c>
      <c r="C375" s="299">
        <v>0</v>
      </c>
      <c r="D375" s="299">
        <v>0</v>
      </c>
      <c r="E375" s="299">
        <v>0</v>
      </c>
      <c r="F375" s="299">
        <v>0</v>
      </c>
      <c r="G375" s="299">
        <v>0</v>
      </c>
      <c r="H375" s="299">
        <v>0</v>
      </c>
      <c r="I375" s="299">
        <v>0</v>
      </c>
      <c r="J375" s="299">
        <v>0</v>
      </c>
      <c r="K375" s="299">
        <v>0</v>
      </c>
      <c r="L375" s="299">
        <v>0</v>
      </c>
      <c r="M375" s="299">
        <v>0</v>
      </c>
      <c r="N375" s="299">
        <v>0</v>
      </c>
      <c r="O375" s="299">
        <v>0</v>
      </c>
      <c r="P375" s="299">
        <v>0</v>
      </c>
      <c r="Q375" s="299">
        <v>0</v>
      </c>
      <c r="R375" s="299">
        <v>0</v>
      </c>
      <c r="S375" s="299">
        <v>0</v>
      </c>
      <c r="T375" s="299">
        <v>0</v>
      </c>
      <c r="U375" s="299">
        <v>0</v>
      </c>
      <c r="V375" s="299">
        <v>0</v>
      </c>
      <c r="W375" s="299">
        <v>0</v>
      </c>
      <c r="X375" s="295">
        <f t="shared" si="17"/>
        <v>0</v>
      </c>
      <c r="AJ375" s="276"/>
    </row>
    <row r="376" spans="1:36" ht="15" customHeight="1">
      <c r="A376" s="550"/>
      <c r="B376" s="347" t="s">
        <v>679</v>
      </c>
      <c r="C376" s="299">
        <v>0</v>
      </c>
      <c r="D376" s="299">
        <v>0</v>
      </c>
      <c r="E376" s="299">
        <v>0</v>
      </c>
      <c r="F376" s="299">
        <v>0</v>
      </c>
      <c r="G376" s="299">
        <v>0</v>
      </c>
      <c r="H376" s="299">
        <v>0</v>
      </c>
      <c r="I376" s="299">
        <v>0</v>
      </c>
      <c r="J376" s="299">
        <v>0</v>
      </c>
      <c r="K376" s="299">
        <v>0</v>
      </c>
      <c r="L376" s="299">
        <v>0</v>
      </c>
      <c r="M376" s="299">
        <v>0</v>
      </c>
      <c r="N376" s="299">
        <v>0</v>
      </c>
      <c r="O376" s="299">
        <v>0</v>
      </c>
      <c r="P376" s="299">
        <v>0</v>
      </c>
      <c r="Q376" s="299">
        <v>0</v>
      </c>
      <c r="R376" s="299">
        <v>0</v>
      </c>
      <c r="S376" s="299">
        <v>0</v>
      </c>
      <c r="T376" s="299">
        <v>0</v>
      </c>
      <c r="U376" s="299">
        <v>0</v>
      </c>
      <c r="V376" s="299">
        <v>0</v>
      </c>
      <c r="W376" s="299">
        <v>0</v>
      </c>
      <c r="X376" s="295">
        <f t="shared" si="17"/>
        <v>0</v>
      </c>
      <c r="AJ376" s="276"/>
    </row>
    <row r="377" spans="1:36" ht="15" customHeight="1">
      <c r="A377" s="550"/>
      <c r="B377" s="347" t="s">
        <v>680</v>
      </c>
      <c r="C377" s="299">
        <v>0</v>
      </c>
      <c r="D377" s="299">
        <v>0</v>
      </c>
      <c r="E377" s="299">
        <v>0</v>
      </c>
      <c r="F377" s="299">
        <v>0</v>
      </c>
      <c r="G377" s="299">
        <v>0</v>
      </c>
      <c r="H377" s="299">
        <v>0</v>
      </c>
      <c r="I377" s="299">
        <v>0</v>
      </c>
      <c r="J377" s="299">
        <v>0</v>
      </c>
      <c r="K377" s="299">
        <v>0</v>
      </c>
      <c r="L377" s="299">
        <v>0</v>
      </c>
      <c r="M377" s="299">
        <v>0</v>
      </c>
      <c r="N377" s="299">
        <v>0</v>
      </c>
      <c r="O377" s="299">
        <v>0</v>
      </c>
      <c r="P377" s="299">
        <v>0</v>
      </c>
      <c r="Q377" s="299">
        <v>0</v>
      </c>
      <c r="R377" s="299">
        <v>0</v>
      </c>
      <c r="S377" s="299">
        <v>0</v>
      </c>
      <c r="T377" s="299">
        <v>0</v>
      </c>
      <c r="U377" s="299">
        <v>0</v>
      </c>
      <c r="V377" s="299">
        <v>0</v>
      </c>
      <c r="W377" s="299">
        <v>0</v>
      </c>
      <c r="X377" s="295">
        <f t="shared" si="17"/>
        <v>0</v>
      </c>
      <c r="AJ377" s="276"/>
    </row>
    <row r="378" spans="1:36" ht="15" customHeight="1">
      <c r="A378" s="550"/>
      <c r="B378" s="347" t="s">
        <v>681</v>
      </c>
      <c r="C378" s="299">
        <v>0</v>
      </c>
      <c r="D378" s="299">
        <v>0</v>
      </c>
      <c r="E378" s="299">
        <v>0</v>
      </c>
      <c r="F378" s="299">
        <v>0</v>
      </c>
      <c r="G378" s="299">
        <v>0</v>
      </c>
      <c r="H378" s="299">
        <v>0</v>
      </c>
      <c r="I378" s="299">
        <v>0</v>
      </c>
      <c r="J378" s="299">
        <v>0</v>
      </c>
      <c r="K378" s="299">
        <v>0</v>
      </c>
      <c r="L378" s="299">
        <v>0</v>
      </c>
      <c r="M378" s="299">
        <v>0</v>
      </c>
      <c r="N378" s="299">
        <v>0</v>
      </c>
      <c r="O378" s="299">
        <v>0</v>
      </c>
      <c r="P378" s="299">
        <v>0</v>
      </c>
      <c r="Q378" s="299">
        <v>0</v>
      </c>
      <c r="R378" s="299">
        <v>0</v>
      </c>
      <c r="S378" s="299">
        <v>0</v>
      </c>
      <c r="T378" s="299">
        <v>0</v>
      </c>
      <c r="U378" s="299">
        <v>0</v>
      </c>
      <c r="V378" s="299">
        <v>0</v>
      </c>
      <c r="W378" s="299">
        <v>0</v>
      </c>
      <c r="X378" s="295">
        <f t="shared" si="17"/>
        <v>0</v>
      </c>
      <c r="AJ378" s="276"/>
    </row>
    <row r="379" spans="1:36" ht="15" customHeight="1">
      <c r="A379" s="550"/>
      <c r="B379" s="347" t="s">
        <v>944</v>
      </c>
      <c r="C379" s="299">
        <v>0</v>
      </c>
      <c r="D379" s="299">
        <v>0</v>
      </c>
      <c r="E379" s="299">
        <v>0</v>
      </c>
      <c r="F379" s="299">
        <v>0</v>
      </c>
      <c r="G379" s="299">
        <v>0</v>
      </c>
      <c r="H379" s="299">
        <v>0</v>
      </c>
      <c r="I379" s="299">
        <v>0</v>
      </c>
      <c r="J379" s="299">
        <v>0</v>
      </c>
      <c r="K379" s="299">
        <v>0</v>
      </c>
      <c r="L379" s="299">
        <v>0</v>
      </c>
      <c r="M379" s="299">
        <v>0</v>
      </c>
      <c r="N379" s="299">
        <v>0</v>
      </c>
      <c r="O379" s="299">
        <v>0</v>
      </c>
      <c r="P379" s="299">
        <v>0</v>
      </c>
      <c r="Q379" s="299">
        <v>0</v>
      </c>
      <c r="R379" s="299">
        <v>0</v>
      </c>
      <c r="S379" s="299">
        <v>0</v>
      </c>
      <c r="T379" s="299">
        <v>0</v>
      </c>
      <c r="U379" s="299">
        <v>0</v>
      </c>
      <c r="V379" s="299">
        <v>0</v>
      </c>
      <c r="W379" s="299">
        <v>0</v>
      </c>
      <c r="X379" s="295">
        <f t="shared" si="17"/>
        <v>0</v>
      </c>
      <c r="AJ379" s="276"/>
    </row>
    <row r="380" spans="1:36" ht="15" customHeight="1">
      <c r="A380" s="550"/>
      <c r="B380" s="347" t="s">
        <v>945</v>
      </c>
      <c r="C380" s="299">
        <v>0</v>
      </c>
      <c r="D380" s="299">
        <v>0</v>
      </c>
      <c r="E380" s="299">
        <v>0</v>
      </c>
      <c r="F380" s="299">
        <v>0</v>
      </c>
      <c r="G380" s="299">
        <v>0</v>
      </c>
      <c r="H380" s="299">
        <v>0</v>
      </c>
      <c r="I380" s="299">
        <v>0</v>
      </c>
      <c r="J380" s="299">
        <v>0</v>
      </c>
      <c r="K380" s="299">
        <v>0</v>
      </c>
      <c r="L380" s="299">
        <v>0</v>
      </c>
      <c r="M380" s="299">
        <v>0</v>
      </c>
      <c r="N380" s="299">
        <v>0</v>
      </c>
      <c r="O380" s="299">
        <v>0</v>
      </c>
      <c r="P380" s="299">
        <v>0</v>
      </c>
      <c r="Q380" s="299">
        <v>0</v>
      </c>
      <c r="R380" s="299">
        <v>0</v>
      </c>
      <c r="S380" s="299">
        <v>0</v>
      </c>
      <c r="T380" s="299">
        <v>0</v>
      </c>
      <c r="U380" s="299">
        <v>0</v>
      </c>
      <c r="V380" s="299">
        <v>0</v>
      </c>
      <c r="W380" s="299">
        <v>0</v>
      </c>
      <c r="X380" s="295">
        <f t="shared" si="17"/>
        <v>0</v>
      </c>
      <c r="AJ380" s="276"/>
    </row>
    <row r="381" spans="1:36" ht="15" customHeight="1" thickBot="1">
      <c r="A381" s="550"/>
      <c r="B381" s="347" t="s">
        <v>948</v>
      </c>
      <c r="C381" s="299">
        <v>0</v>
      </c>
      <c r="D381" s="299">
        <v>0</v>
      </c>
      <c r="E381" s="299">
        <v>0</v>
      </c>
      <c r="F381" s="299">
        <v>0</v>
      </c>
      <c r="G381" s="299">
        <v>0</v>
      </c>
      <c r="H381" s="299">
        <v>0</v>
      </c>
      <c r="I381" s="299">
        <v>0</v>
      </c>
      <c r="J381" s="299">
        <v>0</v>
      </c>
      <c r="K381" s="299">
        <v>0</v>
      </c>
      <c r="L381" s="299">
        <v>0</v>
      </c>
      <c r="M381" s="299">
        <v>0</v>
      </c>
      <c r="N381" s="299">
        <v>0</v>
      </c>
      <c r="O381" s="299">
        <v>0</v>
      </c>
      <c r="P381" s="299">
        <v>0</v>
      </c>
      <c r="Q381" s="299">
        <v>0</v>
      </c>
      <c r="R381" s="299">
        <v>0</v>
      </c>
      <c r="S381" s="299">
        <v>0</v>
      </c>
      <c r="T381" s="299">
        <v>0</v>
      </c>
      <c r="U381" s="299">
        <v>0</v>
      </c>
      <c r="V381" s="299">
        <v>0</v>
      </c>
      <c r="W381" s="299">
        <v>0</v>
      </c>
      <c r="X381" s="295">
        <f t="shared" si="17"/>
        <v>0</v>
      </c>
      <c r="AJ381" s="276"/>
    </row>
    <row r="382" spans="1:36" ht="15" customHeight="1">
      <c r="A382" s="549" t="s">
        <v>950</v>
      </c>
      <c r="B382" s="347" t="s">
        <v>665</v>
      </c>
      <c r="C382" s="299">
        <v>0</v>
      </c>
      <c r="D382" s="299">
        <v>0</v>
      </c>
      <c r="E382" s="299">
        <v>0</v>
      </c>
      <c r="F382" s="299">
        <v>0</v>
      </c>
      <c r="G382" s="299">
        <v>0</v>
      </c>
      <c r="H382" s="299">
        <v>0</v>
      </c>
      <c r="I382" s="299">
        <v>0</v>
      </c>
      <c r="J382" s="299">
        <v>0</v>
      </c>
      <c r="K382" s="299">
        <v>0</v>
      </c>
      <c r="L382" s="299">
        <v>0</v>
      </c>
      <c r="M382" s="299">
        <v>0</v>
      </c>
      <c r="N382" s="299">
        <v>0</v>
      </c>
      <c r="O382" s="299">
        <v>0</v>
      </c>
      <c r="P382" s="299">
        <v>0</v>
      </c>
      <c r="Q382" s="299">
        <v>0</v>
      </c>
      <c r="R382" s="299">
        <v>0</v>
      </c>
      <c r="S382" s="299">
        <v>0</v>
      </c>
      <c r="T382" s="299">
        <v>0</v>
      </c>
      <c r="U382" s="299">
        <v>0</v>
      </c>
      <c r="V382" s="299">
        <v>0</v>
      </c>
      <c r="W382" s="299">
        <v>0</v>
      </c>
      <c r="X382" s="295">
        <f t="shared" si="17"/>
        <v>0</v>
      </c>
      <c r="AJ382" s="276"/>
    </row>
    <row r="383" spans="1:36" ht="15" customHeight="1">
      <c r="A383" s="550"/>
      <c r="B383" s="347" t="s">
        <v>666</v>
      </c>
      <c r="C383" s="299">
        <v>0</v>
      </c>
      <c r="D383" s="299">
        <v>0</v>
      </c>
      <c r="E383" s="299">
        <v>0</v>
      </c>
      <c r="F383" s="299">
        <v>0</v>
      </c>
      <c r="G383" s="299">
        <v>0</v>
      </c>
      <c r="H383" s="299">
        <v>0</v>
      </c>
      <c r="I383" s="299">
        <v>0</v>
      </c>
      <c r="J383" s="299">
        <v>0</v>
      </c>
      <c r="K383" s="299">
        <v>0</v>
      </c>
      <c r="L383" s="299">
        <v>0</v>
      </c>
      <c r="M383" s="299">
        <v>0</v>
      </c>
      <c r="N383" s="299">
        <v>0</v>
      </c>
      <c r="O383" s="299">
        <v>0</v>
      </c>
      <c r="P383" s="299">
        <v>0</v>
      </c>
      <c r="Q383" s="299">
        <v>0</v>
      </c>
      <c r="R383" s="299">
        <v>0</v>
      </c>
      <c r="S383" s="299">
        <v>0</v>
      </c>
      <c r="T383" s="299">
        <v>0</v>
      </c>
      <c r="U383" s="299">
        <v>0</v>
      </c>
      <c r="V383" s="299">
        <v>0</v>
      </c>
      <c r="W383" s="299">
        <v>0</v>
      </c>
      <c r="X383" s="295">
        <f t="shared" si="17"/>
        <v>0</v>
      </c>
      <c r="AJ383" s="276"/>
    </row>
    <row r="384" spans="1:36" ht="15" customHeight="1">
      <c r="A384" s="550"/>
      <c r="B384" s="347" t="s">
        <v>667</v>
      </c>
      <c r="C384" s="299">
        <v>0</v>
      </c>
      <c r="D384" s="299">
        <v>0</v>
      </c>
      <c r="E384" s="299">
        <v>0</v>
      </c>
      <c r="F384" s="299">
        <v>0</v>
      </c>
      <c r="G384" s="299">
        <v>0</v>
      </c>
      <c r="H384" s="299">
        <v>0</v>
      </c>
      <c r="I384" s="299">
        <v>0</v>
      </c>
      <c r="J384" s="299">
        <v>0</v>
      </c>
      <c r="K384" s="299">
        <v>0</v>
      </c>
      <c r="L384" s="299">
        <v>0</v>
      </c>
      <c r="M384" s="299">
        <v>0</v>
      </c>
      <c r="N384" s="299">
        <v>0</v>
      </c>
      <c r="O384" s="299">
        <v>0</v>
      </c>
      <c r="P384" s="299">
        <v>0</v>
      </c>
      <c r="Q384" s="299">
        <v>0</v>
      </c>
      <c r="R384" s="299">
        <v>0</v>
      </c>
      <c r="S384" s="299">
        <v>0</v>
      </c>
      <c r="T384" s="299">
        <v>0</v>
      </c>
      <c r="U384" s="299">
        <v>0</v>
      </c>
      <c r="V384" s="299">
        <v>0</v>
      </c>
      <c r="W384" s="299">
        <v>0</v>
      </c>
      <c r="X384" s="295">
        <f t="shared" si="17"/>
        <v>0</v>
      </c>
      <c r="AJ384" s="276"/>
    </row>
    <row r="385" spans="1:36" ht="15" customHeight="1">
      <c r="A385" s="550"/>
      <c r="B385" s="347" t="s">
        <v>668</v>
      </c>
      <c r="C385" s="299">
        <v>0</v>
      </c>
      <c r="D385" s="299">
        <v>0</v>
      </c>
      <c r="E385" s="299">
        <v>0</v>
      </c>
      <c r="F385" s="299">
        <v>0</v>
      </c>
      <c r="G385" s="299">
        <v>0</v>
      </c>
      <c r="H385" s="299">
        <v>0</v>
      </c>
      <c r="I385" s="299">
        <v>0</v>
      </c>
      <c r="J385" s="299">
        <v>0</v>
      </c>
      <c r="K385" s="299">
        <v>0</v>
      </c>
      <c r="L385" s="299">
        <v>0</v>
      </c>
      <c r="M385" s="299">
        <v>0</v>
      </c>
      <c r="N385" s="299">
        <v>0</v>
      </c>
      <c r="O385" s="299">
        <v>0</v>
      </c>
      <c r="P385" s="299">
        <v>0</v>
      </c>
      <c r="Q385" s="299">
        <v>0</v>
      </c>
      <c r="R385" s="299">
        <v>0</v>
      </c>
      <c r="S385" s="299">
        <v>0</v>
      </c>
      <c r="T385" s="299">
        <v>0</v>
      </c>
      <c r="U385" s="299">
        <v>0</v>
      </c>
      <c r="V385" s="299">
        <v>0</v>
      </c>
      <c r="W385" s="299">
        <v>0</v>
      </c>
      <c r="X385" s="295">
        <f t="shared" si="17"/>
        <v>0</v>
      </c>
      <c r="AJ385" s="276"/>
    </row>
    <row r="386" spans="1:36" ht="15" customHeight="1">
      <c r="A386" s="550"/>
      <c r="B386" s="347" t="s">
        <v>669</v>
      </c>
      <c r="C386" s="299">
        <v>0</v>
      </c>
      <c r="D386" s="299">
        <v>0</v>
      </c>
      <c r="E386" s="299">
        <v>0</v>
      </c>
      <c r="F386" s="299">
        <v>0</v>
      </c>
      <c r="G386" s="299">
        <v>0</v>
      </c>
      <c r="H386" s="299">
        <v>0</v>
      </c>
      <c r="I386" s="299">
        <v>0</v>
      </c>
      <c r="J386" s="299">
        <v>0</v>
      </c>
      <c r="K386" s="299">
        <v>0</v>
      </c>
      <c r="L386" s="299">
        <v>0</v>
      </c>
      <c r="M386" s="299">
        <v>0</v>
      </c>
      <c r="N386" s="299">
        <v>0</v>
      </c>
      <c r="O386" s="299">
        <v>0</v>
      </c>
      <c r="P386" s="299">
        <v>0</v>
      </c>
      <c r="Q386" s="299">
        <v>0</v>
      </c>
      <c r="R386" s="299">
        <v>0</v>
      </c>
      <c r="S386" s="299">
        <v>0</v>
      </c>
      <c r="T386" s="299">
        <v>0</v>
      </c>
      <c r="U386" s="299">
        <v>0</v>
      </c>
      <c r="V386" s="299">
        <v>0</v>
      </c>
      <c r="W386" s="299">
        <v>0</v>
      </c>
      <c r="X386" s="295">
        <f t="shared" si="17"/>
        <v>0</v>
      </c>
      <c r="AJ386" s="276"/>
    </row>
    <row r="387" spans="1:36" ht="15" customHeight="1">
      <c r="A387" s="550"/>
      <c r="B387" s="347" t="s">
        <v>670</v>
      </c>
      <c r="C387" s="299">
        <v>0</v>
      </c>
      <c r="D387" s="299">
        <v>0</v>
      </c>
      <c r="E387" s="299">
        <v>0</v>
      </c>
      <c r="F387" s="299">
        <v>0</v>
      </c>
      <c r="G387" s="299">
        <v>0</v>
      </c>
      <c r="H387" s="299">
        <v>0</v>
      </c>
      <c r="I387" s="299">
        <v>0</v>
      </c>
      <c r="J387" s="299">
        <v>0</v>
      </c>
      <c r="K387" s="299">
        <v>0</v>
      </c>
      <c r="L387" s="299">
        <v>0</v>
      </c>
      <c r="M387" s="299">
        <v>0</v>
      </c>
      <c r="N387" s="299">
        <v>0</v>
      </c>
      <c r="O387" s="299">
        <v>0</v>
      </c>
      <c r="P387" s="299">
        <v>0</v>
      </c>
      <c r="Q387" s="299">
        <v>0</v>
      </c>
      <c r="R387" s="299">
        <v>0</v>
      </c>
      <c r="S387" s="299">
        <v>0</v>
      </c>
      <c r="T387" s="299">
        <v>0</v>
      </c>
      <c r="U387" s="299">
        <v>0</v>
      </c>
      <c r="V387" s="299">
        <v>0</v>
      </c>
      <c r="W387" s="299">
        <v>0</v>
      </c>
      <c r="X387" s="295">
        <f t="shared" si="17"/>
        <v>0</v>
      </c>
      <c r="AJ387" s="276"/>
    </row>
    <row r="388" spans="1:36" ht="15" customHeight="1">
      <c r="A388" s="550"/>
      <c r="B388" s="347" t="s">
        <v>671</v>
      </c>
      <c r="C388" s="299">
        <v>0</v>
      </c>
      <c r="D388" s="299">
        <v>0</v>
      </c>
      <c r="E388" s="299">
        <v>0</v>
      </c>
      <c r="F388" s="299">
        <v>0</v>
      </c>
      <c r="G388" s="299">
        <v>0</v>
      </c>
      <c r="H388" s="299">
        <v>0</v>
      </c>
      <c r="I388" s="299">
        <v>0</v>
      </c>
      <c r="J388" s="299">
        <v>0</v>
      </c>
      <c r="K388" s="299">
        <v>0</v>
      </c>
      <c r="L388" s="299">
        <v>0</v>
      </c>
      <c r="M388" s="299">
        <v>0</v>
      </c>
      <c r="N388" s="299">
        <v>0</v>
      </c>
      <c r="O388" s="299">
        <v>0</v>
      </c>
      <c r="P388" s="299">
        <v>0</v>
      </c>
      <c r="Q388" s="299">
        <v>0</v>
      </c>
      <c r="R388" s="299">
        <v>0</v>
      </c>
      <c r="S388" s="299">
        <v>0</v>
      </c>
      <c r="T388" s="299">
        <v>0</v>
      </c>
      <c r="U388" s="299">
        <v>0</v>
      </c>
      <c r="V388" s="299">
        <v>0</v>
      </c>
      <c r="W388" s="299">
        <v>0</v>
      </c>
      <c r="X388" s="295">
        <f t="shared" si="17"/>
        <v>0</v>
      </c>
      <c r="AJ388" s="276"/>
    </row>
    <row r="389" spans="1:36" ht="15" customHeight="1">
      <c r="A389" s="550"/>
      <c r="B389" s="347" t="s">
        <v>672</v>
      </c>
      <c r="C389" s="299">
        <v>0</v>
      </c>
      <c r="D389" s="299">
        <v>0</v>
      </c>
      <c r="E389" s="299">
        <v>0</v>
      </c>
      <c r="F389" s="299">
        <v>0</v>
      </c>
      <c r="G389" s="299">
        <v>0</v>
      </c>
      <c r="H389" s="299">
        <v>0</v>
      </c>
      <c r="I389" s="299">
        <v>0</v>
      </c>
      <c r="J389" s="299">
        <v>0</v>
      </c>
      <c r="K389" s="299">
        <v>0</v>
      </c>
      <c r="L389" s="299">
        <v>0</v>
      </c>
      <c r="M389" s="299">
        <v>0</v>
      </c>
      <c r="N389" s="299">
        <v>0</v>
      </c>
      <c r="O389" s="299">
        <v>0</v>
      </c>
      <c r="P389" s="299">
        <v>0</v>
      </c>
      <c r="Q389" s="299">
        <v>0</v>
      </c>
      <c r="R389" s="299">
        <v>0</v>
      </c>
      <c r="S389" s="299">
        <v>0</v>
      </c>
      <c r="T389" s="299">
        <v>0</v>
      </c>
      <c r="U389" s="299">
        <v>0</v>
      </c>
      <c r="V389" s="299">
        <v>0</v>
      </c>
      <c r="W389" s="299">
        <v>0</v>
      </c>
      <c r="X389" s="295">
        <f t="shared" si="17"/>
        <v>0</v>
      </c>
      <c r="AJ389" s="276"/>
    </row>
    <row r="390" spans="1:36" ht="15" customHeight="1">
      <c r="A390" s="550"/>
      <c r="B390" s="347" t="s">
        <v>673</v>
      </c>
      <c r="C390" s="299">
        <v>0</v>
      </c>
      <c r="D390" s="299">
        <v>0</v>
      </c>
      <c r="E390" s="299">
        <v>0</v>
      </c>
      <c r="F390" s="299">
        <v>0</v>
      </c>
      <c r="G390" s="299">
        <v>0</v>
      </c>
      <c r="H390" s="299">
        <v>0</v>
      </c>
      <c r="I390" s="299">
        <v>0</v>
      </c>
      <c r="J390" s="299">
        <v>0</v>
      </c>
      <c r="K390" s="299">
        <v>0</v>
      </c>
      <c r="L390" s="299">
        <v>0</v>
      </c>
      <c r="M390" s="299">
        <v>0</v>
      </c>
      <c r="N390" s="299">
        <v>0</v>
      </c>
      <c r="O390" s="299">
        <v>0</v>
      </c>
      <c r="P390" s="299">
        <v>0</v>
      </c>
      <c r="Q390" s="299">
        <v>0</v>
      </c>
      <c r="R390" s="299">
        <v>0</v>
      </c>
      <c r="S390" s="299">
        <v>0</v>
      </c>
      <c r="T390" s="299">
        <v>0</v>
      </c>
      <c r="U390" s="299">
        <v>0</v>
      </c>
      <c r="V390" s="299">
        <v>0</v>
      </c>
      <c r="W390" s="299">
        <v>0</v>
      </c>
      <c r="X390" s="295">
        <f t="shared" si="17"/>
        <v>0</v>
      </c>
      <c r="AJ390" s="276"/>
    </row>
    <row r="391" spans="1:36" ht="15" customHeight="1">
      <c r="A391" s="550"/>
      <c r="B391" s="347" t="s">
        <v>674</v>
      </c>
      <c r="C391" s="299">
        <v>0</v>
      </c>
      <c r="D391" s="299">
        <v>0</v>
      </c>
      <c r="E391" s="299">
        <v>0</v>
      </c>
      <c r="F391" s="299">
        <v>0</v>
      </c>
      <c r="G391" s="299">
        <v>0</v>
      </c>
      <c r="H391" s="299">
        <v>0</v>
      </c>
      <c r="I391" s="299">
        <v>0</v>
      </c>
      <c r="J391" s="299">
        <v>0</v>
      </c>
      <c r="K391" s="299">
        <v>0</v>
      </c>
      <c r="L391" s="299">
        <v>0</v>
      </c>
      <c r="M391" s="299">
        <v>0</v>
      </c>
      <c r="N391" s="299">
        <v>0</v>
      </c>
      <c r="O391" s="299">
        <v>0</v>
      </c>
      <c r="P391" s="299">
        <v>0</v>
      </c>
      <c r="Q391" s="299">
        <v>0</v>
      </c>
      <c r="R391" s="299">
        <v>0</v>
      </c>
      <c r="S391" s="299">
        <v>0</v>
      </c>
      <c r="T391" s="299">
        <v>0</v>
      </c>
      <c r="U391" s="299">
        <v>0</v>
      </c>
      <c r="V391" s="299">
        <v>0</v>
      </c>
      <c r="W391" s="299">
        <v>0</v>
      </c>
      <c r="X391" s="295">
        <f t="shared" si="17"/>
        <v>0</v>
      </c>
      <c r="AJ391" s="276"/>
    </row>
    <row r="392" spans="1:36" ht="15" customHeight="1">
      <c r="A392" s="550"/>
      <c r="B392" s="347" t="s">
        <v>675</v>
      </c>
      <c r="C392" s="299">
        <v>0</v>
      </c>
      <c r="D392" s="299">
        <v>0</v>
      </c>
      <c r="E392" s="299">
        <v>0</v>
      </c>
      <c r="F392" s="299">
        <v>0</v>
      </c>
      <c r="G392" s="299">
        <v>0</v>
      </c>
      <c r="H392" s="299">
        <v>0</v>
      </c>
      <c r="I392" s="299">
        <v>0</v>
      </c>
      <c r="J392" s="299">
        <v>0</v>
      </c>
      <c r="K392" s="299">
        <v>0</v>
      </c>
      <c r="L392" s="299">
        <v>0</v>
      </c>
      <c r="M392" s="299">
        <v>0</v>
      </c>
      <c r="N392" s="299">
        <v>0</v>
      </c>
      <c r="O392" s="299">
        <v>0</v>
      </c>
      <c r="P392" s="299">
        <v>0</v>
      </c>
      <c r="Q392" s="299">
        <v>0</v>
      </c>
      <c r="R392" s="299">
        <v>0</v>
      </c>
      <c r="S392" s="299">
        <v>0</v>
      </c>
      <c r="T392" s="299">
        <v>0</v>
      </c>
      <c r="U392" s="299">
        <v>0</v>
      </c>
      <c r="V392" s="299">
        <v>0</v>
      </c>
      <c r="W392" s="299">
        <v>0</v>
      </c>
      <c r="X392" s="295">
        <f t="shared" si="17"/>
        <v>0</v>
      </c>
      <c r="AJ392" s="276"/>
    </row>
    <row r="393" spans="1:36" ht="15" customHeight="1">
      <c r="A393" s="550"/>
      <c r="B393" s="347" t="s">
        <v>676</v>
      </c>
      <c r="C393" s="299">
        <v>0</v>
      </c>
      <c r="D393" s="299">
        <v>0</v>
      </c>
      <c r="E393" s="299">
        <v>0</v>
      </c>
      <c r="F393" s="299">
        <v>0</v>
      </c>
      <c r="G393" s="299">
        <v>0</v>
      </c>
      <c r="H393" s="299">
        <v>0</v>
      </c>
      <c r="I393" s="299">
        <v>0</v>
      </c>
      <c r="J393" s="299">
        <v>0</v>
      </c>
      <c r="K393" s="299">
        <v>0</v>
      </c>
      <c r="L393" s="299">
        <v>0</v>
      </c>
      <c r="M393" s="299">
        <v>0</v>
      </c>
      <c r="N393" s="299">
        <v>0</v>
      </c>
      <c r="O393" s="299">
        <v>0</v>
      </c>
      <c r="P393" s="299">
        <v>0</v>
      </c>
      <c r="Q393" s="299">
        <v>0</v>
      </c>
      <c r="R393" s="299">
        <v>0</v>
      </c>
      <c r="S393" s="299">
        <v>0</v>
      </c>
      <c r="T393" s="299">
        <v>0</v>
      </c>
      <c r="U393" s="299">
        <v>0</v>
      </c>
      <c r="V393" s="299">
        <v>0</v>
      </c>
      <c r="W393" s="299">
        <v>0</v>
      </c>
      <c r="X393" s="295">
        <f t="shared" si="17"/>
        <v>0</v>
      </c>
      <c r="AJ393" s="276"/>
    </row>
    <row r="394" spans="1:36" ht="15" customHeight="1">
      <c r="A394" s="550"/>
      <c r="B394" s="347" t="s">
        <v>677</v>
      </c>
      <c r="C394" s="299">
        <v>0</v>
      </c>
      <c r="D394" s="299">
        <v>0</v>
      </c>
      <c r="E394" s="299">
        <v>0</v>
      </c>
      <c r="F394" s="299">
        <v>0</v>
      </c>
      <c r="G394" s="299">
        <v>0</v>
      </c>
      <c r="H394" s="299">
        <v>0</v>
      </c>
      <c r="I394" s="299">
        <v>0</v>
      </c>
      <c r="J394" s="299">
        <v>0</v>
      </c>
      <c r="K394" s="299">
        <v>0</v>
      </c>
      <c r="L394" s="299">
        <v>0</v>
      </c>
      <c r="M394" s="299">
        <v>0</v>
      </c>
      <c r="N394" s="299">
        <v>0</v>
      </c>
      <c r="O394" s="299">
        <v>0</v>
      </c>
      <c r="P394" s="299">
        <v>0</v>
      </c>
      <c r="Q394" s="299">
        <v>0</v>
      </c>
      <c r="R394" s="299">
        <v>0</v>
      </c>
      <c r="S394" s="299">
        <v>0</v>
      </c>
      <c r="T394" s="299">
        <v>0</v>
      </c>
      <c r="U394" s="299">
        <v>0</v>
      </c>
      <c r="V394" s="299">
        <v>0</v>
      </c>
      <c r="W394" s="299">
        <v>0</v>
      </c>
      <c r="X394" s="295">
        <f t="shared" si="17"/>
        <v>0</v>
      </c>
      <c r="AJ394" s="276"/>
    </row>
    <row r="395" spans="1:36" ht="15" customHeight="1">
      <c r="A395" s="550"/>
      <c r="B395" s="347" t="s">
        <v>678</v>
      </c>
      <c r="C395" s="299">
        <v>0</v>
      </c>
      <c r="D395" s="299">
        <v>0</v>
      </c>
      <c r="E395" s="299">
        <v>0</v>
      </c>
      <c r="F395" s="299">
        <v>0</v>
      </c>
      <c r="G395" s="299">
        <v>0</v>
      </c>
      <c r="H395" s="299">
        <v>0</v>
      </c>
      <c r="I395" s="299">
        <v>0</v>
      </c>
      <c r="J395" s="299">
        <v>0</v>
      </c>
      <c r="K395" s="299">
        <v>0</v>
      </c>
      <c r="L395" s="299">
        <v>0</v>
      </c>
      <c r="M395" s="299">
        <v>0</v>
      </c>
      <c r="N395" s="299">
        <v>0</v>
      </c>
      <c r="O395" s="299">
        <v>0</v>
      </c>
      <c r="P395" s="299">
        <v>0</v>
      </c>
      <c r="Q395" s="299">
        <v>0</v>
      </c>
      <c r="R395" s="299">
        <v>0</v>
      </c>
      <c r="S395" s="299">
        <v>0</v>
      </c>
      <c r="T395" s="299">
        <v>0</v>
      </c>
      <c r="U395" s="299">
        <v>0</v>
      </c>
      <c r="V395" s="299">
        <v>0</v>
      </c>
      <c r="W395" s="299">
        <v>0</v>
      </c>
      <c r="X395" s="295">
        <f t="shared" si="17"/>
        <v>0</v>
      </c>
      <c r="AJ395" s="276"/>
    </row>
    <row r="396" spans="1:36" ht="15" customHeight="1">
      <c r="A396" s="550"/>
      <c r="B396" s="347" t="s">
        <v>679</v>
      </c>
      <c r="C396" s="299">
        <v>0</v>
      </c>
      <c r="D396" s="299">
        <v>0</v>
      </c>
      <c r="E396" s="299">
        <v>0</v>
      </c>
      <c r="F396" s="299">
        <v>0</v>
      </c>
      <c r="G396" s="299">
        <v>0</v>
      </c>
      <c r="H396" s="299">
        <v>0</v>
      </c>
      <c r="I396" s="299">
        <v>0</v>
      </c>
      <c r="J396" s="299">
        <v>0</v>
      </c>
      <c r="K396" s="299">
        <v>0</v>
      </c>
      <c r="L396" s="299">
        <v>0</v>
      </c>
      <c r="M396" s="299">
        <v>0</v>
      </c>
      <c r="N396" s="299">
        <v>0</v>
      </c>
      <c r="O396" s="299">
        <v>0</v>
      </c>
      <c r="P396" s="299">
        <v>0</v>
      </c>
      <c r="Q396" s="299">
        <v>0</v>
      </c>
      <c r="R396" s="299">
        <v>0</v>
      </c>
      <c r="S396" s="299">
        <v>0</v>
      </c>
      <c r="T396" s="299">
        <v>0</v>
      </c>
      <c r="U396" s="299">
        <v>0</v>
      </c>
      <c r="V396" s="299">
        <v>0</v>
      </c>
      <c r="W396" s="299">
        <v>0</v>
      </c>
      <c r="X396" s="295">
        <f t="shared" si="17"/>
        <v>0</v>
      </c>
      <c r="AJ396" s="276"/>
    </row>
    <row r="397" spans="1:36" ht="15" customHeight="1">
      <c r="A397" s="550"/>
      <c r="B397" s="347" t="s">
        <v>680</v>
      </c>
      <c r="C397" s="299">
        <v>0</v>
      </c>
      <c r="D397" s="299">
        <v>0</v>
      </c>
      <c r="E397" s="299">
        <v>0</v>
      </c>
      <c r="F397" s="299">
        <v>0</v>
      </c>
      <c r="G397" s="299">
        <v>0</v>
      </c>
      <c r="H397" s="299">
        <v>0</v>
      </c>
      <c r="I397" s="299">
        <v>0</v>
      </c>
      <c r="J397" s="299">
        <v>0</v>
      </c>
      <c r="K397" s="299">
        <v>0</v>
      </c>
      <c r="L397" s="299">
        <v>0</v>
      </c>
      <c r="M397" s="299">
        <v>0</v>
      </c>
      <c r="N397" s="299">
        <v>0</v>
      </c>
      <c r="O397" s="299">
        <v>0</v>
      </c>
      <c r="P397" s="299">
        <v>0</v>
      </c>
      <c r="Q397" s="299">
        <v>0</v>
      </c>
      <c r="R397" s="299">
        <v>0</v>
      </c>
      <c r="S397" s="299">
        <v>0</v>
      </c>
      <c r="T397" s="299">
        <v>0</v>
      </c>
      <c r="U397" s="299">
        <v>0</v>
      </c>
      <c r="V397" s="299">
        <v>0</v>
      </c>
      <c r="W397" s="299">
        <v>0</v>
      </c>
      <c r="X397" s="295">
        <f t="shared" si="17"/>
        <v>0</v>
      </c>
      <c r="AJ397" s="276"/>
    </row>
    <row r="398" spans="1:36" ht="15" customHeight="1">
      <c r="A398" s="550"/>
      <c r="B398" s="347" t="s">
        <v>681</v>
      </c>
      <c r="C398" s="299">
        <v>0</v>
      </c>
      <c r="D398" s="299">
        <v>0</v>
      </c>
      <c r="E398" s="299">
        <v>0</v>
      </c>
      <c r="F398" s="299">
        <v>0</v>
      </c>
      <c r="G398" s="299">
        <v>0</v>
      </c>
      <c r="H398" s="299">
        <v>0</v>
      </c>
      <c r="I398" s="299">
        <v>0</v>
      </c>
      <c r="J398" s="299">
        <v>0</v>
      </c>
      <c r="K398" s="299">
        <v>0</v>
      </c>
      <c r="L398" s="299">
        <v>0</v>
      </c>
      <c r="M398" s="299">
        <v>0</v>
      </c>
      <c r="N398" s="299">
        <v>0</v>
      </c>
      <c r="O398" s="299">
        <v>0</v>
      </c>
      <c r="P398" s="299">
        <v>0</v>
      </c>
      <c r="Q398" s="299">
        <v>0</v>
      </c>
      <c r="R398" s="299">
        <v>0</v>
      </c>
      <c r="S398" s="299">
        <v>0</v>
      </c>
      <c r="T398" s="299">
        <v>0</v>
      </c>
      <c r="U398" s="299">
        <v>0</v>
      </c>
      <c r="V398" s="299">
        <v>0</v>
      </c>
      <c r="W398" s="299">
        <v>0</v>
      </c>
      <c r="X398" s="295">
        <f t="shared" si="17"/>
        <v>0</v>
      </c>
      <c r="AJ398" s="276"/>
    </row>
    <row r="399" spans="1:36" ht="15" customHeight="1">
      <c r="A399" s="550"/>
      <c r="B399" s="347" t="s">
        <v>944</v>
      </c>
      <c r="C399" s="299">
        <v>0</v>
      </c>
      <c r="D399" s="299">
        <v>0</v>
      </c>
      <c r="E399" s="299">
        <v>0</v>
      </c>
      <c r="F399" s="299">
        <v>0</v>
      </c>
      <c r="G399" s="299">
        <v>0</v>
      </c>
      <c r="H399" s="299">
        <v>0</v>
      </c>
      <c r="I399" s="299">
        <v>0</v>
      </c>
      <c r="J399" s="299">
        <v>0</v>
      </c>
      <c r="K399" s="299">
        <v>0</v>
      </c>
      <c r="L399" s="299">
        <v>0</v>
      </c>
      <c r="M399" s="299">
        <v>0</v>
      </c>
      <c r="N399" s="299">
        <v>0</v>
      </c>
      <c r="O399" s="299">
        <v>0</v>
      </c>
      <c r="P399" s="299">
        <v>0</v>
      </c>
      <c r="Q399" s="299">
        <v>0</v>
      </c>
      <c r="R399" s="299">
        <v>0</v>
      </c>
      <c r="S399" s="299">
        <v>0</v>
      </c>
      <c r="T399" s="299">
        <v>0</v>
      </c>
      <c r="U399" s="299">
        <v>0</v>
      </c>
      <c r="V399" s="299">
        <v>0</v>
      </c>
      <c r="W399" s="299">
        <v>0</v>
      </c>
      <c r="X399" s="295">
        <f t="shared" si="17"/>
        <v>0</v>
      </c>
      <c r="AJ399" s="276"/>
    </row>
    <row r="400" spans="1:36" ht="15" customHeight="1">
      <c r="A400" s="550"/>
      <c r="B400" s="347" t="s">
        <v>945</v>
      </c>
      <c r="C400" s="299">
        <v>0</v>
      </c>
      <c r="D400" s="299">
        <v>0</v>
      </c>
      <c r="E400" s="299">
        <v>0</v>
      </c>
      <c r="F400" s="299">
        <v>0</v>
      </c>
      <c r="G400" s="299">
        <v>0</v>
      </c>
      <c r="H400" s="299">
        <v>0</v>
      </c>
      <c r="I400" s="299">
        <v>0</v>
      </c>
      <c r="J400" s="299">
        <v>0</v>
      </c>
      <c r="K400" s="299">
        <v>0</v>
      </c>
      <c r="L400" s="299">
        <v>0</v>
      </c>
      <c r="M400" s="299">
        <v>0</v>
      </c>
      <c r="N400" s="299">
        <v>0</v>
      </c>
      <c r="O400" s="299">
        <v>0</v>
      </c>
      <c r="P400" s="299">
        <v>0</v>
      </c>
      <c r="Q400" s="299">
        <v>0</v>
      </c>
      <c r="R400" s="299">
        <v>0</v>
      </c>
      <c r="S400" s="299">
        <v>0</v>
      </c>
      <c r="T400" s="299">
        <v>0</v>
      </c>
      <c r="U400" s="299">
        <v>0</v>
      </c>
      <c r="V400" s="299">
        <v>0</v>
      </c>
      <c r="W400" s="299">
        <v>0</v>
      </c>
      <c r="X400" s="295">
        <f t="shared" si="17"/>
        <v>0</v>
      </c>
      <c r="AJ400" s="276"/>
    </row>
    <row r="401" spans="1:36" ht="15" customHeight="1">
      <c r="A401" s="550"/>
      <c r="B401" s="347" t="s">
        <v>946</v>
      </c>
      <c r="C401" s="299">
        <v>0</v>
      </c>
      <c r="D401" s="299">
        <v>0</v>
      </c>
      <c r="E401" s="299">
        <v>0</v>
      </c>
      <c r="F401" s="299">
        <v>0</v>
      </c>
      <c r="G401" s="299">
        <v>0</v>
      </c>
      <c r="H401" s="299">
        <v>0</v>
      </c>
      <c r="I401" s="299">
        <v>0</v>
      </c>
      <c r="J401" s="299">
        <v>0</v>
      </c>
      <c r="K401" s="299">
        <v>0</v>
      </c>
      <c r="L401" s="299">
        <v>0</v>
      </c>
      <c r="M401" s="299">
        <v>0</v>
      </c>
      <c r="N401" s="299">
        <v>0</v>
      </c>
      <c r="O401" s="299">
        <v>0</v>
      </c>
      <c r="P401" s="299">
        <v>0</v>
      </c>
      <c r="Q401" s="299">
        <v>0</v>
      </c>
      <c r="R401" s="299">
        <v>0</v>
      </c>
      <c r="S401" s="299">
        <v>0</v>
      </c>
      <c r="T401" s="299">
        <v>0</v>
      </c>
      <c r="U401" s="299">
        <v>0</v>
      </c>
      <c r="V401" s="299">
        <v>0</v>
      </c>
      <c r="W401" s="299">
        <v>0</v>
      </c>
      <c r="X401" s="295">
        <f t="shared" si="17"/>
        <v>0</v>
      </c>
      <c r="AJ401" s="276"/>
    </row>
    <row r="402" spans="1:36" ht="15" customHeight="1" thickBot="1">
      <c r="A402" s="551"/>
      <c r="B402" s="347" t="s">
        <v>947</v>
      </c>
      <c r="C402" s="299">
        <v>0</v>
      </c>
      <c r="D402" s="299">
        <v>0</v>
      </c>
      <c r="E402" s="299">
        <v>0</v>
      </c>
      <c r="F402" s="299">
        <v>0</v>
      </c>
      <c r="G402" s="299">
        <v>0</v>
      </c>
      <c r="H402" s="299">
        <v>0</v>
      </c>
      <c r="I402" s="299">
        <v>0</v>
      </c>
      <c r="J402" s="299">
        <v>0</v>
      </c>
      <c r="K402" s="299">
        <v>0</v>
      </c>
      <c r="L402" s="299">
        <v>0</v>
      </c>
      <c r="M402" s="299">
        <v>0</v>
      </c>
      <c r="N402" s="299">
        <v>0</v>
      </c>
      <c r="O402" s="299">
        <v>0</v>
      </c>
      <c r="P402" s="299">
        <v>0</v>
      </c>
      <c r="Q402" s="299">
        <v>0</v>
      </c>
      <c r="R402" s="299">
        <v>0</v>
      </c>
      <c r="S402" s="299">
        <v>0</v>
      </c>
      <c r="T402" s="299">
        <v>0</v>
      </c>
      <c r="U402" s="299">
        <v>0</v>
      </c>
      <c r="V402" s="299">
        <v>0</v>
      </c>
      <c r="W402" s="299">
        <v>0</v>
      </c>
      <c r="X402" s="295">
        <f t="shared" si="17"/>
        <v>0</v>
      </c>
      <c r="AJ402" s="276"/>
    </row>
    <row r="403" spans="1:36" ht="20.100000000000001" customHeight="1" thickBot="1">
      <c r="A403" s="535" t="s">
        <v>755</v>
      </c>
      <c r="B403" s="536"/>
      <c r="C403" s="296"/>
      <c r="D403" s="296"/>
      <c r="E403" s="296"/>
      <c r="F403" s="296"/>
      <c r="G403" s="296"/>
      <c r="H403" s="296"/>
      <c r="I403" s="296"/>
      <c r="J403" s="296"/>
      <c r="K403" s="296"/>
      <c r="L403" s="296"/>
      <c r="M403" s="296"/>
      <c r="N403" s="296"/>
      <c r="O403" s="296"/>
      <c r="P403" s="296"/>
      <c r="Q403" s="296"/>
      <c r="R403" s="296"/>
      <c r="S403" s="296"/>
      <c r="T403" s="296"/>
      <c r="U403" s="296"/>
      <c r="V403" s="296"/>
      <c r="W403" s="296"/>
      <c r="X403" s="512"/>
      <c r="AJ403" s="276"/>
    </row>
    <row r="404" spans="1:36" ht="20.100000000000001" customHeight="1" thickBot="1">
      <c r="A404" s="535" t="s">
        <v>754</v>
      </c>
      <c r="B404" s="536"/>
      <c r="C404" s="296">
        <f>+AVERAGE(C362:C402)</f>
        <v>0</v>
      </c>
      <c r="D404" s="296">
        <f t="shared" ref="D404:W404" si="18">+AVERAGE(D362:D402)</f>
        <v>0</v>
      </c>
      <c r="E404" s="296">
        <f t="shared" si="18"/>
        <v>0</v>
      </c>
      <c r="F404" s="296">
        <f t="shared" si="18"/>
        <v>0</v>
      </c>
      <c r="G404" s="296">
        <f t="shared" si="18"/>
        <v>0</v>
      </c>
      <c r="H404" s="296">
        <f t="shared" si="18"/>
        <v>0</v>
      </c>
      <c r="I404" s="296">
        <f t="shared" si="18"/>
        <v>0</v>
      </c>
      <c r="J404" s="296">
        <f t="shared" si="18"/>
        <v>0</v>
      </c>
      <c r="K404" s="296">
        <f t="shared" si="18"/>
        <v>0</v>
      </c>
      <c r="L404" s="296">
        <f t="shared" si="18"/>
        <v>0</v>
      </c>
      <c r="M404" s="296">
        <f t="shared" si="18"/>
        <v>0</v>
      </c>
      <c r="N404" s="296">
        <f t="shared" si="18"/>
        <v>0</v>
      </c>
      <c r="O404" s="296">
        <f t="shared" si="18"/>
        <v>0</v>
      </c>
      <c r="P404" s="296">
        <f t="shared" si="18"/>
        <v>0</v>
      </c>
      <c r="Q404" s="296">
        <f t="shared" si="18"/>
        <v>0</v>
      </c>
      <c r="R404" s="296">
        <f t="shared" si="18"/>
        <v>0</v>
      </c>
      <c r="S404" s="296">
        <f t="shared" si="18"/>
        <v>0</v>
      </c>
      <c r="T404" s="296">
        <f t="shared" si="18"/>
        <v>0</v>
      </c>
      <c r="U404" s="296">
        <f t="shared" si="18"/>
        <v>0</v>
      </c>
      <c r="V404" s="296">
        <f t="shared" si="18"/>
        <v>0</v>
      </c>
      <c r="W404" s="296">
        <f t="shared" si="18"/>
        <v>0</v>
      </c>
      <c r="X404" s="513"/>
      <c r="AJ404" s="276"/>
    </row>
    <row r="405" spans="1:36" ht="20.100000000000001" customHeight="1" thickBot="1">
      <c r="A405" s="535" t="s">
        <v>763</v>
      </c>
      <c r="B405" s="537"/>
      <c r="C405" s="516">
        <f>+AVERAGE(C404:W404)</f>
        <v>0</v>
      </c>
      <c r="D405" s="517"/>
      <c r="E405" s="517"/>
      <c r="F405" s="517"/>
      <c r="G405" s="517"/>
      <c r="H405" s="517"/>
      <c r="I405" s="517"/>
      <c r="J405" s="517"/>
      <c r="K405" s="517"/>
      <c r="L405" s="517"/>
      <c r="M405" s="517"/>
      <c r="N405" s="517"/>
      <c r="O405" s="517"/>
      <c r="P405" s="517"/>
      <c r="Q405" s="517"/>
      <c r="R405" s="517"/>
      <c r="S405" s="517"/>
      <c r="T405" s="517"/>
      <c r="U405" s="517"/>
      <c r="V405" s="517"/>
      <c r="W405" s="518"/>
      <c r="X405" s="514"/>
      <c r="AJ405" s="276"/>
    </row>
    <row r="406" spans="1:36" ht="20.25" customHeight="1"/>
    <row r="407" spans="1:36" ht="20.25" customHeight="1" thickBot="1">
      <c r="K407" s="276"/>
    </row>
    <row r="408" spans="1:36" ht="26.25" thickBot="1">
      <c r="B408" s="343" t="s">
        <v>39</v>
      </c>
      <c r="C408" s="343" t="str">
        <f t="shared" ref="C408:W408" si="19">C6</f>
        <v>Instalación piernas de closet</v>
      </c>
      <c r="D408" s="343" t="str">
        <f t="shared" si="19"/>
        <v>Instalación Cornisas</v>
      </c>
      <c r="E408" s="343" t="str">
        <f t="shared" si="19"/>
        <v>Cuadratura de cajas.</v>
      </c>
      <c r="F408" s="343" t="str">
        <f t="shared" si="19"/>
        <v>Remate yeso y cornisas</v>
      </c>
      <c r="G408" s="343" t="str">
        <f t="shared" si="19"/>
        <v>Puertas interiores</v>
      </c>
      <c r="H408" s="343" t="str">
        <f t="shared" si="19"/>
        <v>Puertas de acceso y pasillo</v>
      </c>
      <c r="I408" s="343" t="str">
        <f t="shared" si="19"/>
        <v xml:space="preserve">Cerradura Puertas </v>
      </c>
      <c r="J408" s="343" t="str">
        <f t="shared" si="19"/>
        <v>Cableado Eléctrico y CCDD</v>
      </c>
      <c r="K408" s="343" t="str">
        <f t="shared" si="19"/>
        <v>Canterias</v>
      </c>
      <c r="L408" s="343" t="str">
        <f t="shared" si="19"/>
        <v>Empaste Muro Cielo</v>
      </c>
      <c r="M408" s="343" t="str">
        <f t="shared" si="19"/>
        <v>Instalacion Guardapolvo</v>
      </c>
      <c r="N408" s="343" t="str">
        <f t="shared" si="19"/>
        <v>Instalación de Baranda de Crital</v>
      </c>
      <c r="O408" s="343" t="str">
        <f t="shared" si="19"/>
        <v>Pintura Cielo Terrazas</v>
      </c>
      <c r="P408" s="343" t="str">
        <f t="shared" si="19"/>
        <v xml:space="preserve">Grano Muros Terrazas </v>
      </c>
      <c r="Q408" s="343" t="str">
        <f t="shared" si="19"/>
        <v xml:space="preserve">Losalin Cielo Departamento </v>
      </c>
      <c r="R408" s="343" t="str">
        <f t="shared" si="19"/>
        <v>Pintura Cielo Baños</v>
      </c>
      <c r="S408" s="343" t="str">
        <f t="shared" si="19"/>
        <v>Instalacion de Muebles baño</v>
      </c>
      <c r="T408" s="343" t="str">
        <f t="shared" si="19"/>
        <v>Instalacion Muebles de cocina (Base)</v>
      </c>
      <c r="U408" s="343" t="str">
        <f t="shared" si="19"/>
        <v>Instalacion Muebles de cocina (Aereo)</v>
      </c>
      <c r="V408" s="343" t="str">
        <f t="shared" si="19"/>
        <v>Instalación cubiertas cocina</v>
      </c>
      <c r="W408" s="343" t="str">
        <f t="shared" si="19"/>
        <v>Muebles Interior closet</v>
      </c>
      <c r="X408" s="344" t="s">
        <v>13</v>
      </c>
    </row>
    <row r="409" spans="1:36" ht="20.25" customHeight="1">
      <c r="B409" s="280"/>
      <c r="C409" s="281"/>
      <c r="D409" s="281"/>
      <c r="E409" s="281"/>
      <c r="F409" s="281"/>
      <c r="G409" s="281"/>
      <c r="H409" s="281"/>
      <c r="I409" s="281"/>
      <c r="J409" s="281"/>
      <c r="K409" s="276"/>
    </row>
    <row r="410" spans="1:36" s="283" customFormat="1" ht="15" customHeight="1">
      <c r="B410" s="341" t="s">
        <v>548</v>
      </c>
      <c r="C410" s="282">
        <f>C32</f>
        <v>0</v>
      </c>
      <c r="D410" s="282">
        <f t="shared" ref="D410:W410" si="20">D32</f>
        <v>8.3333333333333329E-2</v>
      </c>
      <c r="E410" s="282">
        <f t="shared" si="20"/>
        <v>0.33333333333333331</v>
      </c>
      <c r="F410" s="282">
        <f t="shared" si="20"/>
        <v>8.3333333333333329E-2</v>
      </c>
      <c r="G410" s="282">
        <f t="shared" si="20"/>
        <v>8.3333333333333329E-2</v>
      </c>
      <c r="H410" s="282">
        <f t="shared" si="20"/>
        <v>0</v>
      </c>
      <c r="I410" s="282">
        <f t="shared" si="20"/>
        <v>8.3333333333333329E-2</v>
      </c>
      <c r="J410" s="282">
        <f t="shared" si="20"/>
        <v>8.3333333333333329E-2</v>
      </c>
      <c r="K410" s="282">
        <f t="shared" si="20"/>
        <v>0</v>
      </c>
      <c r="L410" s="282">
        <f t="shared" si="20"/>
        <v>8.3333333333333329E-2</v>
      </c>
      <c r="M410" s="282">
        <f t="shared" si="20"/>
        <v>8.3333333333333329E-2</v>
      </c>
      <c r="N410" s="282">
        <f t="shared" si="20"/>
        <v>8.3333333333333329E-2</v>
      </c>
      <c r="O410" s="282">
        <f t="shared" si="20"/>
        <v>8.3333333333333329E-2</v>
      </c>
      <c r="P410" s="282">
        <f t="shared" si="20"/>
        <v>8.3333333333333329E-2</v>
      </c>
      <c r="Q410" s="282">
        <f t="shared" si="20"/>
        <v>8.3333333333333329E-2</v>
      </c>
      <c r="R410" s="282">
        <f t="shared" si="20"/>
        <v>8.3333333333333329E-2</v>
      </c>
      <c r="S410" s="282">
        <f t="shared" si="20"/>
        <v>8.3333333333333329E-2</v>
      </c>
      <c r="T410" s="282">
        <f t="shared" si="20"/>
        <v>8.3333333333333329E-2</v>
      </c>
      <c r="U410" s="282">
        <f t="shared" si="20"/>
        <v>8.3333333333333329E-2</v>
      </c>
      <c r="V410" s="282">
        <f t="shared" si="20"/>
        <v>8.3333333333333329E-2</v>
      </c>
      <c r="W410" s="282">
        <f t="shared" si="20"/>
        <v>0</v>
      </c>
      <c r="X410" s="303">
        <f>AVERAGE(C410:W410)</f>
        <v>7.9365079365079333E-2</v>
      </c>
    </row>
    <row r="411" spans="1:36" ht="15" customHeight="1">
      <c r="B411" s="342" t="s">
        <v>14</v>
      </c>
      <c r="C411" s="284">
        <f>C78</f>
        <v>0</v>
      </c>
      <c r="D411" s="284">
        <f t="shared" ref="D411:W411" si="21">D78</f>
        <v>0</v>
      </c>
      <c r="E411" s="284">
        <f t="shared" si="21"/>
        <v>0</v>
      </c>
      <c r="F411" s="284">
        <f t="shared" si="21"/>
        <v>0</v>
      </c>
      <c r="G411" s="284">
        <f t="shared" si="21"/>
        <v>0</v>
      </c>
      <c r="H411" s="284">
        <f t="shared" si="21"/>
        <v>0</v>
      </c>
      <c r="I411" s="284">
        <f t="shared" si="21"/>
        <v>0</v>
      </c>
      <c r="J411" s="284">
        <f t="shared" si="21"/>
        <v>0</v>
      </c>
      <c r="K411" s="284">
        <f t="shared" si="21"/>
        <v>0</v>
      </c>
      <c r="L411" s="284">
        <f t="shared" si="21"/>
        <v>0</v>
      </c>
      <c r="M411" s="284">
        <f t="shared" si="21"/>
        <v>0</v>
      </c>
      <c r="N411" s="284">
        <f t="shared" si="21"/>
        <v>0</v>
      </c>
      <c r="O411" s="284">
        <f t="shared" si="21"/>
        <v>0</v>
      </c>
      <c r="P411" s="284">
        <f t="shared" si="21"/>
        <v>0</v>
      </c>
      <c r="Q411" s="284">
        <f t="shared" si="21"/>
        <v>0</v>
      </c>
      <c r="R411" s="284">
        <f t="shared" si="21"/>
        <v>0</v>
      </c>
      <c r="S411" s="284">
        <f t="shared" si="21"/>
        <v>0</v>
      </c>
      <c r="T411" s="284">
        <f t="shared" si="21"/>
        <v>0</v>
      </c>
      <c r="U411" s="284">
        <f t="shared" si="21"/>
        <v>0</v>
      </c>
      <c r="V411" s="284">
        <f t="shared" si="21"/>
        <v>0</v>
      </c>
      <c r="W411" s="284">
        <f t="shared" si="21"/>
        <v>0</v>
      </c>
      <c r="X411" s="304">
        <f t="shared" ref="X411:X419" si="22">AVERAGE(C411:W411)</f>
        <v>0</v>
      </c>
    </row>
    <row r="412" spans="1:36" ht="15" customHeight="1">
      <c r="B412" s="342" t="s">
        <v>15</v>
      </c>
      <c r="C412" s="284">
        <f>C125</f>
        <v>0</v>
      </c>
      <c r="D412" s="284">
        <f t="shared" ref="D412:W412" si="23">D125</f>
        <v>0</v>
      </c>
      <c r="E412" s="284">
        <f t="shared" si="23"/>
        <v>0</v>
      </c>
      <c r="F412" s="284">
        <f t="shared" si="23"/>
        <v>0</v>
      </c>
      <c r="G412" s="284">
        <f t="shared" si="23"/>
        <v>0</v>
      </c>
      <c r="H412" s="284">
        <f t="shared" si="23"/>
        <v>0</v>
      </c>
      <c r="I412" s="284">
        <f t="shared" si="23"/>
        <v>0</v>
      </c>
      <c r="J412" s="284">
        <f t="shared" si="23"/>
        <v>0</v>
      </c>
      <c r="K412" s="284">
        <f t="shared" si="23"/>
        <v>0</v>
      </c>
      <c r="L412" s="284">
        <f t="shared" si="23"/>
        <v>0</v>
      </c>
      <c r="M412" s="284">
        <f t="shared" si="23"/>
        <v>0</v>
      </c>
      <c r="N412" s="284">
        <f t="shared" si="23"/>
        <v>0</v>
      </c>
      <c r="O412" s="284">
        <f t="shared" si="23"/>
        <v>0</v>
      </c>
      <c r="P412" s="284">
        <f t="shared" si="23"/>
        <v>0</v>
      </c>
      <c r="Q412" s="284">
        <f t="shared" si="23"/>
        <v>0</v>
      </c>
      <c r="R412" s="284">
        <f t="shared" si="23"/>
        <v>0</v>
      </c>
      <c r="S412" s="284">
        <f t="shared" si="23"/>
        <v>0</v>
      </c>
      <c r="T412" s="284">
        <f t="shared" si="23"/>
        <v>0</v>
      </c>
      <c r="U412" s="284">
        <f t="shared" si="23"/>
        <v>0</v>
      </c>
      <c r="V412" s="284">
        <f t="shared" si="23"/>
        <v>0</v>
      </c>
      <c r="W412" s="284">
        <f t="shared" si="23"/>
        <v>0</v>
      </c>
      <c r="X412" s="304">
        <f t="shared" si="22"/>
        <v>0</v>
      </c>
    </row>
    <row r="413" spans="1:36" ht="15" customHeight="1">
      <c r="B413" s="342" t="s">
        <v>16</v>
      </c>
      <c r="C413" s="284">
        <f>C172</f>
        <v>0</v>
      </c>
      <c r="D413" s="284">
        <f t="shared" ref="D413:W413" si="24">D172</f>
        <v>0</v>
      </c>
      <c r="E413" s="284">
        <f t="shared" si="24"/>
        <v>0</v>
      </c>
      <c r="F413" s="284">
        <f t="shared" si="24"/>
        <v>0</v>
      </c>
      <c r="G413" s="284">
        <f t="shared" si="24"/>
        <v>0</v>
      </c>
      <c r="H413" s="284">
        <f t="shared" si="24"/>
        <v>0</v>
      </c>
      <c r="I413" s="284">
        <f t="shared" si="24"/>
        <v>0</v>
      </c>
      <c r="J413" s="284">
        <f t="shared" si="24"/>
        <v>0</v>
      </c>
      <c r="K413" s="284">
        <f t="shared" si="24"/>
        <v>0</v>
      </c>
      <c r="L413" s="284">
        <f t="shared" si="24"/>
        <v>0</v>
      </c>
      <c r="M413" s="284">
        <f t="shared" si="24"/>
        <v>0</v>
      </c>
      <c r="N413" s="284">
        <f t="shared" si="24"/>
        <v>0</v>
      </c>
      <c r="O413" s="284">
        <f t="shared" si="24"/>
        <v>0</v>
      </c>
      <c r="P413" s="284">
        <f t="shared" si="24"/>
        <v>0</v>
      </c>
      <c r="Q413" s="284">
        <f t="shared" si="24"/>
        <v>0</v>
      </c>
      <c r="R413" s="284">
        <f t="shared" si="24"/>
        <v>0</v>
      </c>
      <c r="S413" s="284">
        <f t="shared" si="24"/>
        <v>0</v>
      </c>
      <c r="T413" s="284">
        <f t="shared" si="24"/>
        <v>0</v>
      </c>
      <c r="U413" s="284">
        <f t="shared" si="24"/>
        <v>0</v>
      </c>
      <c r="V413" s="284">
        <f t="shared" si="24"/>
        <v>0</v>
      </c>
      <c r="W413" s="284">
        <f t="shared" si="24"/>
        <v>0</v>
      </c>
      <c r="X413" s="304">
        <f t="shared" si="22"/>
        <v>0</v>
      </c>
    </row>
    <row r="414" spans="1:36" ht="15" customHeight="1">
      <c r="B414" s="342" t="s">
        <v>17</v>
      </c>
      <c r="C414" s="284">
        <f>C219</f>
        <v>0</v>
      </c>
      <c r="D414" s="284">
        <f t="shared" ref="D414:W414" si="25">D219</f>
        <v>0</v>
      </c>
      <c r="E414" s="284">
        <f t="shared" si="25"/>
        <v>0</v>
      </c>
      <c r="F414" s="284">
        <f t="shared" si="25"/>
        <v>0</v>
      </c>
      <c r="G414" s="284">
        <f t="shared" si="25"/>
        <v>0</v>
      </c>
      <c r="H414" s="284">
        <f t="shared" si="25"/>
        <v>0</v>
      </c>
      <c r="I414" s="284">
        <f t="shared" si="25"/>
        <v>0</v>
      </c>
      <c r="J414" s="284">
        <f t="shared" si="25"/>
        <v>0</v>
      </c>
      <c r="K414" s="284">
        <f t="shared" si="25"/>
        <v>0</v>
      </c>
      <c r="L414" s="284">
        <f t="shared" si="25"/>
        <v>0</v>
      </c>
      <c r="M414" s="284">
        <f t="shared" si="25"/>
        <v>0</v>
      </c>
      <c r="N414" s="284">
        <f t="shared" si="25"/>
        <v>0</v>
      </c>
      <c r="O414" s="284">
        <f t="shared" si="25"/>
        <v>0</v>
      </c>
      <c r="P414" s="284">
        <f t="shared" si="25"/>
        <v>0</v>
      </c>
      <c r="Q414" s="284">
        <f t="shared" si="25"/>
        <v>0</v>
      </c>
      <c r="R414" s="284">
        <f t="shared" si="25"/>
        <v>0</v>
      </c>
      <c r="S414" s="284">
        <f t="shared" si="25"/>
        <v>0</v>
      </c>
      <c r="T414" s="284">
        <f t="shared" si="25"/>
        <v>0</v>
      </c>
      <c r="U414" s="284">
        <f t="shared" si="25"/>
        <v>0</v>
      </c>
      <c r="V414" s="284">
        <f t="shared" si="25"/>
        <v>0</v>
      </c>
      <c r="W414" s="284">
        <f t="shared" si="25"/>
        <v>0</v>
      </c>
      <c r="X414" s="304">
        <f t="shared" si="22"/>
        <v>0</v>
      </c>
    </row>
    <row r="415" spans="1:36" ht="15" customHeight="1">
      <c r="B415" s="342" t="s">
        <v>18</v>
      </c>
      <c r="C415" s="284">
        <f>C266</f>
        <v>0</v>
      </c>
      <c r="D415" s="284">
        <f t="shared" ref="D415:W415" si="26">D266</f>
        <v>0</v>
      </c>
      <c r="E415" s="284">
        <f t="shared" si="26"/>
        <v>0</v>
      </c>
      <c r="F415" s="284">
        <f t="shared" si="26"/>
        <v>0</v>
      </c>
      <c r="G415" s="284">
        <f t="shared" si="26"/>
        <v>0</v>
      </c>
      <c r="H415" s="284">
        <f t="shared" si="26"/>
        <v>0</v>
      </c>
      <c r="I415" s="284">
        <f t="shared" si="26"/>
        <v>0</v>
      </c>
      <c r="J415" s="284">
        <f t="shared" si="26"/>
        <v>0</v>
      </c>
      <c r="K415" s="284">
        <f t="shared" si="26"/>
        <v>0</v>
      </c>
      <c r="L415" s="284">
        <f t="shared" si="26"/>
        <v>0</v>
      </c>
      <c r="M415" s="284">
        <f t="shared" si="26"/>
        <v>0</v>
      </c>
      <c r="N415" s="284">
        <f t="shared" si="26"/>
        <v>0</v>
      </c>
      <c r="O415" s="284">
        <f t="shared" si="26"/>
        <v>0</v>
      </c>
      <c r="P415" s="284">
        <f t="shared" si="26"/>
        <v>0</v>
      </c>
      <c r="Q415" s="284">
        <f t="shared" si="26"/>
        <v>0</v>
      </c>
      <c r="R415" s="284">
        <f t="shared" si="26"/>
        <v>0</v>
      </c>
      <c r="S415" s="284">
        <f t="shared" si="26"/>
        <v>0</v>
      </c>
      <c r="T415" s="284">
        <f t="shared" si="26"/>
        <v>0</v>
      </c>
      <c r="U415" s="284">
        <f t="shared" si="26"/>
        <v>0</v>
      </c>
      <c r="V415" s="284">
        <f t="shared" si="26"/>
        <v>0</v>
      </c>
      <c r="W415" s="284">
        <f t="shared" si="26"/>
        <v>0</v>
      </c>
      <c r="X415" s="304">
        <f t="shared" si="22"/>
        <v>0</v>
      </c>
    </row>
    <row r="416" spans="1:36" ht="15" customHeight="1">
      <c r="B416" s="342" t="s">
        <v>19</v>
      </c>
      <c r="C416" s="284">
        <f>C313</f>
        <v>0</v>
      </c>
      <c r="D416" s="284">
        <f t="shared" ref="D416:W416" si="27">D313</f>
        <v>0</v>
      </c>
      <c r="E416" s="284">
        <f t="shared" si="27"/>
        <v>0</v>
      </c>
      <c r="F416" s="284">
        <f t="shared" si="27"/>
        <v>0</v>
      </c>
      <c r="G416" s="284">
        <f t="shared" si="27"/>
        <v>0</v>
      </c>
      <c r="H416" s="284">
        <f t="shared" si="27"/>
        <v>0</v>
      </c>
      <c r="I416" s="284">
        <f t="shared" si="27"/>
        <v>0</v>
      </c>
      <c r="J416" s="284">
        <f t="shared" si="27"/>
        <v>0</v>
      </c>
      <c r="K416" s="284">
        <f t="shared" si="27"/>
        <v>0</v>
      </c>
      <c r="L416" s="284">
        <f t="shared" si="27"/>
        <v>0</v>
      </c>
      <c r="M416" s="284">
        <f t="shared" si="27"/>
        <v>0</v>
      </c>
      <c r="N416" s="284">
        <f t="shared" si="27"/>
        <v>0</v>
      </c>
      <c r="O416" s="284">
        <f t="shared" si="27"/>
        <v>0</v>
      </c>
      <c r="P416" s="284">
        <f t="shared" si="27"/>
        <v>0</v>
      </c>
      <c r="Q416" s="284">
        <f t="shared" si="27"/>
        <v>0</v>
      </c>
      <c r="R416" s="284">
        <f t="shared" si="27"/>
        <v>0</v>
      </c>
      <c r="S416" s="284">
        <f t="shared" si="27"/>
        <v>0</v>
      </c>
      <c r="T416" s="284">
        <f t="shared" si="27"/>
        <v>0</v>
      </c>
      <c r="U416" s="284">
        <f t="shared" si="27"/>
        <v>0</v>
      </c>
      <c r="V416" s="284">
        <f t="shared" si="27"/>
        <v>0</v>
      </c>
      <c r="W416" s="284">
        <f t="shared" si="27"/>
        <v>0</v>
      </c>
      <c r="X416" s="304">
        <f t="shared" si="22"/>
        <v>0</v>
      </c>
    </row>
    <row r="417" spans="2:24" ht="15" customHeight="1">
      <c r="B417" s="342" t="s">
        <v>20</v>
      </c>
      <c r="C417" s="284">
        <f>C360</f>
        <v>0</v>
      </c>
      <c r="D417" s="284">
        <f t="shared" ref="D417:W417" si="28">D360</f>
        <v>0</v>
      </c>
      <c r="E417" s="284">
        <f t="shared" si="28"/>
        <v>0</v>
      </c>
      <c r="F417" s="284">
        <f t="shared" si="28"/>
        <v>0</v>
      </c>
      <c r="G417" s="284">
        <f t="shared" si="28"/>
        <v>0</v>
      </c>
      <c r="H417" s="284">
        <f t="shared" si="28"/>
        <v>0</v>
      </c>
      <c r="I417" s="284">
        <f t="shared" si="28"/>
        <v>0</v>
      </c>
      <c r="J417" s="284">
        <f t="shared" si="28"/>
        <v>0</v>
      </c>
      <c r="K417" s="284">
        <f t="shared" si="28"/>
        <v>0</v>
      </c>
      <c r="L417" s="284">
        <f t="shared" si="28"/>
        <v>0</v>
      </c>
      <c r="M417" s="284">
        <f t="shared" si="28"/>
        <v>0</v>
      </c>
      <c r="N417" s="284">
        <f t="shared" si="28"/>
        <v>0</v>
      </c>
      <c r="O417" s="284">
        <f t="shared" si="28"/>
        <v>0</v>
      </c>
      <c r="P417" s="284">
        <f t="shared" si="28"/>
        <v>0</v>
      </c>
      <c r="Q417" s="284">
        <f t="shared" si="28"/>
        <v>0</v>
      </c>
      <c r="R417" s="284">
        <f t="shared" si="28"/>
        <v>0</v>
      </c>
      <c r="S417" s="284">
        <f t="shared" si="28"/>
        <v>0</v>
      </c>
      <c r="T417" s="284">
        <f t="shared" si="28"/>
        <v>0</v>
      </c>
      <c r="U417" s="284">
        <f t="shared" si="28"/>
        <v>0</v>
      </c>
      <c r="V417" s="284">
        <f t="shared" si="28"/>
        <v>0</v>
      </c>
      <c r="W417" s="284">
        <f t="shared" si="28"/>
        <v>0</v>
      </c>
      <c r="X417" s="304">
        <f t="shared" si="22"/>
        <v>0</v>
      </c>
    </row>
    <row r="418" spans="2:24" ht="15" customHeight="1">
      <c r="B418" s="342" t="s">
        <v>21</v>
      </c>
      <c r="C418" s="337">
        <f>C404</f>
        <v>0</v>
      </c>
      <c r="D418" s="337">
        <f t="shared" ref="D418:W418" si="29">D404</f>
        <v>0</v>
      </c>
      <c r="E418" s="337">
        <f t="shared" si="29"/>
        <v>0</v>
      </c>
      <c r="F418" s="337">
        <f t="shared" si="29"/>
        <v>0</v>
      </c>
      <c r="G418" s="337">
        <f t="shared" si="29"/>
        <v>0</v>
      </c>
      <c r="H418" s="337">
        <f t="shared" si="29"/>
        <v>0</v>
      </c>
      <c r="I418" s="337">
        <f t="shared" si="29"/>
        <v>0</v>
      </c>
      <c r="J418" s="337">
        <f t="shared" si="29"/>
        <v>0</v>
      </c>
      <c r="K418" s="337">
        <f t="shared" si="29"/>
        <v>0</v>
      </c>
      <c r="L418" s="337">
        <f t="shared" si="29"/>
        <v>0</v>
      </c>
      <c r="M418" s="337">
        <f t="shared" si="29"/>
        <v>0</v>
      </c>
      <c r="N418" s="337">
        <f t="shared" si="29"/>
        <v>0</v>
      </c>
      <c r="O418" s="337">
        <f t="shared" si="29"/>
        <v>0</v>
      </c>
      <c r="P418" s="337">
        <f t="shared" si="29"/>
        <v>0</v>
      </c>
      <c r="Q418" s="337">
        <f t="shared" si="29"/>
        <v>0</v>
      </c>
      <c r="R418" s="337">
        <f t="shared" si="29"/>
        <v>0</v>
      </c>
      <c r="S418" s="337">
        <f t="shared" si="29"/>
        <v>0</v>
      </c>
      <c r="T418" s="337">
        <f t="shared" si="29"/>
        <v>0</v>
      </c>
      <c r="U418" s="337">
        <f t="shared" si="29"/>
        <v>0</v>
      </c>
      <c r="V418" s="337">
        <f t="shared" si="29"/>
        <v>0</v>
      </c>
      <c r="W418" s="337">
        <f t="shared" si="29"/>
        <v>0</v>
      </c>
      <c r="X418" s="304">
        <f t="shared" si="22"/>
        <v>0</v>
      </c>
    </row>
    <row r="419" spans="2:24" ht="15" customHeight="1">
      <c r="B419" s="291" t="s">
        <v>970</v>
      </c>
      <c r="C419" s="310">
        <f>AVERAGE(C410:C418)</f>
        <v>0</v>
      </c>
      <c r="D419" s="310">
        <f t="shared" ref="D419:W419" si="30">AVERAGE(D410:D418)</f>
        <v>9.2592592592592587E-3</v>
      </c>
      <c r="E419" s="310">
        <f t="shared" si="30"/>
        <v>3.7037037037037035E-2</v>
      </c>
      <c r="F419" s="310">
        <f t="shared" si="30"/>
        <v>9.2592592592592587E-3</v>
      </c>
      <c r="G419" s="310">
        <f t="shared" si="30"/>
        <v>9.2592592592592587E-3</v>
      </c>
      <c r="H419" s="310">
        <f t="shared" si="30"/>
        <v>0</v>
      </c>
      <c r="I419" s="310">
        <f t="shared" si="30"/>
        <v>9.2592592592592587E-3</v>
      </c>
      <c r="J419" s="310">
        <f t="shared" si="30"/>
        <v>9.2592592592592587E-3</v>
      </c>
      <c r="K419" s="310">
        <f t="shared" si="30"/>
        <v>0</v>
      </c>
      <c r="L419" s="310">
        <f t="shared" si="30"/>
        <v>9.2592592592592587E-3</v>
      </c>
      <c r="M419" s="310">
        <f t="shared" si="30"/>
        <v>9.2592592592592587E-3</v>
      </c>
      <c r="N419" s="310">
        <f t="shared" si="30"/>
        <v>9.2592592592592587E-3</v>
      </c>
      <c r="O419" s="310">
        <f t="shared" si="30"/>
        <v>9.2592592592592587E-3</v>
      </c>
      <c r="P419" s="310">
        <f t="shared" si="30"/>
        <v>9.2592592592592587E-3</v>
      </c>
      <c r="Q419" s="310">
        <f t="shared" si="30"/>
        <v>9.2592592592592587E-3</v>
      </c>
      <c r="R419" s="310">
        <f t="shared" si="30"/>
        <v>9.2592592592592587E-3</v>
      </c>
      <c r="S419" s="310">
        <f t="shared" si="30"/>
        <v>9.2592592592592587E-3</v>
      </c>
      <c r="T419" s="310">
        <f t="shared" si="30"/>
        <v>9.2592592592592587E-3</v>
      </c>
      <c r="U419" s="310">
        <f t="shared" si="30"/>
        <v>9.2592592592592587E-3</v>
      </c>
      <c r="V419" s="310">
        <f t="shared" si="30"/>
        <v>9.2592592592592587E-3</v>
      </c>
      <c r="W419" s="310">
        <f t="shared" si="30"/>
        <v>0</v>
      </c>
      <c r="X419" s="340">
        <f t="shared" si="22"/>
        <v>8.818342151675481E-3</v>
      </c>
    </row>
    <row r="420" spans="2:24" ht="15" customHeight="1">
      <c r="B420" s="290"/>
      <c r="K420" s="276"/>
      <c r="X420" s="286">
        <f>AVERAGE(X410:X418)</f>
        <v>8.818342151675481E-3</v>
      </c>
    </row>
    <row r="421" spans="2:24" ht="20.25" customHeight="1">
      <c r="K421" s="276"/>
    </row>
    <row r="422" spans="2:24" ht="20.25" customHeight="1">
      <c r="K422" s="276"/>
    </row>
    <row r="423" spans="2:24" ht="20.25" customHeight="1">
      <c r="K423" s="276"/>
    </row>
    <row r="424" spans="2:24" ht="20.25" customHeight="1">
      <c r="K424" s="276"/>
    </row>
    <row r="425" spans="2:24" ht="20.25" customHeight="1">
      <c r="K425" s="276"/>
    </row>
    <row r="426" spans="2:24" ht="20.25" customHeight="1">
      <c r="K426" s="276"/>
    </row>
    <row r="427" spans="2:24" ht="20.25" customHeight="1">
      <c r="K427" s="276"/>
    </row>
    <row r="428" spans="2:24" ht="20.25" customHeight="1">
      <c r="K428" s="276"/>
    </row>
    <row r="429" spans="2:24" ht="20.25" customHeight="1">
      <c r="K429" s="276"/>
    </row>
    <row r="430" spans="2:24" ht="20.25" customHeight="1">
      <c r="K430" s="276"/>
    </row>
    <row r="431" spans="2:24" ht="20.25" customHeight="1">
      <c r="K431" s="276"/>
    </row>
    <row r="432" spans="2:24" ht="20.25" customHeight="1">
      <c r="K432" s="276"/>
    </row>
    <row r="433" spans="11:11" ht="20.25" customHeight="1">
      <c r="K433" s="276"/>
    </row>
    <row r="434" spans="11:11" ht="20.25" customHeight="1">
      <c r="K434" s="276"/>
    </row>
    <row r="435" spans="11:11" ht="20.25" customHeight="1">
      <c r="K435" s="276"/>
    </row>
    <row r="436" spans="11:11" ht="20.25" customHeight="1">
      <c r="K436" s="276"/>
    </row>
    <row r="437" spans="11:11" ht="20.25" customHeight="1">
      <c r="K437" s="276"/>
    </row>
    <row r="438" spans="11:11" ht="20.25" customHeight="1">
      <c r="K438" s="276"/>
    </row>
    <row r="439" spans="11:11" ht="20.25" customHeight="1">
      <c r="K439" s="276"/>
    </row>
    <row r="440" spans="11:11" ht="20.25" customHeight="1">
      <c r="K440" s="276"/>
    </row>
    <row r="441" spans="11:11" ht="20.25" customHeight="1">
      <c r="K441" s="276"/>
    </row>
    <row r="442" spans="11:11" ht="20.25" customHeight="1">
      <c r="K442" s="276"/>
    </row>
    <row r="443" spans="11:11" ht="20.25" customHeight="1">
      <c r="K443" s="276"/>
    </row>
    <row r="444" spans="11:11" ht="20.25" customHeight="1">
      <c r="K444" s="276"/>
    </row>
    <row r="445" spans="11:11" ht="20.25" customHeight="1">
      <c r="K445" s="276"/>
    </row>
    <row r="446" spans="11:11" ht="20.25" customHeight="1">
      <c r="K446" s="276"/>
    </row>
    <row r="447" spans="11:11" ht="20.25" customHeight="1">
      <c r="K447" s="276"/>
    </row>
    <row r="448" spans="11:11" ht="20.25" customHeight="1">
      <c r="K448" s="276"/>
    </row>
    <row r="449" spans="11:11" ht="20.25" customHeight="1">
      <c r="K449" s="276"/>
    </row>
    <row r="450" spans="11:11" ht="20.25" customHeight="1">
      <c r="K450" s="276"/>
    </row>
    <row r="451" spans="11:11" ht="20.25" customHeight="1">
      <c r="K451" s="276"/>
    </row>
    <row r="452" spans="11:11" ht="20.25" customHeight="1">
      <c r="K452" s="276"/>
    </row>
    <row r="453" spans="11:11" ht="20.25" customHeight="1">
      <c r="K453" s="276"/>
    </row>
    <row r="454" spans="11:11" ht="20.25" customHeight="1"/>
    <row r="455" spans="11:11" ht="20.25" customHeight="1"/>
    <row r="456" spans="11:11" ht="20.25" customHeight="1"/>
    <row r="457" spans="11:11" ht="20.25" customHeight="1"/>
    <row r="458" spans="11:11" ht="20.25" customHeight="1"/>
    <row r="459" spans="11:11" ht="20.25" customHeight="1"/>
    <row r="460" spans="11:11" ht="20.25" customHeight="1"/>
    <row r="461" spans="11:11" ht="20.25" customHeight="1"/>
    <row r="462" spans="11:11" ht="20.25" customHeight="1"/>
    <row r="463" spans="11:11" ht="20.25" customHeight="1"/>
    <row r="464" spans="11:11" ht="20.25" customHeight="1"/>
    <row r="465" ht="20.25" customHeight="1"/>
    <row r="466" ht="20.25" customHeight="1"/>
    <row r="467" ht="20.25" customHeight="1"/>
    <row r="468" ht="20.25" customHeight="1"/>
    <row r="469" ht="20.25" customHeight="1"/>
    <row r="470" ht="20.25" customHeight="1"/>
    <row r="471" ht="20.25" customHeight="1"/>
    <row r="472" ht="20.25" customHeight="1"/>
    <row r="473" ht="20.25" customHeight="1"/>
    <row r="474" ht="20.25" customHeight="1"/>
    <row r="475" ht="20.25" customHeight="1"/>
    <row r="476" ht="20.25" customHeight="1"/>
    <row r="477" ht="20.25" customHeight="1"/>
    <row r="478" ht="20.25" customHeight="1"/>
    <row r="479" ht="20.25" customHeight="1"/>
    <row r="480" ht="20.25" customHeight="1"/>
    <row r="481" ht="20.25" customHeight="1"/>
    <row r="482" ht="20.25" customHeight="1"/>
    <row r="483" ht="20.25" customHeight="1"/>
    <row r="484" ht="20.25" customHeight="1"/>
    <row r="485" ht="20.25" customHeight="1"/>
    <row r="486" ht="20.25" customHeight="1"/>
    <row r="487" ht="20.25" customHeight="1"/>
    <row r="488" ht="20.25" customHeight="1"/>
    <row r="489" ht="20.25" customHeight="1"/>
    <row r="490" ht="20.25" customHeight="1"/>
    <row r="491" ht="20.25" customHeight="1"/>
    <row r="492" ht="20.25" customHeight="1"/>
    <row r="493" ht="20.25" customHeight="1"/>
    <row r="494" ht="20.25" customHeight="1"/>
    <row r="495" ht="20.25" customHeight="1"/>
    <row r="496" ht="20.25" customHeight="1"/>
    <row r="497" ht="20.25" customHeight="1"/>
    <row r="498" ht="20.25" customHeight="1"/>
    <row r="499" ht="20.25" customHeight="1"/>
    <row r="500" ht="20.25" customHeight="1"/>
    <row r="501" ht="20.25" customHeight="1"/>
    <row r="502" ht="20.25" customHeight="1"/>
    <row r="503" ht="20.25" customHeight="1"/>
    <row r="504" ht="20.25" customHeight="1"/>
    <row r="505" ht="20.25" customHeight="1"/>
    <row r="506" ht="20.25" customHeight="1"/>
    <row r="507" ht="20.25" customHeight="1"/>
    <row r="508" ht="20.25" customHeight="1"/>
    <row r="509" ht="20.25" customHeight="1"/>
    <row r="510" ht="20.25" customHeight="1"/>
    <row r="511" ht="20.25" customHeight="1"/>
    <row r="512" ht="20.25" customHeight="1"/>
    <row r="513" ht="20.25" customHeight="1"/>
    <row r="514" ht="20.25" customHeight="1"/>
    <row r="515" ht="20.25" customHeight="1"/>
    <row r="516" ht="20.25" customHeight="1"/>
    <row r="517" ht="20.25" customHeight="1"/>
    <row r="518" ht="20.25" customHeight="1"/>
    <row r="519" ht="20.25" customHeight="1"/>
    <row r="520" ht="20.25" customHeight="1"/>
    <row r="521" ht="20.25" customHeight="1"/>
    <row r="522" ht="20.25" customHeight="1"/>
    <row r="523" ht="20.25" customHeight="1"/>
    <row r="524" ht="20.25" customHeight="1"/>
    <row r="525" ht="20.25" customHeight="1"/>
    <row r="526" ht="20.25" customHeight="1"/>
    <row r="527" ht="20.25" customHeight="1"/>
    <row r="528" ht="20.25" customHeight="1"/>
    <row r="529" ht="20.25" customHeight="1"/>
    <row r="530" ht="20.25" customHeight="1"/>
    <row r="531" ht="20.25" customHeight="1"/>
    <row r="532" ht="20.25" customHeight="1"/>
    <row r="533" ht="20.25" customHeight="1"/>
    <row r="534" ht="20.25" customHeight="1"/>
    <row r="535" ht="20.25" customHeight="1"/>
    <row r="536" ht="20.25" customHeight="1"/>
    <row r="537" ht="20.25" customHeight="1"/>
    <row r="538" ht="20.25" customHeight="1"/>
    <row r="539" ht="20.25" customHeight="1"/>
  </sheetData>
  <mergeCells count="67">
    <mergeCell ref="C267:W267"/>
    <mergeCell ref="A291:A311"/>
    <mergeCell ref="X359:X361"/>
    <mergeCell ref="A360:B360"/>
    <mergeCell ref="A403:B403"/>
    <mergeCell ref="X403:X405"/>
    <mergeCell ref="A404:B404"/>
    <mergeCell ref="A405:B405"/>
    <mergeCell ref="C405:W405"/>
    <mergeCell ref="A361:B361"/>
    <mergeCell ref="C361:W361"/>
    <mergeCell ref="A359:B359"/>
    <mergeCell ref="A315:A337"/>
    <mergeCell ref="A338:A358"/>
    <mergeCell ref="A362:A381"/>
    <mergeCell ref="A382:A402"/>
    <mergeCell ref="X171:X173"/>
    <mergeCell ref="A172:B172"/>
    <mergeCell ref="A173:B173"/>
    <mergeCell ref="C173:W173"/>
    <mergeCell ref="X312:X314"/>
    <mergeCell ref="A313:B313"/>
    <mergeCell ref="A314:B314"/>
    <mergeCell ref="C314:W314"/>
    <mergeCell ref="A221:A243"/>
    <mergeCell ref="A244:A264"/>
    <mergeCell ref="A268:A290"/>
    <mergeCell ref="A312:B312"/>
    <mergeCell ref="A265:B265"/>
    <mergeCell ref="X265:X267"/>
    <mergeCell ref="A266:B266"/>
    <mergeCell ref="A267:B267"/>
    <mergeCell ref="X218:X220"/>
    <mergeCell ref="A219:B219"/>
    <mergeCell ref="A220:B220"/>
    <mergeCell ref="C220:W220"/>
    <mergeCell ref="A197:A217"/>
    <mergeCell ref="C79:W79"/>
    <mergeCell ref="A124:B124"/>
    <mergeCell ref="X124:X126"/>
    <mergeCell ref="A125:B125"/>
    <mergeCell ref="A126:B126"/>
    <mergeCell ref="C126:W126"/>
    <mergeCell ref="A80:A102"/>
    <mergeCell ref="A103:A123"/>
    <mergeCell ref="A174:A196"/>
    <mergeCell ref="A218:B218"/>
    <mergeCell ref="A171:B171"/>
    <mergeCell ref="X1:X2"/>
    <mergeCell ref="W3:W4"/>
    <mergeCell ref="X3:X4"/>
    <mergeCell ref="A31:B31"/>
    <mergeCell ref="X31:X33"/>
    <mergeCell ref="A32:B32"/>
    <mergeCell ref="A33:B33"/>
    <mergeCell ref="C33:W33"/>
    <mergeCell ref="A7:A30"/>
    <mergeCell ref="V3:V4"/>
    <mergeCell ref="C2:T4"/>
    <mergeCell ref="X77:X79"/>
    <mergeCell ref="A78:B78"/>
    <mergeCell ref="A34:A55"/>
    <mergeCell ref="A56:A76"/>
    <mergeCell ref="A127:A149"/>
    <mergeCell ref="A77:B77"/>
    <mergeCell ref="A150:A170"/>
    <mergeCell ref="A79:B79"/>
  </mergeCells>
  <conditionalFormatting sqref="C33">
    <cfRule type="colorScale" priority="71">
      <colorScale>
        <cfvo type="min"/>
        <cfvo type="percentile" val="50"/>
        <cfvo type="max"/>
        <color rgb="FF63BE7B"/>
        <color rgb="FFFFEB84"/>
        <color rgb="FFF8696B"/>
      </colorScale>
    </cfRule>
    <cfRule type="iconSet" priority="78">
      <iconSet iconSet="3Symbols2">
        <cfvo type="percent" val="0"/>
        <cfvo type="percent" val="24" gte="0"/>
        <cfvo type="percent" val="76" gte="0"/>
      </iconSet>
    </cfRule>
    <cfRule type="colorScale" priority="72">
      <colorScale>
        <cfvo type="min"/>
        <cfvo type="percentile" val="50"/>
        <cfvo type="max"/>
        <color rgb="FF63BE7B"/>
        <color rgb="FFFFEB84"/>
        <color rgb="FFF8696B"/>
      </colorScale>
    </cfRule>
    <cfRule type="colorScale" priority="73">
      <colorScale>
        <cfvo type="min"/>
        <cfvo type="percentile" val="50"/>
        <cfvo type="max"/>
        <color rgb="FF63BE7B"/>
        <color rgb="FFFFEB84"/>
        <color rgb="FFF8696B"/>
      </colorScale>
    </cfRule>
    <cfRule type="colorScale" priority="74">
      <colorScale>
        <cfvo type="min"/>
        <cfvo type="percentile" val="50"/>
        <cfvo type="max"/>
        <color rgb="FF63BE7B"/>
        <color rgb="FFFFEB84"/>
        <color rgb="FFF8696B"/>
      </colorScale>
    </cfRule>
    <cfRule type="colorScale" priority="75">
      <colorScale>
        <cfvo type="min"/>
        <cfvo type="percentile" val="50"/>
        <cfvo type="max"/>
        <color rgb="FF63BE7B"/>
        <color rgb="FFFFEB84"/>
        <color rgb="FFF8696B"/>
      </colorScale>
    </cfRule>
    <cfRule type="colorScale" priority="76">
      <colorScale>
        <cfvo type="min"/>
        <cfvo type="percentile" val="50"/>
        <cfvo type="max"/>
        <color rgb="FF63BE7B"/>
        <color rgb="FFFFEB84"/>
        <color rgb="FFF8696B"/>
      </colorScale>
    </cfRule>
    <cfRule type="dataBar" priority="77">
      <dataBar>
        <cfvo type="num" val="0"/>
        <cfvo type="num" val="1"/>
        <color theme="5" tint="0.59999389629810485"/>
      </dataBar>
      <extLst>
        <ext xmlns:x14="http://schemas.microsoft.com/office/spreadsheetml/2009/9/main" uri="{B025F937-C7B1-47D3-B67F-A62EFF666E3E}">
          <x14:id>{E89F7B45-CDD4-4FA7-BFBC-82852855A2EB}</x14:id>
        </ext>
      </extLst>
    </cfRule>
  </conditionalFormatting>
  <conditionalFormatting sqref="C79">
    <cfRule type="colorScale" priority="61">
      <colorScale>
        <cfvo type="min"/>
        <cfvo type="percentile" val="50"/>
        <cfvo type="max"/>
        <color rgb="FF63BE7B"/>
        <color rgb="FFFFEB84"/>
        <color rgb="FFF8696B"/>
      </colorScale>
    </cfRule>
    <cfRule type="colorScale" priority="62">
      <colorScale>
        <cfvo type="min"/>
        <cfvo type="percentile" val="50"/>
        <cfvo type="max"/>
        <color rgb="FF63BE7B"/>
        <color rgb="FFFFEB84"/>
        <color rgb="FFF8696B"/>
      </colorScale>
    </cfRule>
    <cfRule type="iconSet" priority="68">
      <iconSet iconSet="3Symbols2">
        <cfvo type="percent" val="0"/>
        <cfvo type="percent" val="24" gte="0"/>
        <cfvo type="percent" val="76" gte="0"/>
      </iconSet>
    </cfRule>
    <cfRule type="dataBar" priority="67">
      <dataBar>
        <cfvo type="num" val="0"/>
        <cfvo type="num" val="1"/>
        <color theme="5" tint="0.59999389629810485"/>
      </dataBar>
      <extLst>
        <ext xmlns:x14="http://schemas.microsoft.com/office/spreadsheetml/2009/9/main" uri="{B025F937-C7B1-47D3-B67F-A62EFF666E3E}">
          <x14:id>{D64D6058-286B-4AA7-97B7-4AF3855E88A7}</x14:id>
        </ext>
      </extLst>
    </cfRule>
    <cfRule type="colorScale" priority="66">
      <colorScale>
        <cfvo type="min"/>
        <cfvo type="percentile" val="50"/>
        <cfvo type="max"/>
        <color rgb="FF63BE7B"/>
        <color rgb="FFFFEB84"/>
        <color rgb="FFF8696B"/>
      </colorScale>
    </cfRule>
    <cfRule type="colorScale" priority="65">
      <colorScale>
        <cfvo type="min"/>
        <cfvo type="percentile" val="50"/>
        <cfvo type="max"/>
        <color rgb="FF63BE7B"/>
        <color rgb="FFFFEB84"/>
        <color rgb="FFF8696B"/>
      </colorScale>
    </cfRule>
    <cfRule type="colorScale" priority="64">
      <colorScale>
        <cfvo type="min"/>
        <cfvo type="percentile" val="50"/>
        <cfvo type="max"/>
        <color rgb="FF63BE7B"/>
        <color rgb="FFFFEB84"/>
        <color rgb="FFF8696B"/>
      </colorScale>
    </cfRule>
    <cfRule type="colorScale" priority="63">
      <colorScale>
        <cfvo type="min"/>
        <cfvo type="percentile" val="50"/>
        <cfvo type="max"/>
        <color rgb="FF63BE7B"/>
        <color rgb="FFFFEB84"/>
        <color rgb="FFF8696B"/>
      </colorScale>
    </cfRule>
  </conditionalFormatting>
  <conditionalFormatting sqref="C126">
    <cfRule type="colorScale" priority="56">
      <colorScale>
        <cfvo type="min"/>
        <cfvo type="percentile" val="50"/>
        <cfvo type="max"/>
        <color rgb="FF63BE7B"/>
        <color rgb="FFFFEB84"/>
        <color rgb="FFF8696B"/>
      </colorScale>
    </cfRule>
    <cfRule type="iconSet" priority="60">
      <iconSet iconSet="3Symbols2">
        <cfvo type="percent" val="0"/>
        <cfvo type="percent" val="24" gte="0"/>
        <cfvo type="percent" val="76" gte="0"/>
      </iconSet>
    </cfRule>
    <cfRule type="dataBar" priority="59">
      <dataBar>
        <cfvo type="num" val="0"/>
        <cfvo type="num" val="1"/>
        <color theme="5" tint="0.59999389629810485"/>
      </dataBar>
      <extLst>
        <ext xmlns:x14="http://schemas.microsoft.com/office/spreadsheetml/2009/9/main" uri="{B025F937-C7B1-47D3-B67F-A62EFF666E3E}">
          <x14:id>{4EF1D55D-2CD8-41A9-9BC4-0ECAB0DA8166}</x14:id>
        </ext>
      </extLst>
    </cfRule>
    <cfRule type="colorScale" priority="58">
      <colorScale>
        <cfvo type="min"/>
        <cfvo type="percentile" val="50"/>
        <cfvo type="max"/>
        <color rgb="FF63BE7B"/>
        <color rgb="FFFFEB84"/>
        <color rgb="FFF8696B"/>
      </colorScale>
    </cfRule>
    <cfRule type="colorScale" priority="57">
      <colorScale>
        <cfvo type="min"/>
        <cfvo type="percentile" val="50"/>
        <cfvo type="max"/>
        <color rgb="FF63BE7B"/>
        <color rgb="FFFFEB84"/>
        <color rgb="FFF8696B"/>
      </colorScale>
    </cfRule>
    <cfRule type="colorScale" priority="55">
      <colorScale>
        <cfvo type="min"/>
        <cfvo type="percentile" val="50"/>
        <cfvo type="max"/>
        <color rgb="FF63BE7B"/>
        <color rgb="FFFFEB84"/>
        <color rgb="FFF8696B"/>
      </colorScale>
    </cfRule>
    <cfRule type="colorScale" priority="54">
      <colorScale>
        <cfvo type="min"/>
        <cfvo type="percentile" val="50"/>
        <cfvo type="max"/>
        <color rgb="FF63BE7B"/>
        <color rgb="FFFFEB84"/>
        <color rgb="FFF8696B"/>
      </colorScale>
    </cfRule>
    <cfRule type="colorScale" priority="53">
      <colorScale>
        <cfvo type="min"/>
        <cfvo type="percentile" val="50"/>
        <cfvo type="max"/>
        <color rgb="FF63BE7B"/>
        <color rgb="FFFFEB84"/>
        <color rgb="FFF8696B"/>
      </colorScale>
    </cfRule>
  </conditionalFormatting>
  <conditionalFormatting sqref="C173">
    <cfRule type="iconSet" priority="52">
      <iconSet iconSet="3Symbols2">
        <cfvo type="percent" val="0"/>
        <cfvo type="percent" val="24" gte="0"/>
        <cfvo type="percent" val="76" gte="0"/>
      </iconSet>
    </cfRule>
    <cfRule type="colorScale" priority="50">
      <colorScale>
        <cfvo type="min"/>
        <cfvo type="percentile" val="50"/>
        <cfvo type="max"/>
        <color rgb="FF63BE7B"/>
        <color rgb="FFFFEB84"/>
        <color rgb="FFF8696B"/>
      </colorScale>
    </cfRule>
    <cfRule type="colorScale" priority="45">
      <colorScale>
        <cfvo type="min"/>
        <cfvo type="percentile" val="50"/>
        <cfvo type="max"/>
        <color rgb="FF63BE7B"/>
        <color rgb="FFFFEB84"/>
        <color rgb="FFF8696B"/>
      </colorScale>
    </cfRule>
    <cfRule type="colorScale" priority="46">
      <colorScale>
        <cfvo type="min"/>
        <cfvo type="percentile" val="50"/>
        <cfvo type="max"/>
        <color rgb="FF63BE7B"/>
        <color rgb="FFFFEB84"/>
        <color rgb="FFF8696B"/>
      </colorScale>
    </cfRule>
    <cfRule type="colorScale" priority="47">
      <colorScale>
        <cfvo type="min"/>
        <cfvo type="percentile" val="50"/>
        <cfvo type="max"/>
        <color rgb="FF63BE7B"/>
        <color rgb="FFFFEB84"/>
        <color rgb="FFF8696B"/>
      </colorScale>
    </cfRule>
    <cfRule type="colorScale" priority="48">
      <colorScale>
        <cfvo type="min"/>
        <cfvo type="percentile" val="50"/>
        <cfvo type="max"/>
        <color rgb="FF63BE7B"/>
        <color rgb="FFFFEB84"/>
        <color rgb="FFF8696B"/>
      </colorScale>
    </cfRule>
    <cfRule type="colorScale" priority="49">
      <colorScale>
        <cfvo type="min"/>
        <cfvo type="percentile" val="50"/>
        <cfvo type="max"/>
        <color rgb="FF63BE7B"/>
        <color rgb="FFFFEB84"/>
        <color rgb="FFF8696B"/>
      </colorScale>
    </cfRule>
    <cfRule type="dataBar" priority="51">
      <dataBar>
        <cfvo type="num" val="0"/>
        <cfvo type="num" val="1"/>
        <color theme="5" tint="0.59999389629810485"/>
      </dataBar>
      <extLst>
        <ext xmlns:x14="http://schemas.microsoft.com/office/spreadsheetml/2009/9/main" uri="{B025F937-C7B1-47D3-B67F-A62EFF666E3E}">
          <x14:id>{A5968567-DA13-4734-8E05-BD0A119B3319}</x14:id>
        </ext>
      </extLst>
    </cfRule>
  </conditionalFormatting>
  <conditionalFormatting sqref="C220">
    <cfRule type="colorScale" priority="41">
      <colorScale>
        <cfvo type="min"/>
        <cfvo type="percentile" val="50"/>
        <cfvo type="max"/>
        <color rgb="FF63BE7B"/>
        <color rgb="FFFFEB84"/>
        <color rgb="FFF8696B"/>
      </colorScale>
    </cfRule>
    <cfRule type="colorScale" priority="38">
      <colorScale>
        <cfvo type="min"/>
        <cfvo type="percentile" val="50"/>
        <cfvo type="max"/>
        <color rgb="FF63BE7B"/>
        <color rgb="FFFFEB84"/>
        <color rgb="FFF8696B"/>
      </colorScale>
    </cfRule>
    <cfRule type="dataBar" priority="43">
      <dataBar>
        <cfvo type="num" val="0"/>
        <cfvo type="num" val="1"/>
        <color theme="5" tint="0.59999389629810485"/>
      </dataBar>
      <extLst>
        <ext xmlns:x14="http://schemas.microsoft.com/office/spreadsheetml/2009/9/main" uri="{B025F937-C7B1-47D3-B67F-A62EFF666E3E}">
          <x14:id>{74EC2C8C-D1EC-4C18-B02F-6EFAC4E56613}</x14:id>
        </ext>
      </extLst>
    </cfRule>
    <cfRule type="iconSet" priority="44">
      <iconSet iconSet="3Symbols2">
        <cfvo type="percent" val="0"/>
        <cfvo type="percent" val="24" gte="0"/>
        <cfvo type="percent" val="76" gte="0"/>
      </iconSet>
    </cfRule>
    <cfRule type="colorScale" priority="37">
      <colorScale>
        <cfvo type="min"/>
        <cfvo type="percentile" val="50"/>
        <cfvo type="max"/>
        <color rgb="FF63BE7B"/>
        <color rgb="FFFFEB84"/>
        <color rgb="FFF8696B"/>
      </colorScale>
    </cfRule>
    <cfRule type="colorScale" priority="39">
      <colorScale>
        <cfvo type="min"/>
        <cfvo type="percentile" val="50"/>
        <cfvo type="max"/>
        <color rgb="FF63BE7B"/>
        <color rgb="FFFFEB84"/>
        <color rgb="FFF8696B"/>
      </colorScale>
    </cfRule>
    <cfRule type="colorScale" priority="40">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onditionalFormatting>
  <conditionalFormatting sqref="C267">
    <cfRule type="colorScale" priority="33">
      <colorScale>
        <cfvo type="min"/>
        <cfvo type="percentile" val="50"/>
        <cfvo type="max"/>
        <color rgb="FF63BE7B"/>
        <color rgb="FFFFEB84"/>
        <color rgb="FFF8696B"/>
      </colorScale>
    </cfRule>
    <cfRule type="colorScale" priority="29">
      <colorScale>
        <cfvo type="min"/>
        <cfvo type="percentile" val="50"/>
        <cfvo type="max"/>
        <color rgb="FF63BE7B"/>
        <color rgb="FFFFEB84"/>
        <color rgb="FFF8696B"/>
      </colorScale>
    </cfRule>
    <cfRule type="iconSet" priority="36">
      <iconSet iconSet="3Symbols2">
        <cfvo type="percent" val="0"/>
        <cfvo type="percent" val="24" gte="0"/>
        <cfvo type="percent" val="76" gte="0"/>
      </iconSet>
    </cfRule>
    <cfRule type="colorScale" priority="34">
      <colorScale>
        <cfvo type="min"/>
        <cfvo type="percentile" val="50"/>
        <cfvo type="max"/>
        <color rgb="FF63BE7B"/>
        <color rgb="FFFFEB84"/>
        <color rgb="FFF8696B"/>
      </colorScale>
    </cfRule>
    <cfRule type="dataBar" priority="35">
      <dataBar>
        <cfvo type="num" val="0"/>
        <cfvo type="num" val="1"/>
        <color theme="5" tint="0.59999389629810485"/>
      </dataBar>
      <extLst>
        <ext xmlns:x14="http://schemas.microsoft.com/office/spreadsheetml/2009/9/main" uri="{B025F937-C7B1-47D3-B67F-A62EFF666E3E}">
          <x14:id>{3C5A4763-20AB-437C-8184-BB740A138618}</x14:id>
        </ext>
      </extLst>
    </cfRule>
    <cfRule type="colorScale" priority="30">
      <colorScale>
        <cfvo type="min"/>
        <cfvo type="percentile" val="50"/>
        <cfvo type="max"/>
        <color rgb="FF63BE7B"/>
        <color rgb="FFFFEB84"/>
        <color rgb="FFF8696B"/>
      </colorScale>
    </cfRule>
    <cfRule type="colorScale" priority="31">
      <colorScale>
        <cfvo type="min"/>
        <cfvo type="percentile" val="50"/>
        <cfvo type="max"/>
        <color rgb="FF63BE7B"/>
        <color rgb="FFFFEB84"/>
        <color rgb="FFF8696B"/>
      </colorScale>
    </cfRule>
    <cfRule type="colorScale" priority="32">
      <colorScale>
        <cfvo type="min"/>
        <cfvo type="percentile" val="50"/>
        <cfvo type="max"/>
        <color rgb="FF63BE7B"/>
        <color rgb="FFFFEB84"/>
        <color rgb="FFF8696B"/>
      </colorScale>
    </cfRule>
  </conditionalFormatting>
  <conditionalFormatting sqref="C314">
    <cfRule type="dataBar" priority="27">
      <dataBar>
        <cfvo type="num" val="0"/>
        <cfvo type="num" val="1"/>
        <color theme="5" tint="0.59999389629810485"/>
      </dataBar>
      <extLst>
        <ext xmlns:x14="http://schemas.microsoft.com/office/spreadsheetml/2009/9/main" uri="{B025F937-C7B1-47D3-B67F-A62EFF666E3E}">
          <x14:id>{D0DDD32A-DF75-4073-8F3C-B39E414575D0}</x14:id>
        </ext>
      </extLst>
    </cfRule>
    <cfRule type="colorScale" priority="26">
      <colorScale>
        <cfvo type="min"/>
        <cfvo type="percentile" val="50"/>
        <cfvo type="max"/>
        <color rgb="FF63BE7B"/>
        <color rgb="FFFFEB84"/>
        <color rgb="FFF8696B"/>
      </colorScale>
    </cfRule>
    <cfRule type="colorScale" priority="24">
      <colorScale>
        <cfvo type="min"/>
        <cfvo type="percentile" val="50"/>
        <cfvo type="max"/>
        <color rgb="FF63BE7B"/>
        <color rgb="FFFFEB84"/>
        <color rgb="FFF8696B"/>
      </colorScale>
    </cfRule>
    <cfRule type="colorScale" priority="23">
      <colorScale>
        <cfvo type="min"/>
        <cfvo type="percentile" val="50"/>
        <cfvo type="max"/>
        <color rgb="FF63BE7B"/>
        <color rgb="FFFFEB84"/>
        <color rgb="FFF8696B"/>
      </colorScale>
    </cfRule>
    <cfRule type="colorScale" priority="21">
      <colorScale>
        <cfvo type="min"/>
        <cfvo type="percentile" val="50"/>
        <cfvo type="max"/>
        <color rgb="FF63BE7B"/>
        <color rgb="FFFFEB84"/>
        <color rgb="FFF8696B"/>
      </colorScale>
    </cfRule>
    <cfRule type="colorScale" priority="25">
      <colorScale>
        <cfvo type="min"/>
        <cfvo type="percentile" val="50"/>
        <cfvo type="max"/>
        <color rgb="FF63BE7B"/>
        <color rgb="FFFFEB84"/>
        <color rgb="FFF8696B"/>
      </colorScale>
    </cfRule>
    <cfRule type="colorScale" priority="22">
      <colorScale>
        <cfvo type="min"/>
        <cfvo type="percentile" val="50"/>
        <cfvo type="max"/>
        <color rgb="FF63BE7B"/>
        <color rgb="FFFFEB84"/>
        <color rgb="FFF8696B"/>
      </colorScale>
    </cfRule>
    <cfRule type="iconSet" priority="28">
      <iconSet iconSet="3Symbols2">
        <cfvo type="percent" val="0"/>
        <cfvo type="percent" val="24" gte="0"/>
        <cfvo type="percent" val="76" gte="0"/>
      </iconSet>
    </cfRule>
  </conditionalFormatting>
  <conditionalFormatting sqref="C361">
    <cfRule type="iconSet" priority="20">
      <iconSet iconSet="3Symbols2">
        <cfvo type="percent" val="0"/>
        <cfvo type="percent" val="24" gte="0"/>
        <cfvo type="percent" val="76" gte="0"/>
      </iconSet>
    </cfRule>
    <cfRule type="colorScale" priority="13">
      <colorScale>
        <cfvo type="min"/>
        <cfvo type="percentile" val="50"/>
        <cfvo type="max"/>
        <color rgb="FF63BE7B"/>
        <color rgb="FFFFEB84"/>
        <color rgb="FFF8696B"/>
      </colorScale>
    </cfRule>
    <cfRule type="colorScale" priority="14">
      <colorScale>
        <cfvo type="min"/>
        <cfvo type="percentile" val="50"/>
        <cfvo type="max"/>
        <color rgb="FF63BE7B"/>
        <color rgb="FFFFEB84"/>
        <color rgb="FFF8696B"/>
      </colorScale>
    </cfRule>
    <cfRule type="colorScale" priority="15">
      <colorScale>
        <cfvo type="min"/>
        <cfvo type="percentile" val="50"/>
        <cfvo type="max"/>
        <color rgb="FF63BE7B"/>
        <color rgb="FFFFEB84"/>
        <color rgb="FFF8696B"/>
      </colorScale>
    </cfRule>
    <cfRule type="colorScale" priority="16">
      <colorScale>
        <cfvo type="min"/>
        <cfvo type="percentile" val="50"/>
        <cfvo type="max"/>
        <color rgb="FF63BE7B"/>
        <color rgb="FFFFEB84"/>
        <color rgb="FFF8696B"/>
      </colorScale>
    </cfRule>
    <cfRule type="colorScale" priority="17">
      <colorScale>
        <cfvo type="min"/>
        <cfvo type="percentile" val="50"/>
        <cfvo type="max"/>
        <color rgb="FF63BE7B"/>
        <color rgb="FFFFEB84"/>
        <color rgb="FFF8696B"/>
      </colorScale>
    </cfRule>
    <cfRule type="colorScale" priority="18">
      <colorScale>
        <cfvo type="min"/>
        <cfvo type="percentile" val="50"/>
        <cfvo type="max"/>
        <color rgb="FF63BE7B"/>
        <color rgb="FFFFEB84"/>
        <color rgb="FFF8696B"/>
      </colorScale>
    </cfRule>
    <cfRule type="dataBar" priority="19">
      <dataBar>
        <cfvo type="num" val="0"/>
        <cfvo type="num" val="1"/>
        <color theme="5" tint="0.59999389629810485"/>
      </dataBar>
      <extLst>
        <ext xmlns:x14="http://schemas.microsoft.com/office/spreadsheetml/2009/9/main" uri="{B025F937-C7B1-47D3-B67F-A62EFF666E3E}">
          <x14:id>{B45AC37F-7CA3-475A-AAB7-0898A43337FD}</x14:id>
        </ext>
      </extLst>
    </cfRule>
  </conditionalFormatting>
  <conditionalFormatting sqref="C405">
    <cfRule type="dataBar" priority="11">
      <dataBar>
        <cfvo type="num" val="0"/>
        <cfvo type="num" val="1"/>
        <color theme="5" tint="0.59999389629810485"/>
      </dataBar>
      <extLst>
        <ext xmlns:x14="http://schemas.microsoft.com/office/spreadsheetml/2009/9/main" uri="{B025F937-C7B1-47D3-B67F-A62EFF666E3E}">
          <x14:id>{73515A54-DC75-4E2B-A067-BE4C0138D70A}</x14:id>
        </ext>
      </extLst>
    </cfRule>
    <cfRule type="colorScale" priority="10">
      <colorScale>
        <cfvo type="min"/>
        <cfvo type="percentile" val="50"/>
        <cfvo type="max"/>
        <color rgb="FF63BE7B"/>
        <color rgb="FFFFEB84"/>
        <color rgb="FFF8696B"/>
      </colorScale>
    </cfRule>
    <cfRule type="colorScale" priority="9">
      <colorScale>
        <cfvo type="min"/>
        <cfvo type="percentile" val="50"/>
        <cfvo type="max"/>
        <color rgb="FF63BE7B"/>
        <color rgb="FFFFEB84"/>
        <color rgb="FFF8696B"/>
      </colorScale>
    </cfRule>
    <cfRule type="colorScale" priority="8">
      <colorScale>
        <cfvo type="min"/>
        <cfvo type="percentile" val="50"/>
        <cfvo type="max"/>
        <color rgb="FF63BE7B"/>
        <color rgb="FFFFEB84"/>
        <color rgb="FFF8696B"/>
      </colorScale>
    </cfRule>
    <cfRule type="colorScale" priority="7">
      <colorScale>
        <cfvo type="min"/>
        <cfvo type="percentile" val="50"/>
        <cfvo type="max"/>
        <color rgb="FF63BE7B"/>
        <color rgb="FFFFEB84"/>
        <color rgb="FFF8696B"/>
      </colorScale>
    </cfRule>
    <cfRule type="colorScale" priority="6">
      <colorScale>
        <cfvo type="min"/>
        <cfvo type="percentile" val="50"/>
        <cfvo type="max"/>
        <color rgb="FF63BE7B"/>
        <color rgb="FFFFEB84"/>
        <color rgb="FFF8696B"/>
      </colorScale>
    </cfRule>
    <cfRule type="colorScale" priority="5">
      <colorScale>
        <cfvo type="min"/>
        <cfvo type="percentile" val="50"/>
        <cfvo type="max"/>
        <color rgb="FF63BE7B"/>
        <color rgb="FFFFEB84"/>
        <color rgb="FFF8696B"/>
      </colorScale>
    </cfRule>
    <cfRule type="iconSet" priority="12">
      <iconSet iconSet="3Symbols2">
        <cfvo type="percent" val="0"/>
        <cfvo type="percent" val="24" gte="0"/>
        <cfvo type="percent" val="76" gte="0"/>
      </iconSet>
    </cfRule>
  </conditionalFormatting>
  <conditionalFormatting sqref="C80:W124 C127:W171 C174:W218 C221:W265 C268:W312 C315:W359 C362:W403 C34:W77 C7:W31">
    <cfRule type="iconSet" priority="833">
      <iconSet iconSet="3Symbols2">
        <cfvo type="percent" val="0"/>
        <cfvo type="percent" val="24" gte="0"/>
        <cfvo type="percent" val="76" gte="0"/>
      </iconSet>
    </cfRule>
  </conditionalFormatting>
  <conditionalFormatting sqref="C362:W402 C315:W359 C268:W312 C221:W265 C174:W218 C127:W171 C80:W124 C34:W77 C7:W31">
    <cfRule type="dataBar" priority="161">
      <dataBar>
        <cfvo type="min"/>
        <cfvo type="max"/>
        <color theme="6" tint="0.79998168889431442"/>
      </dataBar>
      <extLst>
        <ext xmlns:x14="http://schemas.microsoft.com/office/spreadsheetml/2009/9/main" uri="{B025F937-C7B1-47D3-B67F-A62EFF666E3E}">
          <x14:id>{3FBF8FDB-D3CA-4177-ADCD-DD005C1A6C56}</x14:id>
        </ext>
      </extLst>
    </cfRule>
  </conditionalFormatting>
  <conditionalFormatting sqref="C32:W32">
    <cfRule type="colorScale" priority="69">
      <colorScale>
        <cfvo type="min"/>
        <cfvo type="percentile" val="50"/>
        <cfvo type="max"/>
        <color rgb="FF63BE7B"/>
        <color rgb="FFFFEB84"/>
        <color rgb="FFF8696B"/>
      </colorScale>
    </cfRule>
    <cfRule type="iconSet" priority="70">
      <iconSet iconSet="3Symbols2">
        <cfvo type="percent" val="0"/>
        <cfvo type="percent" val="24" gte="0"/>
        <cfvo type="percent" val="76" gte="0"/>
      </iconSet>
    </cfRule>
  </conditionalFormatting>
  <conditionalFormatting sqref="C78:W78">
    <cfRule type="colorScale" priority="79">
      <colorScale>
        <cfvo type="min"/>
        <cfvo type="percentile" val="50"/>
        <cfvo type="max"/>
        <color rgb="FF63BE7B"/>
        <color rgb="FFFFEB84"/>
        <color rgb="FFF8696B"/>
      </colorScale>
    </cfRule>
    <cfRule type="iconSet" priority="80">
      <iconSet iconSet="3Symbols2">
        <cfvo type="percent" val="0"/>
        <cfvo type="percent" val="24" gte="0"/>
        <cfvo type="percent" val="76" gte="0"/>
      </iconSet>
    </cfRule>
  </conditionalFormatting>
  <conditionalFormatting sqref="C125:W125">
    <cfRule type="colorScale" priority="89">
      <colorScale>
        <cfvo type="min"/>
        <cfvo type="percentile" val="50"/>
        <cfvo type="max"/>
        <color rgb="FF63BE7B"/>
        <color rgb="FFFFEB84"/>
        <color rgb="FFF8696B"/>
      </colorScale>
    </cfRule>
    <cfRule type="iconSet" priority="90">
      <iconSet iconSet="3Symbols2">
        <cfvo type="percent" val="0"/>
        <cfvo type="percent" val="24" gte="0"/>
        <cfvo type="percent" val="76" gte="0"/>
      </iconSet>
    </cfRule>
  </conditionalFormatting>
  <conditionalFormatting sqref="C172:W172">
    <cfRule type="colorScale" priority="99">
      <colorScale>
        <cfvo type="min"/>
        <cfvo type="percentile" val="50"/>
        <cfvo type="max"/>
        <color rgb="FF63BE7B"/>
        <color rgb="FFFFEB84"/>
        <color rgb="FFF8696B"/>
      </colorScale>
    </cfRule>
    <cfRule type="iconSet" priority="100">
      <iconSet iconSet="3Symbols2">
        <cfvo type="percent" val="0"/>
        <cfvo type="percent" val="24" gte="0"/>
        <cfvo type="percent" val="76" gte="0"/>
      </iconSet>
    </cfRule>
  </conditionalFormatting>
  <conditionalFormatting sqref="C219:W219">
    <cfRule type="colorScale" priority="109">
      <colorScale>
        <cfvo type="min"/>
        <cfvo type="percentile" val="50"/>
        <cfvo type="max"/>
        <color rgb="FF63BE7B"/>
        <color rgb="FFFFEB84"/>
        <color rgb="FFF8696B"/>
      </colorScale>
    </cfRule>
    <cfRule type="iconSet" priority="110">
      <iconSet iconSet="3Symbols2">
        <cfvo type="percent" val="0"/>
        <cfvo type="percent" val="24" gte="0"/>
        <cfvo type="percent" val="76" gte="0"/>
      </iconSet>
    </cfRule>
  </conditionalFormatting>
  <conditionalFormatting sqref="C266:W266">
    <cfRule type="iconSet" priority="120">
      <iconSet iconSet="3Symbols2">
        <cfvo type="percent" val="0"/>
        <cfvo type="percent" val="24" gte="0"/>
        <cfvo type="percent" val="76" gte="0"/>
      </iconSet>
    </cfRule>
    <cfRule type="colorScale" priority="119">
      <colorScale>
        <cfvo type="min"/>
        <cfvo type="percentile" val="50"/>
        <cfvo type="max"/>
        <color rgb="FF63BE7B"/>
        <color rgb="FFFFEB84"/>
        <color rgb="FFF8696B"/>
      </colorScale>
    </cfRule>
  </conditionalFormatting>
  <conditionalFormatting sqref="C313:W313">
    <cfRule type="colorScale" priority="129">
      <colorScale>
        <cfvo type="min"/>
        <cfvo type="percentile" val="50"/>
        <cfvo type="max"/>
        <color rgb="FF63BE7B"/>
        <color rgb="FFFFEB84"/>
        <color rgb="FFF8696B"/>
      </colorScale>
    </cfRule>
    <cfRule type="iconSet" priority="130">
      <iconSet iconSet="3Symbols2">
        <cfvo type="percent" val="0"/>
        <cfvo type="percent" val="24" gte="0"/>
        <cfvo type="percent" val="76" gte="0"/>
      </iconSet>
    </cfRule>
  </conditionalFormatting>
  <conditionalFormatting sqref="C360:W360">
    <cfRule type="colorScale" priority="139">
      <colorScale>
        <cfvo type="min"/>
        <cfvo type="percentile" val="50"/>
        <cfvo type="max"/>
        <color rgb="FF63BE7B"/>
        <color rgb="FFFFEB84"/>
        <color rgb="FFF8696B"/>
      </colorScale>
    </cfRule>
    <cfRule type="iconSet" priority="140">
      <iconSet iconSet="3Symbols2">
        <cfvo type="percent" val="0"/>
        <cfvo type="percent" val="24" gte="0"/>
        <cfvo type="percent" val="76" gte="0"/>
      </iconSet>
    </cfRule>
  </conditionalFormatting>
  <conditionalFormatting sqref="C404:W404">
    <cfRule type="colorScale" priority="149">
      <colorScale>
        <cfvo type="min"/>
        <cfvo type="percentile" val="50"/>
        <cfvo type="max"/>
        <color rgb="FF63BE7B"/>
        <color rgb="FFFFEB84"/>
        <color rgb="FFF8696B"/>
      </colorScale>
    </cfRule>
    <cfRule type="iconSet" priority="150">
      <iconSet iconSet="3Symbols2">
        <cfvo type="percent" val="0"/>
        <cfvo type="percent" val="24" gte="0"/>
        <cfvo type="percent" val="76" gte="0"/>
      </iconSet>
    </cfRule>
  </conditionalFormatting>
  <conditionalFormatting sqref="C410:W418 X410:X419">
    <cfRule type="cellIs" dxfId="148" priority="182" operator="equal">
      <formula>0</formula>
    </cfRule>
    <cfRule type="cellIs" dxfId="147" priority="183" operator="equal">
      <formula>100</formula>
    </cfRule>
    <cfRule type="cellIs" dxfId="146" priority="184" operator="between">
      <formula>50</formula>
      <formula>99</formula>
    </cfRule>
  </conditionalFormatting>
  <conditionalFormatting sqref="C419:W419">
    <cfRule type="iconSet" priority="4">
      <iconSet iconSet="3Symbols2">
        <cfvo type="percent" val="0"/>
        <cfvo type="percent" val="24" gte="0"/>
        <cfvo type="percent" val="76" gte="0"/>
      </iconSet>
    </cfRule>
    <cfRule type="colorScale" priority="3">
      <colorScale>
        <cfvo type="min"/>
        <cfvo type="percentile" val="50"/>
        <cfvo type="max"/>
        <color rgb="FF63BE7B"/>
        <color rgb="FFFFEB84"/>
        <color rgb="FFF8696B"/>
      </colorScale>
    </cfRule>
  </conditionalFormatting>
  <conditionalFormatting sqref="X3:X4">
    <cfRule type="colorScale" priority="2">
      <colorScale>
        <cfvo type="min"/>
        <cfvo type="percentile" val="50"/>
        <cfvo type="max"/>
        <color rgb="FF63BE7B"/>
        <color rgb="FFFFEB84"/>
        <color rgb="FFF8696B"/>
      </colorScale>
    </cfRule>
  </conditionalFormatting>
  <conditionalFormatting sqref="X7:X405">
    <cfRule type="colorScale" priority="1">
      <colorScale>
        <cfvo type="min"/>
        <cfvo type="percentile" val="50"/>
        <cfvo type="max"/>
        <color rgb="FF63BE7B"/>
        <color rgb="FFFFEB84"/>
        <color rgb="FFF8696B"/>
      </colorScale>
    </cfRule>
  </conditionalFormatting>
  <printOptions horizontalCentered="1"/>
  <pageMargins left="0" right="0" top="0" bottom="0" header="0" footer="0"/>
  <pageSetup scale="26" fitToHeight="0" orientation="landscape" r:id="rId1"/>
  <headerFooter>
    <oddFooter>&amp;LProgramacion y Control&amp;Cleo.cg_10@yahoo.es&amp;RFecha:19-12-2013</oddFooter>
  </headerFooter>
  <colBreaks count="1" manualBreakCount="1">
    <brk id="11" max="420" man="1"/>
  </colBreaks>
  <drawing r:id="rId2"/>
  <extLst>
    <ext xmlns:x14="http://schemas.microsoft.com/office/spreadsheetml/2009/9/main" uri="{78C0D931-6437-407d-A8EE-F0AAD7539E65}">
      <x14:conditionalFormattings>
        <x14:conditionalFormatting xmlns:xm="http://schemas.microsoft.com/office/excel/2006/main">
          <x14:cfRule type="dataBar" id="{E89F7B45-CDD4-4FA7-BFBC-82852855A2EB}">
            <x14:dataBar minLength="0" maxLength="100" gradient="0">
              <x14:cfvo type="num">
                <xm:f>0</xm:f>
              </x14:cfvo>
              <x14:cfvo type="num">
                <xm:f>1</xm:f>
              </x14:cfvo>
              <x14:negativeFillColor rgb="FFFF0000"/>
              <x14:axisColor rgb="FF000000"/>
            </x14:dataBar>
          </x14:cfRule>
          <xm:sqref>C33</xm:sqref>
        </x14:conditionalFormatting>
        <x14:conditionalFormatting xmlns:xm="http://schemas.microsoft.com/office/excel/2006/main">
          <x14:cfRule type="dataBar" id="{D64D6058-286B-4AA7-97B7-4AF3855E88A7}">
            <x14:dataBar minLength="0" maxLength="100" gradient="0">
              <x14:cfvo type="num">
                <xm:f>0</xm:f>
              </x14:cfvo>
              <x14:cfvo type="num">
                <xm:f>1</xm:f>
              </x14:cfvo>
              <x14:negativeFillColor rgb="FFFF0000"/>
              <x14:axisColor rgb="FF000000"/>
            </x14:dataBar>
          </x14:cfRule>
          <xm:sqref>C79</xm:sqref>
        </x14:conditionalFormatting>
        <x14:conditionalFormatting xmlns:xm="http://schemas.microsoft.com/office/excel/2006/main">
          <x14:cfRule type="dataBar" id="{4EF1D55D-2CD8-41A9-9BC4-0ECAB0DA8166}">
            <x14:dataBar minLength="0" maxLength="100" gradient="0">
              <x14:cfvo type="num">
                <xm:f>0</xm:f>
              </x14:cfvo>
              <x14:cfvo type="num">
                <xm:f>1</xm:f>
              </x14:cfvo>
              <x14:negativeFillColor rgb="FFFF0000"/>
              <x14:axisColor rgb="FF000000"/>
            </x14:dataBar>
          </x14:cfRule>
          <xm:sqref>C126</xm:sqref>
        </x14:conditionalFormatting>
        <x14:conditionalFormatting xmlns:xm="http://schemas.microsoft.com/office/excel/2006/main">
          <x14:cfRule type="dataBar" id="{A5968567-DA13-4734-8E05-BD0A119B3319}">
            <x14:dataBar minLength="0" maxLength="100" gradient="0">
              <x14:cfvo type="num">
                <xm:f>0</xm:f>
              </x14:cfvo>
              <x14:cfvo type="num">
                <xm:f>1</xm:f>
              </x14:cfvo>
              <x14:negativeFillColor rgb="FFFF0000"/>
              <x14:axisColor rgb="FF000000"/>
            </x14:dataBar>
          </x14:cfRule>
          <xm:sqref>C173</xm:sqref>
        </x14:conditionalFormatting>
        <x14:conditionalFormatting xmlns:xm="http://schemas.microsoft.com/office/excel/2006/main">
          <x14:cfRule type="dataBar" id="{74EC2C8C-D1EC-4C18-B02F-6EFAC4E56613}">
            <x14:dataBar minLength="0" maxLength="100" gradient="0">
              <x14:cfvo type="num">
                <xm:f>0</xm:f>
              </x14:cfvo>
              <x14:cfvo type="num">
                <xm:f>1</xm:f>
              </x14:cfvo>
              <x14:negativeFillColor rgb="FFFF0000"/>
              <x14:axisColor rgb="FF000000"/>
            </x14:dataBar>
          </x14:cfRule>
          <xm:sqref>C220</xm:sqref>
        </x14:conditionalFormatting>
        <x14:conditionalFormatting xmlns:xm="http://schemas.microsoft.com/office/excel/2006/main">
          <x14:cfRule type="dataBar" id="{3C5A4763-20AB-437C-8184-BB740A138618}">
            <x14:dataBar minLength="0" maxLength="100" gradient="0">
              <x14:cfvo type="num">
                <xm:f>0</xm:f>
              </x14:cfvo>
              <x14:cfvo type="num">
                <xm:f>1</xm:f>
              </x14:cfvo>
              <x14:negativeFillColor rgb="FFFF0000"/>
              <x14:axisColor rgb="FF000000"/>
            </x14:dataBar>
          </x14:cfRule>
          <xm:sqref>C267</xm:sqref>
        </x14:conditionalFormatting>
        <x14:conditionalFormatting xmlns:xm="http://schemas.microsoft.com/office/excel/2006/main">
          <x14:cfRule type="dataBar" id="{D0DDD32A-DF75-4073-8F3C-B39E414575D0}">
            <x14:dataBar minLength="0" maxLength="100" gradient="0">
              <x14:cfvo type="num">
                <xm:f>0</xm:f>
              </x14:cfvo>
              <x14:cfvo type="num">
                <xm:f>1</xm:f>
              </x14:cfvo>
              <x14:negativeFillColor rgb="FFFF0000"/>
              <x14:axisColor rgb="FF000000"/>
            </x14:dataBar>
          </x14:cfRule>
          <xm:sqref>C314</xm:sqref>
        </x14:conditionalFormatting>
        <x14:conditionalFormatting xmlns:xm="http://schemas.microsoft.com/office/excel/2006/main">
          <x14:cfRule type="dataBar" id="{B45AC37F-7CA3-475A-AAB7-0898A43337FD}">
            <x14:dataBar minLength="0" maxLength="100" gradient="0">
              <x14:cfvo type="num">
                <xm:f>0</xm:f>
              </x14:cfvo>
              <x14:cfvo type="num">
                <xm:f>1</xm:f>
              </x14:cfvo>
              <x14:negativeFillColor rgb="FFFF0000"/>
              <x14:axisColor rgb="FF000000"/>
            </x14:dataBar>
          </x14:cfRule>
          <xm:sqref>C361</xm:sqref>
        </x14:conditionalFormatting>
        <x14:conditionalFormatting xmlns:xm="http://schemas.microsoft.com/office/excel/2006/main">
          <x14:cfRule type="dataBar" id="{73515A54-DC75-4E2B-A067-BE4C0138D70A}">
            <x14:dataBar minLength="0" maxLength="100" gradient="0">
              <x14:cfvo type="num">
                <xm:f>0</xm:f>
              </x14:cfvo>
              <x14:cfvo type="num">
                <xm:f>1</xm:f>
              </x14:cfvo>
              <x14:negativeFillColor rgb="FFFF0000"/>
              <x14:axisColor rgb="FF000000"/>
            </x14:dataBar>
          </x14:cfRule>
          <xm:sqref>C405</xm:sqref>
        </x14:conditionalFormatting>
        <x14:conditionalFormatting xmlns:xm="http://schemas.microsoft.com/office/excel/2006/main">
          <x14:cfRule type="dataBar" id="{3FBF8FDB-D3CA-4177-ADCD-DD005C1A6C56}">
            <x14:dataBar minLength="0" maxLength="100" gradient="0">
              <x14:cfvo type="autoMin"/>
              <x14:cfvo type="autoMax"/>
              <x14:negativeFillColor rgb="FFFF0000"/>
              <x14:axisColor rgb="FF000000"/>
            </x14:dataBar>
          </x14:cfRule>
          <xm:sqref>C362:W402 C315:W359 C268:W312 C221:W265 C174:W218 C127:W171 C80:W124 C34:W77 C7:W31</xm:sqref>
        </x14:conditionalFormatting>
      </x14:conditionalFormattings>
    </ext>
    <ext xmlns:x14="http://schemas.microsoft.com/office/spreadsheetml/2009/9/main" uri="{05C60535-1F16-4fd2-B633-F4F36F0B64E0}">
      <x14:sparklineGroups xmlns:xm="http://schemas.microsoft.com/office/excel/2006/main">
        <x14:sparklineGroup manualMax="1" manualMin="0" type="column" displayEmptyCellsAs="gap" high="1" low="1" first="1" last="1" negative="1" minAxisType="custom" maxAxisType="custom" xr2:uid="{0A35CCC5-0370-4551-A451-98920D71D493}">
          <x14:colorSeries theme="3" tint="0.39997558519241921"/>
          <x14:colorNegative rgb="FFD00000"/>
          <x14:colorAxis rgb="FF000000"/>
          <x14:colorMarkers rgb="FFD00000"/>
          <x14:colorFirst rgb="FFD00000"/>
          <x14:colorLast rgb="FFD00000"/>
          <x14:colorHigh rgb="FF00FF00"/>
          <x14:colorLow rgb="FF0070C0"/>
          <x14:sparklines>
            <x14:sparkline>
              <xm:f>'FASE 3 '!C404:C404</xm:f>
              <xm:sqref>C403</xm:sqref>
            </x14:sparkline>
            <x14:sparkline>
              <xm:f>'FASE 3 '!D404:D404</xm:f>
              <xm:sqref>D403</xm:sqref>
            </x14:sparkline>
            <x14:sparkline>
              <xm:f>'FASE 3 '!E404:E404</xm:f>
              <xm:sqref>E403</xm:sqref>
            </x14:sparkline>
            <x14:sparkline>
              <xm:f>'FASE 3 '!F404:F404</xm:f>
              <xm:sqref>F403</xm:sqref>
            </x14:sparkline>
            <x14:sparkline>
              <xm:f>'FASE 3 '!G404:G404</xm:f>
              <xm:sqref>G403</xm:sqref>
            </x14:sparkline>
            <x14:sparkline>
              <xm:f>'FASE 3 '!H404:H404</xm:f>
              <xm:sqref>H403</xm:sqref>
            </x14:sparkline>
            <x14:sparkline>
              <xm:f>'FASE 3 '!I404:I404</xm:f>
              <xm:sqref>I403</xm:sqref>
            </x14:sparkline>
            <x14:sparkline>
              <xm:f>'FASE 3 '!J404:J404</xm:f>
              <xm:sqref>J403</xm:sqref>
            </x14:sparkline>
            <x14:sparkline>
              <xm:f>'FASE 3 '!K404:K404</xm:f>
              <xm:sqref>K403</xm:sqref>
            </x14:sparkline>
            <x14:sparkline>
              <xm:f>'FASE 3 '!L404:L404</xm:f>
              <xm:sqref>L403</xm:sqref>
            </x14:sparkline>
            <x14:sparkline>
              <xm:f>'FASE 3 '!M404:M404</xm:f>
              <xm:sqref>M403</xm:sqref>
            </x14:sparkline>
            <x14:sparkline>
              <xm:f>'FASE 3 '!N404:N404</xm:f>
              <xm:sqref>N403</xm:sqref>
            </x14:sparkline>
            <x14:sparkline>
              <xm:f>'FASE 3 '!O404:O404</xm:f>
              <xm:sqref>O403</xm:sqref>
            </x14:sparkline>
            <x14:sparkline>
              <xm:f>'FASE 3 '!P404:P404</xm:f>
              <xm:sqref>P403</xm:sqref>
            </x14:sparkline>
            <x14:sparkline>
              <xm:f>'FASE 3 '!Q404:Q404</xm:f>
              <xm:sqref>Q403</xm:sqref>
            </x14:sparkline>
            <x14:sparkline>
              <xm:f>'FASE 3 '!R404:R404</xm:f>
              <xm:sqref>R403</xm:sqref>
            </x14:sparkline>
            <x14:sparkline>
              <xm:f>'FASE 3 '!S404:S404</xm:f>
              <xm:sqref>S403</xm:sqref>
            </x14:sparkline>
            <x14:sparkline>
              <xm:f>'FASE 3 '!T404:T404</xm:f>
              <xm:sqref>T403</xm:sqref>
            </x14:sparkline>
            <x14:sparkline>
              <xm:f>'FASE 3 '!U404:U404</xm:f>
              <xm:sqref>U403</xm:sqref>
            </x14:sparkline>
            <x14:sparkline>
              <xm:f>'FASE 3 '!V404:V404</xm:f>
              <xm:sqref>V403</xm:sqref>
            </x14:sparkline>
            <x14:sparkline>
              <xm:f>'FASE 3 '!W404:W404</xm:f>
              <xm:sqref>W403</xm:sqref>
            </x14:sparkline>
          </x14:sparklines>
        </x14:sparklineGroup>
        <x14:sparklineGroup manualMax="1" manualMin="0" type="column" displayEmptyCellsAs="gap" high="1" low="1" first="1" last="1" negative="1" minAxisType="custom" maxAxisType="custom" xr2:uid="{3249244E-4393-4B9B-B022-9410ADE28915}">
          <x14:colorSeries theme="3" tint="0.39997558519241921"/>
          <x14:colorNegative rgb="FFD00000"/>
          <x14:colorAxis rgb="FF000000"/>
          <x14:colorMarkers rgb="FFD00000"/>
          <x14:colorFirst rgb="FFD00000"/>
          <x14:colorLast rgb="FFD00000"/>
          <x14:colorHigh rgb="FF00FF00"/>
          <x14:colorLow rgb="FF0070C0"/>
          <x14:sparklines>
            <x14:sparkline>
              <xm:f>'FASE 3 '!C360:C360</xm:f>
              <xm:sqref>C359</xm:sqref>
            </x14:sparkline>
            <x14:sparkline>
              <xm:f>'FASE 3 '!D360:D360</xm:f>
              <xm:sqref>D359</xm:sqref>
            </x14:sparkline>
            <x14:sparkline>
              <xm:f>'FASE 3 '!E360:E360</xm:f>
              <xm:sqref>E359</xm:sqref>
            </x14:sparkline>
            <x14:sparkline>
              <xm:f>'FASE 3 '!F360:F360</xm:f>
              <xm:sqref>F359</xm:sqref>
            </x14:sparkline>
            <x14:sparkline>
              <xm:f>'FASE 3 '!G360:G360</xm:f>
              <xm:sqref>G359</xm:sqref>
            </x14:sparkline>
            <x14:sparkline>
              <xm:f>'FASE 3 '!H360:H360</xm:f>
              <xm:sqref>H359</xm:sqref>
            </x14:sparkline>
            <x14:sparkline>
              <xm:f>'FASE 3 '!I360:I360</xm:f>
              <xm:sqref>I359</xm:sqref>
            </x14:sparkline>
            <x14:sparkline>
              <xm:f>'FASE 3 '!J360:J360</xm:f>
              <xm:sqref>J359</xm:sqref>
            </x14:sparkline>
            <x14:sparkline>
              <xm:f>'FASE 3 '!K360:K360</xm:f>
              <xm:sqref>K359</xm:sqref>
            </x14:sparkline>
            <x14:sparkline>
              <xm:f>'FASE 3 '!L360:L360</xm:f>
              <xm:sqref>L359</xm:sqref>
            </x14:sparkline>
            <x14:sparkline>
              <xm:f>'FASE 3 '!M360:M360</xm:f>
              <xm:sqref>M359</xm:sqref>
            </x14:sparkline>
            <x14:sparkline>
              <xm:f>'FASE 3 '!N360:N360</xm:f>
              <xm:sqref>N359</xm:sqref>
            </x14:sparkline>
            <x14:sparkline>
              <xm:f>'FASE 3 '!O360:O360</xm:f>
              <xm:sqref>O359</xm:sqref>
            </x14:sparkline>
            <x14:sparkline>
              <xm:f>'FASE 3 '!P360:P360</xm:f>
              <xm:sqref>P359</xm:sqref>
            </x14:sparkline>
            <x14:sparkline>
              <xm:f>'FASE 3 '!Q360:Q360</xm:f>
              <xm:sqref>Q359</xm:sqref>
            </x14:sparkline>
            <x14:sparkline>
              <xm:f>'FASE 3 '!R360:R360</xm:f>
              <xm:sqref>R359</xm:sqref>
            </x14:sparkline>
            <x14:sparkline>
              <xm:f>'FASE 3 '!S360:S360</xm:f>
              <xm:sqref>S359</xm:sqref>
            </x14:sparkline>
            <x14:sparkline>
              <xm:f>'FASE 3 '!T360:T360</xm:f>
              <xm:sqref>T359</xm:sqref>
            </x14:sparkline>
            <x14:sparkline>
              <xm:f>'FASE 3 '!U360:U360</xm:f>
              <xm:sqref>U359</xm:sqref>
            </x14:sparkline>
            <x14:sparkline>
              <xm:f>'FASE 3 '!V360:V360</xm:f>
              <xm:sqref>V359</xm:sqref>
            </x14:sparkline>
            <x14:sparkline>
              <xm:f>'FASE 3 '!W360:W360</xm:f>
              <xm:sqref>W359</xm:sqref>
            </x14:sparkline>
          </x14:sparklines>
        </x14:sparklineGroup>
        <x14:sparklineGroup manualMax="1" manualMin="0" type="column" displayEmptyCellsAs="gap" high="1" low="1" first="1" last="1" negative="1" minAxisType="custom" maxAxisType="custom" xr2:uid="{7875FC29-716B-48D0-A242-7EF0AF5550CF}">
          <x14:colorSeries theme="3" tint="0.39997558519241921"/>
          <x14:colorNegative rgb="FFD00000"/>
          <x14:colorAxis rgb="FF000000"/>
          <x14:colorMarkers rgb="FFD00000"/>
          <x14:colorFirst rgb="FFD00000"/>
          <x14:colorLast rgb="FFD00000"/>
          <x14:colorHigh rgb="FF00FF00"/>
          <x14:colorLow rgb="FF0070C0"/>
          <x14:sparklines>
            <x14:sparkline>
              <xm:f>'FASE 3 '!C313:C313</xm:f>
              <xm:sqref>C312</xm:sqref>
            </x14:sparkline>
            <x14:sparkline>
              <xm:f>'FASE 3 '!D313:D313</xm:f>
              <xm:sqref>D312</xm:sqref>
            </x14:sparkline>
            <x14:sparkline>
              <xm:f>'FASE 3 '!E313:E313</xm:f>
              <xm:sqref>E312</xm:sqref>
            </x14:sparkline>
            <x14:sparkline>
              <xm:f>'FASE 3 '!F313:F313</xm:f>
              <xm:sqref>F312</xm:sqref>
            </x14:sparkline>
            <x14:sparkline>
              <xm:f>'FASE 3 '!G313:G313</xm:f>
              <xm:sqref>G312</xm:sqref>
            </x14:sparkline>
            <x14:sparkline>
              <xm:f>'FASE 3 '!H313:H313</xm:f>
              <xm:sqref>H312</xm:sqref>
            </x14:sparkline>
            <x14:sparkline>
              <xm:f>'FASE 3 '!I313:I313</xm:f>
              <xm:sqref>I312</xm:sqref>
            </x14:sparkline>
            <x14:sparkline>
              <xm:f>'FASE 3 '!J313:J313</xm:f>
              <xm:sqref>J312</xm:sqref>
            </x14:sparkline>
            <x14:sparkline>
              <xm:f>'FASE 3 '!K313:K313</xm:f>
              <xm:sqref>K312</xm:sqref>
            </x14:sparkline>
            <x14:sparkline>
              <xm:f>'FASE 3 '!L313:L313</xm:f>
              <xm:sqref>L312</xm:sqref>
            </x14:sparkline>
            <x14:sparkline>
              <xm:f>'FASE 3 '!M313:M313</xm:f>
              <xm:sqref>M312</xm:sqref>
            </x14:sparkline>
            <x14:sparkline>
              <xm:f>'FASE 3 '!N313:N313</xm:f>
              <xm:sqref>N312</xm:sqref>
            </x14:sparkline>
            <x14:sparkline>
              <xm:f>'FASE 3 '!O313:O313</xm:f>
              <xm:sqref>O312</xm:sqref>
            </x14:sparkline>
            <x14:sparkline>
              <xm:f>'FASE 3 '!P313:P313</xm:f>
              <xm:sqref>P312</xm:sqref>
            </x14:sparkline>
            <x14:sparkline>
              <xm:f>'FASE 3 '!Q313:Q313</xm:f>
              <xm:sqref>Q312</xm:sqref>
            </x14:sparkline>
            <x14:sparkline>
              <xm:f>'FASE 3 '!R313:R313</xm:f>
              <xm:sqref>R312</xm:sqref>
            </x14:sparkline>
            <x14:sparkline>
              <xm:f>'FASE 3 '!S313:S313</xm:f>
              <xm:sqref>S312</xm:sqref>
            </x14:sparkline>
            <x14:sparkline>
              <xm:f>'FASE 3 '!T313:T313</xm:f>
              <xm:sqref>T312</xm:sqref>
            </x14:sparkline>
            <x14:sparkline>
              <xm:f>'FASE 3 '!U313:U313</xm:f>
              <xm:sqref>U312</xm:sqref>
            </x14:sparkline>
            <x14:sparkline>
              <xm:f>'FASE 3 '!V313:V313</xm:f>
              <xm:sqref>V312</xm:sqref>
            </x14:sparkline>
            <x14:sparkline>
              <xm:f>'FASE 3 '!W313:W313</xm:f>
              <xm:sqref>W312</xm:sqref>
            </x14:sparkline>
          </x14:sparklines>
        </x14:sparklineGroup>
        <x14:sparklineGroup manualMax="1" manualMin="0" type="column" displayEmptyCellsAs="gap" high="1" low="1" first="1" last="1" negative="1" minAxisType="custom" maxAxisType="custom" xr2:uid="{DC2FCA12-10BF-4758-99D5-97C2DD2F526C}">
          <x14:colorSeries theme="3" tint="0.39997558519241921"/>
          <x14:colorNegative rgb="FFD00000"/>
          <x14:colorAxis rgb="FF000000"/>
          <x14:colorMarkers rgb="FFD00000"/>
          <x14:colorFirst rgb="FFD00000"/>
          <x14:colorLast rgb="FFD00000"/>
          <x14:colorHigh rgb="FF00FF00"/>
          <x14:colorLow rgb="FF0070C0"/>
          <x14:sparklines>
            <x14:sparkline>
              <xm:f>'FASE 3 '!C266:C266</xm:f>
              <xm:sqref>C265</xm:sqref>
            </x14:sparkline>
            <x14:sparkline>
              <xm:f>'FASE 3 '!D266:D266</xm:f>
              <xm:sqref>D265</xm:sqref>
            </x14:sparkline>
            <x14:sparkline>
              <xm:f>'FASE 3 '!E266:E266</xm:f>
              <xm:sqref>E265</xm:sqref>
            </x14:sparkline>
            <x14:sparkline>
              <xm:f>'FASE 3 '!F266:F266</xm:f>
              <xm:sqref>F265</xm:sqref>
            </x14:sparkline>
            <x14:sparkline>
              <xm:f>'FASE 3 '!G266:G266</xm:f>
              <xm:sqref>G265</xm:sqref>
            </x14:sparkline>
            <x14:sparkline>
              <xm:f>'FASE 3 '!H266:H266</xm:f>
              <xm:sqref>H265</xm:sqref>
            </x14:sparkline>
            <x14:sparkline>
              <xm:f>'FASE 3 '!I266:I266</xm:f>
              <xm:sqref>I265</xm:sqref>
            </x14:sparkline>
            <x14:sparkline>
              <xm:f>'FASE 3 '!J266:J266</xm:f>
              <xm:sqref>J265</xm:sqref>
            </x14:sparkline>
            <x14:sparkline>
              <xm:f>'FASE 3 '!K266:K266</xm:f>
              <xm:sqref>K265</xm:sqref>
            </x14:sparkline>
            <x14:sparkline>
              <xm:f>'FASE 3 '!L266:L266</xm:f>
              <xm:sqref>L265</xm:sqref>
            </x14:sparkline>
            <x14:sparkline>
              <xm:f>'FASE 3 '!M266:M266</xm:f>
              <xm:sqref>M265</xm:sqref>
            </x14:sparkline>
            <x14:sparkline>
              <xm:f>'FASE 3 '!N266:N266</xm:f>
              <xm:sqref>N265</xm:sqref>
            </x14:sparkline>
            <x14:sparkline>
              <xm:f>'FASE 3 '!O266:O266</xm:f>
              <xm:sqref>O265</xm:sqref>
            </x14:sparkline>
            <x14:sparkline>
              <xm:f>'FASE 3 '!P266:P266</xm:f>
              <xm:sqref>P265</xm:sqref>
            </x14:sparkline>
            <x14:sparkline>
              <xm:f>'FASE 3 '!Q266:Q266</xm:f>
              <xm:sqref>Q265</xm:sqref>
            </x14:sparkline>
            <x14:sparkline>
              <xm:f>'FASE 3 '!R266:R266</xm:f>
              <xm:sqref>R265</xm:sqref>
            </x14:sparkline>
            <x14:sparkline>
              <xm:f>'FASE 3 '!S266:S266</xm:f>
              <xm:sqref>S265</xm:sqref>
            </x14:sparkline>
            <x14:sparkline>
              <xm:f>'FASE 3 '!T266:T266</xm:f>
              <xm:sqref>T265</xm:sqref>
            </x14:sparkline>
            <x14:sparkline>
              <xm:f>'FASE 3 '!U266:U266</xm:f>
              <xm:sqref>U265</xm:sqref>
            </x14:sparkline>
            <x14:sparkline>
              <xm:f>'FASE 3 '!V266:V266</xm:f>
              <xm:sqref>V265</xm:sqref>
            </x14:sparkline>
            <x14:sparkline>
              <xm:f>'FASE 3 '!W266:W266</xm:f>
              <xm:sqref>W265</xm:sqref>
            </x14:sparkline>
          </x14:sparklines>
        </x14:sparklineGroup>
        <x14:sparklineGroup manualMax="1" manualMin="0" type="column" displayEmptyCellsAs="gap" high="1" low="1" first="1" last="1" negative="1" minAxisType="custom" maxAxisType="custom" xr2:uid="{16706B76-0BE0-4FC2-9965-21DB14C135F2}">
          <x14:colorSeries theme="3" tint="0.39997558519241921"/>
          <x14:colorNegative rgb="FFD00000"/>
          <x14:colorAxis rgb="FF000000"/>
          <x14:colorMarkers rgb="FFD00000"/>
          <x14:colorFirst rgb="FFD00000"/>
          <x14:colorLast rgb="FFD00000"/>
          <x14:colorHigh rgb="FF00FF00"/>
          <x14:colorLow rgb="FF0070C0"/>
          <x14:sparklines>
            <x14:sparkline>
              <xm:f>'FASE 3 '!C219:C219</xm:f>
              <xm:sqref>C218</xm:sqref>
            </x14:sparkline>
            <x14:sparkline>
              <xm:f>'FASE 3 '!D219:D219</xm:f>
              <xm:sqref>D218</xm:sqref>
            </x14:sparkline>
            <x14:sparkline>
              <xm:f>'FASE 3 '!E219:E219</xm:f>
              <xm:sqref>E218</xm:sqref>
            </x14:sparkline>
            <x14:sparkline>
              <xm:f>'FASE 3 '!F219:F219</xm:f>
              <xm:sqref>F218</xm:sqref>
            </x14:sparkline>
            <x14:sparkline>
              <xm:f>'FASE 3 '!G219:G219</xm:f>
              <xm:sqref>G218</xm:sqref>
            </x14:sparkline>
            <x14:sparkline>
              <xm:f>'FASE 3 '!H219:H219</xm:f>
              <xm:sqref>H218</xm:sqref>
            </x14:sparkline>
            <x14:sparkline>
              <xm:f>'FASE 3 '!I219:I219</xm:f>
              <xm:sqref>I218</xm:sqref>
            </x14:sparkline>
            <x14:sparkline>
              <xm:f>'FASE 3 '!J219:J219</xm:f>
              <xm:sqref>J218</xm:sqref>
            </x14:sparkline>
            <x14:sparkline>
              <xm:f>'FASE 3 '!K219:K219</xm:f>
              <xm:sqref>K218</xm:sqref>
            </x14:sparkline>
            <x14:sparkline>
              <xm:f>'FASE 3 '!L219:L219</xm:f>
              <xm:sqref>L218</xm:sqref>
            </x14:sparkline>
            <x14:sparkline>
              <xm:f>'FASE 3 '!M219:M219</xm:f>
              <xm:sqref>M218</xm:sqref>
            </x14:sparkline>
            <x14:sparkline>
              <xm:f>'FASE 3 '!N219:N219</xm:f>
              <xm:sqref>N218</xm:sqref>
            </x14:sparkline>
            <x14:sparkline>
              <xm:f>'FASE 3 '!O219:O219</xm:f>
              <xm:sqref>O218</xm:sqref>
            </x14:sparkline>
            <x14:sparkline>
              <xm:f>'FASE 3 '!P219:P219</xm:f>
              <xm:sqref>P218</xm:sqref>
            </x14:sparkline>
            <x14:sparkline>
              <xm:f>'FASE 3 '!Q219:Q219</xm:f>
              <xm:sqref>Q218</xm:sqref>
            </x14:sparkline>
            <x14:sparkline>
              <xm:f>'FASE 3 '!R219:R219</xm:f>
              <xm:sqref>R218</xm:sqref>
            </x14:sparkline>
            <x14:sparkline>
              <xm:f>'FASE 3 '!S219:S219</xm:f>
              <xm:sqref>S218</xm:sqref>
            </x14:sparkline>
            <x14:sparkline>
              <xm:f>'FASE 3 '!T219:T219</xm:f>
              <xm:sqref>T218</xm:sqref>
            </x14:sparkline>
            <x14:sparkline>
              <xm:f>'FASE 3 '!U219:U219</xm:f>
              <xm:sqref>U218</xm:sqref>
            </x14:sparkline>
            <x14:sparkline>
              <xm:f>'FASE 3 '!V219:V219</xm:f>
              <xm:sqref>V218</xm:sqref>
            </x14:sparkline>
            <x14:sparkline>
              <xm:f>'FASE 3 '!W219:W219</xm:f>
              <xm:sqref>W218</xm:sqref>
            </x14:sparkline>
          </x14:sparklines>
        </x14:sparklineGroup>
        <x14:sparklineGroup manualMax="1" manualMin="0" type="column" displayEmptyCellsAs="gap" high="1" low="1" first="1" last="1" negative="1" minAxisType="custom" maxAxisType="custom" xr2:uid="{786C82D2-AE4D-4EA1-AE0E-DC48FD6059E9}">
          <x14:colorSeries theme="3" tint="0.39997558519241921"/>
          <x14:colorNegative rgb="FFD00000"/>
          <x14:colorAxis rgb="FF000000"/>
          <x14:colorMarkers rgb="FFD00000"/>
          <x14:colorFirst rgb="FFD00000"/>
          <x14:colorLast rgb="FFD00000"/>
          <x14:colorHigh rgb="FF00FF00"/>
          <x14:colorLow rgb="FF0070C0"/>
          <x14:sparklines>
            <x14:sparkline>
              <xm:f>'FASE 3 '!C172:C172</xm:f>
              <xm:sqref>C171</xm:sqref>
            </x14:sparkline>
            <x14:sparkline>
              <xm:f>'FASE 3 '!D172:D172</xm:f>
              <xm:sqref>D171</xm:sqref>
            </x14:sparkline>
            <x14:sparkline>
              <xm:f>'FASE 3 '!E172:E172</xm:f>
              <xm:sqref>E171</xm:sqref>
            </x14:sparkline>
            <x14:sparkline>
              <xm:f>'FASE 3 '!F172:F172</xm:f>
              <xm:sqref>F171</xm:sqref>
            </x14:sparkline>
            <x14:sparkline>
              <xm:f>'FASE 3 '!G172:G172</xm:f>
              <xm:sqref>G171</xm:sqref>
            </x14:sparkline>
            <x14:sparkline>
              <xm:f>'FASE 3 '!H172:H172</xm:f>
              <xm:sqref>H171</xm:sqref>
            </x14:sparkline>
            <x14:sparkline>
              <xm:f>'FASE 3 '!I172:I172</xm:f>
              <xm:sqref>I171</xm:sqref>
            </x14:sparkline>
            <x14:sparkline>
              <xm:f>'FASE 3 '!J172:J172</xm:f>
              <xm:sqref>J171</xm:sqref>
            </x14:sparkline>
            <x14:sparkline>
              <xm:f>'FASE 3 '!K172:K172</xm:f>
              <xm:sqref>K171</xm:sqref>
            </x14:sparkline>
            <x14:sparkline>
              <xm:f>'FASE 3 '!L172:L172</xm:f>
              <xm:sqref>L171</xm:sqref>
            </x14:sparkline>
            <x14:sparkline>
              <xm:f>'FASE 3 '!M172:M172</xm:f>
              <xm:sqref>M171</xm:sqref>
            </x14:sparkline>
            <x14:sparkline>
              <xm:f>'FASE 3 '!N172:N172</xm:f>
              <xm:sqref>N171</xm:sqref>
            </x14:sparkline>
            <x14:sparkline>
              <xm:f>'FASE 3 '!O172:O172</xm:f>
              <xm:sqref>O171</xm:sqref>
            </x14:sparkline>
            <x14:sparkline>
              <xm:f>'FASE 3 '!P172:P172</xm:f>
              <xm:sqref>P171</xm:sqref>
            </x14:sparkline>
            <x14:sparkline>
              <xm:f>'FASE 3 '!Q172:Q172</xm:f>
              <xm:sqref>Q171</xm:sqref>
            </x14:sparkline>
            <x14:sparkline>
              <xm:f>'FASE 3 '!R172:R172</xm:f>
              <xm:sqref>R171</xm:sqref>
            </x14:sparkline>
            <x14:sparkline>
              <xm:f>'FASE 3 '!S172:S172</xm:f>
              <xm:sqref>S171</xm:sqref>
            </x14:sparkline>
            <x14:sparkline>
              <xm:f>'FASE 3 '!T172:T172</xm:f>
              <xm:sqref>T171</xm:sqref>
            </x14:sparkline>
            <x14:sparkline>
              <xm:f>'FASE 3 '!U172:U172</xm:f>
              <xm:sqref>U171</xm:sqref>
            </x14:sparkline>
            <x14:sparkline>
              <xm:f>'FASE 3 '!V172:V172</xm:f>
              <xm:sqref>V171</xm:sqref>
            </x14:sparkline>
            <x14:sparkline>
              <xm:f>'FASE 3 '!W172:W172</xm:f>
              <xm:sqref>W171</xm:sqref>
            </x14:sparkline>
          </x14:sparklines>
        </x14:sparklineGroup>
        <x14:sparklineGroup manualMax="1" manualMin="0" type="column" displayEmptyCellsAs="gap" high="1" low="1" first="1" last="1" negative="1" minAxisType="custom" maxAxisType="custom" xr2:uid="{F7847E1B-9E44-4C48-B8FD-AAEA95428D4F}">
          <x14:colorSeries theme="3" tint="0.39997558519241921"/>
          <x14:colorNegative rgb="FFD00000"/>
          <x14:colorAxis rgb="FF000000"/>
          <x14:colorMarkers rgb="FFD00000"/>
          <x14:colorFirst rgb="FFD00000"/>
          <x14:colorLast rgb="FFD00000"/>
          <x14:colorHigh rgb="FF00FF00"/>
          <x14:colorLow rgb="FF0070C0"/>
          <x14:sparklines>
            <x14:sparkline>
              <xm:f>'FASE 3 '!C125:C125</xm:f>
              <xm:sqref>C124</xm:sqref>
            </x14:sparkline>
            <x14:sparkline>
              <xm:f>'FASE 3 '!D125:D125</xm:f>
              <xm:sqref>D124</xm:sqref>
            </x14:sparkline>
            <x14:sparkline>
              <xm:f>'FASE 3 '!E125:E125</xm:f>
              <xm:sqref>E124</xm:sqref>
            </x14:sparkline>
            <x14:sparkline>
              <xm:f>'FASE 3 '!F125:F125</xm:f>
              <xm:sqref>F124</xm:sqref>
            </x14:sparkline>
            <x14:sparkline>
              <xm:f>'FASE 3 '!G125:G125</xm:f>
              <xm:sqref>G124</xm:sqref>
            </x14:sparkline>
            <x14:sparkline>
              <xm:f>'FASE 3 '!H125:H125</xm:f>
              <xm:sqref>H124</xm:sqref>
            </x14:sparkline>
            <x14:sparkline>
              <xm:f>'FASE 3 '!I125:I125</xm:f>
              <xm:sqref>I124</xm:sqref>
            </x14:sparkline>
            <x14:sparkline>
              <xm:f>'FASE 3 '!J125:J125</xm:f>
              <xm:sqref>J124</xm:sqref>
            </x14:sparkline>
            <x14:sparkline>
              <xm:f>'FASE 3 '!K125:K125</xm:f>
              <xm:sqref>K124</xm:sqref>
            </x14:sparkline>
            <x14:sparkline>
              <xm:f>'FASE 3 '!L125:L125</xm:f>
              <xm:sqref>L124</xm:sqref>
            </x14:sparkline>
            <x14:sparkline>
              <xm:f>'FASE 3 '!M125:M125</xm:f>
              <xm:sqref>M124</xm:sqref>
            </x14:sparkline>
            <x14:sparkline>
              <xm:f>'FASE 3 '!N125:N125</xm:f>
              <xm:sqref>N124</xm:sqref>
            </x14:sparkline>
            <x14:sparkline>
              <xm:f>'FASE 3 '!O125:O125</xm:f>
              <xm:sqref>O124</xm:sqref>
            </x14:sparkline>
            <x14:sparkline>
              <xm:f>'FASE 3 '!P125:P125</xm:f>
              <xm:sqref>P124</xm:sqref>
            </x14:sparkline>
            <x14:sparkline>
              <xm:f>'FASE 3 '!Q125:Q125</xm:f>
              <xm:sqref>Q124</xm:sqref>
            </x14:sparkline>
            <x14:sparkline>
              <xm:f>'FASE 3 '!R125:R125</xm:f>
              <xm:sqref>R124</xm:sqref>
            </x14:sparkline>
            <x14:sparkline>
              <xm:f>'FASE 3 '!S125:S125</xm:f>
              <xm:sqref>S124</xm:sqref>
            </x14:sparkline>
            <x14:sparkline>
              <xm:f>'FASE 3 '!T125:T125</xm:f>
              <xm:sqref>T124</xm:sqref>
            </x14:sparkline>
            <x14:sparkline>
              <xm:f>'FASE 3 '!U125:U125</xm:f>
              <xm:sqref>U124</xm:sqref>
            </x14:sparkline>
            <x14:sparkline>
              <xm:f>'FASE 3 '!V125:V125</xm:f>
              <xm:sqref>V124</xm:sqref>
            </x14:sparkline>
            <x14:sparkline>
              <xm:f>'FASE 3 '!W125:W125</xm:f>
              <xm:sqref>W124</xm:sqref>
            </x14:sparkline>
          </x14:sparklines>
        </x14:sparklineGroup>
        <x14:sparklineGroup manualMax="1" manualMin="0" type="column" displayEmptyCellsAs="gap" high="1" low="1" first="1" last="1" negative="1" minAxisType="custom" maxAxisType="custom" xr2:uid="{6893AB1A-F08B-40CC-ABD4-0A15A48DE255}">
          <x14:colorSeries theme="3" tint="0.39997558519241921"/>
          <x14:colorNegative rgb="FFD00000"/>
          <x14:colorAxis rgb="FF000000"/>
          <x14:colorMarkers rgb="FFD00000"/>
          <x14:colorFirst rgb="FFD00000"/>
          <x14:colorLast rgb="FFD00000"/>
          <x14:colorHigh rgb="FF00FF00"/>
          <x14:colorLow rgb="FF0070C0"/>
          <x14:sparklines>
            <x14:sparkline>
              <xm:f>'FASE 3 '!C78:C78</xm:f>
              <xm:sqref>C77</xm:sqref>
            </x14:sparkline>
            <x14:sparkline>
              <xm:f>'FASE 3 '!D78:D78</xm:f>
              <xm:sqref>D77</xm:sqref>
            </x14:sparkline>
            <x14:sparkline>
              <xm:f>'FASE 3 '!E78:E78</xm:f>
              <xm:sqref>E77</xm:sqref>
            </x14:sparkline>
            <x14:sparkline>
              <xm:f>'FASE 3 '!F78:F78</xm:f>
              <xm:sqref>F77</xm:sqref>
            </x14:sparkline>
            <x14:sparkline>
              <xm:f>'FASE 3 '!G78:G78</xm:f>
              <xm:sqref>G77</xm:sqref>
            </x14:sparkline>
            <x14:sparkline>
              <xm:f>'FASE 3 '!H78:H78</xm:f>
              <xm:sqref>H77</xm:sqref>
            </x14:sparkline>
            <x14:sparkline>
              <xm:f>'FASE 3 '!I78:I78</xm:f>
              <xm:sqref>I77</xm:sqref>
            </x14:sparkline>
            <x14:sparkline>
              <xm:f>'FASE 3 '!J78:J78</xm:f>
              <xm:sqref>J77</xm:sqref>
            </x14:sparkline>
            <x14:sparkline>
              <xm:f>'FASE 3 '!K78:K78</xm:f>
              <xm:sqref>K77</xm:sqref>
            </x14:sparkline>
            <x14:sparkline>
              <xm:f>'FASE 3 '!L78:L78</xm:f>
              <xm:sqref>L77</xm:sqref>
            </x14:sparkline>
            <x14:sparkline>
              <xm:f>'FASE 3 '!M78:M78</xm:f>
              <xm:sqref>M77</xm:sqref>
            </x14:sparkline>
            <x14:sparkline>
              <xm:f>'FASE 3 '!N78:N78</xm:f>
              <xm:sqref>N77</xm:sqref>
            </x14:sparkline>
            <x14:sparkline>
              <xm:f>'FASE 3 '!O78:O78</xm:f>
              <xm:sqref>O77</xm:sqref>
            </x14:sparkline>
            <x14:sparkline>
              <xm:f>'FASE 3 '!P78:P78</xm:f>
              <xm:sqref>P77</xm:sqref>
            </x14:sparkline>
            <x14:sparkline>
              <xm:f>'FASE 3 '!Q78:Q78</xm:f>
              <xm:sqref>Q77</xm:sqref>
            </x14:sparkline>
            <x14:sparkline>
              <xm:f>'FASE 3 '!R78:R78</xm:f>
              <xm:sqref>R77</xm:sqref>
            </x14:sparkline>
            <x14:sparkline>
              <xm:f>'FASE 3 '!S78:S78</xm:f>
              <xm:sqref>S77</xm:sqref>
            </x14:sparkline>
            <x14:sparkline>
              <xm:f>'FASE 3 '!T78:T78</xm:f>
              <xm:sqref>T77</xm:sqref>
            </x14:sparkline>
            <x14:sparkline>
              <xm:f>'FASE 3 '!U78:U78</xm:f>
              <xm:sqref>U77</xm:sqref>
            </x14:sparkline>
            <x14:sparkline>
              <xm:f>'FASE 3 '!V78:V78</xm:f>
              <xm:sqref>V77</xm:sqref>
            </x14:sparkline>
            <x14:sparkline>
              <xm:f>'FASE 3 '!W78:W78</xm:f>
              <xm:sqref>W77</xm:sqref>
            </x14:sparkline>
          </x14:sparklines>
        </x14:sparklineGroup>
        <x14:sparklineGroup manualMax="1" manualMin="0" type="column" displayEmptyCellsAs="gap" high="1" low="1" minAxisType="custom" maxAxisType="custom" xr2:uid="{BCD661F1-1474-4908-8771-A0424184CBB8}">
          <x14:colorSeries theme="3" tint="0.39997558519241921"/>
          <x14:colorNegative rgb="FFD00000"/>
          <x14:colorAxis rgb="FF000000"/>
          <x14:colorMarkers rgb="FFD00000"/>
          <x14:colorFirst rgb="FFD00000"/>
          <x14:colorLast rgb="FFD00000"/>
          <x14:colorHigh rgb="FF00FF00"/>
          <x14:colorLow rgb="FF0070C0"/>
          <x14:sparklines>
            <x14:sparkline>
              <xm:f>'FASE 3 '!C32:C32</xm:f>
              <xm:sqref>C31</xm:sqref>
            </x14:sparkline>
            <x14:sparkline>
              <xm:f>'FASE 3 '!D32:D32</xm:f>
              <xm:sqref>D31</xm:sqref>
            </x14:sparkline>
            <x14:sparkline>
              <xm:f>'FASE 3 '!E32:E32</xm:f>
              <xm:sqref>E31</xm:sqref>
            </x14:sparkline>
            <x14:sparkline>
              <xm:f>'FASE 3 '!F32:F32</xm:f>
              <xm:sqref>F31</xm:sqref>
            </x14:sparkline>
            <x14:sparkline>
              <xm:f>'FASE 3 '!G32:G32</xm:f>
              <xm:sqref>G31</xm:sqref>
            </x14:sparkline>
            <x14:sparkline>
              <xm:f>'FASE 3 '!H32:H32</xm:f>
              <xm:sqref>H31</xm:sqref>
            </x14:sparkline>
            <x14:sparkline>
              <xm:f>'FASE 3 '!I32:I32</xm:f>
              <xm:sqref>I31</xm:sqref>
            </x14:sparkline>
            <x14:sparkline>
              <xm:f>'FASE 3 '!J32:J32</xm:f>
              <xm:sqref>J31</xm:sqref>
            </x14:sparkline>
            <x14:sparkline>
              <xm:f>'FASE 3 '!K32:K32</xm:f>
              <xm:sqref>K31</xm:sqref>
            </x14:sparkline>
            <x14:sparkline>
              <xm:f>'FASE 3 '!L32:L32</xm:f>
              <xm:sqref>L31</xm:sqref>
            </x14:sparkline>
            <x14:sparkline>
              <xm:f>'FASE 3 '!M32:M32</xm:f>
              <xm:sqref>M31</xm:sqref>
            </x14:sparkline>
            <x14:sparkline>
              <xm:f>'FASE 3 '!N32:N32</xm:f>
              <xm:sqref>N31</xm:sqref>
            </x14:sparkline>
            <x14:sparkline>
              <xm:f>'FASE 3 '!O32:O32</xm:f>
              <xm:sqref>O31</xm:sqref>
            </x14:sparkline>
            <x14:sparkline>
              <xm:f>'FASE 3 '!P32:P32</xm:f>
              <xm:sqref>P31</xm:sqref>
            </x14:sparkline>
            <x14:sparkline>
              <xm:f>'FASE 3 '!Q32:Q32</xm:f>
              <xm:sqref>Q31</xm:sqref>
            </x14:sparkline>
            <x14:sparkline>
              <xm:f>'FASE 3 '!R32:R32</xm:f>
              <xm:sqref>R31</xm:sqref>
            </x14:sparkline>
            <x14:sparkline>
              <xm:f>'FASE 3 '!S32:S32</xm:f>
              <xm:sqref>S31</xm:sqref>
            </x14:sparkline>
            <x14:sparkline>
              <xm:f>'FASE 3 '!T32:T32</xm:f>
              <xm:sqref>T31</xm:sqref>
            </x14:sparkline>
            <x14:sparkline>
              <xm:f>'FASE 3 '!U32:U32</xm:f>
              <xm:sqref>U31</xm:sqref>
            </x14:sparkline>
            <x14:sparkline>
              <xm:f>'FASE 3 '!V32:V32</xm:f>
              <xm:sqref>V31</xm:sqref>
            </x14:sparkline>
            <x14:sparkline>
              <xm:f>'FASE 3 '!W32:W32</xm:f>
              <xm:sqref>W31</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32C52-D32C-4CE9-9C01-CBAAFECFCBE9}">
  <sheetPr codeName="Hoja5">
    <tabColor theme="5"/>
    <pageSetUpPr fitToPage="1"/>
  </sheetPr>
  <dimension ref="A1:AD539"/>
  <sheetViews>
    <sheetView view="pageBreakPreview" zoomScale="70" zoomScaleNormal="55" zoomScaleSheetLayoutView="70" workbookViewId="0">
      <pane xSplit="2" ySplit="6" topLeftCell="C22" activePane="bottomRight" state="frozen"/>
      <selection pane="topRight" activeCell="D1" sqref="D1"/>
      <selection pane="bottomLeft" activeCell="A7" sqref="A7"/>
      <selection pane="bottomRight" activeCell="G26" sqref="G26"/>
    </sheetView>
  </sheetViews>
  <sheetFormatPr baseColWidth="10" defaultColWidth="10.7109375" defaultRowHeight="12.75"/>
  <cols>
    <col min="1" max="1" width="16.28515625" style="148" bestFit="1" customWidth="1"/>
    <col min="2" max="2" width="20.7109375" style="275" customWidth="1"/>
    <col min="3" max="3" width="21.28515625" style="148" customWidth="1"/>
    <col min="4" max="4" width="26.140625" style="148" bestFit="1" customWidth="1"/>
    <col min="5" max="5" width="17" style="148" customWidth="1"/>
    <col min="6" max="6" width="18.7109375" style="148" customWidth="1"/>
    <col min="7" max="7" width="18.28515625" style="148" customWidth="1"/>
    <col min="8" max="8" width="20.85546875" style="148" bestFit="1" customWidth="1"/>
    <col min="9" max="9" width="17.28515625" style="148" bestFit="1" customWidth="1"/>
    <col min="10" max="10" width="21.7109375" style="148" bestFit="1" customWidth="1"/>
    <col min="11" max="11" width="19.140625" style="148" bestFit="1" customWidth="1"/>
    <col min="12" max="12" width="18.28515625" style="148" bestFit="1" customWidth="1"/>
    <col min="13" max="13" width="20.42578125" style="148" bestFit="1" customWidth="1"/>
    <col min="14" max="14" width="15.5703125" style="148" customWidth="1"/>
    <col min="15" max="15" width="16.140625" style="148" bestFit="1" customWidth="1"/>
    <col min="16" max="16" width="20.85546875" style="148" bestFit="1" customWidth="1"/>
    <col min="17" max="17" width="24" style="148" bestFit="1" customWidth="1"/>
    <col min="18" max="18" width="18.28515625" style="148" bestFit="1" customWidth="1"/>
    <col min="19" max="20" width="15.5703125" style="148" bestFit="1" customWidth="1"/>
    <col min="21" max="21" width="16.5703125" style="148" bestFit="1" customWidth="1"/>
    <col min="22" max="32" width="10.7109375" style="148"/>
    <col min="33" max="33" width="16.140625" style="148" bestFit="1" customWidth="1"/>
    <col min="34" max="16384" width="10.7109375" style="148"/>
  </cols>
  <sheetData>
    <row r="1" spans="1:18" ht="13.5" thickBot="1">
      <c r="A1" s="207"/>
      <c r="C1" s="207"/>
      <c r="D1" s="207"/>
      <c r="E1" s="207"/>
      <c r="F1" s="207"/>
      <c r="G1" s="207"/>
      <c r="R1" s="508" t="s">
        <v>0</v>
      </c>
    </row>
    <row r="2" spans="1:18" ht="16.5" customHeight="1" thickBot="1">
      <c r="A2" s="207"/>
      <c r="C2" s="564" t="s">
        <v>971</v>
      </c>
      <c r="D2" s="565"/>
      <c r="E2" s="565"/>
      <c r="F2" s="565"/>
      <c r="G2" s="565"/>
      <c r="H2" s="565"/>
      <c r="I2" s="565"/>
      <c r="J2" s="565"/>
      <c r="K2" s="565"/>
      <c r="L2" s="565"/>
      <c r="M2" s="565"/>
      <c r="N2" s="566"/>
      <c r="O2" s="305"/>
      <c r="R2" s="509"/>
    </row>
    <row r="3" spans="1:18" ht="12.75" customHeight="1" thickTop="1">
      <c r="A3" s="207"/>
      <c r="C3" s="567"/>
      <c r="D3" s="568"/>
      <c r="E3" s="568"/>
      <c r="F3" s="568"/>
      <c r="G3" s="568"/>
      <c r="H3" s="568"/>
      <c r="I3" s="568"/>
      <c r="J3" s="568"/>
      <c r="K3" s="568"/>
      <c r="L3" s="568"/>
      <c r="M3" s="568"/>
      <c r="N3" s="569"/>
      <c r="O3" s="305"/>
      <c r="P3" s="508" t="s">
        <v>1</v>
      </c>
      <c r="Q3" s="530">
        <v>359</v>
      </c>
      <c r="R3" s="538">
        <f>+AVERAGE(C33,C79,C126,C173,C220,C267,C314,C361,C405)</f>
        <v>1.317901234567901E-2</v>
      </c>
    </row>
    <row r="4" spans="1:18" ht="11.25" customHeight="1" thickBot="1">
      <c r="A4" s="207"/>
      <c r="C4" s="570"/>
      <c r="D4" s="571"/>
      <c r="E4" s="571"/>
      <c r="F4" s="571"/>
      <c r="G4" s="571"/>
      <c r="H4" s="571"/>
      <c r="I4" s="571"/>
      <c r="J4" s="571"/>
      <c r="K4" s="571"/>
      <c r="L4" s="571"/>
      <c r="M4" s="571"/>
      <c r="N4" s="572"/>
      <c r="O4" s="305"/>
      <c r="P4" s="573"/>
      <c r="Q4" s="531"/>
      <c r="R4" s="539"/>
    </row>
    <row r="5" spans="1:18" ht="13.5" thickBot="1">
      <c r="A5" s="207"/>
      <c r="C5" s="207">
        <v>1</v>
      </c>
      <c r="D5" s="207">
        <v>2</v>
      </c>
      <c r="E5" s="207">
        <v>3</v>
      </c>
      <c r="F5" s="207">
        <v>4</v>
      </c>
      <c r="G5" s="207">
        <v>5</v>
      </c>
      <c r="H5" s="207">
        <v>6</v>
      </c>
      <c r="I5" s="207">
        <v>7</v>
      </c>
      <c r="J5" s="207">
        <v>8</v>
      </c>
      <c r="K5" s="207">
        <v>9</v>
      </c>
      <c r="L5" s="207">
        <v>10</v>
      </c>
      <c r="M5" s="207">
        <v>11</v>
      </c>
      <c r="N5" s="207">
        <v>12</v>
      </c>
      <c r="O5" s="207">
        <v>13</v>
      </c>
      <c r="P5" s="207">
        <v>14</v>
      </c>
      <c r="Q5" s="207">
        <v>15</v>
      </c>
    </row>
    <row r="6" spans="1:18" ht="39" thickBot="1">
      <c r="A6" s="207"/>
      <c r="B6" s="326" t="s">
        <v>2</v>
      </c>
      <c r="C6" s="327" t="s">
        <v>703</v>
      </c>
      <c r="D6" s="327" t="s">
        <v>704</v>
      </c>
      <c r="E6" s="327" t="s">
        <v>705</v>
      </c>
      <c r="F6" s="327" t="s">
        <v>706</v>
      </c>
      <c r="G6" s="327" t="s">
        <v>707</v>
      </c>
      <c r="H6" s="327" t="s">
        <v>708</v>
      </c>
      <c r="I6" s="327" t="s">
        <v>709</v>
      </c>
      <c r="J6" s="327" t="s">
        <v>749</v>
      </c>
      <c r="K6" s="327" t="s">
        <v>710</v>
      </c>
      <c r="L6" s="327" t="s">
        <v>711</v>
      </c>
      <c r="M6" s="327" t="s">
        <v>712</v>
      </c>
      <c r="N6" s="327" t="s">
        <v>713</v>
      </c>
      <c r="O6" s="327" t="s">
        <v>690</v>
      </c>
      <c r="P6" s="327" t="s">
        <v>714</v>
      </c>
      <c r="Q6" s="327" t="s">
        <v>723</v>
      </c>
      <c r="R6" s="326" t="s">
        <v>13</v>
      </c>
    </row>
    <row r="7" spans="1:18" ht="15" customHeight="1">
      <c r="A7" s="552" t="s">
        <v>682</v>
      </c>
      <c r="B7" s="328" t="s">
        <v>860</v>
      </c>
      <c r="C7" s="294">
        <v>0</v>
      </c>
      <c r="D7" s="294">
        <v>0</v>
      </c>
      <c r="E7" s="294">
        <v>0</v>
      </c>
      <c r="F7" s="294">
        <v>0.8</v>
      </c>
      <c r="G7" s="294">
        <v>0</v>
      </c>
      <c r="H7" s="294">
        <v>0.9</v>
      </c>
      <c r="I7" s="294">
        <v>0</v>
      </c>
      <c r="J7" s="294">
        <v>0</v>
      </c>
      <c r="K7" s="294">
        <v>0</v>
      </c>
      <c r="L7" s="294">
        <v>0</v>
      </c>
      <c r="M7" s="294">
        <v>0</v>
      </c>
      <c r="N7" s="294">
        <v>0</v>
      </c>
      <c r="O7" s="294">
        <v>0</v>
      </c>
      <c r="P7" s="294">
        <v>0</v>
      </c>
      <c r="Q7" s="294">
        <v>0</v>
      </c>
      <c r="R7" s="293">
        <f>+AVERAGE(P7:Q7,C7:N7)</f>
        <v>0.12142857142857144</v>
      </c>
    </row>
    <row r="8" spans="1:18" ht="15" customHeight="1">
      <c r="A8" s="553"/>
      <c r="B8" s="329" t="s">
        <v>861</v>
      </c>
      <c r="C8" s="294">
        <v>0</v>
      </c>
      <c r="D8" s="294">
        <v>0</v>
      </c>
      <c r="E8" s="294">
        <v>0</v>
      </c>
      <c r="F8" s="294">
        <v>0.8</v>
      </c>
      <c r="G8" s="294">
        <v>1</v>
      </c>
      <c r="H8" s="294">
        <v>0.9</v>
      </c>
      <c r="I8" s="294">
        <v>0</v>
      </c>
      <c r="J8" s="294">
        <v>0</v>
      </c>
      <c r="K8" s="294">
        <v>0</v>
      </c>
      <c r="L8" s="294">
        <v>0</v>
      </c>
      <c r="M8" s="294">
        <v>0</v>
      </c>
      <c r="N8" s="294">
        <v>0</v>
      </c>
      <c r="O8" s="294">
        <v>0</v>
      </c>
      <c r="P8" s="294">
        <v>0</v>
      </c>
      <c r="Q8" s="294">
        <v>1</v>
      </c>
      <c r="R8" s="295">
        <f>+AVERAGE(P8:Q8,C8:N8)</f>
        <v>0.26428571428571429</v>
      </c>
    </row>
    <row r="9" spans="1:18" ht="15" customHeight="1">
      <c r="A9" s="553"/>
      <c r="B9" s="329" t="s">
        <v>862</v>
      </c>
      <c r="C9" s="294">
        <v>0</v>
      </c>
      <c r="D9" s="294">
        <v>0</v>
      </c>
      <c r="E9" s="294">
        <v>0</v>
      </c>
      <c r="F9" s="294">
        <v>0.8</v>
      </c>
      <c r="G9" s="294">
        <v>1</v>
      </c>
      <c r="H9" s="294">
        <v>0.9</v>
      </c>
      <c r="I9" s="294">
        <v>0</v>
      </c>
      <c r="J9" s="294">
        <v>0</v>
      </c>
      <c r="K9" s="294">
        <v>0</v>
      </c>
      <c r="L9" s="294">
        <v>0</v>
      </c>
      <c r="M9" s="294">
        <v>0</v>
      </c>
      <c r="N9" s="294">
        <v>0</v>
      </c>
      <c r="O9" s="294">
        <v>0</v>
      </c>
      <c r="P9" s="294">
        <v>0</v>
      </c>
      <c r="Q9" s="294">
        <v>1</v>
      </c>
      <c r="R9" s="295">
        <f t="shared" ref="R9:R29" si="0">+AVERAGE(P9:Q9,C9:N9)</f>
        <v>0.26428571428571429</v>
      </c>
    </row>
    <row r="10" spans="1:18" ht="15" customHeight="1">
      <c r="A10" s="553"/>
      <c r="B10" s="329" t="s">
        <v>863</v>
      </c>
      <c r="C10" s="294">
        <v>0</v>
      </c>
      <c r="D10" s="294">
        <v>0</v>
      </c>
      <c r="E10" s="294">
        <v>0</v>
      </c>
      <c r="F10" s="294">
        <v>0.8</v>
      </c>
      <c r="G10" s="294">
        <v>0</v>
      </c>
      <c r="H10" s="294">
        <v>0.9</v>
      </c>
      <c r="I10" s="294">
        <v>0</v>
      </c>
      <c r="J10" s="294">
        <v>0</v>
      </c>
      <c r="K10" s="294">
        <v>0</v>
      </c>
      <c r="L10" s="294">
        <v>0</v>
      </c>
      <c r="M10" s="294">
        <v>0</v>
      </c>
      <c r="N10" s="294">
        <v>0</v>
      </c>
      <c r="O10" s="294">
        <v>0</v>
      </c>
      <c r="P10" s="294">
        <v>0</v>
      </c>
      <c r="Q10" s="294">
        <v>0</v>
      </c>
      <c r="R10" s="295">
        <f t="shared" si="0"/>
        <v>0.12142857142857144</v>
      </c>
    </row>
    <row r="11" spans="1:18" ht="15" customHeight="1">
      <c r="A11" s="553"/>
      <c r="B11" s="329" t="s">
        <v>864</v>
      </c>
      <c r="C11" s="294">
        <v>0</v>
      </c>
      <c r="D11" s="294">
        <v>0</v>
      </c>
      <c r="E11" s="294">
        <v>0</v>
      </c>
      <c r="F11" s="294">
        <v>0.8</v>
      </c>
      <c r="G11" s="294">
        <v>0</v>
      </c>
      <c r="H11" s="294">
        <v>0.9</v>
      </c>
      <c r="I11" s="294">
        <v>0</v>
      </c>
      <c r="J11" s="294">
        <v>0</v>
      </c>
      <c r="K11" s="294">
        <v>0</v>
      </c>
      <c r="L11" s="294">
        <v>0</v>
      </c>
      <c r="M11" s="294">
        <v>0</v>
      </c>
      <c r="N11" s="294">
        <v>0</v>
      </c>
      <c r="O11" s="294">
        <v>0</v>
      </c>
      <c r="P11" s="294">
        <v>0</v>
      </c>
      <c r="Q11" s="294">
        <v>0</v>
      </c>
      <c r="R11" s="295">
        <f t="shared" si="0"/>
        <v>0.12142857142857144</v>
      </c>
    </row>
    <row r="12" spans="1:18" ht="15" customHeight="1">
      <c r="A12" s="553"/>
      <c r="B12" s="329" t="s">
        <v>865</v>
      </c>
      <c r="C12" s="294">
        <v>0</v>
      </c>
      <c r="D12" s="294">
        <v>0</v>
      </c>
      <c r="E12" s="294">
        <v>0</v>
      </c>
      <c r="F12" s="294">
        <v>0.8</v>
      </c>
      <c r="G12" s="294">
        <v>0</v>
      </c>
      <c r="H12" s="294">
        <v>0.9</v>
      </c>
      <c r="I12" s="294">
        <v>0</v>
      </c>
      <c r="J12" s="294">
        <v>0</v>
      </c>
      <c r="K12" s="294">
        <v>0</v>
      </c>
      <c r="L12" s="294">
        <v>0</v>
      </c>
      <c r="M12" s="294">
        <v>0</v>
      </c>
      <c r="N12" s="294">
        <v>0</v>
      </c>
      <c r="O12" s="294">
        <v>0</v>
      </c>
      <c r="P12" s="294">
        <v>0</v>
      </c>
      <c r="Q12" s="294">
        <v>0</v>
      </c>
      <c r="R12" s="295">
        <f t="shared" si="0"/>
        <v>0.12142857142857144</v>
      </c>
    </row>
    <row r="13" spans="1:18" ht="15" customHeight="1">
      <c r="A13" s="553"/>
      <c r="B13" s="329" t="s">
        <v>866</v>
      </c>
      <c r="C13" s="294">
        <v>0</v>
      </c>
      <c r="D13" s="294">
        <v>0</v>
      </c>
      <c r="E13" s="294">
        <v>0</v>
      </c>
      <c r="F13" s="294">
        <v>0</v>
      </c>
      <c r="G13" s="294">
        <v>0</v>
      </c>
      <c r="H13" s="294">
        <v>0.9</v>
      </c>
      <c r="I13" s="294">
        <v>0</v>
      </c>
      <c r="J13" s="294">
        <v>0</v>
      </c>
      <c r="K13" s="294">
        <v>0</v>
      </c>
      <c r="L13" s="294">
        <v>0</v>
      </c>
      <c r="M13" s="294">
        <v>0</v>
      </c>
      <c r="N13" s="294">
        <v>0</v>
      </c>
      <c r="O13" s="294">
        <v>0</v>
      </c>
      <c r="P13" s="294">
        <v>0</v>
      </c>
      <c r="Q13" s="294">
        <v>0</v>
      </c>
      <c r="R13" s="295">
        <f t="shared" si="0"/>
        <v>6.4285714285714293E-2</v>
      </c>
    </row>
    <row r="14" spans="1:18" ht="15" customHeight="1">
      <c r="A14" s="553"/>
      <c r="B14" s="330" t="s">
        <v>867</v>
      </c>
      <c r="C14" s="294">
        <v>0</v>
      </c>
      <c r="D14" s="294">
        <v>0</v>
      </c>
      <c r="E14" s="294">
        <v>0</v>
      </c>
      <c r="F14" s="294">
        <v>0</v>
      </c>
      <c r="G14" s="294">
        <v>0</v>
      </c>
      <c r="H14" s="294">
        <v>0</v>
      </c>
      <c r="I14" s="294">
        <v>0</v>
      </c>
      <c r="J14" s="294">
        <v>0</v>
      </c>
      <c r="K14" s="294">
        <v>0</v>
      </c>
      <c r="L14" s="294">
        <v>0</v>
      </c>
      <c r="M14" s="294">
        <v>0</v>
      </c>
      <c r="N14" s="294">
        <v>0</v>
      </c>
      <c r="O14" s="294">
        <v>0</v>
      </c>
      <c r="P14" s="294">
        <v>0</v>
      </c>
      <c r="Q14" s="294">
        <v>0</v>
      </c>
      <c r="R14" s="295">
        <f t="shared" si="0"/>
        <v>0</v>
      </c>
    </row>
    <row r="15" spans="1:18" ht="15" customHeight="1">
      <c r="A15" s="553"/>
      <c r="B15" s="330" t="s">
        <v>868</v>
      </c>
      <c r="C15" s="294">
        <v>0</v>
      </c>
      <c r="D15" s="294">
        <v>0</v>
      </c>
      <c r="E15" s="294">
        <v>0</v>
      </c>
      <c r="F15" s="294">
        <v>0</v>
      </c>
      <c r="G15" s="294">
        <v>0</v>
      </c>
      <c r="H15" s="294">
        <v>0</v>
      </c>
      <c r="I15" s="294">
        <v>0</v>
      </c>
      <c r="J15" s="294">
        <v>0</v>
      </c>
      <c r="K15" s="294">
        <v>0</v>
      </c>
      <c r="L15" s="294">
        <v>0</v>
      </c>
      <c r="M15" s="294">
        <v>0</v>
      </c>
      <c r="N15" s="294">
        <v>0</v>
      </c>
      <c r="O15" s="294">
        <v>0</v>
      </c>
      <c r="P15" s="294">
        <v>0</v>
      </c>
      <c r="Q15" s="294">
        <v>0</v>
      </c>
      <c r="R15" s="295">
        <f t="shared" si="0"/>
        <v>0</v>
      </c>
    </row>
    <row r="16" spans="1:18" ht="15" customHeight="1">
      <c r="A16" s="553"/>
      <c r="B16" s="330" t="s">
        <v>869</v>
      </c>
      <c r="C16" s="294">
        <v>1</v>
      </c>
      <c r="D16" s="294">
        <v>1</v>
      </c>
      <c r="E16" s="294">
        <v>1</v>
      </c>
      <c r="F16" s="294">
        <v>1</v>
      </c>
      <c r="G16" s="294">
        <v>1</v>
      </c>
      <c r="H16" s="294">
        <v>1</v>
      </c>
      <c r="I16" s="294">
        <v>1</v>
      </c>
      <c r="J16" s="294">
        <v>1</v>
      </c>
      <c r="K16" s="294">
        <v>1</v>
      </c>
      <c r="L16" s="294">
        <v>1</v>
      </c>
      <c r="M16" s="294">
        <v>0</v>
      </c>
      <c r="N16" s="294">
        <v>0</v>
      </c>
      <c r="O16" s="294">
        <v>0</v>
      </c>
      <c r="P16" s="294">
        <v>0</v>
      </c>
      <c r="Q16" s="294">
        <v>1</v>
      </c>
      <c r="R16" s="295">
        <f t="shared" si="0"/>
        <v>0.7857142857142857</v>
      </c>
    </row>
    <row r="17" spans="1:18" ht="15" customHeight="1">
      <c r="A17" s="553"/>
      <c r="B17" s="330" t="s">
        <v>870</v>
      </c>
      <c r="C17" s="294">
        <v>1</v>
      </c>
      <c r="D17" s="294">
        <v>1</v>
      </c>
      <c r="E17" s="294">
        <v>1</v>
      </c>
      <c r="F17" s="294">
        <v>1</v>
      </c>
      <c r="G17" s="294">
        <v>1</v>
      </c>
      <c r="H17" s="294">
        <v>1</v>
      </c>
      <c r="I17" s="294">
        <v>1</v>
      </c>
      <c r="J17" s="294">
        <v>1</v>
      </c>
      <c r="K17" s="294">
        <v>1</v>
      </c>
      <c r="L17" s="294">
        <v>1</v>
      </c>
      <c r="M17" s="294">
        <v>1</v>
      </c>
      <c r="N17" s="294">
        <v>1</v>
      </c>
      <c r="O17" s="294">
        <v>0</v>
      </c>
      <c r="P17" s="294">
        <v>1</v>
      </c>
      <c r="Q17" s="294">
        <v>0</v>
      </c>
      <c r="R17" s="295">
        <f t="shared" si="0"/>
        <v>0.9285714285714286</v>
      </c>
    </row>
    <row r="18" spans="1:18" ht="15" customHeight="1">
      <c r="A18" s="553"/>
      <c r="B18" s="330" t="s">
        <v>871</v>
      </c>
      <c r="C18" s="294">
        <v>0</v>
      </c>
      <c r="D18" s="294">
        <v>0</v>
      </c>
      <c r="E18" s="294">
        <v>0</v>
      </c>
      <c r="F18" s="294">
        <v>0</v>
      </c>
      <c r="G18" s="294">
        <v>0</v>
      </c>
      <c r="H18" s="294">
        <v>0</v>
      </c>
      <c r="I18" s="294">
        <v>0</v>
      </c>
      <c r="J18" s="294">
        <v>0</v>
      </c>
      <c r="K18" s="294">
        <v>0</v>
      </c>
      <c r="L18" s="294">
        <v>0</v>
      </c>
      <c r="M18" s="294">
        <v>0</v>
      </c>
      <c r="N18" s="294">
        <v>0</v>
      </c>
      <c r="O18" s="294">
        <v>0</v>
      </c>
      <c r="P18" s="294">
        <v>0</v>
      </c>
      <c r="Q18" s="294">
        <v>0</v>
      </c>
      <c r="R18" s="295">
        <f t="shared" si="0"/>
        <v>0</v>
      </c>
    </row>
    <row r="19" spans="1:18" ht="15" customHeight="1">
      <c r="A19" s="553"/>
      <c r="B19" s="330" t="s">
        <v>872</v>
      </c>
      <c r="C19" s="294">
        <v>0</v>
      </c>
      <c r="D19" s="294">
        <v>0</v>
      </c>
      <c r="E19" s="294">
        <v>0</v>
      </c>
      <c r="F19" s="294">
        <v>0</v>
      </c>
      <c r="G19" s="294">
        <v>0</v>
      </c>
      <c r="H19" s="294">
        <v>0</v>
      </c>
      <c r="I19" s="294">
        <v>0</v>
      </c>
      <c r="J19" s="294">
        <v>0</v>
      </c>
      <c r="K19" s="294">
        <v>0</v>
      </c>
      <c r="L19" s="294">
        <v>0</v>
      </c>
      <c r="M19" s="294">
        <v>0</v>
      </c>
      <c r="N19" s="294">
        <v>0</v>
      </c>
      <c r="O19" s="294">
        <v>0</v>
      </c>
      <c r="P19" s="294">
        <v>0</v>
      </c>
      <c r="Q19" s="294">
        <v>0</v>
      </c>
      <c r="R19" s="295">
        <f t="shared" si="0"/>
        <v>0</v>
      </c>
    </row>
    <row r="20" spans="1:18" ht="15" customHeight="1">
      <c r="A20" s="553"/>
      <c r="B20" s="330" t="s">
        <v>873</v>
      </c>
      <c r="C20" s="294">
        <v>0</v>
      </c>
      <c r="D20" s="294">
        <v>0</v>
      </c>
      <c r="E20" s="294">
        <v>0</v>
      </c>
      <c r="F20" s="294">
        <v>0</v>
      </c>
      <c r="G20" s="294">
        <v>0</v>
      </c>
      <c r="H20" s="294">
        <v>0</v>
      </c>
      <c r="I20" s="294">
        <v>0</v>
      </c>
      <c r="J20" s="294">
        <v>0</v>
      </c>
      <c r="K20" s="294">
        <v>0</v>
      </c>
      <c r="L20" s="294">
        <v>0</v>
      </c>
      <c r="M20" s="294">
        <v>0</v>
      </c>
      <c r="N20" s="294">
        <v>0</v>
      </c>
      <c r="O20" s="294">
        <v>0</v>
      </c>
      <c r="P20" s="294">
        <v>0</v>
      </c>
      <c r="Q20" s="294">
        <v>0</v>
      </c>
      <c r="R20" s="295">
        <f t="shared" si="0"/>
        <v>0</v>
      </c>
    </row>
    <row r="21" spans="1:18" ht="15" customHeight="1">
      <c r="A21" s="553"/>
      <c r="B21" s="330" t="s">
        <v>874</v>
      </c>
      <c r="C21" s="294">
        <v>0</v>
      </c>
      <c r="D21" s="294">
        <v>0</v>
      </c>
      <c r="E21" s="294">
        <v>0</v>
      </c>
      <c r="F21" s="294">
        <v>0</v>
      </c>
      <c r="G21" s="294">
        <v>0</v>
      </c>
      <c r="H21" s="294">
        <v>0</v>
      </c>
      <c r="I21" s="294">
        <v>0</v>
      </c>
      <c r="J21" s="294">
        <v>0</v>
      </c>
      <c r="K21" s="294">
        <v>0</v>
      </c>
      <c r="L21" s="294">
        <v>0</v>
      </c>
      <c r="M21" s="294">
        <v>0</v>
      </c>
      <c r="N21" s="294">
        <v>0</v>
      </c>
      <c r="O21" s="294">
        <v>0</v>
      </c>
      <c r="P21" s="294">
        <v>0</v>
      </c>
      <c r="Q21" s="294">
        <v>0</v>
      </c>
      <c r="R21" s="295">
        <f t="shared" si="0"/>
        <v>0</v>
      </c>
    </row>
    <row r="22" spans="1:18" ht="15" customHeight="1">
      <c r="A22" s="553"/>
      <c r="B22" s="330" t="s">
        <v>875</v>
      </c>
      <c r="C22" s="294">
        <v>0</v>
      </c>
      <c r="D22" s="294">
        <v>0</v>
      </c>
      <c r="E22" s="294">
        <v>0</v>
      </c>
      <c r="F22" s="294">
        <v>0</v>
      </c>
      <c r="G22" s="294">
        <v>0</v>
      </c>
      <c r="H22" s="294">
        <v>0</v>
      </c>
      <c r="I22" s="294">
        <v>0</v>
      </c>
      <c r="J22" s="294">
        <v>0</v>
      </c>
      <c r="K22" s="294">
        <v>0</v>
      </c>
      <c r="L22" s="294">
        <v>0</v>
      </c>
      <c r="M22" s="294">
        <v>0</v>
      </c>
      <c r="N22" s="294">
        <v>0</v>
      </c>
      <c r="O22" s="294">
        <v>0</v>
      </c>
      <c r="P22" s="294">
        <v>0</v>
      </c>
      <c r="Q22" s="294">
        <v>0</v>
      </c>
      <c r="R22" s="295">
        <f t="shared" si="0"/>
        <v>0</v>
      </c>
    </row>
    <row r="23" spans="1:18" ht="15" customHeight="1">
      <c r="A23" s="553"/>
      <c r="B23" s="330" t="s">
        <v>876</v>
      </c>
      <c r="C23" s="294">
        <v>0</v>
      </c>
      <c r="D23" s="294">
        <v>0</v>
      </c>
      <c r="E23" s="294">
        <v>0</v>
      </c>
      <c r="F23" s="294">
        <v>0</v>
      </c>
      <c r="G23" s="294">
        <v>0</v>
      </c>
      <c r="H23" s="294">
        <v>0</v>
      </c>
      <c r="I23" s="294">
        <v>0</v>
      </c>
      <c r="J23" s="294">
        <v>0</v>
      </c>
      <c r="K23" s="294">
        <v>0</v>
      </c>
      <c r="L23" s="294">
        <v>0</v>
      </c>
      <c r="M23" s="294">
        <v>0</v>
      </c>
      <c r="N23" s="294">
        <v>0</v>
      </c>
      <c r="O23" s="294">
        <v>0</v>
      </c>
      <c r="P23" s="294">
        <v>0</v>
      </c>
      <c r="Q23" s="294">
        <v>0</v>
      </c>
      <c r="R23" s="295">
        <f t="shared" si="0"/>
        <v>0</v>
      </c>
    </row>
    <row r="24" spans="1:18" ht="15" customHeight="1">
      <c r="A24" s="553"/>
      <c r="B24" s="330" t="s">
        <v>877</v>
      </c>
      <c r="C24" s="294">
        <v>0.5</v>
      </c>
      <c r="D24" s="294">
        <v>0</v>
      </c>
      <c r="E24" s="294">
        <v>0</v>
      </c>
      <c r="F24" s="294">
        <v>1</v>
      </c>
      <c r="G24" s="294">
        <v>0</v>
      </c>
      <c r="H24" s="294">
        <v>0</v>
      </c>
      <c r="I24" s="294">
        <v>0</v>
      </c>
      <c r="J24" s="294">
        <v>0</v>
      </c>
      <c r="K24" s="294">
        <v>0</v>
      </c>
      <c r="L24" s="294">
        <v>0</v>
      </c>
      <c r="M24" s="294">
        <v>0</v>
      </c>
      <c r="N24" s="294">
        <v>0</v>
      </c>
      <c r="O24" s="294">
        <v>0</v>
      </c>
      <c r="P24" s="294">
        <v>0</v>
      </c>
      <c r="Q24" s="294">
        <v>0</v>
      </c>
      <c r="R24" s="295">
        <f t="shared" si="0"/>
        <v>0.10714285714285714</v>
      </c>
    </row>
    <row r="25" spans="1:18" ht="15" customHeight="1">
      <c r="A25" s="553"/>
      <c r="B25" s="330" t="s">
        <v>878</v>
      </c>
      <c r="C25" s="294">
        <v>0.5</v>
      </c>
      <c r="D25" s="294">
        <v>0</v>
      </c>
      <c r="E25" s="294">
        <v>0</v>
      </c>
      <c r="F25" s="294">
        <v>1</v>
      </c>
      <c r="G25" s="294">
        <v>0</v>
      </c>
      <c r="H25" s="294">
        <v>0</v>
      </c>
      <c r="I25" s="294">
        <v>0</v>
      </c>
      <c r="J25" s="294">
        <v>0</v>
      </c>
      <c r="K25" s="294">
        <v>0</v>
      </c>
      <c r="L25" s="294">
        <v>0</v>
      </c>
      <c r="M25" s="294">
        <v>0</v>
      </c>
      <c r="N25" s="294">
        <v>0</v>
      </c>
      <c r="O25" s="294">
        <v>0</v>
      </c>
      <c r="P25" s="294">
        <v>0</v>
      </c>
      <c r="Q25" s="294">
        <v>0</v>
      </c>
      <c r="R25" s="295">
        <f t="shared" si="0"/>
        <v>0.10714285714285714</v>
      </c>
    </row>
    <row r="26" spans="1:18" ht="15" customHeight="1">
      <c r="A26" s="553"/>
      <c r="B26" s="330" t="s">
        <v>879</v>
      </c>
      <c r="C26" s="294">
        <v>0.6</v>
      </c>
      <c r="D26" s="294">
        <v>0</v>
      </c>
      <c r="E26" s="294">
        <v>0</v>
      </c>
      <c r="F26" s="294">
        <v>0</v>
      </c>
      <c r="G26" s="294">
        <v>0</v>
      </c>
      <c r="H26" s="294">
        <v>0</v>
      </c>
      <c r="I26" s="294">
        <v>0</v>
      </c>
      <c r="J26" s="294">
        <v>0</v>
      </c>
      <c r="K26" s="294">
        <v>0</v>
      </c>
      <c r="L26" s="294">
        <v>0</v>
      </c>
      <c r="M26" s="294">
        <v>0</v>
      </c>
      <c r="N26" s="294">
        <v>0</v>
      </c>
      <c r="O26" s="294">
        <v>0</v>
      </c>
      <c r="P26" s="294">
        <v>0</v>
      </c>
      <c r="Q26" s="294">
        <v>0</v>
      </c>
      <c r="R26" s="295">
        <f t="shared" si="0"/>
        <v>4.2857142857142858E-2</v>
      </c>
    </row>
    <row r="27" spans="1:18" ht="15" customHeight="1">
      <c r="A27" s="553"/>
      <c r="B27" s="330" t="s">
        <v>880</v>
      </c>
      <c r="C27" s="294">
        <v>0</v>
      </c>
      <c r="D27" s="294">
        <v>0</v>
      </c>
      <c r="E27" s="294">
        <v>0</v>
      </c>
      <c r="F27" s="294">
        <v>0</v>
      </c>
      <c r="G27" s="294">
        <v>0</v>
      </c>
      <c r="H27" s="294">
        <v>0</v>
      </c>
      <c r="I27" s="294">
        <v>0</v>
      </c>
      <c r="J27" s="294">
        <v>0</v>
      </c>
      <c r="K27" s="294">
        <v>0</v>
      </c>
      <c r="L27" s="294">
        <v>0</v>
      </c>
      <c r="M27" s="294">
        <v>0</v>
      </c>
      <c r="N27" s="294">
        <v>0</v>
      </c>
      <c r="O27" s="294">
        <v>0</v>
      </c>
      <c r="P27" s="294">
        <v>0</v>
      </c>
      <c r="Q27" s="294">
        <v>0</v>
      </c>
      <c r="R27" s="295">
        <f t="shared" si="0"/>
        <v>0</v>
      </c>
    </row>
    <row r="28" spans="1:18" ht="15" customHeight="1">
      <c r="A28" s="553"/>
      <c r="B28" s="331" t="s">
        <v>881</v>
      </c>
      <c r="C28" s="294">
        <v>0</v>
      </c>
      <c r="D28" s="294">
        <v>0</v>
      </c>
      <c r="E28" s="294">
        <v>0</v>
      </c>
      <c r="F28" s="294">
        <v>0</v>
      </c>
      <c r="G28" s="294">
        <v>0</v>
      </c>
      <c r="H28" s="294">
        <v>0</v>
      </c>
      <c r="I28" s="294">
        <v>0</v>
      </c>
      <c r="J28" s="294">
        <v>0</v>
      </c>
      <c r="K28" s="294">
        <v>0</v>
      </c>
      <c r="L28" s="294">
        <v>0</v>
      </c>
      <c r="M28" s="294">
        <v>0</v>
      </c>
      <c r="N28" s="294">
        <v>0</v>
      </c>
      <c r="O28" s="294">
        <v>0</v>
      </c>
      <c r="P28" s="294">
        <v>0</v>
      </c>
      <c r="Q28" s="294">
        <v>0</v>
      </c>
      <c r="R28" s="295">
        <f t="shared" si="0"/>
        <v>0</v>
      </c>
    </row>
    <row r="29" spans="1:18" ht="15" customHeight="1">
      <c r="A29" s="553"/>
      <c r="B29" s="331" t="s">
        <v>882</v>
      </c>
      <c r="C29" s="294">
        <v>0</v>
      </c>
      <c r="D29" s="294">
        <v>0</v>
      </c>
      <c r="E29" s="294">
        <v>0</v>
      </c>
      <c r="F29" s="294">
        <v>0</v>
      </c>
      <c r="G29" s="294">
        <v>0</v>
      </c>
      <c r="H29" s="294">
        <v>0</v>
      </c>
      <c r="I29" s="294">
        <v>0</v>
      </c>
      <c r="J29" s="294">
        <v>0</v>
      </c>
      <c r="K29" s="294">
        <v>0</v>
      </c>
      <c r="L29" s="294">
        <v>0</v>
      </c>
      <c r="M29" s="294">
        <v>0</v>
      </c>
      <c r="N29" s="294">
        <v>0</v>
      </c>
      <c r="O29" s="294">
        <v>0</v>
      </c>
      <c r="P29" s="294">
        <v>0</v>
      </c>
      <c r="Q29" s="294">
        <v>0</v>
      </c>
      <c r="R29" s="295">
        <f t="shared" si="0"/>
        <v>0</v>
      </c>
    </row>
    <row r="30" spans="1:18" ht="15" customHeight="1" thickBot="1">
      <c r="A30" s="554"/>
      <c r="B30" s="331" t="s">
        <v>883</v>
      </c>
      <c r="C30" s="306">
        <v>0</v>
      </c>
      <c r="D30" s="307">
        <v>0</v>
      </c>
      <c r="E30" s="307">
        <v>0</v>
      </c>
      <c r="F30" s="307">
        <v>0</v>
      </c>
      <c r="G30" s="307">
        <v>0</v>
      </c>
      <c r="H30" s="307">
        <v>0</v>
      </c>
      <c r="I30" s="307">
        <v>0</v>
      </c>
      <c r="J30" s="307">
        <v>0</v>
      </c>
      <c r="K30" s="307">
        <v>0</v>
      </c>
      <c r="L30" s="307">
        <v>0</v>
      </c>
      <c r="M30" s="307">
        <v>0</v>
      </c>
      <c r="N30" s="307">
        <v>0</v>
      </c>
      <c r="O30" s="307">
        <v>0</v>
      </c>
      <c r="P30" s="307">
        <v>0</v>
      </c>
      <c r="Q30" s="307">
        <v>0</v>
      </c>
      <c r="R30" s="300">
        <f>+AVERAGE(P30:Q30,C30:N30)</f>
        <v>0</v>
      </c>
    </row>
    <row r="31" spans="1:18" ht="20.100000000000001" customHeight="1" thickBot="1">
      <c r="A31" s="558" t="s">
        <v>755</v>
      </c>
      <c r="B31" s="559"/>
      <c r="C31" s="296"/>
      <c r="D31" s="296"/>
      <c r="E31" s="296"/>
      <c r="F31" s="296"/>
      <c r="G31" s="296"/>
      <c r="H31" s="296"/>
      <c r="I31" s="296"/>
      <c r="J31" s="296"/>
      <c r="K31" s="296"/>
      <c r="L31" s="296"/>
      <c r="M31" s="296"/>
      <c r="N31" s="296"/>
      <c r="O31" s="296"/>
      <c r="P31" s="296"/>
      <c r="Q31" s="296"/>
      <c r="R31" s="560"/>
    </row>
    <row r="32" spans="1:18" ht="20.100000000000001" customHeight="1" thickBot="1">
      <c r="A32" s="558" t="s">
        <v>754</v>
      </c>
      <c r="B32" s="559"/>
      <c r="C32" s="296">
        <f>+AVERAGE(C7:C30)</f>
        <v>0.15</v>
      </c>
      <c r="D32" s="296">
        <f t="shared" ref="D32:Q32" si="1">+AVERAGE(D7:D30)</f>
        <v>8.3333333333333329E-2</v>
      </c>
      <c r="E32" s="296">
        <f t="shared" si="1"/>
        <v>8.3333333333333329E-2</v>
      </c>
      <c r="F32" s="296">
        <f t="shared" si="1"/>
        <v>0.3666666666666667</v>
      </c>
      <c r="G32" s="296">
        <f t="shared" si="1"/>
        <v>0.16666666666666666</v>
      </c>
      <c r="H32" s="296">
        <f t="shared" si="1"/>
        <v>0.34583333333333338</v>
      </c>
      <c r="I32" s="296">
        <f t="shared" si="1"/>
        <v>8.3333333333333329E-2</v>
      </c>
      <c r="J32" s="296">
        <f t="shared" si="1"/>
        <v>8.3333333333333329E-2</v>
      </c>
      <c r="K32" s="296">
        <f t="shared" si="1"/>
        <v>8.3333333333333329E-2</v>
      </c>
      <c r="L32" s="296">
        <f t="shared" si="1"/>
        <v>8.3333333333333329E-2</v>
      </c>
      <c r="M32" s="296">
        <f t="shared" si="1"/>
        <v>4.1666666666666664E-2</v>
      </c>
      <c r="N32" s="296">
        <f t="shared" si="1"/>
        <v>4.1666666666666664E-2</v>
      </c>
      <c r="O32" s="296">
        <f t="shared" si="1"/>
        <v>0</v>
      </c>
      <c r="P32" s="296">
        <f t="shared" si="1"/>
        <v>4.1666666666666664E-2</v>
      </c>
      <c r="Q32" s="296">
        <f t="shared" si="1"/>
        <v>0.125</v>
      </c>
      <c r="R32" s="561"/>
    </row>
    <row r="33" spans="1:18" ht="20.100000000000001" customHeight="1" thickBot="1">
      <c r="A33" s="558" t="s">
        <v>753</v>
      </c>
      <c r="B33" s="563"/>
      <c r="C33" s="516">
        <f>+AVERAGE(C32:Q32)</f>
        <v>0.1186111111111111</v>
      </c>
      <c r="D33" s="517"/>
      <c r="E33" s="517"/>
      <c r="F33" s="517"/>
      <c r="G33" s="517"/>
      <c r="H33" s="517"/>
      <c r="I33" s="517"/>
      <c r="J33" s="517"/>
      <c r="K33" s="517"/>
      <c r="L33" s="517"/>
      <c r="M33" s="517"/>
      <c r="N33" s="517"/>
      <c r="O33" s="517"/>
      <c r="P33" s="517"/>
      <c r="Q33" s="517"/>
      <c r="R33" s="562"/>
    </row>
    <row r="34" spans="1:18" ht="15" customHeight="1">
      <c r="A34" s="552" t="s">
        <v>900</v>
      </c>
      <c r="B34" s="332" t="s">
        <v>1027</v>
      </c>
      <c r="C34" s="298">
        <v>0</v>
      </c>
      <c r="D34" s="298">
        <v>0</v>
      </c>
      <c r="E34" s="298">
        <v>0</v>
      </c>
      <c r="F34" s="298">
        <v>0</v>
      </c>
      <c r="G34" s="298">
        <v>0</v>
      </c>
      <c r="H34" s="298">
        <v>0</v>
      </c>
      <c r="I34" s="298">
        <v>0</v>
      </c>
      <c r="J34" s="298">
        <v>0</v>
      </c>
      <c r="K34" s="298">
        <v>0</v>
      </c>
      <c r="L34" s="298">
        <v>0</v>
      </c>
      <c r="M34" s="298">
        <v>0</v>
      </c>
      <c r="N34" s="298">
        <v>0</v>
      </c>
      <c r="O34" s="298">
        <v>0</v>
      </c>
      <c r="P34" s="298">
        <v>0</v>
      </c>
      <c r="Q34" s="298">
        <v>0</v>
      </c>
      <c r="R34" s="293">
        <f t="shared" ref="R34:R76" si="2">+AVERAGE(C34:Q34)</f>
        <v>0</v>
      </c>
    </row>
    <row r="35" spans="1:18" ht="15" customHeight="1">
      <c r="A35" s="553"/>
      <c r="B35" s="330" t="s">
        <v>552</v>
      </c>
      <c r="C35" s="298">
        <v>0</v>
      </c>
      <c r="D35" s="298">
        <v>0</v>
      </c>
      <c r="E35" s="298">
        <v>0</v>
      </c>
      <c r="F35" s="298">
        <v>0</v>
      </c>
      <c r="G35" s="298">
        <v>0</v>
      </c>
      <c r="H35" s="298">
        <v>0</v>
      </c>
      <c r="I35" s="298">
        <v>0</v>
      </c>
      <c r="J35" s="298">
        <v>0</v>
      </c>
      <c r="K35" s="298">
        <v>0</v>
      </c>
      <c r="L35" s="298">
        <v>0</v>
      </c>
      <c r="M35" s="298">
        <v>0</v>
      </c>
      <c r="N35" s="298">
        <v>0</v>
      </c>
      <c r="O35" s="298">
        <v>0</v>
      </c>
      <c r="P35" s="298">
        <v>0</v>
      </c>
      <c r="Q35" s="298">
        <v>0</v>
      </c>
      <c r="R35" s="295">
        <f t="shared" si="2"/>
        <v>0</v>
      </c>
    </row>
    <row r="36" spans="1:18" ht="15" customHeight="1">
      <c r="A36" s="553"/>
      <c r="B36" s="330" t="s">
        <v>553</v>
      </c>
      <c r="C36" s="298">
        <v>0</v>
      </c>
      <c r="D36" s="298">
        <v>0</v>
      </c>
      <c r="E36" s="298">
        <v>0</v>
      </c>
      <c r="F36" s="298">
        <v>0</v>
      </c>
      <c r="G36" s="298">
        <v>0</v>
      </c>
      <c r="H36" s="298">
        <v>0</v>
      </c>
      <c r="I36" s="298">
        <v>0</v>
      </c>
      <c r="J36" s="298">
        <v>0</v>
      </c>
      <c r="K36" s="298">
        <v>0</v>
      </c>
      <c r="L36" s="298">
        <v>0</v>
      </c>
      <c r="M36" s="298">
        <v>0</v>
      </c>
      <c r="N36" s="298">
        <v>0</v>
      </c>
      <c r="O36" s="298">
        <v>0</v>
      </c>
      <c r="P36" s="298">
        <v>0</v>
      </c>
      <c r="Q36" s="298">
        <v>0</v>
      </c>
      <c r="R36" s="295">
        <f t="shared" si="2"/>
        <v>0</v>
      </c>
    </row>
    <row r="37" spans="1:18" ht="15" customHeight="1">
      <c r="A37" s="553"/>
      <c r="B37" s="330" t="s">
        <v>554</v>
      </c>
      <c r="C37" s="298">
        <v>0</v>
      </c>
      <c r="D37" s="298">
        <v>0</v>
      </c>
      <c r="E37" s="298">
        <v>0</v>
      </c>
      <c r="F37" s="298">
        <v>0</v>
      </c>
      <c r="G37" s="298">
        <v>0</v>
      </c>
      <c r="H37" s="298">
        <v>0</v>
      </c>
      <c r="I37" s="298">
        <v>0</v>
      </c>
      <c r="J37" s="298">
        <v>0</v>
      </c>
      <c r="K37" s="298">
        <v>0</v>
      </c>
      <c r="L37" s="298">
        <v>0</v>
      </c>
      <c r="M37" s="298">
        <v>0</v>
      </c>
      <c r="N37" s="298">
        <v>0</v>
      </c>
      <c r="O37" s="298">
        <v>0</v>
      </c>
      <c r="P37" s="298">
        <v>0</v>
      </c>
      <c r="Q37" s="298">
        <v>0</v>
      </c>
      <c r="R37" s="295">
        <f t="shared" si="2"/>
        <v>0</v>
      </c>
    </row>
    <row r="38" spans="1:18" ht="15" customHeight="1">
      <c r="A38" s="553"/>
      <c r="B38" s="330" t="s">
        <v>555</v>
      </c>
      <c r="C38" s="298">
        <v>0</v>
      </c>
      <c r="D38" s="298">
        <v>0</v>
      </c>
      <c r="E38" s="298">
        <v>0</v>
      </c>
      <c r="F38" s="298">
        <v>0</v>
      </c>
      <c r="G38" s="298">
        <v>0</v>
      </c>
      <c r="H38" s="298">
        <v>0</v>
      </c>
      <c r="I38" s="298">
        <v>0</v>
      </c>
      <c r="J38" s="298">
        <v>0</v>
      </c>
      <c r="K38" s="298">
        <v>0</v>
      </c>
      <c r="L38" s="298">
        <v>0</v>
      </c>
      <c r="M38" s="298">
        <v>0</v>
      </c>
      <c r="N38" s="298">
        <v>0</v>
      </c>
      <c r="O38" s="298">
        <v>0</v>
      </c>
      <c r="P38" s="298">
        <v>0</v>
      </c>
      <c r="Q38" s="298">
        <v>0</v>
      </c>
      <c r="R38" s="295">
        <f t="shared" si="2"/>
        <v>0</v>
      </c>
    </row>
    <row r="39" spans="1:18" ht="15" customHeight="1">
      <c r="A39" s="553"/>
      <c r="B39" s="330" t="s">
        <v>556</v>
      </c>
      <c r="C39" s="298">
        <v>0</v>
      </c>
      <c r="D39" s="298">
        <v>0</v>
      </c>
      <c r="E39" s="298">
        <v>0</v>
      </c>
      <c r="F39" s="298">
        <v>0</v>
      </c>
      <c r="G39" s="298">
        <v>0</v>
      </c>
      <c r="H39" s="298">
        <v>0</v>
      </c>
      <c r="I39" s="298">
        <v>0</v>
      </c>
      <c r="J39" s="298">
        <v>0</v>
      </c>
      <c r="K39" s="298">
        <v>0</v>
      </c>
      <c r="L39" s="298">
        <v>0</v>
      </c>
      <c r="M39" s="298">
        <v>0</v>
      </c>
      <c r="N39" s="298">
        <v>0</v>
      </c>
      <c r="O39" s="298">
        <v>0</v>
      </c>
      <c r="P39" s="298">
        <v>0</v>
      </c>
      <c r="Q39" s="298">
        <v>0</v>
      </c>
      <c r="R39" s="295">
        <f t="shared" si="2"/>
        <v>0</v>
      </c>
    </row>
    <row r="40" spans="1:18" ht="15" customHeight="1">
      <c r="A40" s="553"/>
      <c r="B40" s="330" t="s">
        <v>557</v>
      </c>
      <c r="C40" s="298">
        <v>0</v>
      </c>
      <c r="D40" s="298">
        <v>0</v>
      </c>
      <c r="E40" s="298">
        <v>0</v>
      </c>
      <c r="F40" s="298">
        <v>0</v>
      </c>
      <c r="G40" s="298">
        <v>0</v>
      </c>
      <c r="H40" s="298">
        <v>0</v>
      </c>
      <c r="I40" s="298">
        <v>0</v>
      </c>
      <c r="J40" s="298">
        <v>0</v>
      </c>
      <c r="K40" s="298">
        <v>0</v>
      </c>
      <c r="L40" s="298">
        <v>0</v>
      </c>
      <c r="M40" s="298">
        <v>0</v>
      </c>
      <c r="N40" s="298">
        <v>0</v>
      </c>
      <c r="O40" s="298">
        <v>0</v>
      </c>
      <c r="P40" s="298">
        <v>0</v>
      </c>
      <c r="Q40" s="298">
        <v>0</v>
      </c>
      <c r="R40" s="295">
        <f t="shared" si="2"/>
        <v>0</v>
      </c>
    </row>
    <row r="41" spans="1:18" ht="15" customHeight="1">
      <c r="A41" s="553"/>
      <c r="B41" s="330" t="s">
        <v>558</v>
      </c>
      <c r="C41" s="298">
        <v>0</v>
      </c>
      <c r="D41" s="298">
        <v>0</v>
      </c>
      <c r="E41" s="298">
        <v>0</v>
      </c>
      <c r="F41" s="298">
        <v>0</v>
      </c>
      <c r="G41" s="298">
        <v>0</v>
      </c>
      <c r="H41" s="298">
        <v>0</v>
      </c>
      <c r="I41" s="298">
        <v>0</v>
      </c>
      <c r="J41" s="298">
        <v>0</v>
      </c>
      <c r="K41" s="298">
        <v>0</v>
      </c>
      <c r="L41" s="298">
        <v>0</v>
      </c>
      <c r="M41" s="298">
        <v>0</v>
      </c>
      <c r="N41" s="298">
        <v>0</v>
      </c>
      <c r="O41" s="298">
        <v>0</v>
      </c>
      <c r="P41" s="298">
        <v>0</v>
      </c>
      <c r="Q41" s="298">
        <v>0</v>
      </c>
      <c r="R41" s="295">
        <f t="shared" si="2"/>
        <v>0</v>
      </c>
    </row>
    <row r="42" spans="1:18" ht="15" customHeight="1">
      <c r="A42" s="553"/>
      <c r="B42" s="330" t="s">
        <v>559</v>
      </c>
      <c r="C42" s="298">
        <v>0</v>
      </c>
      <c r="D42" s="298">
        <v>0</v>
      </c>
      <c r="E42" s="298">
        <v>0</v>
      </c>
      <c r="F42" s="298">
        <v>0</v>
      </c>
      <c r="G42" s="298">
        <v>0</v>
      </c>
      <c r="H42" s="298">
        <v>0</v>
      </c>
      <c r="I42" s="298">
        <v>0</v>
      </c>
      <c r="J42" s="298">
        <v>0</v>
      </c>
      <c r="K42" s="298">
        <v>0</v>
      </c>
      <c r="L42" s="298">
        <v>0</v>
      </c>
      <c r="M42" s="298">
        <v>0</v>
      </c>
      <c r="N42" s="298">
        <v>0</v>
      </c>
      <c r="O42" s="298">
        <v>0</v>
      </c>
      <c r="P42" s="298">
        <v>0</v>
      </c>
      <c r="Q42" s="298">
        <v>0</v>
      </c>
      <c r="R42" s="295">
        <f t="shared" si="2"/>
        <v>0</v>
      </c>
    </row>
    <row r="43" spans="1:18" ht="15" customHeight="1">
      <c r="A43" s="553"/>
      <c r="B43" s="330" t="s">
        <v>764</v>
      </c>
      <c r="C43" s="298">
        <v>0</v>
      </c>
      <c r="D43" s="298">
        <v>0</v>
      </c>
      <c r="E43" s="298">
        <v>0</v>
      </c>
      <c r="F43" s="298">
        <v>0</v>
      </c>
      <c r="G43" s="298">
        <v>0</v>
      </c>
      <c r="H43" s="298">
        <v>0</v>
      </c>
      <c r="I43" s="298">
        <v>0</v>
      </c>
      <c r="J43" s="298">
        <v>0</v>
      </c>
      <c r="K43" s="298">
        <v>0</v>
      </c>
      <c r="L43" s="298">
        <v>0</v>
      </c>
      <c r="M43" s="298">
        <v>0</v>
      </c>
      <c r="N43" s="298">
        <v>0</v>
      </c>
      <c r="O43" s="298">
        <v>0</v>
      </c>
      <c r="P43" s="298">
        <v>0</v>
      </c>
      <c r="Q43" s="298">
        <v>0</v>
      </c>
      <c r="R43" s="295">
        <f t="shared" si="2"/>
        <v>0</v>
      </c>
    </row>
    <row r="44" spans="1:18" ht="15" customHeight="1">
      <c r="A44" s="553"/>
      <c r="B44" s="330" t="s">
        <v>765</v>
      </c>
      <c r="C44" s="298">
        <v>0</v>
      </c>
      <c r="D44" s="298">
        <v>0</v>
      </c>
      <c r="E44" s="298">
        <v>0</v>
      </c>
      <c r="F44" s="298">
        <v>0</v>
      </c>
      <c r="G44" s="298">
        <v>0</v>
      </c>
      <c r="H44" s="298">
        <v>0</v>
      </c>
      <c r="I44" s="298">
        <v>0</v>
      </c>
      <c r="J44" s="298">
        <v>0</v>
      </c>
      <c r="K44" s="298">
        <v>0</v>
      </c>
      <c r="L44" s="298">
        <v>0</v>
      </c>
      <c r="M44" s="298">
        <v>0</v>
      </c>
      <c r="N44" s="298">
        <v>0</v>
      </c>
      <c r="O44" s="298">
        <v>0</v>
      </c>
      <c r="P44" s="298">
        <v>0</v>
      </c>
      <c r="Q44" s="298">
        <v>0</v>
      </c>
      <c r="R44" s="295">
        <f t="shared" si="2"/>
        <v>0</v>
      </c>
    </row>
    <row r="45" spans="1:18" ht="15" customHeight="1">
      <c r="A45" s="553"/>
      <c r="B45" s="330" t="s">
        <v>560</v>
      </c>
      <c r="C45" s="298">
        <v>0</v>
      </c>
      <c r="D45" s="298">
        <v>0</v>
      </c>
      <c r="E45" s="298">
        <v>0</v>
      </c>
      <c r="F45" s="298">
        <v>0</v>
      </c>
      <c r="G45" s="298">
        <v>0</v>
      </c>
      <c r="H45" s="298">
        <v>0</v>
      </c>
      <c r="I45" s="298">
        <v>0</v>
      </c>
      <c r="J45" s="298">
        <v>0</v>
      </c>
      <c r="K45" s="298">
        <v>0</v>
      </c>
      <c r="L45" s="298">
        <v>0</v>
      </c>
      <c r="M45" s="298">
        <v>0</v>
      </c>
      <c r="N45" s="298">
        <v>0</v>
      </c>
      <c r="O45" s="298">
        <v>0</v>
      </c>
      <c r="P45" s="298">
        <v>0</v>
      </c>
      <c r="Q45" s="298">
        <v>0</v>
      </c>
      <c r="R45" s="295">
        <f t="shared" si="2"/>
        <v>0</v>
      </c>
    </row>
    <row r="46" spans="1:18" ht="15" customHeight="1">
      <c r="A46" s="553"/>
      <c r="B46" s="330" t="s">
        <v>561</v>
      </c>
      <c r="C46" s="298">
        <v>0</v>
      </c>
      <c r="D46" s="298">
        <v>0</v>
      </c>
      <c r="E46" s="298">
        <v>0</v>
      </c>
      <c r="F46" s="298">
        <v>0</v>
      </c>
      <c r="G46" s="298">
        <v>0</v>
      </c>
      <c r="H46" s="298">
        <v>0</v>
      </c>
      <c r="I46" s="298">
        <v>0</v>
      </c>
      <c r="J46" s="298">
        <v>0</v>
      </c>
      <c r="K46" s="298">
        <v>0</v>
      </c>
      <c r="L46" s="298">
        <v>0</v>
      </c>
      <c r="M46" s="298">
        <v>0</v>
      </c>
      <c r="N46" s="298">
        <v>0</v>
      </c>
      <c r="O46" s="298">
        <v>0</v>
      </c>
      <c r="P46" s="298">
        <v>0</v>
      </c>
      <c r="Q46" s="298">
        <v>0</v>
      </c>
      <c r="R46" s="295">
        <f t="shared" si="2"/>
        <v>0</v>
      </c>
    </row>
    <row r="47" spans="1:18" ht="15" customHeight="1">
      <c r="A47" s="553"/>
      <c r="B47" s="330" t="s">
        <v>562</v>
      </c>
      <c r="C47" s="298">
        <v>0</v>
      </c>
      <c r="D47" s="298">
        <v>0</v>
      </c>
      <c r="E47" s="298">
        <v>0</v>
      </c>
      <c r="F47" s="298">
        <v>0</v>
      </c>
      <c r="G47" s="298">
        <v>0</v>
      </c>
      <c r="H47" s="298">
        <v>0</v>
      </c>
      <c r="I47" s="298">
        <v>0</v>
      </c>
      <c r="J47" s="298">
        <v>0</v>
      </c>
      <c r="K47" s="298">
        <v>0</v>
      </c>
      <c r="L47" s="298">
        <v>0</v>
      </c>
      <c r="M47" s="298">
        <v>0</v>
      </c>
      <c r="N47" s="298">
        <v>0</v>
      </c>
      <c r="O47" s="298">
        <v>0</v>
      </c>
      <c r="P47" s="298">
        <v>0</v>
      </c>
      <c r="Q47" s="298">
        <v>0</v>
      </c>
      <c r="R47" s="295">
        <f t="shared" si="2"/>
        <v>0</v>
      </c>
    </row>
    <row r="48" spans="1:18" ht="15" customHeight="1">
      <c r="A48" s="553"/>
      <c r="B48" s="330" t="s">
        <v>563</v>
      </c>
      <c r="C48" s="298">
        <v>0</v>
      </c>
      <c r="D48" s="298">
        <v>0</v>
      </c>
      <c r="E48" s="298">
        <v>0</v>
      </c>
      <c r="F48" s="298">
        <v>0</v>
      </c>
      <c r="G48" s="298">
        <v>0</v>
      </c>
      <c r="H48" s="298">
        <v>0</v>
      </c>
      <c r="I48" s="298">
        <v>0</v>
      </c>
      <c r="J48" s="298">
        <v>0</v>
      </c>
      <c r="K48" s="298">
        <v>0</v>
      </c>
      <c r="L48" s="298">
        <v>0</v>
      </c>
      <c r="M48" s="298">
        <v>0</v>
      </c>
      <c r="N48" s="298">
        <v>0</v>
      </c>
      <c r="O48" s="298">
        <v>0</v>
      </c>
      <c r="P48" s="298">
        <v>0</v>
      </c>
      <c r="Q48" s="298">
        <v>0</v>
      </c>
      <c r="R48" s="295">
        <f t="shared" si="2"/>
        <v>0</v>
      </c>
    </row>
    <row r="49" spans="1:18" ht="15" customHeight="1">
      <c r="A49" s="553"/>
      <c r="B49" s="330" t="s">
        <v>564</v>
      </c>
      <c r="C49" s="298">
        <v>0</v>
      </c>
      <c r="D49" s="298">
        <v>0</v>
      </c>
      <c r="E49" s="298">
        <v>0</v>
      </c>
      <c r="F49" s="298">
        <v>0</v>
      </c>
      <c r="G49" s="298">
        <v>0</v>
      </c>
      <c r="H49" s="298">
        <v>0</v>
      </c>
      <c r="I49" s="298">
        <v>0</v>
      </c>
      <c r="J49" s="298">
        <v>0</v>
      </c>
      <c r="K49" s="298">
        <v>0</v>
      </c>
      <c r="L49" s="298">
        <v>0</v>
      </c>
      <c r="M49" s="298">
        <v>0</v>
      </c>
      <c r="N49" s="298">
        <v>0</v>
      </c>
      <c r="O49" s="298">
        <v>0</v>
      </c>
      <c r="P49" s="298">
        <v>0</v>
      </c>
      <c r="Q49" s="298">
        <v>0</v>
      </c>
      <c r="R49" s="295">
        <f t="shared" si="2"/>
        <v>0</v>
      </c>
    </row>
    <row r="50" spans="1:18" ht="15" customHeight="1">
      <c r="A50" s="553"/>
      <c r="B50" s="330" t="s">
        <v>894</v>
      </c>
      <c r="C50" s="298">
        <v>0</v>
      </c>
      <c r="D50" s="298">
        <v>0</v>
      </c>
      <c r="E50" s="298">
        <v>0</v>
      </c>
      <c r="F50" s="298">
        <v>0</v>
      </c>
      <c r="G50" s="298">
        <v>0</v>
      </c>
      <c r="H50" s="298">
        <v>0</v>
      </c>
      <c r="I50" s="298">
        <v>0</v>
      </c>
      <c r="J50" s="298">
        <v>0</v>
      </c>
      <c r="K50" s="298">
        <v>0</v>
      </c>
      <c r="L50" s="298">
        <v>0</v>
      </c>
      <c r="M50" s="298">
        <v>0</v>
      </c>
      <c r="N50" s="298">
        <v>0</v>
      </c>
      <c r="O50" s="298">
        <v>0</v>
      </c>
      <c r="P50" s="298">
        <v>0</v>
      </c>
      <c r="Q50" s="298">
        <v>0</v>
      </c>
      <c r="R50" s="295">
        <f t="shared" si="2"/>
        <v>0</v>
      </c>
    </row>
    <row r="51" spans="1:18" ht="15" customHeight="1">
      <c r="A51" s="553"/>
      <c r="B51" s="330" t="s">
        <v>895</v>
      </c>
      <c r="C51" s="298">
        <v>0</v>
      </c>
      <c r="D51" s="298">
        <v>0</v>
      </c>
      <c r="E51" s="298">
        <v>0</v>
      </c>
      <c r="F51" s="298">
        <v>0</v>
      </c>
      <c r="G51" s="298">
        <v>0</v>
      </c>
      <c r="H51" s="298">
        <v>0</v>
      </c>
      <c r="I51" s="298">
        <v>0</v>
      </c>
      <c r="J51" s="298">
        <v>0</v>
      </c>
      <c r="K51" s="298">
        <v>0</v>
      </c>
      <c r="L51" s="298">
        <v>0</v>
      </c>
      <c r="M51" s="298">
        <v>0</v>
      </c>
      <c r="N51" s="298">
        <v>0</v>
      </c>
      <c r="O51" s="298">
        <v>0</v>
      </c>
      <c r="P51" s="298">
        <v>0</v>
      </c>
      <c r="Q51" s="298">
        <v>0</v>
      </c>
      <c r="R51" s="295">
        <f t="shared" si="2"/>
        <v>0</v>
      </c>
    </row>
    <row r="52" spans="1:18" ht="15" customHeight="1">
      <c r="A52" s="553"/>
      <c r="B52" s="330" t="s">
        <v>896</v>
      </c>
      <c r="C52" s="298">
        <v>0</v>
      </c>
      <c r="D52" s="298">
        <v>0</v>
      </c>
      <c r="E52" s="298">
        <v>0</v>
      </c>
      <c r="F52" s="298">
        <v>0</v>
      </c>
      <c r="G52" s="298">
        <v>0</v>
      </c>
      <c r="H52" s="298">
        <v>0</v>
      </c>
      <c r="I52" s="298">
        <v>0</v>
      </c>
      <c r="J52" s="298">
        <v>0</v>
      </c>
      <c r="K52" s="298">
        <v>0</v>
      </c>
      <c r="L52" s="298">
        <v>0</v>
      </c>
      <c r="M52" s="298">
        <v>0</v>
      </c>
      <c r="N52" s="298">
        <v>0</v>
      </c>
      <c r="O52" s="298">
        <v>0</v>
      </c>
      <c r="P52" s="298">
        <v>0</v>
      </c>
      <c r="Q52" s="298">
        <v>0</v>
      </c>
      <c r="R52" s="295">
        <f t="shared" si="2"/>
        <v>0</v>
      </c>
    </row>
    <row r="53" spans="1:18" ht="15" customHeight="1">
      <c r="A53" s="553"/>
      <c r="B53" s="330" t="s">
        <v>897</v>
      </c>
      <c r="C53" s="298">
        <v>0</v>
      </c>
      <c r="D53" s="298">
        <v>0</v>
      </c>
      <c r="E53" s="298">
        <v>0</v>
      </c>
      <c r="F53" s="298">
        <v>0</v>
      </c>
      <c r="G53" s="298">
        <v>0</v>
      </c>
      <c r="H53" s="298">
        <v>0</v>
      </c>
      <c r="I53" s="298">
        <v>0</v>
      </c>
      <c r="J53" s="298">
        <v>0</v>
      </c>
      <c r="K53" s="298">
        <v>0</v>
      </c>
      <c r="L53" s="298">
        <v>0</v>
      </c>
      <c r="M53" s="298">
        <v>0</v>
      </c>
      <c r="N53" s="298">
        <v>0</v>
      </c>
      <c r="O53" s="298">
        <v>0</v>
      </c>
      <c r="P53" s="298">
        <v>0</v>
      </c>
      <c r="Q53" s="298">
        <v>0</v>
      </c>
      <c r="R53" s="295">
        <f t="shared" si="2"/>
        <v>0</v>
      </c>
    </row>
    <row r="54" spans="1:18" ht="15" customHeight="1">
      <c r="A54" s="553"/>
      <c r="B54" s="330" t="s">
        <v>898</v>
      </c>
      <c r="C54" s="298">
        <v>0</v>
      </c>
      <c r="D54" s="298">
        <v>0</v>
      </c>
      <c r="E54" s="298">
        <v>0</v>
      </c>
      <c r="F54" s="298">
        <v>0</v>
      </c>
      <c r="G54" s="298">
        <v>0</v>
      </c>
      <c r="H54" s="298">
        <v>0</v>
      </c>
      <c r="I54" s="298">
        <v>0</v>
      </c>
      <c r="J54" s="298">
        <v>0</v>
      </c>
      <c r="K54" s="298">
        <v>0</v>
      </c>
      <c r="L54" s="298">
        <v>0</v>
      </c>
      <c r="M54" s="298">
        <v>0</v>
      </c>
      <c r="N54" s="298">
        <v>0</v>
      </c>
      <c r="O54" s="298">
        <v>0</v>
      </c>
      <c r="P54" s="298">
        <v>0</v>
      </c>
      <c r="Q54" s="298">
        <v>0</v>
      </c>
      <c r="R54" s="295">
        <f t="shared" si="2"/>
        <v>0</v>
      </c>
    </row>
    <row r="55" spans="1:18" ht="15" customHeight="1">
      <c r="A55" s="553"/>
      <c r="B55" s="330" t="s">
        <v>899</v>
      </c>
      <c r="C55" s="298">
        <v>0</v>
      </c>
      <c r="D55" s="298">
        <v>0</v>
      </c>
      <c r="E55" s="298">
        <v>0</v>
      </c>
      <c r="F55" s="298">
        <v>0</v>
      </c>
      <c r="G55" s="298">
        <v>0</v>
      </c>
      <c r="H55" s="298">
        <v>0</v>
      </c>
      <c r="I55" s="298">
        <v>0</v>
      </c>
      <c r="J55" s="298">
        <v>0</v>
      </c>
      <c r="K55" s="298">
        <v>0</v>
      </c>
      <c r="L55" s="298">
        <v>0</v>
      </c>
      <c r="M55" s="298">
        <v>0</v>
      </c>
      <c r="N55" s="298">
        <v>0</v>
      </c>
      <c r="O55" s="298">
        <v>0</v>
      </c>
      <c r="P55" s="298">
        <v>0</v>
      </c>
      <c r="Q55" s="298">
        <v>0</v>
      </c>
      <c r="R55" s="295">
        <f t="shared" si="2"/>
        <v>0</v>
      </c>
    </row>
    <row r="56" spans="1:18" ht="15" customHeight="1">
      <c r="A56" s="553" t="s">
        <v>901</v>
      </c>
      <c r="B56" s="330" t="s">
        <v>550</v>
      </c>
      <c r="C56" s="298">
        <v>0</v>
      </c>
      <c r="D56" s="298">
        <v>0</v>
      </c>
      <c r="E56" s="298">
        <v>0</v>
      </c>
      <c r="F56" s="298">
        <v>0</v>
      </c>
      <c r="G56" s="298">
        <v>0</v>
      </c>
      <c r="H56" s="298">
        <v>0</v>
      </c>
      <c r="I56" s="298">
        <v>0</v>
      </c>
      <c r="J56" s="298">
        <v>0</v>
      </c>
      <c r="K56" s="298">
        <v>0</v>
      </c>
      <c r="L56" s="298">
        <v>0</v>
      </c>
      <c r="M56" s="298">
        <v>0</v>
      </c>
      <c r="N56" s="298">
        <v>0</v>
      </c>
      <c r="O56" s="298">
        <v>0</v>
      </c>
      <c r="P56" s="298">
        <v>0</v>
      </c>
      <c r="Q56" s="298">
        <v>0</v>
      </c>
      <c r="R56" s="295">
        <f t="shared" si="2"/>
        <v>0</v>
      </c>
    </row>
    <row r="57" spans="1:18" ht="15" customHeight="1">
      <c r="A57" s="553"/>
      <c r="B57" s="330" t="s">
        <v>551</v>
      </c>
      <c r="C57" s="298">
        <v>0</v>
      </c>
      <c r="D57" s="298">
        <v>0</v>
      </c>
      <c r="E57" s="298">
        <v>0</v>
      </c>
      <c r="F57" s="298">
        <v>0</v>
      </c>
      <c r="G57" s="298">
        <v>0</v>
      </c>
      <c r="H57" s="298">
        <v>0</v>
      </c>
      <c r="I57" s="298">
        <v>0</v>
      </c>
      <c r="J57" s="298">
        <v>0</v>
      </c>
      <c r="K57" s="298">
        <v>0</v>
      </c>
      <c r="L57" s="298">
        <v>0</v>
      </c>
      <c r="M57" s="298">
        <v>0</v>
      </c>
      <c r="N57" s="298">
        <v>0</v>
      </c>
      <c r="O57" s="298">
        <v>0</v>
      </c>
      <c r="P57" s="298">
        <v>0</v>
      </c>
      <c r="Q57" s="298">
        <v>0</v>
      </c>
      <c r="R57" s="295">
        <f t="shared" si="2"/>
        <v>0</v>
      </c>
    </row>
    <row r="58" spans="1:18" ht="15" customHeight="1">
      <c r="A58" s="553"/>
      <c r="B58" s="330" t="s">
        <v>552</v>
      </c>
      <c r="C58" s="298">
        <v>0</v>
      </c>
      <c r="D58" s="298">
        <v>0</v>
      </c>
      <c r="E58" s="298">
        <v>0</v>
      </c>
      <c r="F58" s="298">
        <v>0</v>
      </c>
      <c r="G58" s="298">
        <v>0</v>
      </c>
      <c r="H58" s="298">
        <v>0</v>
      </c>
      <c r="I58" s="298">
        <v>0</v>
      </c>
      <c r="J58" s="298">
        <v>0</v>
      </c>
      <c r="K58" s="298">
        <v>0</v>
      </c>
      <c r="L58" s="298">
        <v>0</v>
      </c>
      <c r="M58" s="298">
        <v>0</v>
      </c>
      <c r="N58" s="298">
        <v>0</v>
      </c>
      <c r="O58" s="298">
        <v>0</v>
      </c>
      <c r="P58" s="298">
        <v>0</v>
      </c>
      <c r="Q58" s="298">
        <v>0</v>
      </c>
      <c r="R58" s="295">
        <f t="shared" si="2"/>
        <v>0</v>
      </c>
    </row>
    <row r="59" spans="1:18" ht="15" customHeight="1">
      <c r="A59" s="553"/>
      <c r="B59" s="330" t="s">
        <v>553</v>
      </c>
      <c r="C59" s="298">
        <v>0</v>
      </c>
      <c r="D59" s="298">
        <v>0</v>
      </c>
      <c r="E59" s="298">
        <v>0</v>
      </c>
      <c r="F59" s="298">
        <v>0</v>
      </c>
      <c r="G59" s="298">
        <v>0</v>
      </c>
      <c r="H59" s="298">
        <v>0</v>
      </c>
      <c r="I59" s="298">
        <v>0</v>
      </c>
      <c r="J59" s="298">
        <v>0</v>
      </c>
      <c r="K59" s="298">
        <v>0</v>
      </c>
      <c r="L59" s="298">
        <v>0</v>
      </c>
      <c r="M59" s="298">
        <v>0</v>
      </c>
      <c r="N59" s="298">
        <v>0</v>
      </c>
      <c r="O59" s="298">
        <v>0</v>
      </c>
      <c r="P59" s="298">
        <v>0</v>
      </c>
      <c r="Q59" s="298">
        <v>0</v>
      </c>
      <c r="R59" s="295">
        <f t="shared" si="2"/>
        <v>0</v>
      </c>
    </row>
    <row r="60" spans="1:18" ht="15" customHeight="1">
      <c r="A60" s="553"/>
      <c r="B60" s="330" t="s">
        <v>554</v>
      </c>
      <c r="C60" s="298">
        <v>0</v>
      </c>
      <c r="D60" s="298">
        <v>0</v>
      </c>
      <c r="E60" s="298">
        <v>0</v>
      </c>
      <c r="F60" s="298">
        <v>0</v>
      </c>
      <c r="G60" s="298">
        <v>0</v>
      </c>
      <c r="H60" s="298">
        <v>0</v>
      </c>
      <c r="I60" s="298">
        <v>0</v>
      </c>
      <c r="J60" s="298">
        <v>0</v>
      </c>
      <c r="K60" s="298">
        <v>0</v>
      </c>
      <c r="L60" s="298">
        <v>0</v>
      </c>
      <c r="M60" s="298">
        <v>0</v>
      </c>
      <c r="N60" s="298">
        <v>0</v>
      </c>
      <c r="O60" s="298">
        <v>0</v>
      </c>
      <c r="P60" s="298">
        <v>0</v>
      </c>
      <c r="Q60" s="298">
        <v>0</v>
      </c>
      <c r="R60" s="295">
        <f t="shared" si="2"/>
        <v>0</v>
      </c>
    </row>
    <row r="61" spans="1:18" ht="15" customHeight="1">
      <c r="A61" s="553"/>
      <c r="B61" s="330" t="s">
        <v>555</v>
      </c>
      <c r="C61" s="298">
        <v>0</v>
      </c>
      <c r="D61" s="298">
        <v>0</v>
      </c>
      <c r="E61" s="298">
        <v>0</v>
      </c>
      <c r="F61" s="298">
        <v>0</v>
      </c>
      <c r="G61" s="298">
        <v>0</v>
      </c>
      <c r="H61" s="298">
        <v>0</v>
      </c>
      <c r="I61" s="298">
        <v>0</v>
      </c>
      <c r="J61" s="298">
        <v>0</v>
      </c>
      <c r="K61" s="298">
        <v>0</v>
      </c>
      <c r="L61" s="298">
        <v>0</v>
      </c>
      <c r="M61" s="298">
        <v>0</v>
      </c>
      <c r="N61" s="298">
        <v>0</v>
      </c>
      <c r="O61" s="298">
        <v>0</v>
      </c>
      <c r="P61" s="298">
        <v>0</v>
      </c>
      <c r="Q61" s="298">
        <v>0</v>
      </c>
      <c r="R61" s="295">
        <f t="shared" si="2"/>
        <v>0</v>
      </c>
    </row>
    <row r="62" spans="1:18" ht="15" customHeight="1">
      <c r="A62" s="553"/>
      <c r="B62" s="330" t="s">
        <v>556</v>
      </c>
      <c r="C62" s="298">
        <v>0</v>
      </c>
      <c r="D62" s="298">
        <v>0</v>
      </c>
      <c r="E62" s="298">
        <v>0</v>
      </c>
      <c r="F62" s="298">
        <v>0</v>
      </c>
      <c r="G62" s="298">
        <v>0</v>
      </c>
      <c r="H62" s="298">
        <v>0</v>
      </c>
      <c r="I62" s="298">
        <v>0</v>
      </c>
      <c r="J62" s="298">
        <v>0</v>
      </c>
      <c r="K62" s="298">
        <v>0</v>
      </c>
      <c r="L62" s="298">
        <v>0</v>
      </c>
      <c r="M62" s="298">
        <v>0</v>
      </c>
      <c r="N62" s="298">
        <v>0</v>
      </c>
      <c r="O62" s="298">
        <v>0</v>
      </c>
      <c r="P62" s="298">
        <v>0</v>
      </c>
      <c r="Q62" s="298">
        <v>0</v>
      </c>
      <c r="R62" s="295">
        <f t="shared" si="2"/>
        <v>0</v>
      </c>
    </row>
    <row r="63" spans="1:18" ht="15" customHeight="1">
      <c r="A63" s="553"/>
      <c r="B63" s="330" t="s">
        <v>557</v>
      </c>
      <c r="C63" s="298">
        <v>0</v>
      </c>
      <c r="D63" s="298">
        <v>0</v>
      </c>
      <c r="E63" s="298">
        <v>0</v>
      </c>
      <c r="F63" s="298">
        <v>0</v>
      </c>
      <c r="G63" s="298">
        <v>0</v>
      </c>
      <c r="H63" s="298">
        <v>0</v>
      </c>
      <c r="I63" s="298">
        <v>0</v>
      </c>
      <c r="J63" s="298">
        <v>0</v>
      </c>
      <c r="K63" s="298">
        <v>0</v>
      </c>
      <c r="L63" s="298">
        <v>0</v>
      </c>
      <c r="M63" s="298">
        <v>0</v>
      </c>
      <c r="N63" s="298">
        <v>0</v>
      </c>
      <c r="O63" s="298">
        <v>0</v>
      </c>
      <c r="P63" s="298">
        <v>0</v>
      </c>
      <c r="Q63" s="298">
        <v>0</v>
      </c>
      <c r="R63" s="295">
        <f t="shared" si="2"/>
        <v>0</v>
      </c>
    </row>
    <row r="64" spans="1:18" ht="15" customHeight="1">
      <c r="A64" s="553"/>
      <c r="B64" s="330" t="s">
        <v>558</v>
      </c>
      <c r="C64" s="298">
        <v>0</v>
      </c>
      <c r="D64" s="298">
        <v>0</v>
      </c>
      <c r="E64" s="298">
        <v>0</v>
      </c>
      <c r="F64" s="298">
        <v>0</v>
      </c>
      <c r="G64" s="298">
        <v>0</v>
      </c>
      <c r="H64" s="298">
        <v>0</v>
      </c>
      <c r="I64" s="298">
        <v>0</v>
      </c>
      <c r="J64" s="298">
        <v>0</v>
      </c>
      <c r="K64" s="298">
        <v>0</v>
      </c>
      <c r="L64" s="298">
        <v>0</v>
      </c>
      <c r="M64" s="298">
        <v>0</v>
      </c>
      <c r="N64" s="298">
        <v>0</v>
      </c>
      <c r="O64" s="298">
        <v>0</v>
      </c>
      <c r="P64" s="298">
        <v>0</v>
      </c>
      <c r="Q64" s="298">
        <v>0</v>
      </c>
      <c r="R64" s="295">
        <f t="shared" si="2"/>
        <v>0</v>
      </c>
    </row>
    <row r="65" spans="1:18" ht="15" customHeight="1">
      <c r="A65" s="553"/>
      <c r="B65" s="330" t="s">
        <v>559</v>
      </c>
      <c r="C65" s="298">
        <v>0</v>
      </c>
      <c r="D65" s="298">
        <v>0</v>
      </c>
      <c r="E65" s="298">
        <v>0</v>
      </c>
      <c r="F65" s="298">
        <v>0</v>
      </c>
      <c r="G65" s="298">
        <v>0</v>
      </c>
      <c r="H65" s="298">
        <v>0</v>
      </c>
      <c r="I65" s="298">
        <v>0</v>
      </c>
      <c r="J65" s="298">
        <v>0</v>
      </c>
      <c r="K65" s="298">
        <v>0</v>
      </c>
      <c r="L65" s="298">
        <v>0</v>
      </c>
      <c r="M65" s="298">
        <v>0</v>
      </c>
      <c r="N65" s="298">
        <v>0</v>
      </c>
      <c r="O65" s="298">
        <v>0</v>
      </c>
      <c r="P65" s="298">
        <v>0</v>
      </c>
      <c r="Q65" s="298">
        <v>0</v>
      </c>
      <c r="R65" s="295">
        <f t="shared" si="2"/>
        <v>0</v>
      </c>
    </row>
    <row r="66" spans="1:18" ht="15" customHeight="1">
      <c r="A66" s="553"/>
      <c r="B66" s="330" t="s">
        <v>764</v>
      </c>
      <c r="C66" s="298">
        <v>0</v>
      </c>
      <c r="D66" s="298">
        <v>0</v>
      </c>
      <c r="E66" s="298">
        <v>0</v>
      </c>
      <c r="F66" s="298">
        <v>0</v>
      </c>
      <c r="G66" s="298">
        <v>0</v>
      </c>
      <c r="H66" s="298">
        <v>0</v>
      </c>
      <c r="I66" s="298">
        <v>0</v>
      </c>
      <c r="J66" s="298">
        <v>0</v>
      </c>
      <c r="K66" s="298">
        <v>0</v>
      </c>
      <c r="L66" s="298">
        <v>0</v>
      </c>
      <c r="M66" s="298">
        <v>0</v>
      </c>
      <c r="N66" s="298">
        <v>0</v>
      </c>
      <c r="O66" s="298">
        <v>0</v>
      </c>
      <c r="P66" s="298">
        <v>0</v>
      </c>
      <c r="Q66" s="298">
        <v>0</v>
      </c>
      <c r="R66" s="295">
        <f t="shared" si="2"/>
        <v>0</v>
      </c>
    </row>
    <row r="67" spans="1:18" ht="15" customHeight="1">
      <c r="A67" s="553"/>
      <c r="B67" s="330" t="s">
        <v>765</v>
      </c>
      <c r="C67" s="298">
        <v>0</v>
      </c>
      <c r="D67" s="298">
        <v>0</v>
      </c>
      <c r="E67" s="298">
        <v>0</v>
      </c>
      <c r="F67" s="298">
        <v>0</v>
      </c>
      <c r="G67" s="298">
        <v>0</v>
      </c>
      <c r="H67" s="298">
        <v>0</v>
      </c>
      <c r="I67" s="298">
        <v>0</v>
      </c>
      <c r="J67" s="298">
        <v>0</v>
      </c>
      <c r="K67" s="298">
        <v>0</v>
      </c>
      <c r="L67" s="298">
        <v>0</v>
      </c>
      <c r="M67" s="298">
        <v>0</v>
      </c>
      <c r="N67" s="298">
        <v>0</v>
      </c>
      <c r="O67" s="298">
        <v>0</v>
      </c>
      <c r="P67" s="298">
        <v>0</v>
      </c>
      <c r="Q67" s="298">
        <v>0</v>
      </c>
      <c r="R67" s="295">
        <f t="shared" si="2"/>
        <v>0</v>
      </c>
    </row>
    <row r="68" spans="1:18" ht="15" customHeight="1">
      <c r="A68" s="553"/>
      <c r="B68" s="330" t="s">
        <v>560</v>
      </c>
      <c r="C68" s="298">
        <v>0</v>
      </c>
      <c r="D68" s="298">
        <v>0</v>
      </c>
      <c r="E68" s="298">
        <v>0</v>
      </c>
      <c r="F68" s="298">
        <v>0</v>
      </c>
      <c r="G68" s="298">
        <v>0</v>
      </c>
      <c r="H68" s="298">
        <v>0</v>
      </c>
      <c r="I68" s="298">
        <v>0</v>
      </c>
      <c r="J68" s="298">
        <v>0</v>
      </c>
      <c r="K68" s="298">
        <v>0</v>
      </c>
      <c r="L68" s="298">
        <v>0</v>
      </c>
      <c r="M68" s="298">
        <v>0</v>
      </c>
      <c r="N68" s="298">
        <v>0</v>
      </c>
      <c r="O68" s="298">
        <v>0</v>
      </c>
      <c r="P68" s="298">
        <v>0</v>
      </c>
      <c r="Q68" s="298">
        <v>0</v>
      </c>
      <c r="R68" s="295">
        <f t="shared" si="2"/>
        <v>0</v>
      </c>
    </row>
    <row r="69" spans="1:18" ht="15" customHeight="1">
      <c r="A69" s="553"/>
      <c r="B69" s="330" t="s">
        <v>561</v>
      </c>
      <c r="C69" s="298">
        <v>0</v>
      </c>
      <c r="D69" s="298">
        <v>0</v>
      </c>
      <c r="E69" s="298">
        <v>0</v>
      </c>
      <c r="F69" s="298">
        <v>0</v>
      </c>
      <c r="G69" s="298">
        <v>0</v>
      </c>
      <c r="H69" s="298">
        <v>0</v>
      </c>
      <c r="I69" s="298">
        <v>0</v>
      </c>
      <c r="J69" s="298">
        <v>0</v>
      </c>
      <c r="K69" s="298">
        <v>0</v>
      </c>
      <c r="L69" s="298">
        <v>0</v>
      </c>
      <c r="M69" s="298">
        <v>0</v>
      </c>
      <c r="N69" s="298">
        <v>0</v>
      </c>
      <c r="O69" s="298">
        <v>0</v>
      </c>
      <c r="P69" s="298">
        <v>0</v>
      </c>
      <c r="Q69" s="298">
        <v>0</v>
      </c>
      <c r="R69" s="295">
        <f t="shared" si="2"/>
        <v>0</v>
      </c>
    </row>
    <row r="70" spans="1:18" ht="15" customHeight="1">
      <c r="A70" s="553"/>
      <c r="B70" s="330" t="s">
        <v>562</v>
      </c>
      <c r="C70" s="298">
        <v>0</v>
      </c>
      <c r="D70" s="298">
        <v>0</v>
      </c>
      <c r="E70" s="298">
        <v>0</v>
      </c>
      <c r="F70" s="298">
        <v>0</v>
      </c>
      <c r="G70" s="298">
        <v>0</v>
      </c>
      <c r="H70" s="298">
        <v>0</v>
      </c>
      <c r="I70" s="298">
        <v>0</v>
      </c>
      <c r="J70" s="298">
        <v>0</v>
      </c>
      <c r="K70" s="298">
        <v>0</v>
      </c>
      <c r="L70" s="298">
        <v>0</v>
      </c>
      <c r="M70" s="298">
        <v>0</v>
      </c>
      <c r="N70" s="298">
        <v>0</v>
      </c>
      <c r="O70" s="298">
        <v>0</v>
      </c>
      <c r="P70" s="298">
        <v>0</v>
      </c>
      <c r="Q70" s="298">
        <v>0</v>
      </c>
      <c r="R70" s="295">
        <f t="shared" si="2"/>
        <v>0</v>
      </c>
    </row>
    <row r="71" spans="1:18" ht="15" customHeight="1">
      <c r="A71" s="553"/>
      <c r="B71" s="330" t="s">
        <v>563</v>
      </c>
      <c r="C71" s="298">
        <v>0</v>
      </c>
      <c r="D71" s="298">
        <v>0</v>
      </c>
      <c r="E71" s="298">
        <v>0</v>
      </c>
      <c r="F71" s="298">
        <v>0</v>
      </c>
      <c r="G71" s="298">
        <v>0</v>
      </c>
      <c r="H71" s="298">
        <v>0</v>
      </c>
      <c r="I71" s="298">
        <v>0</v>
      </c>
      <c r="J71" s="298">
        <v>0</v>
      </c>
      <c r="K71" s="298">
        <v>0</v>
      </c>
      <c r="L71" s="298">
        <v>0</v>
      </c>
      <c r="M71" s="298">
        <v>0</v>
      </c>
      <c r="N71" s="298">
        <v>0</v>
      </c>
      <c r="O71" s="298">
        <v>0</v>
      </c>
      <c r="P71" s="298">
        <v>0</v>
      </c>
      <c r="Q71" s="298">
        <v>0</v>
      </c>
      <c r="R71" s="295">
        <f t="shared" si="2"/>
        <v>0</v>
      </c>
    </row>
    <row r="72" spans="1:18" ht="15" customHeight="1">
      <c r="A72" s="553"/>
      <c r="B72" s="330" t="s">
        <v>564</v>
      </c>
      <c r="C72" s="298">
        <v>0</v>
      </c>
      <c r="D72" s="298">
        <v>0</v>
      </c>
      <c r="E72" s="298">
        <v>0</v>
      </c>
      <c r="F72" s="298">
        <v>0</v>
      </c>
      <c r="G72" s="298">
        <v>0</v>
      </c>
      <c r="H72" s="298">
        <v>0</v>
      </c>
      <c r="I72" s="298">
        <v>0</v>
      </c>
      <c r="J72" s="298">
        <v>0</v>
      </c>
      <c r="K72" s="298">
        <v>0</v>
      </c>
      <c r="L72" s="298">
        <v>0</v>
      </c>
      <c r="M72" s="298">
        <v>0</v>
      </c>
      <c r="N72" s="298">
        <v>0</v>
      </c>
      <c r="O72" s="298">
        <v>0</v>
      </c>
      <c r="P72" s="298">
        <v>0</v>
      </c>
      <c r="Q72" s="298">
        <v>0</v>
      </c>
      <c r="R72" s="295">
        <f t="shared" si="2"/>
        <v>0</v>
      </c>
    </row>
    <row r="73" spans="1:18" ht="15" customHeight="1">
      <c r="A73" s="553"/>
      <c r="B73" s="330" t="s">
        <v>894</v>
      </c>
      <c r="C73" s="298">
        <v>0</v>
      </c>
      <c r="D73" s="298">
        <v>0</v>
      </c>
      <c r="E73" s="298">
        <v>0</v>
      </c>
      <c r="F73" s="298">
        <v>0</v>
      </c>
      <c r="G73" s="298">
        <v>0</v>
      </c>
      <c r="H73" s="298">
        <v>0</v>
      </c>
      <c r="I73" s="298">
        <v>0</v>
      </c>
      <c r="J73" s="298">
        <v>0</v>
      </c>
      <c r="K73" s="298">
        <v>0</v>
      </c>
      <c r="L73" s="298">
        <v>0</v>
      </c>
      <c r="M73" s="298">
        <v>0</v>
      </c>
      <c r="N73" s="298">
        <v>0</v>
      </c>
      <c r="O73" s="298">
        <v>0</v>
      </c>
      <c r="P73" s="298">
        <v>0</v>
      </c>
      <c r="Q73" s="298">
        <v>0</v>
      </c>
      <c r="R73" s="295">
        <f t="shared" si="2"/>
        <v>0</v>
      </c>
    </row>
    <row r="74" spans="1:18" ht="15" customHeight="1">
      <c r="A74" s="553"/>
      <c r="B74" s="330" t="s">
        <v>895</v>
      </c>
      <c r="C74" s="298">
        <v>0</v>
      </c>
      <c r="D74" s="298">
        <v>0</v>
      </c>
      <c r="E74" s="298">
        <v>0</v>
      </c>
      <c r="F74" s="298">
        <v>0</v>
      </c>
      <c r="G74" s="298">
        <v>0</v>
      </c>
      <c r="H74" s="298">
        <v>0</v>
      </c>
      <c r="I74" s="298">
        <v>0</v>
      </c>
      <c r="J74" s="298">
        <v>0</v>
      </c>
      <c r="K74" s="298">
        <v>0</v>
      </c>
      <c r="L74" s="298">
        <v>0</v>
      </c>
      <c r="M74" s="298">
        <v>0</v>
      </c>
      <c r="N74" s="298">
        <v>0</v>
      </c>
      <c r="O74" s="298">
        <v>0</v>
      </c>
      <c r="P74" s="298">
        <v>0</v>
      </c>
      <c r="Q74" s="298">
        <v>0</v>
      </c>
      <c r="R74" s="295">
        <f t="shared" si="2"/>
        <v>0</v>
      </c>
    </row>
    <row r="75" spans="1:18" ht="15" customHeight="1">
      <c r="A75" s="553"/>
      <c r="B75" s="330" t="s">
        <v>896</v>
      </c>
      <c r="C75" s="298">
        <v>0</v>
      </c>
      <c r="D75" s="298">
        <v>0</v>
      </c>
      <c r="E75" s="298">
        <v>0</v>
      </c>
      <c r="F75" s="298">
        <v>0</v>
      </c>
      <c r="G75" s="298">
        <v>0</v>
      </c>
      <c r="H75" s="298">
        <v>0</v>
      </c>
      <c r="I75" s="298">
        <v>0</v>
      </c>
      <c r="J75" s="298">
        <v>0</v>
      </c>
      <c r="K75" s="298">
        <v>0</v>
      </c>
      <c r="L75" s="298">
        <v>0</v>
      </c>
      <c r="M75" s="298">
        <v>0</v>
      </c>
      <c r="N75" s="298">
        <v>0</v>
      </c>
      <c r="O75" s="298">
        <v>0</v>
      </c>
      <c r="P75" s="298">
        <v>0</v>
      </c>
      <c r="Q75" s="298">
        <v>0</v>
      </c>
      <c r="R75" s="295">
        <f t="shared" si="2"/>
        <v>0</v>
      </c>
    </row>
    <row r="76" spans="1:18" ht="15" customHeight="1" thickBot="1">
      <c r="A76" s="554"/>
      <c r="B76" s="330" t="s">
        <v>897</v>
      </c>
      <c r="C76" s="298">
        <v>0</v>
      </c>
      <c r="D76" s="298">
        <v>0</v>
      </c>
      <c r="E76" s="298">
        <v>0</v>
      </c>
      <c r="F76" s="298">
        <v>0</v>
      </c>
      <c r="G76" s="298">
        <v>0</v>
      </c>
      <c r="H76" s="298">
        <v>0</v>
      </c>
      <c r="I76" s="298">
        <v>0</v>
      </c>
      <c r="J76" s="298">
        <v>0</v>
      </c>
      <c r="K76" s="298">
        <v>0</v>
      </c>
      <c r="L76" s="298">
        <v>0</v>
      </c>
      <c r="M76" s="298">
        <v>0</v>
      </c>
      <c r="N76" s="298">
        <v>0</v>
      </c>
      <c r="O76" s="298">
        <v>0</v>
      </c>
      <c r="P76" s="298">
        <v>0</v>
      </c>
      <c r="Q76" s="298">
        <v>0</v>
      </c>
      <c r="R76" s="295">
        <f t="shared" si="2"/>
        <v>0</v>
      </c>
    </row>
    <row r="77" spans="1:18" ht="20.100000000000001" customHeight="1" thickBot="1">
      <c r="A77" s="558" t="s">
        <v>755</v>
      </c>
      <c r="B77" s="559"/>
      <c r="C77" s="296"/>
      <c r="D77" s="296"/>
      <c r="E77" s="296"/>
      <c r="F77" s="296"/>
      <c r="G77" s="296"/>
      <c r="H77" s="296"/>
      <c r="I77" s="296"/>
      <c r="J77" s="296"/>
      <c r="K77" s="296"/>
      <c r="L77" s="296"/>
      <c r="M77" s="296"/>
      <c r="N77" s="296"/>
      <c r="O77" s="296"/>
      <c r="P77" s="296"/>
      <c r="Q77" s="296"/>
      <c r="R77" s="560"/>
    </row>
    <row r="78" spans="1:18" ht="20.100000000000001" customHeight="1" thickBot="1">
      <c r="A78" s="558" t="s">
        <v>754</v>
      </c>
      <c r="B78" s="559"/>
      <c r="C78" s="296">
        <f>+AVERAGE(C34:C76)</f>
        <v>0</v>
      </c>
      <c r="D78" s="296">
        <f t="shared" ref="D78:Q78" si="3">+AVERAGE(D34:D76)</f>
        <v>0</v>
      </c>
      <c r="E78" s="296">
        <f t="shared" si="3"/>
        <v>0</v>
      </c>
      <c r="F78" s="296">
        <f t="shared" si="3"/>
        <v>0</v>
      </c>
      <c r="G78" s="296">
        <f t="shared" si="3"/>
        <v>0</v>
      </c>
      <c r="H78" s="296">
        <f t="shared" si="3"/>
        <v>0</v>
      </c>
      <c r="I78" s="296">
        <f t="shared" si="3"/>
        <v>0</v>
      </c>
      <c r="J78" s="296">
        <f t="shared" si="3"/>
        <v>0</v>
      </c>
      <c r="K78" s="296">
        <f t="shared" si="3"/>
        <v>0</v>
      </c>
      <c r="L78" s="296">
        <f t="shared" si="3"/>
        <v>0</v>
      </c>
      <c r="M78" s="296">
        <f t="shared" si="3"/>
        <v>0</v>
      </c>
      <c r="N78" s="296">
        <f t="shared" si="3"/>
        <v>0</v>
      </c>
      <c r="O78" s="296">
        <f t="shared" si="3"/>
        <v>0</v>
      </c>
      <c r="P78" s="296">
        <f t="shared" si="3"/>
        <v>0</v>
      </c>
      <c r="Q78" s="296">
        <f t="shared" si="3"/>
        <v>0</v>
      </c>
      <c r="R78" s="561"/>
    </row>
    <row r="79" spans="1:18" ht="20.100000000000001" customHeight="1" thickBot="1">
      <c r="A79" s="558" t="s">
        <v>756</v>
      </c>
      <c r="B79" s="563"/>
      <c r="C79" s="516">
        <f>+AVERAGE(C78:Q78)</f>
        <v>0</v>
      </c>
      <c r="D79" s="517"/>
      <c r="E79" s="517"/>
      <c r="F79" s="517"/>
      <c r="G79" s="517"/>
      <c r="H79" s="517"/>
      <c r="I79" s="517"/>
      <c r="J79" s="517"/>
      <c r="K79" s="517"/>
      <c r="L79" s="517"/>
      <c r="M79" s="517"/>
      <c r="N79" s="517"/>
      <c r="O79" s="517"/>
      <c r="P79" s="517"/>
      <c r="Q79" s="517"/>
      <c r="R79" s="562"/>
    </row>
    <row r="80" spans="1:18" ht="15" customHeight="1">
      <c r="A80" s="552" t="s">
        <v>892</v>
      </c>
      <c r="B80" s="332" t="s">
        <v>890</v>
      </c>
      <c r="C80" s="294">
        <v>0</v>
      </c>
      <c r="D80" s="294">
        <v>0</v>
      </c>
      <c r="E80" s="294">
        <v>0</v>
      </c>
      <c r="F80" s="294">
        <v>0</v>
      </c>
      <c r="G80" s="294">
        <v>0</v>
      </c>
      <c r="H80" s="294">
        <v>0</v>
      </c>
      <c r="I80" s="294">
        <v>0</v>
      </c>
      <c r="J80" s="294">
        <v>0</v>
      </c>
      <c r="K80" s="294">
        <v>0</v>
      </c>
      <c r="L80" s="294">
        <v>0</v>
      </c>
      <c r="M80" s="294">
        <v>0</v>
      </c>
      <c r="N80" s="294">
        <v>0</v>
      </c>
      <c r="O80" s="294">
        <v>0</v>
      </c>
      <c r="P80" s="294">
        <v>0</v>
      </c>
      <c r="Q80" s="294">
        <v>0</v>
      </c>
      <c r="R80" s="293">
        <f t="shared" ref="R80:R123" si="4">+AVERAGE(C80:Q80)</f>
        <v>0</v>
      </c>
    </row>
    <row r="81" spans="1:18" ht="15" customHeight="1">
      <c r="A81" s="553"/>
      <c r="B81" s="330" t="s">
        <v>891</v>
      </c>
      <c r="C81" s="294">
        <v>0</v>
      </c>
      <c r="D81" s="294">
        <v>0</v>
      </c>
      <c r="E81" s="294">
        <v>0</v>
      </c>
      <c r="F81" s="294">
        <v>0</v>
      </c>
      <c r="G81" s="294">
        <v>0</v>
      </c>
      <c r="H81" s="294">
        <v>0</v>
      </c>
      <c r="I81" s="294">
        <v>0</v>
      </c>
      <c r="J81" s="294">
        <v>0</v>
      </c>
      <c r="K81" s="294">
        <v>0</v>
      </c>
      <c r="L81" s="294">
        <v>0</v>
      </c>
      <c r="M81" s="294">
        <v>0</v>
      </c>
      <c r="N81" s="294">
        <v>0</v>
      </c>
      <c r="O81" s="294">
        <v>0</v>
      </c>
      <c r="P81" s="294">
        <v>0</v>
      </c>
      <c r="Q81" s="294">
        <v>0</v>
      </c>
      <c r="R81" s="295">
        <f t="shared" si="4"/>
        <v>0</v>
      </c>
    </row>
    <row r="82" spans="1:18" ht="15" customHeight="1">
      <c r="A82" s="553"/>
      <c r="B82" s="330" t="s">
        <v>565</v>
      </c>
      <c r="C82" s="294">
        <v>0</v>
      </c>
      <c r="D82" s="294">
        <v>0</v>
      </c>
      <c r="E82" s="294">
        <v>0</v>
      </c>
      <c r="F82" s="294">
        <v>0</v>
      </c>
      <c r="G82" s="294">
        <v>0</v>
      </c>
      <c r="H82" s="294">
        <v>0</v>
      </c>
      <c r="I82" s="294">
        <v>0</v>
      </c>
      <c r="J82" s="294">
        <v>0</v>
      </c>
      <c r="K82" s="294">
        <v>0</v>
      </c>
      <c r="L82" s="294">
        <v>0</v>
      </c>
      <c r="M82" s="294">
        <v>0</v>
      </c>
      <c r="N82" s="294">
        <v>0</v>
      </c>
      <c r="O82" s="294">
        <v>0</v>
      </c>
      <c r="P82" s="294">
        <v>0</v>
      </c>
      <c r="Q82" s="294">
        <v>0</v>
      </c>
      <c r="R82" s="295">
        <f t="shared" si="4"/>
        <v>0</v>
      </c>
    </row>
    <row r="83" spans="1:18" ht="15" customHeight="1">
      <c r="A83" s="553"/>
      <c r="B83" s="330" t="s">
        <v>566</v>
      </c>
      <c r="C83" s="294">
        <v>0</v>
      </c>
      <c r="D83" s="294">
        <v>0</v>
      </c>
      <c r="E83" s="294">
        <v>0</v>
      </c>
      <c r="F83" s="294">
        <v>0</v>
      </c>
      <c r="G83" s="294">
        <v>0</v>
      </c>
      <c r="H83" s="294">
        <v>0</v>
      </c>
      <c r="I83" s="294">
        <v>0</v>
      </c>
      <c r="J83" s="294">
        <v>0</v>
      </c>
      <c r="K83" s="294">
        <v>0</v>
      </c>
      <c r="L83" s="294">
        <v>0</v>
      </c>
      <c r="M83" s="294">
        <v>0</v>
      </c>
      <c r="N83" s="294">
        <v>0</v>
      </c>
      <c r="O83" s="294">
        <v>0</v>
      </c>
      <c r="P83" s="294">
        <v>0</v>
      </c>
      <c r="Q83" s="294">
        <v>0</v>
      </c>
      <c r="R83" s="295">
        <f t="shared" si="4"/>
        <v>0</v>
      </c>
    </row>
    <row r="84" spans="1:18" ht="15" customHeight="1">
      <c r="A84" s="553"/>
      <c r="B84" s="330" t="s">
        <v>567</v>
      </c>
      <c r="C84" s="294">
        <v>0</v>
      </c>
      <c r="D84" s="294">
        <v>0</v>
      </c>
      <c r="E84" s="294">
        <v>0</v>
      </c>
      <c r="F84" s="294">
        <v>0</v>
      </c>
      <c r="G84" s="294">
        <v>0</v>
      </c>
      <c r="H84" s="294">
        <v>0</v>
      </c>
      <c r="I84" s="294">
        <v>0</v>
      </c>
      <c r="J84" s="294">
        <v>0</v>
      </c>
      <c r="K84" s="294">
        <v>0</v>
      </c>
      <c r="L84" s="294">
        <v>0</v>
      </c>
      <c r="M84" s="294">
        <v>0</v>
      </c>
      <c r="N84" s="294">
        <v>0</v>
      </c>
      <c r="O84" s="294">
        <v>0</v>
      </c>
      <c r="P84" s="294">
        <v>0</v>
      </c>
      <c r="Q84" s="294">
        <v>0</v>
      </c>
      <c r="R84" s="295">
        <f t="shared" si="4"/>
        <v>0</v>
      </c>
    </row>
    <row r="85" spans="1:18" ht="15" customHeight="1">
      <c r="A85" s="553"/>
      <c r="B85" s="330" t="s">
        <v>568</v>
      </c>
      <c r="C85" s="294">
        <v>0</v>
      </c>
      <c r="D85" s="294">
        <v>0</v>
      </c>
      <c r="E85" s="294">
        <v>0</v>
      </c>
      <c r="F85" s="294">
        <v>0</v>
      </c>
      <c r="G85" s="294">
        <v>0</v>
      </c>
      <c r="H85" s="294">
        <v>0</v>
      </c>
      <c r="I85" s="294">
        <v>0</v>
      </c>
      <c r="J85" s="294">
        <v>0</v>
      </c>
      <c r="K85" s="294">
        <v>0</v>
      </c>
      <c r="L85" s="294">
        <v>0</v>
      </c>
      <c r="M85" s="294">
        <v>0</v>
      </c>
      <c r="N85" s="294">
        <v>0</v>
      </c>
      <c r="O85" s="294">
        <v>0</v>
      </c>
      <c r="P85" s="294">
        <v>0</v>
      </c>
      <c r="Q85" s="294">
        <v>0</v>
      </c>
      <c r="R85" s="295">
        <f t="shared" si="4"/>
        <v>0</v>
      </c>
    </row>
    <row r="86" spans="1:18" ht="15" customHeight="1">
      <c r="A86" s="553"/>
      <c r="B86" s="330" t="s">
        <v>569</v>
      </c>
      <c r="C86" s="294">
        <v>0</v>
      </c>
      <c r="D86" s="294">
        <v>0</v>
      </c>
      <c r="E86" s="294">
        <v>0</v>
      </c>
      <c r="F86" s="294">
        <v>0</v>
      </c>
      <c r="G86" s="294">
        <v>0</v>
      </c>
      <c r="H86" s="294">
        <v>0</v>
      </c>
      <c r="I86" s="294">
        <v>0</v>
      </c>
      <c r="J86" s="294">
        <v>0</v>
      </c>
      <c r="K86" s="294">
        <v>0</v>
      </c>
      <c r="L86" s="294">
        <v>0</v>
      </c>
      <c r="M86" s="294">
        <v>0</v>
      </c>
      <c r="N86" s="294">
        <v>0</v>
      </c>
      <c r="O86" s="294">
        <v>0</v>
      </c>
      <c r="P86" s="294">
        <v>0</v>
      </c>
      <c r="Q86" s="294">
        <v>0</v>
      </c>
      <c r="R86" s="295">
        <f t="shared" si="4"/>
        <v>0</v>
      </c>
    </row>
    <row r="87" spans="1:18" ht="15" customHeight="1">
      <c r="A87" s="553"/>
      <c r="B87" s="330" t="s">
        <v>570</v>
      </c>
      <c r="C87" s="294">
        <v>0</v>
      </c>
      <c r="D87" s="294">
        <v>0</v>
      </c>
      <c r="E87" s="294">
        <v>0</v>
      </c>
      <c r="F87" s="294">
        <v>0</v>
      </c>
      <c r="G87" s="294">
        <v>0</v>
      </c>
      <c r="H87" s="294">
        <v>0</v>
      </c>
      <c r="I87" s="294">
        <v>0</v>
      </c>
      <c r="J87" s="294">
        <v>0</v>
      </c>
      <c r="K87" s="294">
        <v>0</v>
      </c>
      <c r="L87" s="294">
        <v>0</v>
      </c>
      <c r="M87" s="294">
        <v>0</v>
      </c>
      <c r="N87" s="294">
        <v>0</v>
      </c>
      <c r="O87" s="294">
        <v>0</v>
      </c>
      <c r="P87" s="294">
        <v>0</v>
      </c>
      <c r="Q87" s="294">
        <v>0</v>
      </c>
      <c r="R87" s="295">
        <f t="shared" si="4"/>
        <v>0</v>
      </c>
    </row>
    <row r="88" spans="1:18" ht="15" customHeight="1">
      <c r="A88" s="553"/>
      <c r="B88" s="330" t="s">
        <v>571</v>
      </c>
      <c r="C88" s="294">
        <v>0</v>
      </c>
      <c r="D88" s="294">
        <v>0</v>
      </c>
      <c r="E88" s="294">
        <v>0</v>
      </c>
      <c r="F88" s="294">
        <v>0</v>
      </c>
      <c r="G88" s="294">
        <v>0</v>
      </c>
      <c r="H88" s="294">
        <v>0</v>
      </c>
      <c r="I88" s="294">
        <v>0</v>
      </c>
      <c r="J88" s="294">
        <v>0</v>
      </c>
      <c r="K88" s="294">
        <v>0</v>
      </c>
      <c r="L88" s="294">
        <v>0</v>
      </c>
      <c r="M88" s="294">
        <v>0</v>
      </c>
      <c r="N88" s="294">
        <v>0</v>
      </c>
      <c r="O88" s="294">
        <v>0</v>
      </c>
      <c r="P88" s="294">
        <v>0</v>
      </c>
      <c r="Q88" s="294">
        <v>0</v>
      </c>
      <c r="R88" s="295">
        <f t="shared" si="4"/>
        <v>0</v>
      </c>
    </row>
    <row r="89" spans="1:18" ht="15" customHeight="1">
      <c r="A89" s="553"/>
      <c r="B89" s="330" t="s">
        <v>572</v>
      </c>
      <c r="C89" s="294">
        <v>0</v>
      </c>
      <c r="D89" s="294">
        <v>0</v>
      </c>
      <c r="E89" s="294">
        <v>0</v>
      </c>
      <c r="F89" s="294">
        <v>0</v>
      </c>
      <c r="G89" s="294">
        <v>0</v>
      </c>
      <c r="H89" s="294">
        <v>0</v>
      </c>
      <c r="I89" s="294">
        <v>0</v>
      </c>
      <c r="J89" s="294">
        <v>0</v>
      </c>
      <c r="K89" s="294">
        <v>0</v>
      </c>
      <c r="L89" s="294">
        <v>0</v>
      </c>
      <c r="M89" s="294">
        <v>0</v>
      </c>
      <c r="N89" s="294">
        <v>0</v>
      </c>
      <c r="O89" s="294">
        <v>0</v>
      </c>
      <c r="P89" s="294">
        <v>0</v>
      </c>
      <c r="Q89" s="294">
        <v>0</v>
      </c>
      <c r="R89" s="295">
        <f t="shared" si="4"/>
        <v>0</v>
      </c>
    </row>
    <row r="90" spans="1:18" ht="15" customHeight="1">
      <c r="A90" s="553"/>
      <c r="B90" s="330" t="s">
        <v>573</v>
      </c>
      <c r="C90" s="294">
        <v>0</v>
      </c>
      <c r="D90" s="294">
        <v>0</v>
      </c>
      <c r="E90" s="294">
        <v>0</v>
      </c>
      <c r="F90" s="294">
        <v>0</v>
      </c>
      <c r="G90" s="294">
        <v>0</v>
      </c>
      <c r="H90" s="294">
        <v>0</v>
      </c>
      <c r="I90" s="294">
        <v>0</v>
      </c>
      <c r="J90" s="294">
        <v>0</v>
      </c>
      <c r="K90" s="294">
        <v>0</v>
      </c>
      <c r="L90" s="294">
        <v>0</v>
      </c>
      <c r="M90" s="294">
        <v>0</v>
      </c>
      <c r="N90" s="294">
        <v>0</v>
      </c>
      <c r="O90" s="294">
        <v>0</v>
      </c>
      <c r="P90" s="294">
        <v>0</v>
      </c>
      <c r="Q90" s="294">
        <v>0</v>
      </c>
      <c r="R90" s="295">
        <f t="shared" si="4"/>
        <v>0</v>
      </c>
    </row>
    <row r="91" spans="1:18" ht="15" customHeight="1">
      <c r="A91" s="553"/>
      <c r="B91" s="330" t="s">
        <v>574</v>
      </c>
      <c r="C91" s="294">
        <v>0</v>
      </c>
      <c r="D91" s="294">
        <v>0</v>
      </c>
      <c r="E91" s="294">
        <v>0</v>
      </c>
      <c r="F91" s="294">
        <v>0</v>
      </c>
      <c r="G91" s="294">
        <v>0</v>
      </c>
      <c r="H91" s="294">
        <v>0</v>
      </c>
      <c r="I91" s="294">
        <v>0</v>
      </c>
      <c r="J91" s="294">
        <v>0</v>
      </c>
      <c r="K91" s="294">
        <v>0</v>
      </c>
      <c r="L91" s="294">
        <v>0</v>
      </c>
      <c r="M91" s="294">
        <v>0</v>
      </c>
      <c r="N91" s="294">
        <v>0</v>
      </c>
      <c r="O91" s="294">
        <v>0</v>
      </c>
      <c r="P91" s="294">
        <v>0</v>
      </c>
      <c r="Q91" s="294">
        <v>0</v>
      </c>
      <c r="R91" s="295">
        <f t="shared" si="4"/>
        <v>0</v>
      </c>
    </row>
    <row r="92" spans="1:18" ht="15" customHeight="1">
      <c r="A92" s="553"/>
      <c r="B92" s="330" t="s">
        <v>575</v>
      </c>
      <c r="C92" s="294">
        <v>0</v>
      </c>
      <c r="D92" s="294">
        <v>0</v>
      </c>
      <c r="E92" s="294">
        <v>0</v>
      </c>
      <c r="F92" s="294">
        <v>0</v>
      </c>
      <c r="G92" s="294">
        <v>0</v>
      </c>
      <c r="H92" s="294">
        <v>0</v>
      </c>
      <c r="I92" s="294">
        <v>0</v>
      </c>
      <c r="J92" s="294">
        <v>0</v>
      </c>
      <c r="K92" s="294">
        <v>0</v>
      </c>
      <c r="L92" s="294">
        <v>0</v>
      </c>
      <c r="M92" s="294">
        <v>0</v>
      </c>
      <c r="N92" s="294">
        <v>0</v>
      </c>
      <c r="O92" s="294">
        <v>0</v>
      </c>
      <c r="P92" s="294">
        <v>0</v>
      </c>
      <c r="Q92" s="294">
        <v>0</v>
      </c>
      <c r="R92" s="295">
        <f t="shared" si="4"/>
        <v>0</v>
      </c>
    </row>
    <row r="93" spans="1:18" ht="15" customHeight="1">
      <c r="A93" s="553"/>
      <c r="B93" s="330" t="s">
        <v>576</v>
      </c>
      <c r="C93" s="294">
        <v>0</v>
      </c>
      <c r="D93" s="294">
        <v>0</v>
      </c>
      <c r="E93" s="294">
        <v>0</v>
      </c>
      <c r="F93" s="294">
        <v>0</v>
      </c>
      <c r="G93" s="294">
        <v>0</v>
      </c>
      <c r="H93" s="294">
        <v>0</v>
      </c>
      <c r="I93" s="294">
        <v>0</v>
      </c>
      <c r="J93" s="294">
        <v>0</v>
      </c>
      <c r="K93" s="294">
        <v>0</v>
      </c>
      <c r="L93" s="294">
        <v>0</v>
      </c>
      <c r="M93" s="294">
        <v>0</v>
      </c>
      <c r="N93" s="294">
        <v>0</v>
      </c>
      <c r="O93" s="294">
        <v>0</v>
      </c>
      <c r="P93" s="294">
        <v>0</v>
      </c>
      <c r="Q93" s="294">
        <v>0</v>
      </c>
      <c r="R93" s="295">
        <f t="shared" si="4"/>
        <v>0</v>
      </c>
    </row>
    <row r="94" spans="1:18" ht="15" customHeight="1">
      <c r="A94" s="553"/>
      <c r="B94" s="330" t="s">
        <v>577</v>
      </c>
      <c r="C94" s="294">
        <v>0</v>
      </c>
      <c r="D94" s="294">
        <v>0</v>
      </c>
      <c r="E94" s="294">
        <v>0</v>
      </c>
      <c r="F94" s="294">
        <v>0</v>
      </c>
      <c r="G94" s="294">
        <v>0</v>
      </c>
      <c r="H94" s="294">
        <v>0</v>
      </c>
      <c r="I94" s="294">
        <v>0</v>
      </c>
      <c r="J94" s="294">
        <v>0</v>
      </c>
      <c r="K94" s="294">
        <v>0</v>
      </c>
      <c r="L94" s="294">
        <v>0</v>
      </c>
      <c r="M94" s="294">
        <v>0</v>
      </c>
      <c r="N94" s="294">
        <v>0</v>
      </c>
      <c r="O94" s="294">
        <v>0</v>
      </c>
      <c r="P94" s="294">
        <v>0</v>
      </c>
      <c r="Q94" s="294">
        <v>0</v>
      </c>
      <c r="R94" s="295">
        <f t="shared" si="4"/>
        <v>0</v>
      </c>
    </row>
    <row r="95" spans="1:18" ht="15" customHeight="1">
      <c r="A95" s="553"/>
      <c r="B95" s="330" t="s">
        <v>578</v>
      </c>
      <c r="C95" s="294">
        <v>0</v>
      </c>
      <c r="D95" s="294">
        <v>0</v>
      </c>
      <c r="E95" s="294">
        <v>0</v>
      </c>
      <c r="F95" s="294">
        <v>0</v>
      </c>
      <c r="G95" s="294">
        <v>0</v>
      </c>
      <c r="H95" s="294">
        <v>0</v>
      </c>
      <c r="I95" s="294">
        <v>0</v>
      </c>
      <c r="J95" s="294">
        <v>0</v>
      </c>
      <c r="K95" s="294">
        <v>0</v>
      </c>
      <c r="L95" s="294">
        <v>0</v>
      </c>
      <c r="M95" s="294">
        <v>0</v>
      </c>
      <c r="N95" s="294">
        <v>0</v>
      </c>
      <c r="O95" s="294">
        <v>0</v>
      </c>
      <c r="P95" s="294">
        <v>0</v>
      </c>
      <c r="Q95" s="294">
        <v>0</v>
      </c>
      <c r="R95" s="295">
        <f t="shared" si="4"/>
        <v>0</v>
      </c>
    </row>
    <row r="96" spans="1:18" ht="15" customHeight="1">
      <c r="A96" s="553"/>
      <c r="B96" s="330" t="s">
        <v>579</v>
      </c>
      <c r="C96" s="294">
        <v>0</v>
      </c>
      <c r="D96" s="294">
        <v>0</v>
      </c>
      <c r="E96" s="294">
        <v>0</v>
      </c>
      <c r="F96" s="294">
        <v>0</v>
      </c>
      <c r="G96" s="294">
        <v>0</v>
      </c>
      <c r="H96" s="294">
        <v>0</v>
      </c>
      <c r="I96" s="294">
        <v>0</v>
      </c>
      <c r="J96" s="294">
        <v>0</v>
      </c>
      <c r="K96" s="294">
        <v>0</v>
      </c>
      <c r="L96" s="294">
        <v>0</v>
      </c>
      <c r="M96" s="294">
        <v>0</v>
      </c>
      <c r="N96" s="294">
        <v>0</v>
      </c>
      <c r="O96" s="294">
        <v>0</v>
      </c>
      <c r="P96" s="294">
        <v>0</v>
      </c>
      <c r="Q96" s="294">
        <v>0</v>
      </c>
      <c r="R96" s="295">
        <f t="shared" si="4"/>
        <v>0</v>
      </c>
    </row>
    <row r="97" spans="1:18" ht="15" customHeight="1">
      <c r="A97" s="553"/>
      <c r="B97" s="330" t="s">
        <v>884</v>
      </c>
      <c r="C97" s="294">
        <v>0</v>
      </c>
      <c r="D97" s="294">
        <v>0</v>
      </c>
      <c r="E97" s="294">
        <v>0</v>
      </c>
      <c r="F97" s="294">
        <v>0</v>
      </c>
      <c r="G97" s="294">
        <v>0</v>
      </c>
      <c r="H97" s="294">
        <v>0</v>
      </c>
      <c r="I97" s="294">
        <v>0</v>
      </c>
      <c r="J97" s="294">
        <v>0</v>
      </c>
      <c r="K97" s="294">
        <v>0</v>
      </c>
      <c r="L97" s="294">
        <v>0</v>
      </c>
      <c r="M97" s="294">
        <v>0</v>
      </c>
      <c r="N97" s="294">
        <v>0</v>
      </c>
      <c r="O97" s="294">
        <v>0</v>
      </c>
      <c r="P97" s="294">
        <v>0</v>
      </c>
      <c r="Q97" s="294">
        <v>0</v>
      </c>
      <c r="R97" s="295">
        <f t="shared" si="4"/>
        <v>0</v>
      </c>
    </row>
    <row r="98" spans="1:18" ht="15" customHeight="1">
      <c r="A98" s="553"/>
      <c r="B98" s="330" t="s">
        <v>885</v>
      </c>
      <c r="C98" s="294">
        <v>0</v>
      </c>
      <c r="D98" s="294">
        <v>0</v>
      </c>
      <c r="E98" s="294">
        <v>0</v>
      </c>
      <c r="F98" s="294">
        <v>0</v>
      </c>
      <c r="G98" s="294">
        <v>0</v>
      </c>
      <c r="H98" s="294">
        <v>0</v>
      </c>
      <c r="I98" s="294">
        <v>0</v>
      </c>
      <c r="J98" s="294">
        <v>0</v>
      </c>
      <c r="K98" s="294">
        <v>0</v>
      </c>
      <c r="L98" s="294">
        <v>0</v>
      </c>
      <c r="M98" s="294">
        <v>0</v>
      </c>
      <c r="N98" s="294">
        <v>0</v>
      </c>
      <c r="O98" s="294">
        <v>0</v>
      </c>
      <c r="P98" s="294">
        <v>0</v>
      </c>
      <c r="Q98" s="294">
        <v>0</v>
      </c>
      <c r="R98" s="295">
        <f t="shared" si="4"/>
        <v>0</v>
      </c>
    </row>
    <row r="99" spans="1:18" ht="15" customHeight="1">
      <c r="A99" s="553"/>
      <c r="B99" s="330" t="s">
        <v>886</v>
      </c>
      <c r="C99" s="294">
        <v>0</v>
      </c>
      <c r="D99" s="294">
        <v>0</v>
      </c>
      <c r="E99" s="294">
        <v>0</v>
      </c>
      <c r="F99" s="294">
        <v>0</v>
      </c>
      <c r="G99" s="294">
        <v>0</v>
      </c>
      <c r="H99" s="294">
        <v>0</v>
      </c>
      <c r="I99" s="294">
        <v>0</v>
      </c>
      <c r="J99" s="294">
        <v>0</v>
      </c>
      <c r="K99" s="294">
        <v>0</v>
      </c>
      <c r="L99" s="294">
        <v>0</v>
      </c>
      <c r="M99" s="294">
        <v>0</v>
      </c>
      <c r="N99" s="294">
        <v>0</v>
      </c>
      <c r="O99" s="294">
        <v>0</v>
      </c>
      <c r="P99" s="294">
        <v>0</v>
      </c>
      <c r="Q99" s="294">
        <v>0</v>
      </c>
      <c r="R99" s="295">
        <f t="shared" si="4"/>
        <v>0</v>
      </c>
    </row>
    <row r="100" spans="1:18" ht="15" customHeight="1">
      <c r="A100" s="553"/>
      <c r="B100" s="330" t="s">
        <v>887</v>
      </c>
      <c r="C100" s="294">
        <v>0</v>
      </c>
      <c r="D100" s="294">
        <v>0</v>
      </c>
      <c r="E100" s="294">
        <v>0</v>
      </c>
      <c r="F100" s="294">
        <v>0</v>
      </c>
      <c r="G100" s="294">
        <v>0</v>
      </c>
      <c r="H100" s="294">
        <v>0</v>
      </c>
      <c r="I100" s="294">
        <v>0</v>
      </c>
      <c r="J100" s="294">
        <v>0</v>
      </c>
      <c r="K100" s="294">
        <v>0</v>
      </c>
      <c r="L100" s="294">
        <v>0</v>
      </c>
      <c r="M100" s="294">
        <v>0</v>
      </c>
      <c r="N100" s="294">
        <v>0</v>
      </c>
      <c r="O100" s="294">
        <v>0</v>
      </c>
      <c r="P100" s="294">
        <v>0</v>
      </c>
      <c r="Q100" s="294">
        <v>0</v>
      </c>
      <c r="R100" s="295">
        <f t="shared" si="4"/>
        <v>0</v>
      </c>
    </row>
    <row r="101" spans="1:18" ht="15" customHeight="1">
      <c r="A101" s="553"/>
      <c r="B101" s="330" t="s">
        <v>888</v>
      </c>
      <c r="C101" s="294">
        <v>0</v>
      </c>
      <c r="D101" s="294">
        <v>0</v>
      </c>
      <c r="E101" s="294">
        <v>0</v>
      </c>
      <c r="F101" s="294">
        <v>0</v>
      </c>
      <c r="G101" s="294">
        <v>0</v>
      </c>
      <c r="H101" s="294">
        <v>0</v>
      </c>
      <c r="I101" s="294">
        <v>0</v>
      </c>
      <c r="J101" s="294">
        <v>0</v>
      </c>
      <c r="K101" s="294">
        <v>0</v>
      </c>
      <c r="L101" s="294">
        <v>0</v>
      </c>
      <c r="M101" s="294">
        <v>0</v>
      </c>
      <c r="N101" s="294">
        <v>0</v>
      </c>
      <c r="O101" s="294">
        <v>0</v>
      </c>
      <c r="P101" s="294">
        <v>0</v>
      </c>
      <c r="Q101" s="294">
        <v>0</v>
      </c>
      <c r="R101" s="295">
        <f t="shared" si="4"/>
        <v>0</v>
      </c>
    </row>
    <row r="102" spans="1:18" ht="15" customHeight="1" thickBot="1">
      <c r="A102" s="553"/>
      <c r="B102" s="330" t="s">
        <v>889</v>
      </c>
      <c r="C102" s="294">
        <v>0</v>
      </c>
      <c r="D102" s="294">
        <v>0</v>
      </c>
      <c r="E102" s="294">
        <v>0</v>
      </c>
      <c r="F102" s="294">
        <v>0</v>
      </c>
      <c r="G102" s="294">
        <v>0</v>
      </c>
      <c r="H102" s="294">
        <v>0</v>
      </c>
      <c r="I102" s="294">
        <v>0</v>
      </c>
      <c r="J102" s="294">
        <v>0</v>
      </c>
      <c r="K102" s="294">
        <v>0</v>
      </c>
      <c r="L102" s="294">
        <v>0</v>
      </c>
      <c r="M102" s="294">
        <v>0</v>
      </c>
      <c r="N102" s="294">
        <v>0</v>
      </c>
      <c r="O102" s="294">
        <v>0</v>
      </c>
      <c r="P102" s="294">
        <v>0</v>
      </c>
      <c r="Q102" s="294">
        <v>0</v>
      </c>
      <c r="R102" s="295">
        <f t="shared" si="4"/>
        <v>0</v>
      </c>
    </row>
    <row r="103" spans="1:18" ht="15" customHeight="1">
      <c r="A103" s="552" t="s">
        <v>893</v>
      </c>
      <c r="B103" s="330" t="s">
        <v>890</v>
      </c>
      <c r="C103" s="294">
        <v>0</v>
      </c>
      <c r="D103" s="294">
        <v>0</v>
      </c>
      <c r="E103" s="294">
        <v>0</v>
      </c>
      <c r="F103" s="294">
        <v>0</v>
      </c>
      <c r="G103" s="294">
        <v>0</v>
      </c>
      <c r="H103" s="294">
        <v>0</v>
      </c>
      <c r="I103" s="294">
        <v>0</v>
      </c>
      <c r="J103" s="294">
        <v>0</v>
      </c>
      <c r="K103" s="294">
        <v>0</v>
      </c>
      <c r="L103" s="294">
        <v>0</v>
      </c>
      <c r="M103" s="294">
        <v>0</v>
      </c>
      <c r="N103" s="294">
        <v>0</v>
      </c>
      <c r="O103" s="294">
        <v>0</v>
      </c>
      <c r="P103" s="294">
        <v>0</v>
      </c>
      <c r="Q103" s="294">
        <v>0</v>
      </c>
      <c r="R103" s="295">
        <f t="shared" si="4"/>
        <v>0</v>
      </c>
    </row>
    <row r="104" spans="1:18" ht="15" customHeight="1">
      <c r="A104" s="553"/>
      <c r="B104" s="330" t="s">
        <v>891</v>
      </c>
      <c r="C104" s="294">
        <v>0</v>
      </c>
      <c r="D104" s="294">
        <v>0</v>
      </c>
      <c r="E104" s="294">
        <v>0</v>
      </c>
      <c r="F104" s="294">
        <v>0</v>
      </c>
      <c r="G104" s="294">
        <v>0</v>
      </c>
      <c r="H104" s="294">
        <v>0</v>
      </c>
      <c r="I104" s="294">
        <v>0</v>
      </c>
      <c r="J104" s="294">
        <v>0</v>
      </c>
      <c r="K104" s="294">
        <v>0</v>
      </c>
      <c r="L104" s="294">
        <v>0</v>
      </c>
      <c r="M104" s="294">
        <v>0</v>
      </c>
      <c r="N104" s="294">
        <v>0</v>
      </c>
      <c r="O104" s="294">
        <v>0</v>
      </c>
      <c r="P104" s="294">
        <v>0</v>
      </c>
      <c r="Q104" s="294">
        <v>0</v>
      </c>
      <c r="R104" s="295">
        <f t="shared" si="4"/>
        <v>0</v>
      </c>
    </row>
    <row r="105" spans="1:18" ht="15" customHeight="1">
      <c r="A105" s="553"/>
      <c r="B105" s="330" t="s">
        <v>565</v>
      </c>
      <c r="C105" s="294">
        <v>0</v>
      </c>
      <c r="D105" s="294">
        <v>0</v>
      </c>
      <c r="E105" s="294">
        <v>0</v>
      </c>
      <c r="F105" s="294">
        <v>0</v>
      </c>
      <c r="G105" s="294">
        <v>0</v>
      </c>
      <c r="H105" s="294">
        <v>0</v>
      </c>
      <c r="I105" s="294">
        <v>0</v>
      </c>
      <c r="J105" s="294">
        <v>0</v>
      </c>
      <c r="K105" s="294">
        <v>0</v>
      </c>
      <c r="L105" s="294">
        <v>0</v>
      </c>
      <c r="M105" s="294">
        <v>0</v>
      </c>
      <c r="N105" s="294">
        <v>0</v>
      </c>
      <c r="O105" s="294">
        <v>0</v>
      </c>
      <c r="P105" s="294">
        <v>0</v>
      </c>
      <c r="Q105" s="294">
        <v>0</v>
      </c>
      <c r="R105" s="295">
        <f t="shared" si="4"/>
        <v>0</v>
      </c>
    </row>
    <row r="106" spans="1:18" ht="15" customHeight="1">
      <c r="A106" s="553"/>
      <c r="B106" s="330" t="s">
        <v>566</v>
      </c>
      <c r="C106" s="294">
        <v>0</v>
      </c>
      <c r="D106" s="294">
        <v>0</v>
      </c>
      <c r="E106" s="294">
        <v>0</v>
      </c>
      <c r="F106" s="294">
        <v>0</v>
      </c>
      <c r="G106" s="294">
        <v>0</v>
      </c>
      <c r="H106" s="294">
        <v>0</v>
      </c>
      <c r="I106" s="294">
        <v>0</v>
      </c>
      <c r="J106" s="294">
        <v>0</v>
      </c>
      <c r="K106" s="294">
        <v>0</v>
      </c>
      <c r="L106" s="294">
        <v>0</v>
      </c>
      <c r="M106" s="294">
        <v>0</v>
      </c>
      <c r="N106" s="294">
        <v>0</v>
      </c>
      <c r="O106" s="294">
        <v>0</v>
      </c>
      <c r="P106" s="294">
        <v>0</v>
      </c>
      <c r="Q106" s="294">
        <v>0</v>
      </c>
      <c r="R106" s="295">
        <f t="shared" si="4"/>
        <v>0</v>
      </c>
    </row>
    <row r="107" spans="1:18" ht="15" customHeight="1">
      <c r="A107" s="553"/>
      <c r="B107" s="330" t="s">
        <v>567</v>
      </c>
      <c r="C107" s="294">
        <v>0</v>
      </c>
      <c r="D107" s="294">
        <v>0</v>
      </c>
      <c r="E107" s="294">
        <v>0</v>
      </c>
      <c r="F107" s="294">
        <v>0</v>
      </c>
      <c r="G107" s="294">
        <v>0</v>
      </c>
      <c r="H107" s="294">
        <v>0</v>
      </c>
      <c r="I107" s="294">
        <v>0</v>
      </c>
      <c r="J107" s="294">
        <v>0</v>
      </c>
      <c r="K107" s="294">
        <v>0</v>
      </c>
      <c r="L107" s="294">
        <v>0</v>
      </c>
      <c r="M107" s="294">
        <v>0</v>
      </c>
      <c r="N107" s="294">
        <v>0</v>
      </c>
      <c r="O107" s="294">
        <v>0</v>
      </c>
      <c r="P107" s="294">
        <v>0</v>
      </c>
      <c r="Q107" s="294">
        <v>0</v>
      </c>
      <c r="R107" s="295">
        <f t="shared" si="4"/>
        <v>0</v>
      </c>
    </row>
    <row r="108" spans="1:18" ht="15" customHeight="1">
      <c r="A108" s="553"/>
      <c r="B108" s="330" t="s">
        <v>568</v>
      </c>
      <c r="C108" s="294">
        <v>0</v>
      </c>
      <c r="D108" s="294">
        <v>0</v>
      </c>
      <c r="E108" s="294">
        <v>0</v>
      </c>
      <c r="F108" s="294">
        <v>0</v>
      </c>
      <c r="G108" s="294">
        <v>0</v>
      </c>
      <c r="H108" s="294">
        <v>0</v>
      </c>
      <c r="I108" s="294">
        <v>0</v>
      </c>
      <c r="J108" s="294">
        <v>0</v>
      </c>
      <c r="K108" s="294">
        <v>0</v>
      </c>
      <c r="L108" s="294">
        <v>0</v>
      </c>
      <c r="M108" s="294">
        <v>0</v>
      </c>
      <c r="N108" s="294">
        <v>0</v>
      </c>
      <c r="O108" s="294">
        <v>0</v>
      </c>
      <c r="P108" s="294">
        <v>0</v>
      </c>
      <c r="Q108" s="294">
        <v>0</v>
      </c>
      <c r="R108" s="295">
        <f t="shared" si="4"/>
        <v>0</v>
      </c>
    </row>
    <row r="109" spans="1:18" ht="15" customHeight="1">
      <c r="A109" s="553"/>
      <c r="B109" s="330" t="s">
        <v>569</v>
      </c>
      <c r="C109" s="294">
        <v>0</v>
      </c>
      <c r="D109" s="294">
        <v>0</v>
      </c>
      <c r="E109" s="294">
        <v>0</v>
      </c>
      <c r="F109" s="294">
        <v>0</v>
      </c>
      <c r="G109" s="294">
        <v>0</v>
      </c>
      <c r="H109" s="294">
        <v>0</v>
      </c>
      <c r="I109" s="294">
        <v>0</v>
      </c>
      <c r="J109" s="294">
        <v>0</v>
      </c>
      <c r="K109" s="294">
        <v>0</v>
      </c>
      <c r="L109" s="294">
        <v>0</v>
      </c>
      <c r="M109" s="294">
        <v>0</v>
      </c>
      <c r="N109" s="294">
        <v>0</v>
      </c>
      <c r="O109" s="294">
        <v>0</v>
      </c>
      <c r="P109" s="294">
        <v>0</v>
      </c>
      <c r="Q109" s="294">
        <v>0</v>
      </c>
      <c r="R109" s="295">
        <f t="shared" si="4"/>
        <v>0</v>
      </c>
    </row>
    <row r="110" spans="1:18" ht="15" customHeight="1">
      <c r="A110" s="553"/>
      <c r="B110" s="330" t="s">
        <v>570</v>
      </c>
      <c r="C110" s="294">
        <v>0</v>
      </c>
      <c r="D110" s="294">
        <v>0</v>
      </c>
      <c r="E110" s="294">
        <v>0</v>
      </c>
      <c r="F110" s="294">
        <v>0</v>
      </c>
      <c r="G110" s="294">
        <v>0</v>
      </c>
      <c r="H110" s="294">
        <v>0</v>
      </c>
      <c r="I110" s="294">
        <v>0</v>
      </c>
      <c r="J110" s="294">
        <v>0</v>
      </c>
      <c r="K110" s="294">
        <v>0</v>
      </c>
      <c r="L110" s="294">
        <v>0</v>
      </c>
      <c r="M110" s="294">
        <v>0</v>
      </c>
      <c r="N110" s="294">
        <v>0</v>
      </c>
      <c r="O110" s="294">
        <v>0</v>
      </c>
      <c r="P110" s="294">
        <v>0</v>
      </c>
      <c r="Q110" s="294">
        <v>0</v>
      </c>
      <c r="R110" s="295">
        <f t="shared" si="4"/>
        <v>0</v>
      </c>
    </row>
    <row r="111" spans="1:18" ht="15" customHeight="1">
      <c r="A111" s="553"/>
      <c r="B111" s="330" t="s">
        <v>571</v>
      </c>
      <c r="C111" s="294">
        <v>0</v>
      </c>
      <c r="D111" s="294">
        <v>0</v>
      </c>
      <c r="E111" s="294">
        <v>0</v>
      </c>
      <c r="F111" s="294">
        <v>0</v>
      </c>
      <c r="G111" s="294">
        <v>0</v>
      </c>
      <c r="H111" s="294">
        <v>0</v>
      </c>
      <c r="I111" s="294">
        <v>0</v>
      </c>
      <c r="J111" s="294">
        <v>0</v>
      </c>
      <c r="K111" s="294">
        <v>0</v>
      </c>
      <c r="L111" s="294">
        <v>0</v>
      </c>
      <c r="M111" s="294">
        <v>0</v>
      </c>
      <c r="N111" s="294">
        <v>0</v>
      </c>
      <c r="O111" s="294">
        <v>0</v>
      </c>
      <c r="P111" s="294">
        <v>0</v>
      </c>
      <c r="Q111" s="294">
        <v>0</v>
      </c>
      <c r="R111" s="295">
        <f t="shared" si="4"/>
        <v>0</v>
      </c>
    </row>
    <row r="112" spans="1:18" ht="15" customHeight="1">
      <c r="A112" s="553"/>
      <c r="B112" s="330" t="s">
        <v>572</v>
      </c>
      <c r="C112" s="294">
        <v>0</v>
      </c>
      <c r="D112" s="294">
        <v>0</v>
      </c>
      <c r="E112" s="294">
        <v>0</v>
      </c>
      <c r="F112" s="294">
        <v>0</v>
      </c>
      <c r="G112" s="294">
        <v>0</v>
      </c>
      <c r="H112" s="294">
        <v>0</v>
      </c>
      <c r="I112" s="294">
        <v>0</v>
      </c>
      <c r="J112" s="294">
        <v>0</v>
      </c>
      <c r="K112" s="294">
        <v>0</v>
      </c>
      <c r="L112" s="294">
        <v>0</v>
      </c>
      <c r="M112" s="294">
        <v>0</v>
      </c>
      <c r="N112" s="294">
        <v>0</v>
      </c>
      <c r="O112" s="294">
        <v>0</v>
      </c>
      <c r="P112" s="294">
        <v>0</v>
      </c>
      <c r="Q112" s="294">
        <v>0</v>
      </c>
      <c r="R112" s="295">
        <f t="shared" si="4"/>
        <v>0</v>
      </c>
    </row>
    <row r="113" spans="1:30" ht="15" customHeight="1">
      <c r="A113" s="553"/>
      <c r="B113" s="330" t="s">
        <v>573</v>
      </c>
      <c r="C113" s="294">
        <v>0</v>
      </c>
      <c r="D113" s="294">
        <v>0</v>
      </c>
      <c r="E113" s="294">
        <v>0</v>
      </c>
      <c r="F113" s="294">
        <v>0</v>
      </c>
      <c r="G113" s="294">
        <v>0</v>
      </c>
      <c r="H113" s="294">
        <v>0</v>
      </c>
      <c r="I113" s="294">
        <v>0</v>
      </c>
      <c r="J113" s="294">
        <v>0</v>
      </c>
      <c r="K113" s="294">
        <v>0</v>
      </c>
      <c r="L113" s="294">
        <v>0</v>
      </c>
      <c r="M113" s="294">
        <v>0</v>
      </c>
      <c r="N113" s="294">
        <v>0</v>
      </c>
      <c r="O113" s="294">
        <v>0</v>
      </c>
      <c r="P113" s="294">
        <v>0</v>
      </c>
      <c r="Q113" s="294">
        <v>0</v>
      </c>
      <c r="R113" s="295">
        <f t="shared" si="4"/>
        <v>0</v>
      </c>
    </row>
    <row r="114" spans="1:30" ht="15" customHeight="1">
      <c r="A114" s="553"/>
      <c r="B114" s="330" t="s">
        <v>574</v>
      </c>
      <c r="C114" s="294">
        <v>0</v>
      </c>
      <c r="D114" s="294">
        <v>0</v>
      </c>
      <c r="E114" s="294">
        <v>0</v>
      </c>
      <c r="F114" s="294">
        <v>0</v>
      </c>
      <c r="G114" s="294">
        <v>0</v>
      </c>
      <c r="H114" s="294">
        <v>0</v>
      </c>
      <c r="I114" s="294">
        <v>0</v>
      </c>
      <c r="J114" s="294">
        <v>0</v>
      </c>
      <c r="K114" s="294">
        <v>0</v>
      </c>
      <c r="L114" s="294">
        <v>0</v>
      </c>
      <c r="M114" s="294">
        <v>0</v>
      </c>
      <c r="N114" s="294">
        <v>0</v>
      </c>
      <c r="O114" s="294">
        <v>0</v>
      </c>
      <c r="P114" s="294">
        <v>0</v>
      </c>
      <c r="Q114" s="294">
        <v>0</v>
      </c>
      <c r="R114" s="295">
        <f t="shared" si="4"/>
        <v>0</v>
      </c>
    </row>
    <row r="115" spans="1:30" ht="15" customHeight="1">
      <c r="A115" s="553"/>
      <c r="B115" s="330" t="s">
        <v>575</v>
      </c>
      <c r="C115" s="294">
        <v>0</v>
      </c>
      <c r="D115" s="294">
        <v>0</v>
      </c>
      <c r="E115" s="294">
        <v>0</v>
      </c>
      <c r="F115" s="294">
        <v>0</v>
      </c>
      <c r="G115" s="294">
        <v>0</v>
      </c>
      <c r="H115" s="294">
        <v>0</v>
      </c>
      <c r="I115" s="294">
        <v>0</v>
      </c>
      <c r="J115" s="294">
        <v>0</v>
      </c>
      <c r="K115" s="294">
        <v>0</v>
      </c>
      <c r="L115" s="294">
        <v>0</v>
      </c>
      <c r="M115" s="294">
        <v>0</v>
      </c>
      <c r="N115" s="294">
        <v>0</v>
      </c>
      <c r="O115" s="294">
        <v>0</v>
      </c>
      <c r="P115" s="294">
        <v>0</v>
      </c>
      <c r="Q115" s="294">
        <v>0</v>
      </c>
      <c r="R115" s="295">
        <f t="shared" si="4"/>
        <v>0</v>
      </c>
    </row>
    <row r="116" spans="1:30" ht="15" customHeight="1">
      <c r="A116" s="553"/>
      <c r="B116" s="330" t="s">
        <v>576</v>
      </c>
      <c r="C116" s="294">
        <v>0</v>
      </c>
      <c r="D116" s="294">
        <v>0</v>
      </c>
      <c r="E116" s="294">
        <v>0</v>
      </c>
      <c r="F116" s="294">
        <v>0</v>
      </c>
      <c r="G116" s="294">
        <v>0</v>
      </c>
      <c r="H116" s="294">
        <v>0</v>
      </c>
      <c r="I116" s="294">
        <v>0</v>
      </c>
      <c r="J116" s="294">
        <v>0</v>
      </c>
      <c r="K116" s="294">
        <v>0</v>
      </c>
      <c r="L116" s="294">
        <v>0</v>
      </c>
      <c r="M116" s="294">
        <v>0</v>
      </c>
      <c r="N116" s="294">
        <v>0</v>
      </c>
      <c r="O116" s="294">
        <v>0</v>
      </c>
      <c r="P116" s="294">
        <v>0</v>
      </c>
      <c r="Q116" s="294">
        <v>0</v>
      </c>
      <c r="R116" s="295">
        <f t="shared" si="4"/>
        <v>0</v>
      </c>
    </row>
    <row r="117" spans="1:30" ht="15" customHeight="1">
      <c r="A117" s="553"/>
      <c r="B117" s="330" t="s">
        <v>577</v>
      </c>
      <c r="C117" s="294">
        <v>0</v>
      </c>
      <c r="D117" s="294">
        <v>0</v>
      </c>
      <c r="E117" s="294">
        <v>0</v>
      </c>
      <c r="F117" s="294">
        <v>0</v>
      </c>
      <c r="G117" s="294">
        <v>0</v>
      </c>
      <c r="H117" s="294">
        <v>0</v>
      </c>
      <c r="I117" s="294">
        <v>0</v>
      </c>
      <c r="J117" s="294">
        <v>0</v>
      </c>
      <c r="K117" s="294">
        <v>0</v>
      </c>
      <c r="L117" s="294">
        <v>0</v>
      </c>
      <c r="M117" s="294">
        <v>0</v>
      </c>
      <c r="N117" s="294">
        <v>0</v>
      </c>
      <c r="O117" s="294">
        <v>0</v>
      </c>
      <c r="P117" s="294">
        <v>0</v>
      </c>
      <c r="Q117" s="294">
        <v>0</v>
      </c>
      <c r="R117" s="295">
        <f t="shared" si="4"/>
        <v>0</v>
      </c>
    </row>
    <row r="118" spans="1:30" ht="15" customHeight="1">
      <c r="A118" s="553"/>
      <c r="B118" s="330" t="s">
        <v>578</v>
      </c>
      <c r="C118" s="294">
        <v>0</v>
      </c>
      <c r="D118" s="294">
        <v>0</v>
      </c>
      <c r="E118" s="294">
        <v>0</v>
      </c>
      <c r="F118" s="294">
        <v>0</v>
      </c>
      <c r="G118" s="294">
        <v>0</v>
      </c>
      <c r="H118" s="294">
        <v>0</v>
      </c>
      <c r="I118" s="294">
        <v>0</v>
      </c>
      <c r="J118" s="294">
        <v>0</v>
      </c>
      <c r="K118" s="294">
        <v>0</v>
      </c>
      <c r="L118" s="294">
        <v>0</v>
      </c>
      <c r="M118" s="294">
        <v>0</v>
      </c>
      <c r="N118" s="294">
        <v>0</v>
      </c>
      <c r="O118" s="294">
        <v>0</v>
      </c>
      <c r="P118" s="294">
        <v>0</v>
      </c>
      <c r="Q118" s="294">
        <v>0</v>
      </c>
      <c r="R118" s="295">
        <f t="shared" si="4"/>
        <v>0</v>
      </c>
    </row>
    <row r="119" spans="1:30" ht="15" customHeight="1">
      <c r="A119" s="553"/>
      <c r="B119" s="330" t="s">
        <v>579</v>
      </c>
      <c r="C119" s="294">
        <v>0</v>
      </c>
      <c r="D119" s="294">
        <v>0</v>
      </c>
      <c r="E119" s="294">
        <v>0</v>
      </c>
      <c r="F119" s="294">
        <v>0</v>
      </c>
      <c r="G119" s="294">
        <v>0</v>
      </c>
      <c r="H119" s="294">
        <v>0</v>
      </c>
      <c r="I119" s="294">
        <v>0</v>
      </c>
      <c r="J119" s="294">
        <v>0</v>
      </c>
      <c r="K119" s="294">
        <v>0</v>
      </c>
      <c r="L119" s="294">
        <v>0</v>
      </c>
      <c r="M119" s="294">
        <v>0</v>
      </c>
      <c r="N119" s="294">
        <v>0</v>
      </c>
      <c r="O119" s="294">
        <v>0</v>
      </c>
      <c r="P119" s="294">
        <v>0</v>
      </c>
      <c r="Q119" s="294">
        <v>0</v>
      </c>
      <c r="R119" s="295">
        <f t="shared" si="4"/>
        <v>0</v>
      </c>
    </row>
    <row r="120" spans="1:30" ht="15" customHeight="1">
      <c r="A120" s="553"/>
      <c r="B120" s="330" t="s">
        <v>884</v>
      </c>
      <c r="C120" s="294">
        <v>0</v>
      </c>
      <c r="D120" s="294">
        <v>0</v>
      </c>
      <c r="E120" s="294">
        <v>0</v>
      </c>
      <c r="F120" s="294">
        <v>0</v>
      </c>
      <c r="G120" s="294">
        <v>0</v>
      </c>
      <c r="H120" s="294">
        <v>0</v>
      </c>
      <c r="I120" s="294">
        <v>0</v>
      </c>
      <c r="J120" s="294">
        <v>0</v>
      </c>
      <c r="K120" s="294">
        <v>0</v>
      </c>
      <c r="L120" s="294">
        <v>0</v>
      </c>
      <c r="M120" s="294">
        <v>0</v>
      </c>
      <c r="N120" s="294">
        <v>0</v>
      </c>
      <c r="O120" s="294">
        <v>0</v>
      </c>
      <c r="P120" s="294">
        <v>0</v>
      </c>
      <c r="Q120" s="294">
        <v>0</v>
      </c>
      <c r="R120" s="295">
        <f t="shared" si="4"/>
        <v>0</v>
      </c>
    </row>
    <row r="121" spans="1:30" ht="15" customHeight="1">
      <c r="A121" s="553"/>
      <c r="B121" s="330" t="s">
        <v>885</v>
      </c>
      <c r="C121" s="294">
        <v>0</v>
      </c>
      <c r="D121" s="294">
        <v>0</v>
      </c>
      <c r="E121" s="294">
        <v>0</v>
      </c>
      <c r="F121" s="294">
        <v>0</v>
      </c>
      <c r="G121" s="294">
        <v>0</v>
      </c>
      <c r="H121" s="294">
        <v>0</v>
      </c>
      <c r="I121" s="294">
        <v>0</v>
      </c>
      <c r="J121" s="294">
        <v>0</v>
      </c>
      <c r="K121" s="294">
        <v>0</v>
      </c>
      <c r="L121" s="294">
        <v>0</v>
      </c>
      <c r="M121" s="294">
        <v>0</v>
      </c>
      <c r="N121" s="294">
        <v>0</v>
      </c>
      <c r="O121" s="294">
        <v>0</v>
      </c>
      <c r="P121" s="294">
        <v>0</v>
      </c>
      <c r="Q121" s="294">
        <v>0</v>
      </c>
      <c r="R121" s="295">
        <f t="shared" si="4"/>
        <v>0</v>
      </c>
    </row>
    <row r="122" spans="1:30" ht="15" customHeight="1">
      <c r="A122" s="553"/>
      <c r="B122" s="330" t="s">
        <v>886</v>
      </c>
      <c r="C122" s="294">
        <v>0</v>
      </c>
      <c r="D122" s="294">
        <v>0</v>
      </c>
      <c r="E122" s="294">
        <v>0</v>
      </c>
      <c r="F122" s="294">
        <v>0</v>
      </c>
      <c r="G122" s="294">
        <v>0</v>
      </c>
      <c r="H122" s="294">
        <v>0</v>
      </c>
      <c r="I122" s="294">
        <v>0</v>
      </c>
      <c r="J122" s="294">
        <v>0</v>
      </c>
      <c r="K122" s="294">
        <v>0</v>
      </c>
      <c r="L122" s="294">
        <v>0</v>
      </c>
      <c r="M122" s="294">
        <v>0</v>
      </c>
      <c r="N122" s="294">
        <v>0</v>
      </c>
      <c r="O122" s="294">
        <v>0</v>
      </c>
      <c r="P122" s="294">
        <v>0</v>
      </c>
      <c r="Q122" s="294">
        <v>0</v>
      </c>
      <c r="R122" s="295">
        <f t="shared" si="4"/>
        <v>0</v>
      </c>
    </row>
    <row r="123" spans="1:30" ht="15" customHeight="1" thickBot="1">
      <c r="A123" s="554"/>
      <c r="B123" s="330" t="s">
        <v>887</v>
      </c>
      <c r="C123" s="294">
        <v>0</v>
      </c>
      <c r="D123" s="294">
        <v>0</v>
      </c>
      <c r="E123" s="294">
        <v>0</v>
      </c>
      <c r="F123" s="294">
        <v>0</v>
      </c>
      <c r="G123" s="294">
        <v>0</v>
      </c>
      <c r="H123" s="294">
        <v>0</v>
      </c>
      <c r="I123" s="294">
        <v>0</v>
      </c>
      <c r="J123" s="294">
        <v>0</v>
      </c>
      <c r="K123" s="294">
        <v>0</v>
      </c>
      <c r="L123" s="294">
        <v>0</v>
      </c>
      <c r="M123" s="294">
        <v>0</v>
      </c>
      <c r="N123" s="294">
        <v>0</v>
      </c>
      <c r="O123" s="294">
        <v>0</v>
      </c>
      <c r="P123" s="294">
        <v>0</v>
      </c>
      <c r="Q123" s="294">
        <v>0</v>
      </c>
      <c r="R123" s="295">
        <f t="shared" si="4"/>
        <v>0</v>
      </c>
    </row>
    <row r="124" spans="1:30" ht="20.100000000000001" customHeight="1" thickBot="1">
      <c r="A124" s="558" t="s">
        <v>755</v>
      </c>
      <c r="B124" s="559"/>
      <c r="C124" s="296"/>
      <c r="D124" s="296"/>
      <c r="E124" s="296"/>
      <c r="F124" s="296"/>
      <c r="G124" s="296"/>
      <c r="H124" s="296"/>
      <c r="I124" s="296"/>
      <c r="J124" s="296"/>
      <c r="K124" s="296"/>
      <c r="L124" s="296"/>
      <c r="M124" s="296"/>
      <c r="N124" s="296"/>
      <c r="O124" s="296"/>
      <c r="P124" s="296"/>
      <c r="Q124" s="296"/>
      <c r="R124" s="560"/>
    </row>
    <row r="125" spans="1:30" ht="20.100000000000001" customHeight="1" thickBot="1">
      <c r="A125" s="558" t="s">
        <v>754</v>
      </c>
      <c r="B125" s="559"/>
      <c r="C125" s="296">
        <f>+AVERAGE(C80:C123)</f>
        <v>0</v>
      </c>
      <c r="D125" s="296">
        <f t="shared" ref="D125:Q125" si="5">+AVERAGE(D80:D123)</f>
        <v>0</v>
      </c>
      <c r="E125" s="296">
        <f t="shared" si="5"/>
        <v>0</v>
      </c>
      <c r="F125" s="296">
        <f t="shared" si="5"/>
        <v>0</v>
      </c>
      <c r="G125" s="296">
        <f t="shared" si="5"/>
        <v>0</v>
      </c>
      <c r="H125" s="296">
        <f t="shared" si="5"/>
        <v>0</v>
      </c>
      <c r="I125" s="296">
        <f t="shared" si="5"/>
        <v>0</v>
      </c>
      <c r="J125" s="296">
        <f t="shared" si="5"/>
        <v>0</v>
      </c>
      <c r="K125" s="296">
        <f t="shared" si="5"/>
        <v>0</v>
      </c>
      <c r="L125" s="296">
        <f t="shared" si="5"/>
        <v>0</v>
      </c>
      <c r="M125" s="296">
        <f t="shared" si="5"/>
        <v>0</v>
      </c>
      <c r="N125" s="296">
        <f t="shared" si="5"/>
        <v>0</v>
      </c>
      <c r="O125" s="296">
        <f t="shared" si="5"/>
        <v>0</v>
      </c>
      <c r="P125" s="296">
        <f t="shared" si="5"/>
        <v>0</v>
      </c>
      <c r="Q125" s="296">
        <f t="shared" si="5"/>
        <v>0</v>
      </c>
      <c r="R125" s="561"/>
    </row>
    <row r="126" spans="1:30" ht="20.100000000000001" customHeight="1" thickBot="1">
      <c r="A126" s="558" t="s">
        <v>757</v>
      </c>
      <c r="B126" s="563"/>
      <c r="C126" s="516">
        <f>+AVERAGE(C125:Q125)</f>
        <v>0</v>
      </c>
      <c r="D126" s="517"/>
      <c r="E126" s="517"/>
      <c r="F126" s="517"/>
      <c r="G126" s="517"/>
      <c r="H126" s="517"/>
      <c r="I126" s="517"/>
      <c r="J126" s="517"/>
      <c r="K126" s="517"/>
      <c r="L126" s="517"/>
      <c r="M126" s="517"/>
      <c r="N126" s="517"/>
      <c r="O126" s="517"/>
      <c r="P126" s="517"/>
      <c r="Q126" s="517"/>
      <c r="R126" s="562"/>
    </row>
    <row r="127" spans="1:30" ht="15" customHeight="1">
      <c r="A127" s="552" t="s">
        <v>908</v>
      </c>
      <c r="B127" s="332" t="s">
        <v>580</v>
      </c>
      <c r="C127" s="292">
        <v>0</v>
      </c>
      <c r="D127" s="292">
        <v>0</v>
      </c>
      <c r="E127" s="292">
        <v>0</v>
      </c>
      <c r="F127" s="292">
        <v>0</v>
      </c>
      <c r="G127" s="292">
        <v>0</v>
      </c>
      <c r="H127" s="292">
        <v>0</v>
      </c>
      <c r="I127" s="292">
        <v>0</v>
      </c>
      <c r="J127" s="292">
        <v>0</v>
      </c>
      <c r="K127" s="292">
        <v>0</v>
      </c>
      <c r="L127" s="292">
        <v>0</v>
      </c>
      <c r="M127" s="292">
        <v>0</v>
      </c>
      <c r="N127" s="292">
        <v>0</v>
      </c>
      <c r="O127" s="292">
        <v>0</v>
      </c>
      <c r="P127" s="292">
        <v>0</v>
      </c>
      <c r="Q127" s="292">
        <v>0</v>
      </c>
      <c r="R127" s="293">
        <f t="shared" ref="R127:R170" si="6">+AVERAGE(C127:Q127)</f>
        <v>0</v>
      </c>
      <c r="AD127" s="276"/>
    </row>
    <row r="128" spans="1:30" ht="15" customHeight="1">
      <c r="A128" s="553"/>
      <c r="B128" s="330" t="s">
        <v>581</v>
      </c>
      <c r="C128" s="298">
        <v>0</v>
      </c>
      <c r="D128" s="298">
        <v>0</v>
      </c>
      <c r="E128" s="298">
        <v>0</v>
      </c>
      <c r="F128" s="298">
        <v>0</v>
      </c>
      <c r="G128" s="298">
        <v>0</v>
      </c>
      <c r="H128" s="298">
        <v>0</v>
      </c>
      <c r="I128" s="298">
        <v>0</v>
      </c>
      <c r="J128" s="298">
        <v>0</v>
      </c>
      <c r="K128" s="298">
        <v>0</v>
      </c>
      <c r="L128" s="298">
        <v>0</v>
      </c>
      <c r="M128" s="298">
        <v>0</v>
      </c>
      <c r="N128" s="298">
        <v>0</v>
      </c>
      <c r="O128" s="298">
        <v>0</v>
      </c>
      <c r="P128" s="298">
        <v>0</v>
      </c>
      <c r="Q128" s="298">
        <v>0</v>
      </c>
      <c r="R128" s="308"/>
      <c r="AD128" s="276"/>
    </row>
    <row r="129" spans="1:30" ht="15" customHeight="1">
      <c r="A129" s="553"/>
      <c r="B129" s="330" t="s">
        <v>582</v>
      </c>
      <c r="C129" s="298">
        <v>0</v>
      </c>
      <c r="D129" s="298">
        <v>0</v>
      </c>
      <c r="E129" s="298">
        <v>0</v>
      </c>
      <c r="F129" s="298">
        <v>0</v>
      </c>
      <c r="G129" s="298">
        <v>0</v>
      </c>
      <c r="H129" s="298">
        <v>0</v>
      </c>
      <c r="I129" s="298">
        <v>0</v>
      </c>
      <c r="J129" s="298">
        <v>0</v>
      </c>
      <c r="K129" s="298">
        <v>0</v>
      </c>
      <c r="L129" s="298">
        <v>0</v>
      </c>
      <c r="M129" s="298">
        <v>0</v>
      </c>
      <c r="N129" s="298">
        <v>0</v>
      </c>
      <c r="O129" s="298">
        <v>0</v>
      </c>
      <c r="P129" s="298">
        <v>0</v>
      </c>
      <c r="Q129" s="298">
        <v>0</v>
      </c>
      <c r="R129" s="308"/>
      <c r="AD129" s="276"/>
    </row>
    <row r="130" spans="1:30" ht="15" customHeight="1">
      <c r="A130" s="553"/>
      <c r="B130" s="330" t="s">
        <v>583</v>
      </c>
      <c r="C130" s="298">
        <v>0</v>
      </c>
      <c r="D130" s="298">
        <v>0</v>
      </c>
      <c r="E130" s="298">
        <v>0</v>
      </c>
      <c r="F130" s="298">
        <v>0</v>
      </c>
      <c r="G130" s="298">
        <v>0</v>
      </c>
      <c r="H130" s="298">
        <v>0</v>
      </c>
      <c r="I130" s="298">
        <v>0</v>
      </c>
      <c r="J130" s="298">
        <v>0</v>
      </c>
      <c r="K130" s="298">
        <v>0</v>
      </c>
      <c r="L130" s="298">
        <v>0</v>
      </c>
      <c r="M130" s="298">
        <v>0</v>
      </c>
      <c r="N130" s="298">
        <v>0</v>
      </c>
      <c r="O130" s="298">
        <v>0</v>
      </c>
      <c r="P130" s="298">
        <v>0</v>
      </c>
      <c r="Q130" s="298">
        <v>0</v>
      </c>
      <c r="R130" s="308"/>
      <c r="AD130" s="276"/>
    </row>
    <row r="131" spans="1:30" ht="15" customHeight="1">
      <c r="A131" s="553"/>
      <c r="B131" s="330" t="s">
        <v>584</v>
      </c>
      <c r="C131" s="298">
        <v>0</v>
      </c>
      <c r="D131" s="298">
        <v>0</v>
      </c>
      <c r="E131" s="298">
        <v>0</v>
      </c>
      <c r="F131" s="298">
        <v>0</v>
      </c>
      <c r="G131" s="298">
        <v>0</v>
      </c>
      <c r="H131" s="298">
        <v>0</v>
      </c>
      <c r="I131" s="298">
        <v>0</v>
      </c>
      <c r="J131" s="298">
        <v>0</v>
      </c>
      <c r="K131" s="298">
        <v>0</v>
      </c>
      <c r="L131" s="298">
        <v>0</v>
      </c>
      <c r="M131" s="298">
        <v>0</v>
      </c>
      <c r="N131" s="298">
        <v>0</v>
      </c>
      <c r="O131" s="298">
        <v>0</v>
      </c>
      <c r="P131" s="298">
        <v>0</v>
      </c>
      <c r="Q131" s="298">
        <v>0</v>
      </c>
      <c r="R131" s="308"/>
      <c r="AD131" s="276"/>
    </row>
    <row r="132" spans="1:30" ht="15" customHeight="1">
      <c r="A132" s="553"/>
      <c r="B132" s="330" t="s">
        <v>585</v>
      </c>
      <c r="C132" s="298">
        <v>0</v>
      </c>
      <c r="D132" s="298">
        <v>0</v>
      </c>
      <c r="E132" s="298">
        <v>0</v>
      </c>
      <c r="F132" s="298">
        <v>0</v>
      </c>
      <c r="G132" s="298">
        <v>0</v>
      </c>
      <c r="H132" s="298">
        <v>0</v>
      </c>
      <c r="I132" s="298">
        <v>0</v>
      </c>
      <c r="J132" s="298">
        <v>0</v>
      </c>
      <c r="K132" s="298">
        <v>0</v>
      </c>
      <c r="L132" s="298">
        <v>0</v>
      </c>
      <c r="M132" s="298">
        <v>0</v>
      </c>
      <c r="N132" s="298">
        <v>0</v>
      </c>
      <c r="O132" s="298">
        <v>0</v>
      </c>
      <c r="P132" s="298">
        <v>0</v>
      </c>
      <c r="Q132" s="298">
        <v>0</v>
      </c>
      <c r="R132" s="308"/>
      <c r="AD132" s="276"/>
    </row>
    <row r="133" spans="1:30" ht="15" customHeight="1">
      <c r="A133" s="553"/>
      <c r="B133" s="330" t="s">
        <v>586</v>
      </c>
      <c r="C133" s="298">
        <v>0</v>
      </c>
      <c r="D133" s="298">
        <v>0</v>
      </c>
      <c r="E133" s="298">
        <v>0</v>
      </c>
      <c r="F133" s="298">
        <v>0</v>
      </c>
      <c r="G133" s="298">
        <v>0</v>
      </c>
      <c r="H133" s="298">
        <v>0</v>
      </c>
      <c r="I133" s="298">
        <v>0</v>
      </c>
      <c r="J133" s="298">
        <v>0</v>
      </c>
      <c r="K133" s="298">
        <v>0</v>
      </c>
      <c r="L133" s="298">
        <v>0</v>
      </c>
      <c r="M133" s="298">
        <v>0</v>
      </c>
      <c r="N133" s="298">
        <v>0</v>
      </c>
      <c r="O133" s="298">
        <v>0</v>
      </c>
      <c r="P133" s="298">
        <v>0</v>
      </c>
      <c r="Q133" s="298">
        <v>0</v>
      </c>
      <c r="R133" s="308"/>
      <c r="AD133" s="276"/>
    </row>
    <row r="134" spans="1:30" ht="15" customHeight="1">
      <c r="A134" s="553"/>
      <c r="B134" s="330" t="s">
        <v>587</v>
      </c>
      <c r="C134" s="298">
        <v>0</v>
      </c>
      <c r="D134" s="298">
        <v>0</v>
      </c>
      <c r="E134" s="298">
        <v>0</v>
      </c>
      <c r="F134" s="298">
        <v>0</v>
      </c>
      <c r="G134" s="298">
        <v>0</v>
      </c>
      <c r="H134" s="298">
        <v>0</v>
      </c>
      <c r="I134" s="298">
        <v>0</v>
      </c>
      <c r="J134" s="298">
        <v>0</v>
      </c>
      <c r="K134" s="298">
        <v>0</v>
      </c>
      <c r="L134" s="298">
        <v>0</v>
      </c>
      <c r="M134" s="298">
        <v>0</v>
      </c>
      <c r="N134" s="298">
        <v>0</v>
      </c>
      <c r="O134" s="298">
        <v>0</v>
      </c>
      <c r="P134" s="298">
        <v>0</v>
      </c>
      <c r="Q134" s="298">
        <v>0</v>
      </c>
      <c r="R134" s="308"/>
      <c r="AD134" s="276"/>
    </row>
    <row r="135" spans="1:30" ht="15" customHeight="1">
      <c r="A135" s="553"/>
      <c r="B135" s="330" t="s">
        <v>588</v>
      </c>
      <c r="C135" s="298">
        <v>0</v>
      </c>
      <c r="D135" s="298">
        <v>0</v>
      </c>
      <c r="E135" s="298">
        <v>0</v>
      </c>
      <c r="F135" s="298">
        <v>0</v>
      </c>
      <c r="G135" s="298">
        <v>0</v>
      </c>
      <c r="H135" s="298">
        <v>0</v>
      </c>
      <c r="I135" s="298">
        <v>0</v>
      </c>
      <c r="J135" s="298">
        <v>0</v>
      </c>
      <c r="K135" s="298">
        <v>0</v>
      </c>
      <c r="L135" s="298">
        <v>0</v>
      </c>
      <c r="M135" s="298">
        <v>0</v>
      </c>
      <c r="N135" s="298">
        <v>0</v>
      </c>
      <c r="O135" s="298">
        <v>0</v>
      </c>
      <c r="P135" s="298">
        <v>0</v>
      </c>
      <c r="Q135" s="298">
        <v>0</v>
      </c>
      <c r="R135" s="308"/>
      <c r="AD135" s="276"/>
    </row>
    <row r="136" spans="1:30" ht="15" customHeight="1">
      <c r="A136" s="553"/>
      <c r="B136" s="330" t="s">
        <v>589</v>
      </c>
      <c r="C136" s="298">
        <v>0</v>
      </c>
      <c r="D136" s="298">
        <v>0</v>
      </c>
      <c r="E136" s="298">
        <v>0</v>
      </c>
      <c r="F136" s="298">
        <v>0</v>
      </c>
      <c r="G136" s="298">
        <v>0</v>
      </c>
      <c r="H136" s="298">
        <v>0</v>
      </c>
      <c r="I136" s="298">
        <v>0</v>
      </c>
      <c r="J136" s="298">
        <v>0</v>
      </c>
      <c r="K136" s="298">
        <v>0</v>
      </c>
      <c r="L136" s="298">
        <v>0</v>
      </c>
      <c r="M136" s="298">
        <v>0</v>
      </c>
      <c r="N136" s="298">
        <v>0</v>
      </c>
      <c r="O136" s="298">
        <v>0</v>
      </c>
      <c r="P136" s="298">
        <v>0</v>
      </c>
      <c r="Q136" s="298">
        <v>0</v>
      </c>
      <c r="R136" s="308"/>
      <c r="AD136" s="276"/>
    </row>
    <row r="137" spans="1:30" ht="15" customHeight="1">
      <c r="A137" s="553"/>
      <c r="B137" s="330" t="s">
        <v>590</v>
      </c>
      <c r="C137" s="298">
        <v>0</v>
      </c>
      <c r="D137" s="298">
        <v>0</v>
      </c>
      <c r="E137" s="298">
        <v>0</v>
      </c>
      <c r="F137" s="298">
        <v>0</v>
      </c>
      <c r="G137" s="298">
        <v>0</v>
      </c>
      <c r="H137" s="298">
        <v>0</v>
      </c>
      <c r="I137" s="298">
        <v>0</v>
      </c>
      <c r="J137" s="298">
        <v>0</v>
      </c>
      <c r="K137" s="298">
        <v>0</v>
      </c>
      <c r="L137" s="298">
        <v>0</v>
      </c>
      <c r="M137" s="298">
        <v>0</v>
      </c>
      <c r="N137" s="298">
        <v>0</v>
      </c>
      <c r="O137" s="298">
        <v>0</v>
      </c>
      <c r="P137" s="298">
        <v>0</v>
      </c>
      <c r="Q137" s="298">
        <v>0</v>
      </c>
      <c r="R137" s="308"/>
      <c r="AD137" s="276"/>
    </row>
    <row r="138" spans="1:30" ht="15" customHeight="1">
      <c r="A138" s="553"/>
      <c r="B138" s="330" t="s">
        <v>591</v>
      </c>
      <c r="C138" s="298">
        <v>0</v>
      </c>
      <c r="D138" s="298">
        <v>0</v>
      </c>
      <c r="E138" s="298">
        <v>0</v>
      </c>
      <c r="F138" s="298">
        <v>0</v>
      </c>
      <c r="G138" s="298">
        <v>0</v>
      </c>
      <c r="H138" s="298">
        <v>0</v>
      </c>
      <c r="I138" s="298">
        <v>0</v>
      </c>
      <c r="J138" s="298">
        <v>0</v>
      </c>
      <c r="K138" s="298">
        <v>0</v>
      </c>
      <c r="L138" s="298">
        <v>0</v>
      </c>
      <c r="M138" s="298">
        <v>0</v>
      </c>
      <c r="N138" s="298">
        <v>0</v>
      </c>
      <c r="O138" s="298">
        <v>0</v>
      </c>
      <c r="P138" s="298">
        <v>0</v>
      </c>
      <c r="Q138" s="298">
        <v>0</v>
      </c>
      <c r="R138" s="308"/>
      <c r="AD138" s="276"/>
    </row>
    <row r="139" spans="1:30" ht="15" customHeight="1">
      <c r="A139" s="553"/>
      <c r="B139" s="330" t="s">
        <v>592</v>
      </c>
      <c r="C139" s="298">
        <v>0</v>
      </c>
      <c r="D139" s="298">
        <v>0</v>
      </c>
      <c r="E139" s="298">
        <v>0</v>
      </c>
      <c r="F139" s="298">
        <v>0</v>
      </c>
      <c r="G139" s="298">
        <v>0</v>
      </c>
      <c r="H139" s="298">
        <v>0</v>
      </c>
      <c r="I139" s="298">
        <v>0</v>
      </c>
      <c r="J139" s="298">
        <v>0</v>
      </c>
      <c r="K139" s="298">
        <v>0</v>
      </c>
      <c r="L139" s="298">
        <v>0</v>
      </c>
      <c r="M139" s="298">
        <v>0</v>
      </c>
      <c r="N139" s="298">
        <v>0</v>
      </c>
      <c r="O139" s="298">
        <v>0</v>
      </c>
      <c r="P139" s="298">
        <v>0</v>
      </c>
      <c r="Q139" s="298">
        <v>0</v>
      </c>
      <c r="R139" s="308"/>
      <c r="AD139" s="276"/>
    </row>
    <row r="140" spans="1:30" ht="15" customHeight="1">
      <c r="A140" s="553"/>
      <c r="B140" s="330" t="s">
        <v>593</v>
      </c>
      <c r="C140" s="298">
        <v>0</v>
      </c>
      <c r="D140" s="298">
        <v>0</v>
      </c>
      <c r="E140" s="298">
        <v>0</v>
      </c>
      <c r="F140" s="298">
        <v>0</v>
      </c>
      <c r="G140" s="298">
        <v>0</v>
      </c>
      <c r="H140" s="298">
        <v>0</v>
      </c>
      <c r="I140" s="298">
        <v>0</v>
      </c>
      <c r="J140" s="298">
        <v>0</v>
      </c>
      <c r="K140" s="298">
        <v>0</v>
      </c>
      <c r="L140" s="298">
        <v>0</v>
      </c>
      <c r="M140" s="298">
        <v>0</v>
      </c>
      <c r="N140" s="298">
        <v>0</v>
      </c>
      <c r="O140" s="298">
        <v>0</v>
      </c>
      <c r="P140" s="298">
        <v>0</v>
      </c>
      <c r="Q140" s="298">
        <v>0</v>
      </c>
      <c r="R140" s="308"/>
      <c r="AD140" s="276"/>
    </row>
    <row r="141" spans="1:30" ht="15" customHeight="1">
      <c r="A141" s="553"/>
      <c r="B141" s="330" t="s">
        <v>594</v>
      </c>
      <c r="C141" s="298">
        <v>0</v>
      </c>
      <c r="D141" s="298">
        <v>0</v>
      </c>
      <c r="E141" s="298">
        <v>0</v>
      </c>
      <c r="F141" s="298">
        <v>0</v>
      </c>
      <c r="G141" s="298">
        <v>0</v>
      </c>
      <c r="H141" s="298">
        <v>0</v>
      </c>
      <c r="I141" s="298">
        <v>0</v>
      </c>
      <c r="J141" s="298">
        <v>0</v>
      </c>
      <c r="K141" s="298">
        <v>0</v>
      </c>
      <c r="L141" s="298">
        <v>0</v>
      </c>
      <c r="M141" s="298">
        <v>0</v>
      </c>
      <c r="N141" s="298">
        <v>0</v>
      </c>
      <c r="O141" s="298">
        <v>0</v>
      </c>
      <c r="P141" s="298">
        <v>0</v>
      </c>
      <c r="Q141" s="298">
        <v>0</v>
      </c>
      <c r="R141" s="308"/>
      <c r="AD141" s="276"/>
    </row>
    <row r="142" spans="1:30" ht="15" customHeight="1">
      <c r="A142" s="553"/>
      <c r="B142" s="330" t="s">
        <v>595</v>
      </c>
      <c r="C142" s="298">
        <v>0</v>
      </c>
      <c r="D142" s="298">
        <v>0</v>
      </c>
      <c r="E142" s="298">
        <v>0</v>
      </c>
      <c r="F142" s="298">
        <v>0</v>
      </c>
      <c r="G142" s="298">
        <v>0</v>
      </c>
      <c r="H142" s="298">
        <v>0</v>
      </c>
      <c r="I142" s="298">
        <v>0</v>
      </c>
      <c r="J142" s="298">
        <v>0</v>
      </c>
      <c r="K142" s="298">
        <v>0</v>
      </c>
      <c r="L142" s="298">
        <v>0</v>
      </c>
      <c r="M142" s="298">
        <v>0</v>
      </c>
      <c r="N142" s="298">
        <v>0</v>
      </c>
      <c r="O142" s="298">
        <v>0</v>
      </c>
      <c r="P142" s="298">
        <v>0</v>
      </c>
      <c r="Q142" s="298">
        <v>0</v>
      </c>
      <c r="R142" s="308"/>
      <c r="AD142" s="276"/>
    </row>
    <row r="143" spans="1:30" ht="15" customHeight="1">
      <c r="A143" s="553"/>
      <c r="B143" s="330" t="s">
        <v>596</v>
      </c>
      <c r="C143" s="298">
        <v>0</v>
      </c>
      <c r="D143" s="298">
        <v>0</v>
      </c>
      <c r="E143" s="298">
        <v>0</v>
      </c>
      <c r="F143" s="298">
        <v>0</v>
      </c>
      <c r="G143" s="298">
        <v>0</v>
      </c>
      <c r="H143" s="298">
        <v>0</v>
      </c>
      <c r="I143" s="298">
        <v>0</v>
      </c>
      <c r="J143" s="298">
        <v>0</v>
      </c>
      <c r="K143" s="298">
        <v>0</v>
      </c>
      <c r="L143" s="298">
        <v>0</v>
      </c>
      <c r="M143" s="298">
        <v>0</v>
      </c>
      <c r="N143" s="298">
        <v>0</v>
      </c>
      <c r="O143" s="298">
        <v>0</v>
      </c>
      <c r="P143" s="298">
        <v>0</v>
      </c>
      <c r="Q143" s="298">
        <v>0</v>
      </c>
      <c r="R143" s="308"/>
      <c r="AD143" s="276"/>
    </row>
    <row r="144" spans="1:30" ht="15" customHeight="1">
      <c r="A144" s="553"/>
      <c r="B144" s="330" t="s">
        <v>902</v>
      </c>
      <c r="C144" s="298">
        <v>0</v>
      </c>
      <c r="D144" s="298">
        <v>0</v>
      </c>
      <c r="E144" s="298">
        <v>0</v>
      </c>
      <c r="F144" s="298">
        <v>0</v>
      </c>
      <c r="G144" s="298">
        <v>0</v>
      </c>
      <c r="H144" s="298">
        <v>0</v>
      </c>
      <c r="I144" s="298">
        <v>0</v>
      </c>
      <c r="J144" s="298">
        <v>0</v>
      </c>
      <c r="K144" s="298">
        <v>0</v>
      </c>
      <c r="L144" s="298">
        <v>0</v>
      </c>
      <c r="M144" s="298">
        <v>0</v>
      </c>
      <c r="N144" s="298">
        <v>0</v>
      </c>
      <c r="O144" s="298">
        <v>0</v>
      </c>
      <c r="P144" s="298">
        <v>0</v>
      </c>
      <c r="Q144" s="298">
        <v>0</v>
      </c>
      <c r="R144" s="308"/>
      <c r="AD144" s="276"/>
    </row>
    <row r="145" spans="1:30" ht="15" customHeight="1">
      <c r="A145" s="553"/>
      <c r="B145" s="330" t="s">
        <v>903</v>
      </c>
      <c r="C145" s="298">
        <v>0</v>
      </c>
      <c r="D145" s="298">
        <v>0</v>
      </c>
      <c r="E145" s="298">
        <v>0</v>
      </c>
      <c r="F145" s="298">
        <v>0</v>
      </c>
      <c r="G145" s="298">
        <v>0</v>
      </c>
      <c r="H145" s="298">
        <v>0</v>
      </c>
      <c r="I145" s="298">
        <v>0</v>
      </c>
      <c r="J145" s="298">
        <v>0</v>
      </c>
      <c r="K145" s="298">
        <v>0</v>
      </c>
      <c r="L145" s="298">
        <v>0</v>
      </c>
      <c r="M145" s="298">
        <v>0</v>
      </c>
      <c r="N145" s="298">
        <v>0</v>
      </c>
      <c r="O145" s="298">
        <v>0</v>
      </c>
      <c r="P145" s="298">
        <v>0</v>
      </c>
      <c r="Q145" s="298">
        <v>0</v>
      </c>
      <c r="R145" s="308"/>
      <c r="AD145" s="276"/>
    </row>
    <row r="146" spans="1:30" ht="15" customHeight="1">
      <c r="A146" s="553"/>
      <c r="B146" s="330" t="s">
        <v>904</v>
      </c>
      <c r="C146" s="298">
        <v>0</v>
      </c>
      <c r="D146" s="298">
        <v>0</v>
      </c>
      <c r="E146" s="298">
        <v>0</v>
      </c>
      <c r="F146" s="298">
        <v>0</v>
      </c>
      <c r="G146" s="298">
        <v>0</v>
      </c>
      <c r="H146" s="298">
        <v>0</v>
      </c>
      <c r="I146" s="298">
        <v>0</v>
      </c>
      <c r="J146" s="298">
        <v>0</v>
      </c>
      <c r="K146" s="298">
        <v>0</v>
      </c>
      <c r="L146" s="298">
        <v>0</v>
      </c>
      <c r="M146" s="298">
        <v>0</v>
      </c>
      <c r="N146" s="298">
        <v>0</v>
      </c>
      <c r="O146" s="298">
        <v>0</v>
      </c>
      <c r="P146" s="298">
        <v>0</v>
      </c>
      <c r="Q146" s="298">
        <v>0</v>
      </c>
      <c r="R146" s="308"/>
      <c r="AD146" s="276"/>
    </row>
    <row r="147" spans="1:30" ht="15" customHeight="1">
      <c r="A147" s="553"/>
      <c r="B147" s="330" t="s">
        <v>905</v>
      </c>
      <c r="C147" s="298">
        <v>0</v>
      </c>
      <c r="D147" s="298">
        <v>0</v>
      </c>
      <c r="E147" s="298">
        <v>0</v>
      </c>
      <c r="F147" s="298">
        <v>0</v>
      </c>
      <c r="G147" s="298">
        <v>0</v>
      </c>
      <c r="H147" s="298">
        <v>0</v>
      </c>
      <c r="I147" s="298">
        <v>0</v>
      </c>
      <c r="J147" s="298">
        <v>0</v>
      </c>
      <c r="K147" s="298">
        <v>0</v>
      </c>
      <c r="L147" s="298">
        <v>0</v>
      </c>
      <c r="M147" s="298">
        <v>0</v>
      </c>
      <c r="N147" s="298">
        <v>0</v>
      </c>
      <c r="O147" s="298">
        <v>0</v>
      </c>
      <c r="P147" s="298">
        <v>0</v>
      </c>
      <c r="Q147" s="298">
        <v>0</v>
      </c>
      <c r="R147" s="308"/>
      <c r="AD147" s="276"/>
    </row>
    <row r="148" spans="1:30" ht="15" customHeight="1">
      <c r="A148" s="553"/>
      <c r="B148" s="330" t="s">
        <v>906</v>
      </c>
      <c r="C148" s="298">
        <v>0</v>
      </c>
      <c r="D148" s="298">
        <v>0</v>
      </c>
      <c r="E148" s="298">
        <v>0</v>
      </c>
      <c r="F148" s="298">
        <v>0</v>
      </c>
      <c r="G148" s="298">
        <v>0</v>
      </c>
      <c r="H148" s="298">
        <v>0</v>
      </c>
      <c r="I148" s="298">
        <v>0</v>
      </c>
      <c r="J148" s="298">
        <v>0</v>
      </c>
      <c r="K148" s="298">
        <v>0</v>
      </c>
      <c r="L148" s="298">
        <v>0</v>
      </c>
      <c r="M148" s="298">
        <v>0</v>
      </c>
      <c r="N148" s="298">
        <v>0</v>
      </c>
      <c r="O148" s="298">
        <v>0</v>
      </c>
      <c r="P148" s="298">
        <v>0</v>
      </c>
      <c r="Q148" s="298">
        <v>0</v>
      </c>
      <c r="R148" s="308"/>
      <c r="AD148" s="276"/>
    </row>
    <row r="149" spans="1:30" ht="15" customHeight="1" thickBot="1">
      <c r="A149" s="553"/>
      <c r="B149" s="330" t="s">
        <v>907</v>
      </c>
      <c r="C149" s="298">
        <v>0</v>
      </c>
      <c r="D149" s="298">
        <v>0</v>
      </c>
      <c r="E149" s="298">
        <v>0</v>
      </c>
      <c r="F149" s="298">
        <v>0</v>
      </c>
      <c r="G149" s="298">
        <v>0</v>
      </c>
      <c r="H149" s="298">
        <v>0</v>
      </c>
      <c r="I149" s="298">
        <v>0</v>
      </c>
      <c r="J149" s="298">
        <v>0</v>
      </c>
      <c r="K149" s="298">
        <v>0</v>
      </c>
      <c r="L149" s="298">
        <v>0</v>
      </c>
      <c r="M149" s="298">
        <v>0</v>
      </c>
      <c r="N149" s="298">
        <v>0</v>
      </c>
      <c r="O149" s="298">
        <v>0</v>
      </c>
      <c r="P149" s="298">
        <v>0</v>
      </c>
      <c r="Q149" s="298">
        <v>0</v>
      </c>
      <c r="R149" s="308"/>
      <c r="AD149" s="276"/>
    </row>
    <row r="150" spans="1:30" ht="15" customHeight="1">
      <c r="A150" s="552" t="s">
        <v>909</v>
      </c>
      <c r="B150" s="330" t="s">
        <v>580</v>
      </c>
      <c r="C150" s="298">
        <v>0</v>
      </c>
      <c r="D150" s="298">
        <v>0</v>
      </c>
      <c r="E150" s="298">
        <v>0</v>
      </c>
      <c r="F150" s="298">
        <v>0</v>
      </c>
      <c r="G150" s="298">
        <v>0</v>
      </c>
      <c r="H150" s="298">
        <v>0</v>
      </c>
      <c r="I150" s="298">
        <v>0</v>
      </c>
      <c r="J150" s="298">
        <v>0</v>
      </c>
      <c r="K150" s="298">
        <v>0</v>
      </c>
      <c r="L150" s="298">
        <v>0</v>
      </c>
      <c r="M150" s="298">
        <v>0</v>
      </c>
      <c r="N150" s="298">
        <v>0</v>
      </c>
      <c r="O150" s="298">
        <v>0</v>
      </c>
      <c r="P150" s="298">
        <v>0</v>
      </c>
      <c r="Q150" s="298">
        <v>0</v>
      </c>
      <c r="R150" s="308"/>
      <c r="AD150" s="276"/>
    </row>
    <row r="151" spans="1:30" ht="15" customHeight="1">
      <c r="A151" s="553"/>
      <c r="B151" s="330" t="s">
        <v>581</v>
      </c>
      <c r="C151" s="298">
        <v>0</v>
      </c>
      <c r="D151" s="298">
        <v>0</v>
      </c>
      <c r="E151" s="298">
        <v>0</v>
      </c>
      <c r="F151" s="298">
        <v>0</v>
      </c>
      <c r="G151" s="298">
        <v>0</v>
      </c>
      <c r="H151" s="298">
        <v>0</v>
      </c>
      <c r="I151" s="298">
        <v>0</v>
      </c>
      <c r="J151" s="298">
        <v>0</v>
      </c>
      <c r="K151" s="298">
        <v>0</v>
      </c>
      <c r="L151" s="298">
        <v>0</v>
      </c>
      <c r="M151" s="298">
        <v>0</v>
      </c>
      <c r="N151" s="298">
        <v>0</v>
      </c>
      <c r="O151" s="298">
        <v>0</v>
      </c>
      <c r="P151" s="298">
        <v>0</v>
      </c>
      <c r="Q151" s="298">
        <v>0</v>
      </c>
      <c r="R151" s="308"/>
      <c r="AD151" s="276"/>
    </row>
    <row r="152" spans="1:30" ht="15" customHeight="1">
      <c r="A152" s="553"/>
      <c r="B152" s="330" t="s">
        <v>582</v>
      </c>
      <c r="C152" s="298">
        <v>0</v>
      </c>
      <c r="D152" s="298">
        <v>0</v>
      </c>
      <c r="E152" s="298">
        <v>0</v>
      </c>
      <c r="F152" s="298">
        <v>0</v>
      </c>
      <c r="G152" s="298">
        <v>0</v>
      </c>
      <c r="H152" s="298">
        <v>0</v>
      </c>
      <c r="I152" s="298">
        <v>0</v>
      </c>
      <c r="J152" s="298">
        <v>0</v>
      </c>
      <c r="K152" s="298">
        <v>0</v>
      </c>
      <c r="L152" s="298">
        <v>0</v>
      </c>
      <c r="M152" s="298">
        <v>0</v>
      </c>
      <c r="N152" s="298">
        <v>0</v>
      </c>
      <c r="O152" s="298">
        <v>0</v>
      </c>
      <c r="P152" s="298">
        <v>0</v>
      </c>
      <c r="Q152" s="298">
        <v>0</v>
      </c>
      <c r="R152" s="308"/>
      <c r="AD152" s="276"/>
    </row>
    <row r="153" spans="1:30" ht="15" customHeight="1">
      <c r="A153" s="553"/>
      <c r="B153" s="330" t="s">
        <v>583</v>
      </c>
      <c r="C153" s="298">
        <v>0</v>
      </c>
      <c r="D153" s="298">
        <v>0</v>
      </c>
      <c r="E153" s="298">
        <v>0</v>
      </c>
      <c r="F153" s="298">
        <v>0</v>
      </c>
      <c r="G153" s="298">
        <v>0</v>
      </c>
      <c r="H153" s="298">
        <v>0</v>
      </c>
      <c r="I153" s="298">
        <v>0</v>
      </c>
      <c r="J153" s="298">
        <v>0</v>
      </c>
      <c r="K153" s="298">
        <v>0</v>
      </c>
      <c r="L153" s="298">
        <v>0</v>
      </c>
      <c r="M153" s="298">
        <v>0</v>
      </c>
      <c r="N153" s="298">
        <v>0</v>
      </c>
      <c r="O153" s="298">
        <v>0</v>
      </c>
      <c r="P153" s="298">
        <v>0</v>
      </c>
      <c r="Q153" s="298">
        <v>0</v>
      </c>
      <c r="R153" s="308"/>
      <c r="AD153" s="276"/>
    </row>
    <row r="154" spans="1:30" ht="15" customHeight="1">
      <c r="A154" s="553"/>
      <c r="B154" s="330" t="s">
        <v>584</v>
      </c>
      <c r="C154" s="298">
        <v>0</v>
      </c>
      <c r="D154" s="298">
        <v>0</v>
      </c>
      <c r="E154" s="298">
        <v>0</v>
      </c>
      <c r="F154" s="298">
        <v>0</v>
      </c>
      <c r="G154" s="298">
        <v>0</v>
      </c>
      <c r="H154" s="298">
        <v>0</v>
      </c>
      <c r="I154" s="298">
        <v>0</v>
      </c>
      <c r="J154" s="298">
        <v>0</v>
      </c>
      <c r="K154" s="298">
        <v>0</v>
      </c>
      <c r="L154" s="298">
        <v>0</v>
      </c>
      <c r="M154" s="298">
        <v>0</v>
      </c>
      <c r="N154" s="298">
        <v>0</v>
      </c>
      <c r="O154" s="298">
        <v>0</v>
      </c>
      <c r="P154" s="298">
        <v>0</v>
      </c>
      <c r="Q154" s="298">
        <v>0</v>
      </c>
      <c r="R154" s="308"/>
      <c r="AD154" s="276"/>
    </row>
    <row r="155" spans="1:30" ht="15" customHeight="1">
      <c r="A155" s="553"/>
      <c r="B155" s="330" t="s">
        <v>585</v>
      </c>
      <c r="C155" s="298">
        <v>0</v>
      </c>
      <c r="D155" s="298">
        <v>0</v>
      </c>
      <c r="E155" s="298">
        <v>0</v>
      </c>
      <c r="F155" s="298">
        <v>0</v>
      </c>
      <c r="G155" s="298">
        <v>0</v>
      </c>
      <c r="H155" s="298">
        <v>0</v>
      </c>
      <c r="I155" s="298">
        <v>0</v>
      </c>
      <c r="J155" s="298">
        <v>0</v>
      </c>
      <c r="K155" s="298">
        <v>0</v>
      </c>
      <c r="L155" s="298">
        <v>0</v>
      </c>
      <c r="M155" s="298">
        <v>0</v>
      </c>
      <c r="N155" s="298">
        <v>0</v>
      </c>
      <c r="O155" s="298">
        <v>0</v>
      </c>
      <c r="P155" s="298">
        <v>0</v>
      </c>
      <c r="Q155" s="298">
        <v>0</v>
      </c>
      <c r="R155" s="308"/>
      <c r="AD155" s="276"/>
    </row>
    <row r="156" spans="1:30" ht="15" customHeight="1">
      <c r="A156" s="553"/>
      <c r="B156" s="330" t="s">
        <v>586</v>
      </c>
      <c r="C156" s="298">
        <v>0</v>
      </c>
      <c r="D156" s="298">
        <v>0</v>
      </c>
      <c r="E156" s="298">
        <v>0</v>
      </c>
      <c r="F156" s="298">
        <v>0</v>
      </c>
      <c r="G156" s="298">
        <v>0</v>
      </c>
      <c r="H156" s="298">
        <v>0</v>
      </c>
      <c r="I156" s="298">
        <v>0</v>
      </c>
      <c r="J156" s="298">
        <v>0</v>
      </c>
      <c r="K156" s="298">
        <v>0</v>
      </c>
      <c r="L156" s="298">
        <v>0</v>
      </c>
      <c r="M156" s="298">
        <v>0</v>
      </c>
      <c r="N156" s="298">
        <v>0</v>
      </c>
      <c r="O156" s="298">
        <v>0</v>
      </c>
      <c r="P156" s="298">
        <v>0</v>
      </c>
      <c r="Q156" s="298">
        <v>0</v>
      </c>
      <c r="R156" s="308"/>
      <c r="AD156" s="276"/>
    </row>
    <row r="157" spans="1:30" ht="15" customHeight="1">
      <c r="A157" s="553"/>
      <c r="B157" s="330" t="s">
        <v>587</v>
      </c>
      <c r="C157" s="298">
        <v>0</v>
      </c>
      <c r="D157" s="298">
        <v>0</v>
      </c>
      <c r="E157" s="298">
        <v>0</v>
      </c>
      <c r="F157" s="298">
        <v>0</v>
      </c>
      <c r="G157" s="298">
        <v>0</v>
      </c>
      <c r="H157" s="298">
        <v>0</v>
      </c>
      <c r="I157" s="298">
        <v>0</v>
      </c>
      <c r="J157" s="298">
        <v>0</v>
      </c>
      <c r="K157" s="298">
        <v>0</v>
      </c>
      <c r="L157" s="298">
        <v>0</v>
      </c>
      <c r="M157" s="298">
        <v>0</v>
      </c>
      <c r="N157" s="298">
        <v>0</v>
      </c>
      <c r="O157" s="298">
        <v>0</v>
      </c>
      <c r="P157" s="298">
        <v>0</v>
      </c>
      <c r="Q157" s="298">
        <v>0</v>
      </c>
      <c r="R157" s="308"/>
      <c r="AD157" s="276"/>
    </row>
    <row r="158" spans="1:30" ht="15" customHeight="1">
      <c r="A158" s="553"/>
      <c r="B158" s="330" t="s">
        <v>588</v>
      </c>
      <c r="C158" s="298">
        <v>0</v>
      </c>
      <c r="D158" s="298">
        <v>0</v>
      </c>
      <c r="E158" s="298">
        <v>0</v>
      </c>
      <c r="F158" s="298">
        <v>0</v>
      </c>
      <c r="G158" s="298">
        <v>0</v>
      </c>
      <c r="H158" s="298">
        <v>0</v>
      </c>
      <c r="I158" s="298">
        <v>0</v>
      </c>
      <c r="J158" s="298">
        <v>0</v>
      </c>
      <c r="K158" s="298">
        <v>0</v>
      </c>
      <c r="L158" s="298">
        <v>0</v>
      </c>
      <c r="M158" s="298">
        <v>0</v>
      </c>
      <c r="N158" s="298">
        <v>0</v>
      </c>
      <c r="O158" s="298">
        <v>0</v>
      </c>
      <c r="P158" s="298">
        <v>0</v>
      </c>
      <c r="Q158" s="298">
        <v>0</v>
      </c>
      <c r="R158" s="295">
        <f t="shared" si="6"/>
        <v>0</v>
      </c>
      <c r="AD158" s="276"/>
    </row>
    <row r="159" spans="1:30" ht="15" customHeight="1">
      <c r="A159" s="553"/>
      <c r="B159" s="330" t="s">
        <v>589</v>
      </c>
      <c r="C159" s="298">
        <v>0</v>
      </c>
      <c r="D159" s="298">
        <v>0</v>
      </c>
      <c r="E159" s="298">
        <v>0</v>
      </c>
      <c r="F159" s="298">
        <v>0</v>
      </c>
      <c r="G159" s="298">
        <v>0</v>
      </c>
      <c r="H159" s="298">
        <v>0</v>
      </c>
      <c r="I159" s="298">
        <v>0</v>
      </c>
      <c r="J159" s="298">
        <v>0</v>
      </c>
      <c r="K159" s="298">
        <v>0</v>
      </c>
      <c r="L159" s="298">
        <v>0</v>
      </c>
      <c r="M159" s="298">
        <v>0</v>
      </c>
      <c r="N159" s="298">
        <v>0</v>
      </c>
      <c r="O159" s="298">
        <v>0</v>
      </c>
      <c r="P159" s="298">
        <v>0</v>
      </c>
      <c r="Q159" s="298">
        <v>0</v>
      </c>
      <c r="R159" s="295">
        <f t="shared" si="6"/>
        <v>0</v>
      </c>
      <c r="AD159" s="276"/>
    </row>
    <row r="160" spans="1:30" ht="15" customHeight="1">
      <c r="A160" s="553"/>
      <c r="B160" s="330" t="s">
        <v>590</v>
      </c>
      <c r="C160" s="298">
        <v>0</v>
      </c>
      <c r="D160" s="298">
        <v>0</v>
      </c>
      <c r="E160" s="298">
        <v>0</v>
      </c>
      <c r="F160" s="298">
        <v>0</v>
      </c>
      <c r="G160" s="298">
        <v>0</v>
      </c>
      <c r="H160" s="298">
        <v>0</v>
      </c>
      <c r="I160" s="298">
        <v>0</v>
      </c>
      <c r="J160" s="298">
        <v>0</v>
      </c>
      <c r="K160" s="298">
        <v>0</v>
      </c>
      <c r="L160" s="298">
        <v>0</v>
      </c>
      <c r="M160" s="298">
        <v>0</v>
      </c>
      <c r="N160" s="298">
        <v>0</v>
      </c>
      <c r="O160" s="298">
        <v>0</v>
      </c>
      <c r="P160" s="298">
        <v>0</v>
      </c>
      <c r="Q160" s="298">
        <v>0</v>
      </c>
      <c r="R160" s="295">
        <f t="shared" si="6"/>
        <v>0</v>
      </c>
      <c r="AD160" s="276"/>
    </row>
    <row r="161" spans="1:30" ht="15" customHeight="1">
      <c r="A161" s="553"/>
      <c r="B161" s="330" t="s">
        <v>591</v>
      </c>
      <c r="C161" s="298">
        <v>0</v>
      </c>
      <c r="D161" s="298">
        <v>0</v>
      </c>
      <c r="E161" s="298">
        <v>0</v>
      </c>
      <c r="F161" s="298">
        <v>0</v>
      </c>
      <c r="G161" s="298">
        <v>0</v>
      </c>
      <c r="H161" s="298">
        <v>0</v>
      </c>
      <c r="I161" s="298">
        <v>0</v>
      </c>
      <c r="J161" s="298">
        <v>0</v>
      </c>
      <c r="K161" s="298">
        <v>0</v>
      </c>
      <c r="L161" s="298">
        <v>0</v>
      </c>
      <c r="M161" s="298">
        <v>0</v>
      </c>
      <c r="N161" s="298">
        <v>0</v>
      </c>
      <c r="O161" s="298">
        <v>0</v>
      </c>
      <c r="P161" s="298">
        <v>0</v>
      </c>
      <c r="Q161" s="298">
        <v>0</v>
      </c>
      <c r="R161" s="295">
        <f t="shared" si="6"/>
        <v>0</v>
      </c>
      <c r="AD161" s="276"/>
    </row>
    <row r="162" spans="1:30" ht="15" customHeight="1">
      <c r="A162" s="553"/>
      <c r="B162" s="330" t="s">
        <v>592</v>
      </c>
      <c r="C162" s="298">
        <v>0</v>
      </c>
      <c r="D162" s="298">
        <v>0</v>
      </c>
      <c r="E162" s="298">
        <v>0</v>
      </c>
      <c r="F162" s="298">
        <v>0</v>
      </c>
      <c r="G162" s="298">
        <v>0</v>
      </c>
      <c r="H162" s="298">
        <v>0</v>
      </c>
      <c r="I162" s="298">
        <v>0</v>
      </c>
      <c r="J162" s="298">
        <v>0</v>
      </c>
      <c r="K162" s="298">
        <v>0</v>
      </c>
      <c r="L162" s="298">
        <v>0</v>
      </c>
      <c r="M162" s="298">
        <v>0</v>
      </c>
      <c r="N162" s="298">
        <v>0</v>
      </c>
      <c r="O162" s="298">
        <v>0</v>
      </c>
      <c r="P162" s="298">
        <v>0</v>
      </c>
      <c r="Q162" s="298">
        <v>0</v>
      </c>
      <c r="R162" s="295">
        <f t="shared" si="6"/>
        <v>0</v>
      </c>
      <c r="AD162" s="276"/>
    </row>
    <row r="163" spans="1:30" ht="15" customHeight="1">
      <c r="A163" s="553"/>
      <c r="B163" s="330" t="s">
        <v>593</v>
      </c>
      <c r="C163" s="298">
        <v>0</v>
      </c>
      <c r="D163" s="298">
        <v>0</v>
      </c>
      <c r="E163" s="298">
        <v>0</v>
      </c>
      <c r="F163" s="298">
        <v>0</v>
      </c>
      <c r="G163" s="298">
        <v>0</v>
      </c>
      <c r="H163" s="298">
        <v>0</v>
      </c>
      <c r="I163" s="298">
        <v>0</v>
      </c>
      <c r="J163" s="298">
        <v>0</v>
      </c>
      <c r="K163" s="298">
        <v>0</v>
      </c>
      <c r="L163" s="298">
        <v>0</v>
      </c>
      <c r="M163" s="298">
        <v>0</v>
      </c>
      <c r="N163" s="298">
        <v>0</v>
      </c>
      <c r="O163" s="298">
        <v>0</v>
      </c>
      <c r="P163" s="298">
        <v>0</v>
      </c>
      <c r="Q163" s="298">
        <v>0</v>
      </c>
      <c r="R163" s="295">
        <f t="shared" si="6"/>
        <v>0</v>
      </c>
      <c r="AD163" s="276"/>
    </row>
    <row r="164" spans="1:30" ht="15" customHeight="1">
      <c r="A164" s="553"/>
      <c r="B164" s="330" t="s">
        <v>594</v>
      </c>
      <c r="C164" s="298">
        <v>0</v>
      </c>
      <c r="D164" s="298">
        <v>0</v>
      </c>
      <c r="E164" s="298">
        <v>0</v>
      </c>
      <c r="F164" s="298">
        <v>0</v>
      </c>
      <c r="G164" s="298">
        <v>0</v>
      </c>
      <c r="H164" s="298">
        <v>0</v>
      </c>
      <c r="I164" s="298">
        <v>0</v>
      </c>
      <c r="J164" s="298">
        <v>0</v>
      </c>
      <c r="K164" s="298">
        <v>0</v>
      </c>
      <c r="L164" s="298">
        <v>0</v>
      </c>
      <c r="M164" s="298">
        <v>0</v>
      </c>
      <c r="N164" s="298">
        <v>0</v>
      </c>
      <c r="O164" s="298">
        <v>0</v>
      </c>
      <c r="P164" s="298">
        <v>0</v>
      </c>
      <c r="Q164" s="298">
        <v>0</v>
      </c>
      <c r="R164" s="295">
        <f t="shared" si="6"/>
        <v>0</v>
      </c>
      <c r="AD164" s="276"/>
    </row>
    <row r="165" spans="1:30" ht="15" customHeight="1">
      <c r="A165" s="553"/>
      <c r="B165" s="330" t="s">
        <v>595</v>
      </c>
      <c r="C165" s="298">
        <v>0</v>
      </c>
      <c r="D165" s="298">
        <v>0</v>
      </c>
      <c r="E165" s="298">
        <v>0</v>
      </c>
      <c r="F165" s="298">
        <v>0</v>
      </c>
      <c r="G165" s="298">
        <v>0</v>
      </c>
      <c r="H165" s="298">
        <v>0</v>
      </c>
      <c r="I165" s="298">
        <v>0</v>
      </c>
      <c r="J165" s="298">
        <v>0</v>
      </c>
      <c r="K165" s="298">
        <v>0</v>
      </c>
      <c r="L165" s="298">
        <v>0</v>
      </c>
      <c r="M165" s="298">
        <v>0</v>
      </c>
      <c r="N165" s="298">
        <v>0</v>
      </c>
      <c r="O165" s="298">
        <v>0</v>
      </c>
      <c r="P165" s="298">
        <v>0</v>
      </c>
      <c r="Q165" s="298">
        <v>0</v>
      </c>
      <c r="R165" s="295">
        <f t="shared" si="6"/>
        <v>0</v>
      </c>
      <c r="AD165" s="276"/>
    </row>
    <row r="166" spans="1:30" ht="15" customHeight="1">
      <c r="A166" s="553"/>
      <c r="B166" s="330" t="s">
        <v>596</v>
      </c>
      <c r="C166" s="298">
        <v>0</v>
      </c>
      <c r="D166" s="298">
        <v>0</v>
      </c>
      <c r="E166" s="298">
        <v>0</v>
      </c>
      <c r="F166" s="298">
        <v>0</v>
      </c>
      <c r="G166" s="298">
        <v>0</v>
      </c>
      <c r="H166" s="298">
        <v>0</v>
      </c>
      <c r="I166" s="298">
        <v>0</v>
      </c>
      <c r="J166" s="298">
        <v>0</v>
      </c>
      <c r="K166" s="298">
        <v>0</v>
      </c>
      <c r="L166" s="298">
        <v>0</v>
      </c>
      <c r="M166" s="298">
        <v>0</v>
      </c>
      <c r="N166" s="298">
        <v>0</v>
      </c>
      <c r="O166" s="298">
        <v>0</v>
      </c>
      <c r="P166" s="298">
        <v>0</v>
      </c>
      <c r="Q166" s="298">
        <v>0</v>
      </c>
      <c r="R166" s="295">
        <f t="shared" si="6"/>
        <v>0</v>
      </c>
      <c r="AD166" s="276"/>
    </row>
    <row r="167" spans="1:30" ht="15" customHeight="1">
      <c r="A167" s="553"/>
      <c r="B167" s="330" t="s">
        <v>902</v>
      </c>
      <c r="C167" s="298">
        <v>0</v>
      </c>
      <c r="D167" s="298">
        <v>0</v>
      </c>
      <c r="E167" s="298">
        <v>0</v>
      </c>
      <c r="F167" s="298">
        <v>0</v>
      </c>
      <c r="G167" s="298">
        <v>0</v>
      </c>
      <c r="H167" s="298">
        <v>0</v>
      </c>
      <c r="I167" s="298">
        <v>0</v>
      </c>
      <c r="J167" s="298">
        <v>0</v>
      </c>
      <c r="K167" s="298">
        <v>0</v>
      </c>
      <c r="L167" s="298">
        <v>0</v>
      </c>
      <c r="M167" s="298">
        <v>0</v>
      </c>
      <c r="N167" s="298">
        <v>0</v>
      </c>
      <c r="O167" s="298">
        <v>0</v>
      </c>
      <c r="P167" s="298">
        <v>0</v>
      </c>
      <c r="Q167" s="298">
        <v>0</v>
      </c>
      <c r="R167" s="295">
        <f t="shared" si="6"/>
        <v>0</v>
      </c>
      <c r="AD167" s="276"/>
    </row>
    <row r="168" spans="1:30" ht="15" customHeight="1">
      <c r="A168" s="553"/>
      <c r="B168" s="330" t="s">
        <v>903</v>
      </c>
      <c r="C168" s="298">
        <v>0</v>
      </c>
      <c r="D168" s="298">
        <v>0</v>
      </c>
      <c r="E168" s="298">
        <v>0</v>
      </c>
      <c r="F168" s="298">
        <v>0</v>
      </c>
      <c r="G168" s="298">
        <v>0</v>
      </c>
      <c r="H168" s="298">
        <v>0</v>
      </c>
      <c r="I168" s="298">
        <v>0</v>
      </c>
      <c r="J168" s="298">
        <v>0</v>
      </c>
      <c r="K168" s="298">
        <v>0</v>
      </c>
      <c r="L168" s="298">
        <v>0</v>
      </c>
      <c r="M168" s="298">
        <v>0</v>
      </c>
      <c r="N168" s="298">
        <v>0</v>
      </c>
      <c r="O168" s="298">
        <v>0</v>
      </c>
      <c r="P168" s="298">
        <v>0</v>
      </c>
      <c r="Q168" s="298">
        <v>0</v>
      </c>
      <c r="R168" s="295">
        <f t="shared" si="6"/>
        <v>0</v>
      </c>
      <c r="AD168" s="276"/>
    </row>
    <row r="169" spans="1:30" ht="15" customHeight="1">
      <c r="A169" s="553"/>
      <c r="B169" s="330" t="s">
        <v>904</v>
      </c>
      <c r="C169" s="298">
        <v>0</v>
      </c>
      <c r="D169" s="298">
        <v>0</v>
      </c>
      <c r="E169" s="298">
        <v>0</v>
      </c>
      <c r="F169" s="298">
        <v>0</v>
      </c>
      <c r="G169" s="298">
        <v>0</v>
      </c>
      <c r="H169" s="298">
        <v>0</v>
      </c>
      <c r="I169" s="298">
        <v>0</v>
      </c>
      <c r="J169" s="298">
        <v>0</v>
      </c>
      <c r="K169" s="298">
        <v>0</v>
      </c>
      <c r="L169" s="298">
        <v>0</v>
      </c>
      <c r="M169" s="298">
        <v>0</v>
      </c>
      <c r="N169" s="298">
        <v>0</v>
      </c>
      <c r="O169" s="298">
        <v>0</v>
      </c>
      <c r="P169" s="298">
        <v>0</v>
      </c>
      <c r="Q169" s="298">
        <v>0</v>
      </c>
      <c r="R169" s="295">
        <f t="shared" si="6"/>
        <v>0</v>
      </c>
      <c r="AD169" s="276"/>
    </row>
    <row r="170" spans="1:30" ht="15" customHeight="1" thickBot="1">
      <c r="A170" s="554"/>
      <c r="B170" s="333" t="s">
        <v>905</v>
      </c>
      <c r="C170" s="298">
        <v>0</v>
      </c>
      <c r="D170" s="298">
        <v>0</v>
      </c>
      <c r="E170" s="298">
        <v>0</v>
      </c>
      <c r="F170" s="298">
        <v>0</v>
      </c>
      <c r="G170" s="298">
        <v>0</v>
      </c>
      <c r="H170" s="298">
        <v>0</v>
      </c>
      <c r="I170" s="298">
        <v>0</v>
      </c>
      <c r="J170" s="298">
        <v>0</v>
      </c>
      <c r="K170" s="298">
        <v>0</v>
      </c>
      <c r="L170" s="298">
        <v>0</v>
      </c>
      <c r="M170" s="298">
        <v>0</v>
      </c>
      <c r="N170" s="298">
        <v>0</v>
      </c>
      <c r="O170" s="298">
        <v>0</v>
      </c>
      <c r="P170" s="298">
        <v>0</v>
      </c>
      <c r="Q170" s="298">
        <v>0</v>
      </c>
      <c r="R170" s="295">
        <f t="shared" si="6"/>
        <v>0</v>
      </c>
      <c r="AD170" s="276"/>
    </row>
    <row r="171" spans="1:30" ht="20.100000000000001" customHeight="1" thickBot="1">
      <c r="A171" s="558" t="s">
        <v>755</v>
      </c>
      <c r="B171" s="559"/>
      <c r="C171" s="296"/>
      <c r="D171" s="296"/>
      <c r="E171" s="296"/>
      <c r="F171" s="296"/>
      <c r="G171" s="296"/>
      <c r="H171" s="296"/>
      <c r="I171" s="296"/>
      <c r="J171" s="296"/>
      <c r="K171" s="296"/>
      <c r="L171" s="296"/>
      <c r="M171" s="296"/>
      <c r="N171" s="296"/>
      <c r="O171" s="296"/>
      <c r="P171" s="296"/>
      <c r="Q171" s="296"/>
      <c r="R171" s="560"/>
      <c r="AD171" s="276"/>
    </row>
    <row r="172" spans="1:30" ht="20.100000000000001" customHeight="1" thickBot="1">
      <c r="A172" s="558" t="s">
        <v>754</v>
      </c>
      <c r="B172" s="559"/>
      <c r="C172" s="296">
        <f t="shared" ref="C172:Q172" si="7">+AVERAGE(C127:C170)</f>
        <v>0</v>
      </c>
      <c r="D172" s="296">
        <f t="shared" si="7"/>
        <v>0</v>
      </c>
      <c r="E172" s="296">
        <f t="shared" si="7"/>
        <v>0</v>
      </c>
      <c r="F172" s="296">
        <f t="shared" si="7"/>
        <v>0</v>
      </c>
      <c r="G172" s="296">
        <f t="shared" si="7"/>
        <v>0</v>
      </c>
      <c r="H172" s="296">
        <f t="shared" si="7"/>
        <v>0</v>
      </c>
      <c r="I172" s="296">
        <f t="shared" si="7"/>
        <v>0</v>
      </c>
      <c r="J172" s="296">
        <f t="shared" si="7"/>
        <v>0</v>
      </c>
      <c r="K172" s="296">
        <f t="shared" si="7"/>
        <v>0</v>
      </c>
      <c r="L172" s="296">
        <f t="shared" si="7"/>
        <v>0</v>
      </c>
      <c r="M172" s="296">
        <f t="shared" si="7"/>
        <v>0</v>
      </c>
      <c r="N172" s="296">
        <f t="shared" si="7"/>
        <v>0</v>
      </c>
      <c r="O172" s="296">
        <f t="shared" si="7"/>
        <v>0</v>
      </c>
      <c r="P172" s="296">
        <f t="shared" si="7"/>
        <v>0</v>
      </c>
      <c r="Q172" s="296">
        <f t="shared" si="7"/>
        <v>0</v>
      </c>
      <c r="R172" s="561"/>
      <c r="AD172" s="276"/>
    </row>
    <row r="173" spans="1:30" ht="20.100000000000001" customHeight="1" thickBot="1">
      <c r="A173" s="558" t="s">
        <v>758</v>
      </c>
      <c r="B173" s="563"/>
      <c r="C173" s="516">
        <f>+AVERAGE(C172:Q172)</f>
        <v>0</v>
      </c>
      <c r="D173" s="517"/>
      <c r="E173" s="517"/>
      <c r="F173" s="517"/>
      <c r="G173" s="517"/>
      <c r="H173" s="517"/>
      <c r="I173" s="517"/>
      <c r="J173" s="517"/>
      <c r="K173" s="517"/>
      <c r="L173" s="517"/>
      <c r="M173" s="517"/>
      <c r="N173" s="517"/>
      <c r="O173" s="517"/>
      <c r="P173" s="517"/>
      <c r="Q173" s="517"/>
      <c r="R173" s="562"/>
      <c r="AD173" s="276"/>
    </row>
    <row r="174" spans="1:30" ht="15" customHeight="1">
      <c r="A174" s="552" t="s">
        <v>916</v>
      </c>
      <c r="B174" s="332" t="s">
        <v>597</v>
      </c>
      <c r="C174" s="301">
        <v>0</v>
      </c>
      <c r="D174" s="301">
        <v>0</v>
      </c>
      <c r="E174" s="301">
        <v>0</v>
      </c>
      <c r="F174" s="301">
        <v>0</v>
      </c>
      <c r="G174" s="301">
        <v>0</v>
      </c>
      <c r="H174" s="301">
        <v>0</v>
      </c>
      <c r="I174" s="301">
        <v>0</v>
      </c>
      <c r="J174" s="301">
        <v>0</v>
      </c>
      <c r="K174" s="301">
        <v>0</v>
      </c>
      <c r="L174" s="301">
        <v>0</v>
      </c>
      <c r="M174" s="301">
        <v>0</v>
      </c>
      <c r="N174" s="301">
        <v>0</v>
      </c>
      <c r="O174" s="301">
        <v>0</v>
      </c>
      <c r="P174" s="301">
        <v>0</v>
      </c>
      <c r="Q174" s="301">
        <v>0</v>
      </c>
      <c r="R174" s="293">
        <f t="shared" ref="R174:R217" si="8">+AVERAGE(C174:Q174)</f>
        <v>0</v>
      </c>
      <c r="AD174" s="276"/>
    </row>
    <row r="175" spans="1:30" ht="15" customHeight="1">
      <c r="A175" s="553"/>
      <c r="B175" s="330" t="s">
        <v>598</v>
      </c>
      <c r="C175" s="302">
        <v>0</v>
      </c>
      <c r="D175" s="302">
        <v>0</v>
      </c>
      <c r="E175" s="302">
        <v>0</v>
      </c>
      <c r="F175" s="302">
        <v>0</v>
      </c>
      <c r="G175" s="302">
        <v>0</v>
      </c>
      <c r="H175" s="302">
        <v>0</v>
      </c>
      <c r="I175" s="302">
        <v>0</v>
      </c>
      <c r="J175" s="302">
        <v>0</v>
      </c>
      <c r="K175" s="302">
        <v>0</v>
      </c>
      <c r="L175" s="302">
        <v>0</v>
      </c>
      <c r="M175" s="302">
        <v>0</v>
      </c>
      <c r="N175" s="302">
        <v>0</v>
      </c>
      <c r="O175" s="302">
        <v>0</v>
      </c>
      <c r="P175" s="302">
        <v>0</v>
      </c>
      <c r="Q175" s="302">
        <v>0</v>
      </c>
      <c r="R175" s="308"/>
      <c r="AD175" s="276"/>
    </row>
    <row r="176" spans="1:30" ht="15" customHeight="1">
      <c r="A176" s="553"/>
      <c r="B176" s="330" t="s">
        <v>599</v>
      </c>
      <c r="C176" s="302">
        <v>0</v>
      </c>
      <c r="D176" s="302">
        <v>0</v>
      </c>
      <c r="E176" s="302">
        <v>0</v>
      </c>
      <c r="F176" s="302">
        <v>0</v>
      </c>
      <c r="G176" s="302">
        <v>0</v>
      </c>
      <c r="H176" s="302">
        <v>0</v>
      </c>
      <c r="I176" s="302">
        <v>0</v>
      </c>
      <c r="J176" s="302">
        <v>0</v>
      </c>
      <c r="K176" s="302">
        <v>0</v>
      </c>
      <c r="L176" s="302">
        <v>0</v>
      </c>
      <c r="M176" s="302">
        <v>0</v>
      </c>
      <c r="N176" s="302">
        <v>0</v>
      </c>
      <c r="O176" s="302">
        <v>0</v>
      </c>
      <c r="P176" s="302">
        <v>0</v>
      </c>
      <c r="Q176" s="302">
        <v>0</v>
      </c>
      <c r="R176" s="295">
        <f t="shared" si="8"/>
        <v>0</v>
      </c>
      <c r="AD176" s="276"/>
    </row>
    <row r="177" spans="1:30" ht="15" customHeight="1">
      <c r="A177" s="553"/>
      <c r="B177" s="330" t="s">
        <v>600</v>
      </c>
      <c r="C177" s="302">
        <v>0</v>
      </c>
      <c r="D177" s="302">
        <v>0</v>
      </c>
      <c r="E177" s="302">
        <v>0</v>
      </c>
      <c r="F177" s="302">
        <v>0</v>
      </c>
      <c r="G177" s="302">
        <v>0</v>
      </c>
      <c r="H177" s="302">
        <v>0</v>
      </c>
      <c r="I177" s="302">
        <v>0</v>
      </c>
      <c r="J177" s="302">
        <v>0</v>
      </c>
      <c r="K177" s="302">
        <v>0</v>
      </c>
      <c r="L177" s="302">
        <v>0</v>
      </c>
      <c r="M177" s="302">
        <v>0</v>
      </c>
      <c r="N177" s="302">
        <v>0</v>
      </c>
      <c r="O177" s="302">
        <v>0</v>
      </c>
      <c r="P177" s="302">
        <v>0</v>
      </c>
      <c r="Q177" s="302">
        <v>0</v>
      </c>
      <c r="R177" s="295">
        <f t="shared" si="8"/>
        <v>0</v>
      </c>
      <c r="AD177" s="276"/>
    </row>
    <row r="178" spans="1:30" ht="15" customHeight="1">
      <c r="A178" s="553"/>
      <c r="B178" s="330" t="s">
        <v>601</v>
      </c>
      <c r="C178" s="302">
        <v>0</v>
      </c>
      <c r="D178" s="302">
        <v>0</v>
      </c>
      <c r="E178" s="302">
        <v>0</v>
      </c>
      <c r="F178" s="302">
        <v>0</v>
      </c>
      <c r="G178" s="302">
        <v>0</v>
      </c>
      <c r="H178" s="302">
        <v>0</v>
      </c>
      <c r="I178" s="302">
        <v>0</v>
      </c>
      <c r="J178" s="302">
        <v>0</v>
      </c>
      <c r="K178" s="302">
        <v>0</v>
      </c>
      <c r="L178" s="302">
        <v>0</v>
      </c>
      <c r="M178" s="302">
        <v>0</v>
      </c>
      <c r="N178" s="302">
        <v>0</v>
      </c>
      <c r="O178" s="302">
        <v>0</v>
      </c>
      <c r="P178" s="302">
        <v>0</v>
      </c>
      <c r="Q178" s="302">
        <v>0</v>
      </c>
      <c r="R178" s="295">
        <f t="shared" si="8"/>
        <v>0</v>
      </c>
      <c r="AD178" s="276"/>
    </row>
    <row r="179" spans="1:30" ht="15" customHeight="1">
      <c r="A179" s="553"/>
      <c r="B179" s="330" t="s">
        <v>602</v>
      </c>
      <c r="C179" s="302">
        <v>0</v>
      </c>
      <c r="D179" s="302">
        <v>0</v>
      </c>
      <c r="E179" s="302">
        <v>0</v>
      </c>
      <c r="F179" s="302">
        <v>0</v>
      </c>
      <c r="G179" s="302">
        <v>0</v>
      </c>
      <c r="H179" s="302">
        <v>0</v>
      </c>
      <c r="I179" s="302">
        <v>0</v>
      </c>
      <c r="J179" s="302">
        <v>0</v>
      </c>
      <c r="K179" s="302">
        <v>0</v>
      </c>
      <c r="L179" s="302">
        <v>0</v>
      </c>
      <c r="M179" s="302">
        <v>0</v>
      </c>
      <c r="N179" s="302">
        <v>0</v>
      </c>
      <c r="O179" s="302">
        <v>0</v>
      </c>
      <c r="P179" s="302">
        <v>0</v>
      </c>
      <c r="Q179" s="302">
        <v>0</v>
      </c>
      <c r="R179" s="295">
        <f t="shared" si="8"/>
        <v>0</v>
      </c>
      <c r="AD179" s="276"/>
    </row>
    <row r="180" spans="1:30" ht="15" customHeight="1">
      <c r="A180" s="553"/>
      <c r="B180" s="330" t="s">
        <v>603</v>
      </c>
      <c r="C180" s="302">
        <v>0</v>
      </c>
      <c r="D180" s="302">
        <v>0</v>
      </c>
      <c r="E180" s="302">
        <v>0</v>
      </c>
      <c r="F180" s="302">
        <v>0</v>
      </c>
      <c r="G180" s="302">
        <v>0</v>
      </c>
      <c r="H180" s="302">
        <v>0</v>
      </c>
      <c r="I180" s="302">
        <v>0</v>
      </c>
      <c r="J180" s="302">
        <v>0</v>
      </c>
      <c r="K180" s="302">
        <v>0</v>
      </c>
      <c r="L180" s="302">
        <v>0</v>
      </c>
      <c r="M180" s="302">
        <v>0</v>
      </c>
      <c r="N180" s="302">
        <v>0</v>
      </c>
      <c r="O180" s="302">
        <v>0</v>
      </c>
      <c r="P180" s="302">
        <v>0</v>
      </c>
      <c r="Q180" s="302">
        <v>0</v>
      </c>
      <c r="R180" s="295">
        <f t="shared" si="8"/>
        <v>0</v>
      </c>
      <c r="AD180" s="276"/>
    </row>
    <row r="181" spans="1:30" ht="15" customHeight="1">
      <c r="A181" s="553"/>
      <c r="B181" s="330" t="s">
        <v>604</v>
      </c>
      <c r="C181" s="302">
        <v>0</v>
      </c>
      <c r="D181" s="302">
        <v>0</v>
      </c>
      <c r="E181" s="302">
        <v>0</v>
      </c>
      <c r="F181" s="302">
        <v>0</v>
      </c>
      <c r="G181" s="302">
        <v>0</v>
      </c>
      <c r="H181" s="302">
        <v>0</v>
      </c>
      <c r="I181" s="302">
        <v>0</v>
      </c>
      <c r="J181" s="302">
        <v>0</v>
      </c>
      <c r="K181" s="302">
        <v>0</v>
      </c>
      <c r="L181" s="302">
        <v>0</v>
      </c>
      <c r="M181" s="302">
        <v>0</v>
      </c>
      <c r="N181" s="302">
        <v>0</v>
      </c>
      <c r="O181" s="302">
        <v>0</v>
      </c>
      <c r="P181" s="302">
        <v>0</v>
      </c>
      <c r="Q181" s="302">
        <v>0</v>
      </c>
      <c r="R181" s="295">
        <f t="shared" si="8"/>
        <v>0</v>
      </c>
      <c r="AD181" s="276"/>
    </row>
    <row r="182" spans="1:30" ht="15" customHeight="1">
      <c r="A182" s="553"/>
      <c r="B182" s="330" t="s">
        <v>605</v>
      </c>
      <c r="C182" s="302">
        <v>0</v>
      </c>
      <c r="D182" s="302">
        <v>0</v>
      </c>
      <c r="E182" s="302">
        <v>0</v>
      </c>
      <c r="F182" s="302">
        <v>0</v>
      </c>
      <c r="G182" s="302">
        <v>0</v>
      </c>
      <c r="H182" s="302">
        <v>0</v>
      </c>
      <c r="I182" s="302">
        <v>0</v>
      </c>
      <c r="J182" s="302">
        <v>0</v>
      </c>
      <c r="K182" s="302">
        <v>0</v>
      </c>
      <c r="L182" s="302">
        <v>0</v>
      </c>
      <c r="M182" s="302">
        <v>0</v>
      </c>
      <c r="N182" s="302">
        <v>0</v>
      </c>
      <c r="O182" s="302">
        <v>0</v>
      </c>
      <c r="P182" s="302">
        <v>0</v>
      </c>
      <c r="Q182" s="302">
        <v>0</v>
      </c>
      <c r="R182" s="295">
        <f t="shared" si="8"/>
        <v>0</v>
      </c>
      <c r="AD182" s="276"/>
    </row>
    <row r="183" spans="1:30" ht="15" customHeight="1">
      <c r="A183" s="553"/>
      <c r="B183" s="330" t="s">
        <v>606</v>
      </c>
      <c r="C183" s="302">
        <v>0</v>
      </c>
      <c r="D183" s="302">
        <v>0</v>
      </c>
      <c r="E183" s="302">
        <v>0</v>
      </c>
      <c r="F183" s="302">
        <v>0</v>
      </c>
      <c r="G183" s="302">
        <v>0</v>
      </c>
      <c r="H183" s="302">
        <v>0</v>
      </c>
      <c r="I183" s="302">
        <v>0</v>
      </c>
      <c r="J183" s="302">
        <v>0</v>
      </c>
      <c r="K183" s="302">
        <v>0</v>
      </c>
      <c r="L183" s="302">
        <v>0</v>
      </c>
      <c r="M183" s="302">
        <v>0</v>
      </c>
      <c r="N183" s="302">
        <v>0</v>
      </c>
      <c r="O183" s="302">
        <v>0</v>
      </c>
      <c r="P183" s="302">
        <v>0</v>
      </c>
      <c r="Q183" s="302">
        <v>0</v>
      </c>
      <c r="R183" s="295">
        <f t="shared" si="8"/>
        <v>0</v>
      </c>
      <c r="AD183" s="276"/>
    </row>
    <row r="184" spans="1:30" ht="15" customHeight="1">
      <c r="A184" s="553"/>
      <c r="B184" s="330" t="s">
        <v>607</v>
      </c>
      <c r="C184" s="302">
        <v>0</v>
      </c>
      <c r="D184" s="302">
        <v>0</v>
      </c>
      <c r="E184" s="302">
        <v>0</v>
      </c>
      <c r="F184" s="302">
        <v>0</v>
      </c>
      <c r="G184" s="302">
        <v>0</v>
      </c>
      <c r="H184" s="302">
        <v>0</v>
      </c>
      <c r="I184" s="302">
        <v>0</v>
      </c>
      <c r="J184" s="302">
        <v>0</v>
      </c>
      <c r="K184" s="302">
        <v>0</v>
      </c>
      <c r="L184" s="302">
        <v>0</v>
      </c>
      <c r="M184" s="302">
        <v>0</v>
      </c>
      <c r="N184" s="302">
        <v>0</v>
      </c>
      <c r="O184" s="302">
        <v>0</v>
      </c>
      <c r="P184" s="302">
        <v>0</v>
      </c>
      <c r="Q184" s="302">
        <v>0</v>
      </c>
      <c r="R184" s="295">
        <f t="shared" si="8"/>
        <v>0</v>
      </c>
      <c r="AD184" s="276"/>
    </row>
    <row r="185" spans="1:30" ht="15" customHeight="1">
      <c r="A185" s="553"/>
      <c r="B185" s="330" t="s">
        <v>608</v>
      </c>
      <c r="C185" s="302">
        <v>0</v>
      </c>
      <c r="D185" s="302">
        <v>0</v>
      </c>
      <c r="E185" s="302">
        <v>0</v>
      </c>
      <c r="F185" s="302">
        <v>0</v>
      </c>
      <c r="G185" s="302">
        <v>0</v>
      </c>
      <c r="H185" s="302">
        <v>0</v>
      </c>
      <c r="I185" s="302">
        <v>0</v>
      </c>
      <c r="J185" s="302">
        <v>0</v>
      </c>
      <c r="K185" s="302">
        <v>0</v>
      </c>
      <c r="L185" s="302">
        <v>0</v>
      </c>
      <c r="M185" s="302">
        <v>0</v>
      </c>
      <c r="N185" s="302">
        <v>0</v>
      </c>
      <c r="O185" s="302">
        <v>0</v>
      </c>
      <c r="P185" s="302">
        <v>0</v>
      </c>
      <c r="Q185" s="302">
        <v>0</v>
      </c>
      <c r="R185" s="295">
        <f t="shared" si="8"/>
        <v>0</v>
      </c>
      <c r="AD185" s="276"/>
    </row>
    <row r="186" spans="1:30" ht="15" customHeight="1">
      <c r="A186" s="553"/>
      <c r="B186" s="330" t="s">
        <v>609</v>
      </c>
      <c r="C186" s="302">
        <v>0</v>
      </c>
      <c r="D186" s="302">
        <v>0</v>
      </c>
      <c r="E186" s="302">
        <v>0</v>
      </c>
      <c r="F186" s="302">
        <v>0</v>
      </c>
      <c r="G186" s="302">
        <v>0</v>
      </c>
      <c r="H186" s="302">
        <v>0</v>
      </c>
      <c r="I186" s="302">
        <v>0</v>
      </c>
      <c r="J186" s="302">
        <v>0</v>
      </c>
      <c r="K186" s="302">
        <v>0</v>
      </c>
      <c r="L186" s="302">
        <v>0</v>
      </c>
      <c r="M186" s="302">
        <v>0</v>
      </c>
      <c r="N186" s="302">
        <v>0</v>
      </c>
      <c r="O186" s="302">
        <v>0</v>
      </c>
      <c r="P186" s="302">
        <v>0</v>
      </c>
      <c r="Q186" s="302">
        <v>0</v>
      </c>
      <c r="R186" s="295">
        <f t="shared" si="8"/>
        <v>0</v>
      </c>
      <c r="AD186" s="276"/>
    </row>
    <row r="187" spans="1:30" ht="15" customHeight="1">
      <c r="A187" s="553"/>
      <c r="B187" s="330" t="s">
        <v>610</v>
      </c>
      <c r="C187" s="302">
        <v>0</v>
      </c>
      <c r="D187" s="302">
        <v>0</v>
      </c>
      <c r="E187" s="302">
        <v>0</v>
      </c>
      <c r="F187" s="302">
        <v>0</v>
      </c>
      <c r="G187" s="302">
        <v>0</v>
      </c>
      <c r="H187" s="302">
        <v>0</v>
      </c>
      <c r="I187" s="302">
        <v>0</v>
      </c>
      <c r="J187" s="302">
        <v>0</v>
      </c>
      <c r="K187" s="302">
        <v>0</v>
      </c>
      <c r="L187" s="302">
        <v>0</v>
      </c>
      <c r="M187" s="302">
        <v>0</v>
      </c>
      <c r="N187" s="302">
        <v>0</v>
      </c>
      <c r="O187" s="302">
        <v>0</v>
      </c>
      <c r="P187" s="302">
        <v>0</v>
      </c>
      <c r="Q187" s="302">
        <v>0</v>
      </c>
      <c r="R187" s="295">
        <f t="shared" si="8"/>
        <v>0</v>
      </c>
      <c r="AD187" s="276"/>
    </row>
    <row r="188" spans="1:30" ht="15" customHeight="1">
      <c r="A188" s="553"/>
      <c r="B188" s="330" t="s">
        <v>611</v>
      </c>
      <c r="C188" s="302">
        <v>0</v>
      </c>
      <c r="D188" s="302">
        <v>0</v>
      </c>
      <c r="E188" s="302">
        <v>0</v>
      </c>
      <c r="F188" s="302">
        <v>0</v>
      </c>
      <c r="G188" s="302">
        <v>0</v>
      </c>
      <c r="H188" s="302">
        <v>0</v>
      </c>
      <c r="I188" s="302">
        <v>0</v>
      </c>
      <c r="J188" s="302">
        <v>0</v>
      </c>
      <c r="K188" s="302">
        <v>0</v>
      </c>
      <c r="L188" s="302">
        <v>0</v>
      </c>
      <c r="M188" s="302">
        <v>0</v>
      </c>
      <c r="N188" s="302">
        <v>0</v>
      </c>
      <c r="O188" s="302">
        <v>0</v>
      </c>
      <c r="P188" s="302">
        <v>0</v>
      </c>
      <c r="Q188" s="302">
        <v>0</v>
      </c>
      <c r="R188" s="295">
        <f t="shared" si="8"/>
        <v>0</v>
      </c>
      <c r="AD188" s="276"/>
    </row>
    <row r="189" spans="1:30" ht="15" customHeight="1">
      <c r="A189" s="553"/>
      <c r="B189" s="330" t="s">
        <v>612</v>
      </c>
      <c r="C189" s="302">
        <v>0</v>
      </c>
      <c r="D189" s="302">
        <v>0</v>
      </c>
      <c r="E189" s="302">
        <v>0</v>
      </c>
      <c r="F189" s="302">
        <v>0</v>
      </c>
      <c r="G189" s="302">
        <v>0</v>
      </c>
      <c r="H189" s="302">
        <v>0</v>
      </c>
      <c r="I189" s="302">
        <v>0</v>
      </c>
      <c r="J189" s="302">
        <v>0</v>
      </c>
      <c r="K189" s="302">
        <v>0</v>
      </c>
      <c r="L189" s="302">
        <v>0</v>
      </c>
      <c r="M189" s="302">
        <v>0</v>
      </c>
      <c r="N189" s="302">
        <v>0</v>
      </c>
      <c r="O189" s="302">
        <v>0</v>
      </c>
      <c r="P189" s="302">
        <v>0</v>
      </c>
      <c r="Q189" s="302">
        <v>0</v>
      </c>
      <c r="R189" s="295">
        <f t="shared" si="8"/>
        <v>0</v>
      </c>
      <c r="AD189" s="276"/>
    </row>
    <row r="190" spans="1:30" ht="15" customHeight="1">
      <c r="A190" s="553"/>
      <c r="B190" s="330" t="s">
        <v>613</v>
      </c>
      <c r="C190" s="302">
        <v>0</v>
      </c>
      <c r="D190" s="302">
        <v>0</v>
      </c>
      <c r="E190" s="302">
        <v>0</v>
      </c>
      <c r="F190" s="302">
        <v>0</v>
      </c>
      <c r="G190" s="302">
        <v>0</v>
      </c>
      <c r="H190" s="302">
        <v>0</v>
      </c>
      <c r="I190" s="302">
        <v>0</v>
      </c>
      <c r="J190" s="302">
        <v>0</v>
      </c>
      <c r="K190" s="302">
        <v>0</v>
      </c>
      <c r="L190" s="302">
        <v>0</v>
      </c>
      <c r="M190" s="302">
        <v>0</v>
      </c>
      <c r="N190" s="302">
        <v>0</v>
      </c>
      <c r="O190" s="302">
        <v>0</v>
      </c>
      <c r="P190" s="302">
        <v>0</v>
      </c>
      <c r="Q190" s="302">
        <v>0</v>
      </c>
      <c r="R190" s="295">
        <f t="shared" si="8"/>
        <v>0</v>
      </c>
      <c r="AD190" s="276"/>
    </row>
    <row r="191" spans="1:30" ht="15" customHeight="1">
      <c r="A191" s="553"/>
      <c r="B191" s="330" t="s">
        <v>910</v>
      </c>
      <c r="C191" s="302">
        <v>0</v>
      </c>
      <c r="D191" s="302">
        <v>0</v>
      </c>
      <c r="E191" s="302">
        <v>0</v>
      </c>
      <c r="F191" s="302">
        <v>0</v>
      </c>
      <c r="G191" s="302">
        <v>0</v>
      </c>
      <c r="H191" s="302">
        <v>0</v>
      </c>
      <c r="I191" s="302">
        <v>0</v>
      </c>
      <c r="J191" s="302">
        <v>0</v>
      </c>
      <c r="K191" s="302">
        <v>0</v>
      </c>
      <c r="L191" s="302">
        <v>0</v>
      </c>
      <c r="M191" s="302">
        <v>0</v>
      </c>
      <c r="N191" s="302">
        <v>0</v>
      </c>
      <c r="O191" s="302">
        <v>0</v>
      </c>
      <c r="P191" s="302">
        <v>0</v>
      </c>
      <c r="Q191" s="302">
        <v>0</v>
      </c>
      <c r="R191" s="295">
        <f t="shared" si="8"/>
        <v>0</v>
      </c>
      <c r="AD191" s="276"/>
    </row>
    <row r="192" spans="1:30" ht="15" customHeight="1">
      <c r="A192" s="553"/>
      <c r="B192" s="330" t="s">
        <v>911</v>
      </c>
      <c r="C192" s="302">
        <v>0</v>
      </c>
      <c r="D192" s="302">
        <v>0</v>
      </c>
      <c r="E192" s="302">
        <v>0</v>
      </c>
      <c r="F192" s="302">
        <v>0</v>
      </c>
      <c r="G192" s="302">
        <v>0</v>
      </c>
      <c r="H192" s="302">
        <v>0</v>
      </c>
      <c r="I192" s="302">
        <v>0</v>
      </c>
      <c r="J192" s="302">
        <v>0</v>
      </c>
      <c r="K192" s="302">
        <v>0</v>
      </c>
      <c r="L192" s="302">
        <v>0</v>
      </c>
      <c r="M192" s="302">
        <v>0</v>
      </c>
      <c r="N192" s="302">
        <v>0</v>
      </c>
      <c r="O192" s="302">
        <v>0</v>
      </c>
      <c r="P192" s="302">
        <v>0</v>
      </c>
      <c r="Q192" s="302">
        <v>0</v>
      </c>
      <c r="R192" s="295">
        <f t="shared" si="8"/>
        <v>0</v>
      </c>
      <c r="AD192" s="276"/>
    </row>
    <row r="193" spans="1:30" ht="15" customHeight="1">
      <c r="A193" s="553"/>
      <c r="B193" s="330" t="s">
        <v>912</v>
      </c>
      <c r="C193" s="302">
        <v>0</v>
      </c>
      <c r="D193" s="302">
        <v>0</v>
      </c>
      <c r="E193" s="302">
        <v>0</v>
      </c>
      <c r="F193" s="302">
        <v>0</v>
      </c>
      <c r="G193" s="302">
        <v>0</v>
      </c>
      <c r="H193" s="302">
        <v>0</v>
      </c>
      <c r="I193" s="302">
        <v>0</v>
      </c>
      <c r="J193" s="302">
        <v>0</v>
      </c>
      <c r="K193" s="302">
        <v>0</v>
      </c>
      <c r="L193" s="302">
        <v>0</v>
      </c>
      <c r="M193" s="302">
        <v>0</v>
      </c>
      <c r="N193" s="302">
        <v>0</v>
      </c>
      <c r="O193" s="302">
        <v>0</v>
      </c>
      <c r="P193" s="302">
        <v>0</v>
      </c>
      <c r="Q193" s="302">
        <v>0</v>
      </c>
      <c r="R193" s="295">
        <f t="shared" si="8"/>
        <v>0</v>
      </c>
      <c r="AD193" s="276"/>
    </row>
    <row r="194" spans="1:30" ht="15" customHeight="1">
      <c r="A194" s="553"/>
      <c r="B194" s="330" t="s">
        <v>913</v>
      </c>
      <c r="C194" s="302">
        <v>0</v>
      </c>
      <c r="D194" s="302">
        <v>0</v>
      </c>
      <c r="E194" s="302">
        <v>0</v>
      </c>
      <c r="F194" s="302">
        <v>0</v>
      </c>
      <c r="G194" s="302">
        <v>0</v>
      </c>
      <c r="H194" s="302">
        <v>0</v>
      </c>
      <c r="I194" s="302">
        <v>0</v>
      </c>
      <c r="J194" s="302">
        <v>0</v>
      </c>
      <c r="K194" s="302">
        <v>0</v>
      </c>
      <c r="L194" s="302">
        <v>0</v>
      </c>
      <c r="M194" s="302">
        <v>0</v>
      </c>
      <c r="N194" s="302">
        <v>0</v>
      </c>
      <c r="O194" s="302">
        <v>0</v>
      </c>
      <c r="P194" s="302">
        <v>0</v>
      </c>
      <c r="Q194" s="302">
        <v>0</v>
      </c>
      <c r="R194" s="295">
        <f t="shared" si="8"/>
        <v>0</v>
      </c>
      <c r="AD194" s="276"/>
    </row>
    <row r="195" spans="1:30" ht="15" customHeight="1">
      <c r="A195" s="553"/>
      <c r="B195" s="330" t="s">
        <v>914</v>
      </c>
      <c r="C195" s="302">
        <v>0</v>
      </c>
      <c r="D195" s="302">
        <v>0</v>
      </c>
      <c r="E195" s="302">
        <v>0</v>
      </c>
      <c r="F195" s="302">
        <v>0</v>
      </c>
      <c r="G195" s="302">
        <v>0</v>
      </c>
      <c r="H195" s="302">
        <v>0</v>
      </c>
      <c r="I195" s="302">
        <v>0</v>
      </c>
      <c r="J195" s="302">
        <v>0</v>
      </c>
      <c r="K195" s="302">
        <v>0</v>
      </c>
      <c r="L195" s="302">
        <v>0</v>
      </c>
      <c r="M195" s="302">
        <v>0</v>
      </c>
      <c r="N195" s="302">
        <v>0</v>
      </c>
      <c r="O195" s="302">
        <v>0</v>
      </c>
      <c r="P195" s="302">
        <v>0</v>
      </c>
      <c r="Q195" s="302">
        <v>0</v>
      </c>
      <c r="R195" s="295">
        <f t="shared" si="8"/>
        <v>0</v>
      </c>
      <c r="AD195" s="276"/>
    </row>
    <row r="196" spans="1:30" ht="15" customHeight="1" thickBot="1">
      <c r="A196" s="553"/>
      <c r="B196" s="330" t="s">
        <v>915</v>
      </c>
      <c r="C196" s="302">
        <v>0</v>
      </c>
      <c r="D196" s="302">
        <v>0</v>
      </c>
      <c r="E196" s="302">
        <v>0</v>
      </c>
      <c r="F196" s="302">
        <v>0</v>
      </c>
      <c r="G196" s="302">
        <v>0</v>
      </c>
      <c r="H196" s="302">
        <v>0</v>
      </c>
      <c r="I196" s="302">
        <v>0</v>
      </c>
      <c r="J196" s="302">
        <v>0</v>
      </c>
      <c r="K196" s="302">
        <v>0</v>
      </c>
      <c r="L196" s="302">
        <v>0</v>
      </c>
      <c r="M196" s="302">
        <v>0</v>
      </c>
      <c r="N196" s="302">
        <v>0</v>
      </c>
      <c r="O196" s="302">
        <v>0</v>
      </c>
      <c r="P196" s="302">
        <v>0</v>
      </c>
      <c r="Q196" s="302">
        <v>0</v>
      </c>
      <c r="R196" s="295">
        <f t="shared" si="8"/>
        <v>0</v>
      </c>
      <c r="AD196" s="276"/>
    </row>
    <row r="197" spans="1:30" ht="15" customHeight="1">
      <c r="A197" s="552" t="s">
        <v>917</v>
      </c>
      <c r="B197" s="330" t="s">
        <v>597</v>
      </c>
      <c r="C197" s="302">
        <v>0</v>
      </c>
      <c r="D197" s="302">
        <v>0</v>
      </c>
      <c r="E197" s="302">
        <v>0</v>
      </c>
      <c r="F197" s="302">
        <v>0</v>
      </c>
      <c r="G197" s="302">
        <v>0</v>
      </c>
      <c r="H197" s="302">
        <v>0</v>
      </c>
      <c r="I197" s="302">
        <v>0</v>
      </c>
      <c r="J197" s="302">
        <v>0</v>
      </c>
      <c r="K197" s="302">
        <v>0</v>
      </c>
      <c r="L197" s="302">
        <v>0</v>
      </c>
      <c r="M197" s="302">
        <v>0</v>
      </c>
      <c r="N197" s="302">
        <v>0</v>
      </c>
      <c r="O197" s="302">
        <v>0</v>
      </c>
      <c r="P197" s="302">
        <v>0</v>
      </c>
      <c r="Q197" s="302">
        <v>0</v>
      </c>
      <c r="R197" s="295">
        <f t="shared" si="8"/>
        <v>0</v>
      </c>
      <c r="AD197" s="276"/>
    </row>
    <row r="198" spans="1:30" ht="15" customHeight="1">
      <c r="A198" s="553"/>
      <c r="B198" s="330" t="s">
        <v>598</v>
      </c>
      <c r="C198" s="302">
        <v>0</v>
      </c>
      <c r="D198" s="302">
        <v>0</v>
      </c>
      <c r="E198" s="302">
        <v>0</v>
      </c>
      <c r="F198" s="302">
        <v>0</v>
      </c>
      <c r="G198" s="302">
        <v>0</v>
      </c>
      <c r="H198" s="302">
        <v>0</v>
      </c>
      <c r="I198" s="302">
        <v>0</v>
      </c>
      <c r="J198" s="302">
        <v>0</v>
      </c>
      <c r="K198" s="302">
        <v>0</v>
      </c>
      <c r="L198" s="302">
        <v>0</v>
      </c>
      <c r="M198" s="302">
        <v>0</v>
      </c>
      <c r="N198" s="302">
        <v>0</v>
      </c>
      <c r="O198" s="302">
        <v>0</v>
      </c>
      <c r="P198" s="302">
        <v>0</v>
      </c>
      <c r="Q198" s="302">
        <v>0</v>
      </c>
      <c r="R198" s="295">
        <f t="shared" si="8"/>
        <v>0</v>
      </c>
      <c r="AD198" s="276"/>
    </row>
    <row r="199" spans="1:30" ht="15" customHeight="1">
      <c r="A199" s="553"/>
      <c r="B199" s="330" t="s">
        <v>599</v>
      </c>
      <c r="C199" s="302">
        <v>0</v>
      </c>
      <c r="D199" s="302">
        <v>0</v>
      </c>
      <c r="E199" s="302">
        <v>0</v>
      </c>
      <c r="F199" s="302">
        <v>0</v>
      </c>
      <c r="G199" s="302">
        <v>0</v>
      </c>
      <c r="H199" s="302">
        <v>0</v>
      </c>
      <c r="I199" s="302">
        <v>0</v>
      </c>
      <c r="J199" s="302">
        <v>0</v>
      </c>
      <c r="K199" s="302">
        <v>0</v>
      </c>
      <c r="L199" s="302">
        <v>0</v>
      </c>
      <c r="M199" s="302">
        <v>0</v>
      </c>
      <c r="N199" s="302">
        <v>0</v>
      </c>
      <c r="O199" s="302">
        <v>0</v>
      </c>
      <c r="P199" s="302">
        <v>0</v>
      </c>
      <c r="Q199" s="302">
        <v>0</v>
      </c>
      <c r="R199" s="295">
        <f t="shared" si="8"/>
        <v>0</v>
      </c>
      <c r="AD199" s="276"/>
    </row>
    <row r="200" spans="1:30" ht="15" customHeight="1">
      <c r="A200" s="553"/>
      <c r="B200" s="330" t="s">
        <v>600</v>
      </c>
      <c r="C200" s="302">
        <v>0</v>
      </c>
      <c r="D200" s="302">
        <v>0</v>
      </c>
      <c r="E200" s="302">
        <v>0</v>
      </c>
      <c r="F200" s="302">
        <v>0</v>
      </c>
      <c r="G200" s="302">
        <v>0</v>
      </c>
      <c r="H200" s="302">
        <v>0</v>
      </c>
      <c r="I200" s="302">
        <v>0</v>
      </c>
      <c r="J200" s="302">
        <v>0</v>
      </c>
      <c r="K200" s="302">
        <v>0</v>
      </c>
      <c r="L200" s="302">
        <v>0</v>
      </c>
      <c r="M200" s="302">
        <v>0</v>
      </c>
      <c r="N200" s="302">
        <v>0</v>
      </c>
      <c r="O200" s="302">
        <v>0</v>
      </c>
      <c r="P200" s="302">
        <v>0</v>
      </c>
      <c r="Q200" s="302">
        <v>0</v>
      </c>
      <c r="R200" s="295">
        <f t="shared" si="8"/>
        <v>0</v>
      </c>
      <c r="AD200" s="276"/>
    </row>
    <row r="201" spans="1:30" ht="15" customHeight="1">
      <c r="A201" s="553"/>
      <c r="B201" s="330" t="s">
        <v>601</v>
      </c>
      <c r="C201" s="302">
        <v>0</v>
      </c>
      <c r="D201" s="302">
        <v>0</v>
      </c>
      <c r="E201" s="302">
        <v>0</v>
      </c>
      <c r="F201" s="302">
        <v>0</v>
      </c>
      <c r="G201" s="302">
        <v>0</v>
      </c>
      <c r="H201" s="302">
        <v>0</v>
      </c>
      <c r="I201" s="302">
        <v>0</v>
      </c>
      <c r="J201" s="302">
        <v>0</v>
      </c>
      <c r="K201" s="302">
        <v>0</v>
      </c>
      <c r="L201" s="302">
        <v>0</v>
      </c>
      <c r="M201" s="302">
        <v>0</v>
      </c>
      <c r="N201" s="302">
        <v>0</v>
      </c>
      <c r="O201" s="302">
        <v>0</v>
      </c>
      <c r="P201" s="302">
        <v>0</v>
      </c>
      <c r="Q201" s="302">
        <v>0</v>
      </c>
      <c r="R201" s="295">
        <f t="shared" si="8"/>
        <v>0</v>
      </c>
      <c r="AD201" s="276"/>
    </row>
    <row r="202" spans="1:30" ht="15" customHeight="1">
      <c r="A202" s="553"/>
      <c r="B202" s="330" t="s">
        <v>602</v>
      </c>
      <c r="C202" s="302">
        <v>0</v>
      </c>
      <c r="D202" s="302">
        <v>0</v>
      </c>
      <c r="E202" s="302">
        <v>0</v>
      </c>
      <c r="F202" s="302">
        <v>0</v>
      </c>
      <c r="G202" s="302">
        <v>0</v>
      </c>
      <c r="H202" s="302">
        <v>0</v>
      </c>
      <c r="I202" s="302">
        <v>0</v>
      </c>
      <c r="J202" s="302">
        <v>0</v>
      </c>
      <c r="K202" s="302">
        <v>0</v>
      </c>
      <c r="L202" s="302">
        <v>0</v>
      </c>
      <c r="M202" s="302">
        <v>0</v>
      </c>
      <c r="N202" s="302">
        <v>0</v>
      </c>
      <c r="O202" s="302">
        <v>0</v>
      </c>
      <c r="P202" s="302">
        <v>0</v>
      </c>
      <c r="Q202" s="302">
        <v>0</v>
      </c>
      <c r="R202" s="295">
        <f t="shared" si="8"/>
        <v>0</v>
      </c>
      <c r="AD202" s="276"/>
    </row>
    <row r="203" spans="1:30" ht="15" customHeight="1">
      <c r="A203" s="553"/>
      <c r="B203" s="330" t="s">
        <v>603</v>
      </c>
      <c r="C203" s="302">
        <v>0</v>
      </c>
      <c r="D203" s="302">
        <v>0</v>
      </c>
      <c r="E203" s="302">
        <v>0</v>
      </c>
      <c r="F203" s="302">
        <v>0</v>
      </c>
      <c r="G203" s="302">
        <v>0</v>
      </c>
      <c r="H203" s="302">
        <v>0</v>
      </c>
      <c r="I203" s="302">
        <v>0</v>
      </c>
      <c r="J203" s="302">
        <v>0</v>
      </c>
      <c r="K203" s="302">
        <v>0</v>
      </c>
      <c r="L203" s="302">
        <v>0</v>
      </c>
      <c r="M203" s="302">
        <v>0</v>
      </c>
      <c r="N203" s="302">
        <v>0</v>
      </c>
      <c r="O203" s="302">
        <v>0</v>
      </c>
      <c r="P203" s="302">
        <v>0</v>
      </c>
      <c r="Q203" s="302">
        <v>0</v>
      </c>
      <c r="R203" s="295">
        <f t="shared" si="8"/>
        <v>0</v>
      </c>
      <c r="AD203" s="276"/>
    </row>
    <row r="204" spans="1:30" ht="15" customHeight="1">
      <c r="A204" s="553"/>
      <c r="B204" s="330" t="s">
        <v>604</v>
      </c>
      <c r="C204" s="302">
        <v>0</v>
      </c>
      <c r="D204" s="302">
        <v>0</v>
      </c>
      <c r="E204" s="302">
        <v>0</v>
      </c>
      <c r="F204" s="302">
        <v>0</v>
      </c>
      <c r="G204" s="302">
        <v>0</v>
      </c>
      <c r="H204" s="302">
        <v>0</v>
      </c>
      <c r="I204" s="302">
        <v>0</v>
      </c>
      <c r="J204" s="302">
        <v>0</v>
      </c>
      <c r="K204" s="302">
        <v>0</v>
      </c>
      <c r="L204" s="302">
        <v>0</v>
      </c>
      <c r="M204" s="302">
        <v>0</v>
      </c>
      <c r="N204" s="302">
        <v>0</v>
      </c>
      <c r="O204" s="302">
        <v>0</v>
      </c>
      <c r="P204" s="302">
        <v>0</v>
      </c>
      <c r="Q204" s="302">
        <v>0</v>
      </c>
      <c r="R204" s="295">
        <f t="shared" si="8"/>
        <v>0</v>
      </c>
      <c r="AD204" s="276"/>
    </row>
    <row r="205" spans="1:30" ht="15" customHeight="1">
      <c r="A205" s="553"/>
      <c r="B205" s="330" t="s">
        <v>605</v>
      </c>
      <c r="C205" s="302">
        <v>0</v>
      </c>
      <c r="D205" s="302">
        <v>0</v>
      </c>
      <c r="E205" s="302">
        <v>0</v>
      </c>
      <c r="F205" s="302">
        <v>0</v>
      </c>
      <c r="G205" s="302">
        <v>0</v>
      </c>
      <c r="H205" s="302">
        <v>0</v>
      </c>
      <c r="I205" s="302">
        <v>0</v>
      </c>
      <c r="J205" s="302">
        <v>0</v>
      </c>
      <c r="K205" s="302">
        <v>0</v>
      </c>
      <c r="L205" s="302">
        <v>0</v>
      </c>
      <c r="M205" s="302">
        <v>0</v>
      </c>
      <c r="N205" s="302">
        <v>0</v>
      </c>
      <c r="O205" s="302">
        <v>0</v>
      </c>
      <c r="P205" s="302">
        <v>0</v>
      </c>
      <c r="Q205" s="302">
        <v>0</v>
      </c>
      <c r="R205" s="295">
        <f t="shared" si="8"/>
        <v>0</v>
      </c>
      <c r="AD205" s="276"/>
    </row>
    <row r="206" spans="1:30" ht="15" customHeight="1">
      <c r="A206" s="553"/>
      <c r="B206" s="330" t="s">
        <v>606</v>
      </c>
      <c r="C206" s="302">
        <v>0</v>
      </c>
      <c r="D206" s="302">
        <v>0</v>
      </c>
      <c r="E206" s="302">
        <v>0</v>
      </c>
      <c r="F206" s="302">
        <v>0</v>
      </c>
      <c r="G206" s="302">
        <v>0</v>
      </c>
      <c r="H206" s="302">
        <v>0</v>
      </c>
      <c r="I206" s="302">
        <v>0</v>
      </c>
      <c r="J206" s="302">
        <v>0</v>
      </c>
      <c r="K206" s="302">
        <v>0</v>
      </c>
      <c r="L206" s="302">
        <v>0</v>
      </c>
      <c r="M206" s="302">
        <v>0</v>
      </c>
      <c r="N206" s="302">
        <v>0</v>
      </c>
      <c r="O206" s="302">
        <v>0</v>
      </c>
      <c r="P206" s="302">
        <v>0</v>
      </c>
      <c r="Q206" s="302">
        <v>0</v>
      </c>
      <c r="R206" s="295">
        <f t="shared" si="8"/>
        <v>0</v>
      </c>
      <c r="AD206" s="276"/>
    </row>
    <row r="207" spans="1:30" ht="15" customHeight="1">
      <c r="A207" s="553"/>
      <c r="B207" s="330" t="s">
        <v>607</v>
      </c>
      <c r="C207" s="302">
        <v>0</v>
      </c>
      <c r="D207" s="302">
        <v>0</v>
      </c>
      <c r="E207" s="302">
        <v>0</v>
      </c>
      <c r="F207" s="302">
        <v>0</v>
      </c>
      <c r="G207" s="302">
        <v>0</v>
      </c>
      <c r="H207" s="302">
        <v>0</v>
      </c>
      <c r="I207" s="302">
        <v>0</v>
      </c>
      <c r="J207" s="302">
        <v>0</v>
      </c>
      <c r="K207" s="302">
        <v>0</v>
      </c>
      <c r="L207" s="302">
        <v>0</v>
      </c>
      <c r="M207" s="302">
        <v>0</v>
      </c>
      <c r="N207" s="302">
        <v>0</v>
      </c>
      <c r="O207" s="302">
        <v>0</v>
      </c>
      <c r="P207" s="302">
        <v>0</v>
      </c>
      <c r="Q207" s="302">
        <v>0</v>
      </c>
      <c r="R207" s="295">
        <f t="shared" si="8"/>
        <v>0</v>
      </c>
      <c r="AD207" s="276"/>
    </row>
    <row r="208" spans="1:30" ht="15" customHeight="1">
      <c r="A208" s="553"/>
      <c r="B208" s="330" t="s">
        <v>608</v>
      </c>
      <c r="C208" s="302">
        <v>0</v>
      </c>
      <c r="D208" s="302">
        <v>0</v>
      </c>
      <c r="E208" s="302">
        <v>0</v>
      </c>
      <c r="F208" s="302">
        <v>0</v>
      </c>
      <c r="G208" s="302">
        <v>0</v>
      </c>
      <c r="H208" s="302">
        <v>0</v>
      </c>
      <c r="I208" s="302">
        <v>0</v>
      </c>
      <c r="J208" s="302">
        <v>0</v>
      </c>
      <c r="K208" s="302">
        <v>0</v>
      </c>
      <c r="L208" s="302">
        <v>0</v>
      </c>
      <c r="M208" s="302">
        <v>0</v>
      </c>
      <c r="N208" s="302">
        <v>0</v>
      </c>
      <c r="O208" s="302">
        <v>0</v>
      </c>
      <c r="P208" s="302">
        <v>0</v>
      </c>
      <c r="Q208" s="302">
        <v>0</v>
      </c>
      <c r="R208" s="295">
        <f t="shared" si="8"/>
        <v>0</v>
      </c>
      <c r="AD208" s="276"/>
    </row>
    <row r="209" spans="1:30" ht="15" customHeight="1">
      <c r="A209" s="553"/>
      <c r="B209" s="330" t="s">
        <v>609</v>
      </c>
      <c r="C209" s="302">
        <v>0</v>
      </c>
      <c r="D209" s="302">
        <v>0</v>
      </c>
      <c r="E209" s="302">
        <v>0</v>
      </c>
      <c r="F209" s="302">
        <v>0</v>
      </c>
      <c r="G209" s="302">
        <v>0</v>
      </c>
      <c r="H209" s="302">
        <v>0</v>
      </c>
      <c r="I209" s="302">
        <v>0</v>
      </c>
      <c r="J209" s="302">
        <v>0</v>
      </c>
      <c r="K209" s="302">
        <v>0</v>
      </c>
      <c r="L209" s="302">
        <v>0</v>
      </c>
      <c r="M209" s="302">
        <v>0</v>
      </c>
      <c r="N209" s="302">
        <v>0</v>
      </c>
      <c r="O209" s="302">
        <v>0</v>
      </c>
      <c r="P209" s="302">
        <v>0</v>
      </c>
      <c r="Q209" s="302">
        <v>0</v>
      </c>
      <c r="R209" s="295">
        <f t="shared" si="8"/>
        <v>0</v>
      </c>
      <c r="AD209" s="276"/>
    </row>
    <row r="210" spans="1:30" ht="15" customHeight="1">
      <c r="A210" s="553"/>
      <c r="B210" s="330" t="s">
        <v>610</v>
      </c>
      <c r="C210" s="302">
        <v>0</v>
      </c>
      <c r="D210" s="302">
        <v>0</v>
      </c>
      <c r="E210" s="302">
        <v>0</v>
      </c>
      <c r="F210" s="302">
        <v>0</v>
      </c>
      <c r="G210" s="302">
        <v>0</v>
      </c>
      <c r="H210" s="302">
        <v>0</v>
      </c>
      <c r="I210" s="302">
        <v>0</v>
      </c>
      <c r="J210" s="302">
        <v>0</v>
      </c>
      <c r="K210" s="302">
        <v>0</v>
      </c>
      <c r="L210" s="302">
        <v>0</v>
      </c>
      <c r="M210" s="302">
        <v>0</v>
      </c>
      <c r="N210" s="302">
        <v>0</v>
      </c>
      <c r="O210" s="302">
        <v>0</v>
      </c>
      <c r="P210" s="302">
        <v>0</v>
      </c>
      <c r="Q210" s="302">
        <v>0</v>
      </c>
      <c r="R210" s="295">
        <f t="shared" si="8"/>
        <v>0</v>
      </c>
      <c r="AD210" s="276"/>
    </row>
    <row r="211" spans="1:30" ht="15" customHeight="1">
      <c r="A211" s="553"/>
      <c r="B211" s="330" t="s">
        <v>611</v>
      </c>
      <c r="C211" s="302">
        <v>0</v>
      </c>
      <c r="D211" s="302">
        <v>0</v>
      </c>
      <c r="E211" s="302">
        <v>0</v>
      </c>
      <c r="F211" s="302">
        <v>0</v>
      </c>
      <c r="G211" s="302">
        <v>0</v>
      </c>
      <c r="H211" s="302">
        <v>0</v>
      </c>
      <c r="I211" s="302">
        <v>0</v>
      </c>
      <c r="J211" s="302">
        <v>0</v>
      </c>
      <c r="K211" s="302">
        <v>0</v>
      </c>
      <c r="L211" s="302">
        <v>0</v>
      </c>
      <c r="M211" s="302">
        <v>0</v>
      </c>
      <c r="N211" s="302">
        <v>0</v>
      </c>
      <c r="O211" s="302">
        <v>0</v>
      </c>
      <c r="P211" s="302">
        <v>0</v>
      </c>
      <c r="Q211" s="302">
        <v>0</v>
      </c>
      <c r="R211" s="295">
        <f t="shared" si="8"/>
        <v>0</v>
      </c>
      <c r="AD211" s="276"/>
    </row>
    <row r="212" spans="1:30" ht="15" customHeight="1">
      <c r="A212" s="553"/>
      <c r="B212" s="330" t="s">
        <v>612</v>
      </c>
      <c r="C212" s="302">
        <v>0</v>
      </c>
      <c r="D212" s="302">
        <v>0</v>
      </c>
      <c r="E212" s="302">
        <v>0</v>
      </c>
      <c r="F212" s="302">
        <v>0</v>
      </c>
      <c r="G212" s="302">
        <v>0</v>
      </c>
      <c r="H212" s="302">
        <v>0</v>
      </c>
      <c r="I212" s="302">
        <v>0</v>
      </c>
      <c r="J212" s="302">
        <v>0</v>
      </c>
      <c r="K212" s="302">
        <v>0</v>
      </c>
      <c r="L212" s="302">
        <v>0</v>
      </c>
      <c r="M212" s="302">
        <v>0</v>
      </c>
      <c r="N212" s="302">
        <v>0</v>
      </c>
      <c r="O212" s="302">
        <v>0</v>
      </c>
      <c r="P212" s="302">
        <v>0</v>
      </c>
      <c r="Q212" s="302">
        <v>0</v>
      </c>
      <c r="R212" s="295">
        <f t="shared" si="8"/>
        <v>0</v>
      </c>
      <c r="AD212" s="276"/>
    </row>
    <row r="213" spans="1:30" ht="15" customHeight="1">
      <c r="A213" s="553"/>
      <c r="B213" s="330" t="s">
        <v>613</v>
      </c>
      <c r="C213" s="302">
        <v>0</v>
      </c>
      <c r="D213" s="302">
        <v>0</v>
      </c>
      <c r="E213" s="302">
        <v>0</v>
      </c>
      <c r="F213" s="302">
        <v>0</v>
      </c>
      <c r="G213" s="302">
        <v>0</v>
      </c>
      <c r="H213" s="302">
        <v>0</v>
      </c>
      <c r="I213" s="302">
        <v>0</v>
      </c>
      <c r="J213" s="302">
        <v>0</v>
      </c>
      <c r="K213" s="302">
        <v>0</v>
      </c>
      <c r="L213" s="302">
        <v>0</v>
      </c>
      <c r="M213" s="302">
        <v>0</v>
      </c>
      <c r="N213" s="302">
        <v>0</v>
      </c>
      <c r="O213" s="302">
        <v>0</v>
      </c>
      <c r="P213" s="302">
        <v>0</v>
      </c>
      <c r="Q213" s="302">
        <v>0</v>
      </c>
      <c r="R213" s="295">
        <f t="shared" si="8"/>
        <v>0</v>
      </c>
      <c r="AD213" s="276"/>
    </row>
    <row r="214" spans="1:30" ht="15" customHeight="1">
      <c r="A214" s="553"/>
      <c r="B214" s="330" t="s">
        <v>910</v>
      </c>
      <c r="C214" s="302">
        <v>0</v>
      </c>
      <c r="D214" s="302">
        <v>0</v>
      </c>
      <c r="E214" s="302">
        <v>0</v>
      </c>
      <c r="F214" s="302">
        <v>0</v>
      </c>
      <c r="G214" s="302">
        <v>0</v>
      </c>
      <c r="H214" s="302">
        <v>0</v>
      </c>
      <c r="I214" s="302">
        <v>0</v>
      </c>
      <c r="J214" s="302">
        <v>0</v>
      </c>
      <c r="K214" s="302">
        <v>0</v>
      </c>
      <c r="L214" s="302">
        <v>0</v>
      </c>
      <c r="M214" s="302">
        <v>0</v>
      </c>
      <c r="N214" s="302">
        <v>0</v>
      </c>
      <c r="O214" s="302">
        <v>0</v>
      </c>
      <c r="P214" s="302">
        <v>0</v>
      </c>
      <c r="Q214" s="302">
        <v>0</v>
      </c>
      <c r="R214" s="295">
        <f t="shared" si="8"/>
        <v>0</v>
      </c>
      <c r="AD214" s="276"/>
    </row>
    <row r="215" spans="1:30" ht="15" customHeight="1">
      <c r="A215" s="553"/>
      <c r="B215" s="330" t="s">
        <v>911</v>
      </c>
      <c r="C215" s="302">
        <v>0</v>
      </c>
      <c r="D215" s="302">
        <v>0</v>
      </c>
      <c r="E215" s="302">
        <v>0</v>
      </c>
      <c r="F215" s="302">
        <v>0</v>
      </c>
      <c r="G215" s="302">
        <v>0</v>
      </c>
      <c r="H215" s="302">
        <v>0</v>
      </c>
      <c r="I215" s="302">
        <v>0</v>
      </c>
      <c r="J215" s="302">
        <v>0</v>
      </c>
      <c r="K215" s="302">
        <v>0</v>
      </c>
      <c r="L215" s="302">
        <v>0</v>
      </c>
      <c r="M215" s="302">
        <v>0</v>
      </c>
      <c r="N215" s="302">
        <v>0</v>
      </c>
      <c r="O215" s="302">
        <v>0</v>
      </c>
      <c r="P215" s="302">
        <v>0</v>
      </c>
      <c r="Q215" s="302">
        <v>0</v>
      </c>
      <c r="R215" s="295">
        <f t="shared" si="8"/>
        <v>0</v>
      </c>
      <c r="AD215" s="276"/>
    </row>
    <row r="216" spans="1:30" ht="15" customHeight="1">
      <c r="A216" s="553"/>
      <c r="B216" s="330" t="s">
        <v>912</v>
      </c>
      <c r="C216" s="302">
        <v>0</v>
      </c>
      <c r="D216" s="302">
        <v>0</v>
      </c>
      <c r="E216" s="302">
        <v>0</v>
      </c>
      <c r="F216" s="302">
        <v>0</v>
      </c>
      <c r="G216" s="302">
        <v>0</v>
      </c>
      <c r="H216" s="302">
        <v>0</v>
      </c>
      <c r="I216" s="302">
        <v>0</v>
      </c>
      <c r="J216" s="302">
        <v>0</v>
      </c>
      <c r="K216" s="302">
        <v>0</v>
      </c>
      <c r="L216" s="302">
        <v>0</v>
      </c>
      <c r="M216" s="302">
        <v>0</v>
      </c>
      <c r="N216" s="302">
        <v>0</v>
      </c>
      <c r="O216" s="302">
        <v>0</v>
      </c>
      <c r="P216" s="302">
        <v>0</v>
      </c>
      <c r="Q216" s="302">
        <v>0</v>
      </c>
      <c r="R216" s="295">
        <f t="shared" si="8"/>
        <v>0</v>
      </c>
      <c r="AD216" s="276"/>
    </row>
    <row r="217" spans="1:30" ht="15" customHeight="1" thickBot="1">
      <c r="A217" s="554"/>
      <c r="B217" s="330" t="s">
        <v>913</v>
      </c>
      <c r="C217" s="302">
        <v>0</v>
      </c>
      <c r="D217" s="302">
        <v>0</v>
      </c>
      <c r="E217" s="302">
        <v>0</v>
      </c>
      <c r="F217" s="302">
        <v>0</v>
      </c>
      <c r="G217" s="302">
        <v>0</v>
      </c>
      <c r="H217" s="302">
        <v>0</v>
      </c>
      <c r="I217" s="302">
        <v>0</v>
      </c>
      <c r="J217" s="302">
        <v>0</v>
      </c>
      <c r="K217" s="302">
        <v>0</v>
      </c>
      <c r="L217" s="302">
        <v>0</v>
      </c>
      <c r="M217" s="302">
        <v>0</v>
      </c>
      <c r="N217" s="302">
        <v>0</v>
      </c>
      <c r="O217" s="302">
        <v>0</v>
      </c>
      <c r="P217" s="302">
        <v>0</v>
      </c>
      <c r="Q217" s="302">
        <v>0</v>
      </c>
      <c r="R217" s="295">
        <f t="shared" si="8"/>
        <v>0</v>
      </c>
      <c r="AD217" s="276"/>
    </row>
    <row r="218" spans="1:30" ht="20.100000000000001" customHeight="1" thickBot="1">
      <c r="A218" s="558" t="s">
        <v>755</v>
      </c>
      <c r="B218" s="559"/>
      <c r="C218" s="296"/>
      <c r="D218" s="296"/>
      <c r="E218" s="296"/>
      <c r="F218" s="296"/>
      <c r="G218" s="296"/>
      <c r="H218" s="296"/>
      <c r="I218" s="296"/>
      <c r="J218" s="296"/>
      <c r="K218" s="296"/>
      <c r="L218" s="296"/>
      <c r="M218" s="296"/>
      <c r="N218" s="296"/>
      <c r="O218" s="296"/>
      <c r="P218" s="296"/>
      <c r="Q218" s="296"/>
      <c r="R218" s="560"/>
    </row>
    <row r="219" spans="1:30" ht="20.100000000000001" customHeight="1" thickBot="1">
      <c r="A219" s="558" t="s">
        <v>754</v>
      </c>
      <c r="B219" s="559"/>
      <c r="C219" s="296">
        <f t="shared" ref="C219:Q219" si="9">+AVERAGE(C174:C217)</f>
        <v>0</v>
      </c>
      <c r="D219" s="296">
        <f t="shared" si="9"/>
        <v>0</v>
      </c>
      <c r="E219" s="296">
        <f t="shared" si="9"/>
        <v>0</v>
      </c>
      <c r="F219" s="296">
        <f t="shared" si="9"/>
        <v>0</v>
      </c>
      <c r="G219" s="296">
        <f t="shared" si="9"/>
        <v>0</v>
      </c>
      <c r="H219" s="296">
        <f t="shared" si="9"/>
        <v>0</v>
      </c>
      <c r="I219" s="296">
        <f t="shared" si="9"/>
        <v>0</v>
      </c>
      <c r="J219" s="296">
        <f t="shared" si="9"/>
        <v>0</v>
      </c>
      <c r="K219" s="296">
        <f t="shared" si="9"/>
        <v>0</v>
      </c>
      <c r="L219" s="296">
        <f t="shared" si="9"/>
        <v>0</v>
      </c>
      <c r="M219" s="296">
        <f t="shared" si="9"/>
        <v>0</v>
      </c>
      <c r="N219" s="296">
        <f t="shared" si="9"/>
        <v>0</v>
      </c>
      <c r="O219" s="296">
        <f t="shared" si="9"/>
        <v>0</v>
      </c>
      <c r="P219" s="296">
        <f t="shared" si="9"/>
        <v>0</v>
      </c>
      <c r="Q219" s="296">
        <f t="shared" si="9"/>
        <v>0</v>
      </c>
      <c r="R219" s="561"/>
      <c r="AD219" s="276"/>
    </row>
    <row r="220" spans="1:30" ht="20.100000000000001" customHeight="1" thickBot="1">
      <c r="A220" s="558" t="s">
        <v>759</v>
      </c>
      <c r="B220" s="563"/>
      <c r="C220" s="516">
        <f>+AVERAGE(C219:Q219)</f>
        <v>0</v>
      </c>
      <c r="D220" s="517"/>
      <c r="E220" s="517"/>
      <c r="F220" s="517"/>
      <c r="G220" s="517"/>
      <c r="H220" s="517"/>
      <c r="I220" s="517"/>
      <c r="J220" s="517"/>
      <c r="K220" s="517"/>
      <c r="L220" s="517"/>
      <c r="M220" s="517"/>
      <c r="N220" s="517"/>
      <c r="O220" s="517"/>
      <c r="P220" s="517"/>
      <c r="Q220" s="517"/>
      <c r="R220" s="562"/>
      <c r="AD220" s="276"/>
    </row>
    <row r="221" spans="1:30" ht="15" customHeight="1">
      <c r="A221" s="552" t="s">
        <v>924</v>
      </c>
      <c r="B221" s="332" t="s">
        <v>614</v>
      </c>
      <c r="C221" s="301">
        <v>0</v>
      </c>
      <c r="D221" s="301">
        <v>0</v>
      </c>
      <c r="E221" s="301">
        <v>0</v>
      </c>
      <c r="F221" s="301">
        <v>0</v>
      </c>
      <c r="G221" s="301">
        <v>0</v>
      </c>
      <c r="H221" s="301">
        <v>0</v>
      </c>
      <c r="I221" s="301">
        <v>0</v>
      </c>
      <c r="J221" s="301">
        <v>0</v>
      </c>
      <c r="K221" s="301">
        <v>0</v>
      </c>
      <c r="L221" s="301">
        <v>0</v>
      </c>
      <c r="M221" s="301">
        <v>0</v>
      </c>
      <c r="N221" s="301">
        <v>0</v>
      </c>
      <c r="O221" s="301">
        <v>0</v>
      </c>
      <c r="P221" s="301">
        <v>0</v>
      </c>
      <c r="Q221" s="301">
        <v>0</v>
      </c>
      <c r="R221" s="293">
        <f t="shared" ref="R221:R264" si="10">+AVERAGE(C221:Q221)</f>
        <v>0</v>
      </c>
      <c r="AD221" s="276"/>
    </row>
    <row r="222" spans="1:30" ht="15" customHeight="1">
      <c r="A222" s="553"/>
      <c r="B222" s="330" t="s">
        <v>615</v>
      </c>
      <c r="C222" s="302">
        <v>0</v>
      </c>
      <c r="D222" s="302">
        <v>0</v>
      </c>
      <c r="E222" s="302">
        <v>0</v>
      </c>
      <c r="F222" s="302">
        <v>0</v>
      </c>
      <c r="G222" s="302">
        <v>0</v>
      </c>
      <c r="H222" s="302">
        <v>0</v>
      </c>
      <c r="I222" s="302">
        <v>0</v>
      </c>
      <c r="J222" s="302">
        <v>0</v>
      </c>
      <c r="K222" s="302">
        <v>0</v>
      </c>
      <c r="L222" s="302">
        <v>0</v>
      </c>
      <c r="M222" s="302">
        <v>0</v>
      </c>
      <c r="N222" s="302">
        <v>0</v>
      </c>
      <c r="O222" s="302">
        <v>0</v>
      </c>
      <c r="P222" s="302">
        <v>0</v>
      </c>
      <c r="Q222" s="302">
        <v>0</v>
      </c>
      <c r="R222" s="295">
        <f t="shared" si="10"/>
        <v>0</v>
      </c>
      <c r="AD222" s="276"/>
    </row>
    <row r="223" spans="1:30" ht="15" customHeight="1">
      <c r="A223" s="553"/>
      <c r="B223" s="330" t="s">
        <v>616</v>
      </c>
      <c r="C223" s="302">
        <v>0</v>
      </c>
      <c r="D223" s="302">
        <v>0</v>
      </c>
      <c r="E223" s="302">
        <v>0</v>
      </c>
      <c r="F223" s="302">
        <v>0</v>
      </c>
      <c r="G223" s="302">
        <v>0</v>
      </c>
      <c r="H223" s="302">
        <v>0</v>
      </c>
      <c r="I223" s="302">
        <v>0</v>
      </c>
      <c r="J223" s="302">
        <v>0</v>
      </c>
      <c r="K223" s="302">
        <v>0</v>
      </c>
      <c r="L223" s="302">
        <v>0</v>
      </c>
      <c r="M223" s="302">
        <v>0</v>
      </c>
      <c r="N223" s="302">
        <v>0</v>
      </c>
      <c r="O223" s="302">
        <v>0</v>
      </c>
      <c r="P223" s="302">
        <v>0</v>
      </c>
      <c r="Q223" s="302">
        <v>0</v>
      </c>
      <c r="R223" s="295">
        <f t="shared" si="10"/>
        <v>0</v>
      </c>
      <c r="AD223" s="276"/>
    </row>
    <row r="224" spans="1:30" ht="15" customHeight="1">
      <c r="A224" s="553"/>
      <c r="B224" s="330" t="s">
        <v>617</v>
      </c>
      <c r="C224" s="302">
        <v>0</v>
      </c>
      <c r="D224" s="302">
        <v>0</v>
      </c>
      <c r="E224" s="302">
        <v>0</v>
      </c>
      <c r="F224" s="302">
        <v>0</v>
      </c>
      <c r="G224" s="302">
        <v>0</v>
      </c>
      <c r="H224" s="302">
        <v>0</v>
      </c>
      <c r="I224" s="302">
        <v>0</v>
      </c>
      <c r="J224" s="302">
        <v>0</v>
      </c>
      <c r="K224" s="302">
        <v>0</v>
      </c>
      <c r="L224" s="302">
        <v>0</v>
      </c>
      <c r="M224" s="302">
        <v>0</v>
      </c>
      <c r="N224" s="302">
        <v>0</v>
      </c>
      <c r="O224" s="302">
        <v>0</v>
      </c>
      <c r="P224" s="302">
        <v>0</v>
      </c>
      <c r="Q224" s="302">
        <v>0</v>
      </c>
      <c r="R224" s="295">
        <f t="shared" si="10"/>
        <v>0</v>
      </c>
      <c r="AD224" s="276"/>
    </row>
    <row r="225" spans="1:30" ht="15" customHeight="1">
      <c r="A225" s="553"/>
      <c r="B225" s="330" t="s">
        <v>618</v>
      </c>
      <c r="C225" s="302">
        <v>0</v>
      </c>
      <c r="D225" s="302">
        <v>0</v>
      </c>
      <c r="E225" s="302">
        <v>0</v>
      </c>
      <c r="F225" s="302">
        <v>0</v>
      </c>
      <c r="G225" s="302">
        <v>0</v>
      </c>
      <c r="H225" s="302">
        <v>0</v>
      </c>
      <c r="I225" s="302">
        <v>0</v>
      </c>
      <c r="J225" s="302">
        <v>0</v>
      </c>
      <c r="K225" s="302">
        <v>0</v>
      </c>
      <c r="L225" s="302">
        <v>0</v>
      </c>
      <c r="M225" s="302">
        <v>0</v>
      </c>
      <c r="N225" s="302">
        <v>0</v>
      </c>
      <c r="O225" s="302">
        <v>0</v>
      </c>
      <c r="P225" s="302">
        <v>0</v>
      </c>
      <c r="Q225" s="302">
        <v>0</v>
      </c>
      <c r="R225" s="295">
        <f t="shared" si="10"/>
        <v>0</v>
      </c>
      <c r="AD225" s="276"/>
    </row>
    <row r="226" spans="1:30" ht="15" customHeight="1">
      <c r="A226" s="553"/>
      <c r="B226" s="330" t="s">
        <v>619</v>
      </c>
      <c r="C226" s="302">
        <v>0</v>
      </c>
      <c r="D226" s="302">
        <v>0</v>
      </c>
      <c r="E226" s="302">
        <v>0</v>
      </c>
      <c r="F226" s="302">
        <v>0</v>
      </c>
      <c r="G226" s="302">
        <v>0</v>
      </c>
      <c r="H226" s="302">
        <v>0</v>
      </c>
      <c r="I226" s="302">
        <v>0</v>
      </c>
      <c r="J226" s="302">
        <v>0</v>
      </c>
      <c r="K226" s="302">
        <v>0</v>
      </c>
      <c r="L226" s="302">
        <v>0</v>
      </c>
      <c r="M226" s="302">
        <v>0</v>
      </c>
      <c r="N226" s="302">
        <v>0</v>
      </c>
      <c r="O226" s="302">
        <v>0</v>
      </c>
      <c r="P226" s="302">
        <v>0</v>
      </c>
      <c r="Q226" s="302">
        <v>0</v>
      </c>
      <c r="R226" s="295">
        <f t="shared" si="10"/>
        <v>0</v>
      </c>
      <c r="AD226" s="276"/>
    </row>
    <row r="227" spans="1:30" ht="15" customHeight="1">
      <c r="A227" s="553"/>
      <c r="B227" s="330" t="s">
        <v>620</v>
      </c>
      <c r="C227" s="302">
        <v>0</v>
      </c>
      <c r="D227" s="302">
        <v>0</v>
      </c>
      <c r="E227" s="302">
        <v>0</v>
      </c>
      <c r="F227" s="302">
        <v>0</v>
      </c>
      <c r="G227" s="302">
        <v>0</v>
      </c>
      <c r="H227" s="302">
        <v>0</v>
      </c>
      <c r="I227" s="302">
        <v>0</v>
      </c>
      <c r="J227" s="302">
        <v>0</v>
      </c>
      <c r="K227" s="302">
        <v>0</v>
      </c>
      <c r="L227" s="302">
        <v>0</v>
      </c>
      <c r="M227" s="302">
        <v>0</v>
      </c>
      <c r="N227" s="302">
        <v>0</v>
      </c>
      <c r="O227" s="302">
        <v>0</v>
      </c>
      <c r="P227" s="302">
        <v>0</v>
      </c>
      <c r="Q227" s="302">
        <v>0</v>
      </c>
      <c r="R227" s="295">
        <f t="shared" si="10"/>
        <v>0</v>
      </c>
      <c r="AD227" s="276"/>
    </row>
    <row r="228" spans="1:30" ht="15" customHeight="1">
      <c r="A228" s="553"/>
      <c r="B228" s="330" t="s">
        <v>621</v>
      </c>
      <c r="C228" s="302">
        <v>0</v>
      </c>
      <c r="D228" s="302">
        <v>0</v>
      </c>
      <c r="E228" s="302">
        <v>0</v>
      </c>
      <c r="F228" s="302">
        <v>0</v>
      </c>
      <c r="G228" s="302">
        <v>0</v>
      </c>
      <c r="H228" s="302">
        <v>0</v>
      </c>
      <c r="I228" s="302">
        <v>0</v>
      </c>
      <c r="J228" s="302">
        <v>0</v>
      </c>
      <c r="K228" s="302">
        <v>0</v>
      </c>
      <c r="L228" s="302">
        <v>0</v>
      </c>
      <c r="M228" s="302">
        <v>0</v>
      </c>
      <c r="N228" s="302">
        <v>0</v>
      </c>
      <c r="O228" s="302">
        <v>0</v>
      </c>
      <c r="P228" s="302">
        <v>0</v>
      </c>
      <c r="Q228" s="302">
        <v>0</v>
      </c>
      <c r="R228" s="295">
        <f t="shared" si="10"/>
        <v>0</v>
      </c>
      <c r="AD228" s="276"/>
    </row>
    <row r="229" spans="1:30" ht="15" customHeight="1">
      <c r="A229" s="553"/>
      <c r="B229" s="330" t="s">
        <v>622</v>
      </c>
      <c r="C229" s="302">
        <v>0</v>
      </c>
      <c r="D229" s="302">
        <v>0</v>
      </c>
      <c r="E229" s="302">
        <v>0</v>
      </c>
      <c r="F229" s="302">
        <v>0</v>
      </c>
      <c r="G229" s="302">
        <v>0</v>
      </c>
      <c r="H229" s="302">
        <v>0</v>
      </c>
      <c r="I229" s="302">
        <v>0</v>
      </c>
      <c r="J229" s="302">
        <v>0</v>
      </c>
      <c r="K229" s="302">
        <v>0</v>
      </c>
      <c r="L229" s="302">
        <v>0</v>
      </c>
      <c r="M229" s="302">
        <v>0</v>
      </c>
      <c r="N229" s="302">
        <v>0</v>
      </c>
      <c r="O229" s="302">
        <v>0</v>
      </c>
      <c r="P229" s="302">
        <v>0</v>
      </c>
      <c r="Q229" s="302">
        <v>0</v>
      </c>
      <c r="R229" s="295">
        <f t="shared" si="10"/>
        <v>0</v>
      </c>
      <c r="AD229" s="276"/>
    </row>
    <row r="230" spans="1:30" ht="15" customHeight="1">
      <c r="A230" s="553"/>
      <c r="B230" s="330" t="s">
        <v>623</v>
      </c>
      <c r="C230" s="302">
        <v>0</v>
      </c>
      <c r="D230" s="302">
        <v>0</v>
      </c>
      <c r="E230" s="302">
        <v>0</v>
      </c>
      <c r="F230" s="302">
        <v>0</v>
      </c>
      <c r="G230" s="302">
        <v>0</v>
      </c>
      <c r="H230" s="302">
        <v>0</v>
      </c>
      <c r="I230" s="302">
        <v>0</v>
      </c>
      <c r="J230" s="302">
        <v>0</v>
      </c>
      <c r="K230" s="302">
        <v>0</v>
      </c>
      <c r="L230" s="302">
        <v>0</v>
      </c>
      <c r="M230" s="302">
        <v>0</v>
      </c>
      <c r="N230" s="302">
        <v>0</v>
      </c>
      <c r="O230" s="302">
        <v>0</v>
      </c>
      <c r="P230" s="302">
        <v>0</v>
      </c>
      <c r="Q230" s="302">
        <v>0</v>
      </c>
      <c r="R230" s="295">
        <f t="shared" si="10"/>
        <v>0</v>
      </c>
      <c r="AD230" s="276"/>
    </row>
    <row r="231" spans="1:30" ht="15" customHeight="1">
      <c r="A231" s="553"/>
      <c r="B231" s="330" t="s">
        <v>624</v>
      </c>
      <c r="C231" s="302">
        <v>0</v>
      </c>
      <c r="D231" s="302">
        <v>0</v>
      </c>
      <c r="E231" s="302">
        <v>0</v>
      </c>
      <c r="F231" s="302">
        <v>0</v>
      </c>
      <c r="G231" s="302">
        <v>0</v>
      </c>
      <c r="H231" s="302">
        <v>0</v>
      </c>
      <c r="I231" s="302">
        <v>0</v>
      </c>
      <c r="J231" s="302">
        <v>0</v>
      </c>
      <c r="K231" s="302">
        <v>0</v>
      </c>
      <c r="L231" s="302">
        <v>0</v>
      </c>
      <c r="M231" s="302">
        <v>0</v>
      </c>
      <c r="N231" s="302">
        <v>0</v>
      </c>
      <c r="O231" s="302">
        <v>0</v>
      </c>
      <c r="P231" s="302">
        <v>0</v>
      </c>
      <c r="Q231" s="302">
        <v>0</v>
      </c>
      <c r="R231" s="295">
        <f t="shared" si="10"/>
        <v>0</v>
      </c>
      <c r="AD231" s="276"/>
    </row>
    <row r="232" spans="1:30" ht="15" customHeight="1">
      <c r="A232" s="553"/>
      <c r="B232" s="330" t="s">
        <v>625</v>
      </c>
      <c r="C232" s="302">
        <v>0</v>
      </c>
      <c r="D232" s="302">
        <v>0</v>
      </c>
      <c r="E232" s="302">
        <v>0</v>
      </c>
      <c r="F232" s="302">
        <v>0</v>
      </c>
      <c r="G232" s="302">
        <v>0</v>
      </c>
      <c r="H232" s="302">
        <v>0</v>
      </c>
      <c r="I232" s="302">
        <v>0</v>
      </c>
      <c r="J232" s="302">
        <v>0</v>
      </c>
      <c r="K232" s="302">
        <v>0</v>
      </c>
      <c r="L232" s="302">
        <v>0</v>
      </c>
      <c r="M232" s="302">
        <v>0</v>
      </c>
      <c r="N232" s="302">
        <v>0</v>
      </c>
      <c r="O232" s="302">
        <v>0</v>
      </c>
      <c r="P232" s="302">
        <v>0</v>
      </c>
      <c r="Q232" s="302">
        <v>0</v>
      </c>
      <c r="R232" s="295">
        <f t="shared" si="10"/>
        <v>0</v>
      </c>
      <c r="AD232" s="276"/>
    </row>
    <row r="233" spans="1:30" ht="15" customHeight="1">
      <c r="A233" s="553"/>
      <c r="B233" s="330" t="s">
        <v>626</v>
      </c>
      <c r="C233" s="302">
        <v>0</v>
      </c>
      <c r="D233" s="302">
        <v>0</v>
      </c>
      <c r="E233" s="302">
        <v>0</v>
      </c>
      <c r="F233" s="302">
        <v>0</v>
      </c>
      <c r="G233" s="302">
        <v>0</v>
      </c>
      <c r="H233" s="302">
        <v>0</v>
      </c>
      <c r="I233" s="302">
        <v>0</v>
      </c>
      <c r="J233" s="302">
        <v>0</v>
      </c>
      <c r="K233" s="302">
        <v>0</v>
      </c>
      <c r="L233" s="302">
        <v>0</v>
      </c>
      <c r="M233" s="302">
        <v>0</v>
      </c>
      <c r="N233" s="302">
        <v>0</v>
      </c>
      <c r="O233" s="302">
        <v>0</v>
      </c>
      <c r="P233" s="302">
        <v>0</v>
      </c>
      <c r="Q233" s="302">
        <v>0</v>
      </c>
      <c r="R233" s="295">
        <f t="shared" si="10"/>
        <v>0</v>
      </c>
      <c r="AD233" s="276"/>
    </row>
    <row r="234" spans="1:30" ht="15" customHeight="1">
      <c r="A234" s="553"/>
      <c r="B234" s="330" t="s">
        <v>627</v>
      </c>
      <c r="C234" s="302">
        <v>0</v>
      </c>
      <c r="D234" s="302">
        <v>0</v>
      </c>
      <c r="E234" s="302">
        <v>0</v>
      </c>
      <c r="F234" s="302">
        <v>0</v>
      </c>
      <c r="G234" s="302">
        <v>0</v>
      </c>
      <c r="H234" s="302">
        <v>0</v>
      </c>
      <c r="I234" s="302">
        <v>0</v>
      </c>
      <c r="J234" s="302">
        <v>0</v>
      </c>
      <c r="K234" s="302">
        <v>0</v>
      </c>
      <c r="L234" s="302">
        <v>0</v>
      </c>
      <c r="M234" s="302">
        <v>0</v>
      </c>
      <c r="N234" s="302">
        <v>0</v>
      </c>
      <c r="O234" s="302">
        <v>0</v>
      </c>
      <c r="P234" s="302">
        <v>0</v>
      </c>
      <c r="Q234" s="302">
        <v>0</v>
      </c>
      <c r="R234" s="295">
        <f t="shared" si="10"/>
        <v>0</v>
      </c>
      <c r="AD234" s="276"/>
    </row>
    <row r="235" spans="1:30" ht="15" customHeight="1">
      <c r="A235" s="553"/>
      <c r="B235" s="330" t="s">
        <v>628</v>
      </c>
      <c r="C235" s="302">
        <v>0</v>
      </c>
      <c r="D235" s="302">
        <v>0</v>
      </c>
      <c r="E235" s="302">
        <v>0</v>
      </c>
      <c r="F235" s="302">
        <v>0</v>
      </c>
      <c r="G235" s="302">
        <v>0</v>
      </c>
      <c r="H235" s="302">
        <v>0</v>
      </c>
      <c r="I235" s="302">
        <v>0</v>
      </c>
      <c r="J235" s="302">
        <v>0</v>
      </c>
      <c r="K235" s="302">
        <v>0</v>
      </c>
      <c r="L235" s="302">
        <v>0</v>
      </c>
      <c r="M235" s="302">
        <v>0</v>
      </c>
      <c r="N235" s="302">
        <v>0</v>
      </c>
      <c r="O235" s="302">
        <v>0</v>
      </c>
      <c r="P235" s="302">
        <v>0</v>
      </c>
      <c r="Q235" s="302">
        <v>0</v>
      </c>
      <c r="R235" s="295">
        <f t="shared" si="10"/>
        <v>0</v>
      </c>
      <c r="AD235" s="276"/>
    </row>
    <row r="236" spans="1:30" ht="15" customHeight="1">
      <c r="A236" s="553"/>
      <c r="B236" s="330" t="s">
        <v>629</v>
      </c>
      <c r="C236" s="302">
        <v>0</v>
      </c>
      <c r="D236" s="302">
        <v>0</v>
      </c>
      <c r="E236" s="302">
        <v>0</v>
      </c>
      <c r="F236" s="302">
        <v>0</v>
      </c>
      <c r="G236" s="302">
        <v>0</v>
      </c>
      <c r="H236" s="302">
        <v>0</v>
      </c>
      <c r="I236" s="302">
        <v>0</v>
      </c>
      <c r="J236" s="302">
        <v>0</v>
      </c>
      <c r="K236" s="302">
        <v>0</v>
      </c>
      <c r="L236" s="302">
        <v>0</v>
      </c>
      <c r="M236" s="302">
        <v>0</v>
      </c>
      <c r="N236" s="302">
        <v>0</v>
      </c>
      <c r="O236" s="302">
        <v>0</v>
      </c>
      <c r="P236" s="302">
        <v>0</v>
      </c>
      <c r="Q236" s="302">
        <v>0</v>
      </c>
      <c r="R236" s="295">
        <f t="shared" si="10"/>
        <v>0</v>
      </c>
      <c r="AD236" s="276"/>
    </row>
    <row r="237" spans="1:30" ht="15" customHeight="1">
      <c r="A237" s="553"/>
      <c r="B237" s="330" t="s">
        <v>630</v>
      </c>
      <c r="C237" s="302">
        <v>0</v>
      </c>
      <c r="D237" s="302">
        <v>0</v>
      </c>
      <c r="E237" s="302">
        <v>0</v>
      </c>
      <c r="F237" s="302">
        <v>0</v>
      </c>
      <c r="G237" s="302">
        <v>0</v>
      </c>
      <c r="H237" s="302">
        <v>0</v>
      </c>
      <c r="I237" s="302">
        <v>0</v>
      </c>
      <c r="J237" s="302">
        <v>0</v>
      </c>
      <c r="K237" s="302">
        <v>0</v>
      </c>
      <c r="L237" s="302">
        <v>0</v>
      </c>
      <c r="M237" s="302">
        <v>0</v>
      </c>
      <c r="N237" s="302">
        <v>0</v>
      </c>
      <c r="O237" s="302">
        <v>0</v>
      </c>
      <c r="P237" s="302">
        <v>0</v>
      </c>
      <c r="Q237" s="302">
        <v>0</v>
      </c>
      <c r="R237" s="295">
        <f t="shared" si="10"/>
        <v>0</v>
      </c>
      <c r="AD237" s="276"/>
    </row>
    <row r="238" spans="1:30" ht="15" customHeight="1">
      <c r="A238" s="553"/>
      <c r="B238" s="330" t="s">
        <v>918</v>
      </c>
      <c r="C238" s="302">
        <v>0</v>
      </c>
      <c r="D238" s="302">
        <v>0</v>
      </c>
      <c r="E238" s="302">
        <v>0</v>
      </c>
      <c r="F238" s="302">
        <v>0</v>
      </c>
      <c r="G238" s="302">
        <v>0</v>
      </c>
      <c r="H238" s="302">
        <v>0</v>
      </c>
      <c r="I238" s="302">
        <v>0</v>
      </c>
      <c r="J238" s="302">
        <v>0</v>
      </c>
      <c r="K238" s="302">
        <v>0</v>
      </c>
      <c r="L238" s="302">
        <v>0</v>
      </c>
      <c r="M238" s="302">
        <v>0</v>
      </c>
      <c r="N238" s="302">
        <v>0</v>
      </c>
      <c r="O238" s="302">
        <v>0</v>
      </c>
      <c r="P238" s="302">
        <v>0</v>
      </c>
      <c r="Q238" s="302">
        <v>0</v>
      </c>
      <c r="R238" s="295">
        <f t="shared" si="10"/>
        <v>0</v>
      </c>
      <c r="AD238" s="276"/>
    </row>
    <row r="239" spans="1:30" ht="15" customHeight="1">
      <c r="A239" s="553"/>
      <c r="B239" s="330" t="s">
        <v>919</v>
      </c>
      <c r="C239" s="302">
        <v>0</v>
      </c>
      <c r="D239" s="302">
        <v>0</v>
      </c>
      <c r="E239" s="302">
        <v>0</v>
      </c>
      <c r="F239" s="302">
        <v>0</v>
      </c>
      <c r="G239" s="302">
        <v>0</v>
      </c>
      <c r="H239" s="302">
        <v>0</v>
      </c>
      <c r="I239" s="302">
        <v>0</v>
      </c>
      <c r="J239" s="302">
        <v>0</v>
      </c>
      <c r="K239" s="302">
        <v>0</v>
      </c>
      <c r="L239" s="302">
        <v>0</v>
      </c>
      <c r="M239" s="302">
        <v>0</v>
      </c>
      <c r="N239" s="302">
        <v>0</v>
      </c>
      <c r="O239" s="302">
        <v>0</v>
      </c>
      <c r="P239" s="302">
        <v>0</v>
      </c>
      <c r="Q239" s="302">
        <v>0</v>
      </c>
      <c r="R239" s="295">
        <f t="shared" si="10"/>
        <v>0</v>
      </c>
      <c r="AD239" s="276"/>
    </row>
    <row r="240" spans="1:30" ht="15" customHeight="1">
      <c r="A240" s="553"/>
      <c r="B240" s="330" t="s">
        <v>920</v>
      </c>
      <c r="C240" s="302">
        <v>0</v>
      </c>
      <c r="D240" s="302">
        <v>0</v>
      </c>
      <c r="E240" s="302">
        <v>0</v>
      </c>
      <c r="F240" s="302">
        <v>0</v>
      </c>
      <c r="G240" s="302">
        <v>0</v>
      </c>
      <c r="H240" s="302">
        <v>0</v>
      </c>
      <c r="I240" s="302">
        <v>0</v>
      </c>
      <c r="J240" s="302">
        <v>0</v>
      </c>
      <c r="K240" s="302">
        <v>0</v>
      </c>
      <c r="L240" s="302">
        <v>0</v>
      </c>
      <c r="M240" s="302">
        <v>0</v>
      </c>
      <c r="N240" s="302">
        <v>0</v>
      </c>
      <c r="O240" s="302">
        <v>0</v>
      </c>
      <c r="P240" s="302">
        <v>0</v>
      </c>
      <c r="Q240" s="302">
        <v>0</v>
      </c>
      <c r="R240" s="295">
        <f t="shared" si="10"/>
        <v>0</v>
      </c>
      <c r="AD240" s="276"/>
    </row>
    <row r="241" spans="1:30" ht="15" customHeight="1">
      <c r="A241" s="553"/>
      <c r="B241" s="330" t="s">
        <v>921</v>
      </c>
      <c r="C241" s="302">
        <v>0</v>
      </c>
      <c r="D241" s="302">
        <v>0</v>
      </c>
      <c r="E241" s="302">
        <v>0</v>
      </c>
      <c r="F241" s="302">
        <v>0</v>
      </c>
      <c r="G241" s="302">
        <v>0</v>
      </c>
      <c r="H241" s="302">
        <v>0</v>
      </c>
      <c r="I241" s="302">
        <v>0</v>
      </c>
      <c r="J241" s="302">
        <v>0</v>
      </c>
      <c r="K241" s="302">
        <v>0</v>
      </c>
      <c r="L241" s="302">
        <v>0</v>
      </c>
      <c r="M241" s="302">
        <v>0</v>
      </c>
      <c r="N241" s="302">
        <v>0</v>
      </c>
      <c r="O241" s="302">
        <v>0</v>
      </c>
      <c r="P241" s="302">
        <v>0</v>
      </c>
      <c r="Q241" s="302">
        <v>0</v>
      </c>
      <c r="R241" s="295">
        <f t="shared" si="10"/>
        <v>0</v>
      </c>
      <c r="AD241" s="276"/>
    </row>
    <row r="242" spans="1:30" ht="15" customHeight="1">
      <c r="A242" s="553"/>
      <c r="B242" s="330" t="s">
        <v>922</v>
      </c>
      <c r="C242" s="302">
        <v>0</v>
      </c>
      <c r="D242" s="302">
        <v>0</v>
      </c>
      <c r="E242" s="302">
        <v>0</v>
      </c>
      <c r="F242" s="302">
        <v>0</v>
      </c>
      <c r="G242" s="302">
        <v>0</v>
      </c>
      <c r="H242" s="302">
        <v>0</v>
      </c>
      <c r="I242" s="302">
        <v>0</v>
      </c>
      <c r="J242" s="302">
        <v>0</v>
      </c>
      <c r="K242" s="302">
        <v>0</v>
      </c>
      <c r="L242" s="302">
        <v>0</v>
      </c>
      <c r="M242" s="302">
        <v>0</v>
      </c>
      <c r="N242" s="302">
        <v>0</v>
      </c>
      <c r="O242" s="302">
        <v>0</v>
      </c>
      <c r="P242" s="302">
        <v>0</v>
      </c>
      <c r="Q242" s="302">
        <v>0</v>
      </c>
      <c r="R242" s="295">
        <f t="shared" si="10"/>
        <v>0</v>
      </c>
      <c r="AD242" s="276"/>
    </row>
    <row r="243" spans="1:30" ht="15" customHeight="1" thickBot="1">
      <c r="A243" s="553"/>
      <c r="B243" s="330" t="s">
        <v>923</v>
      </c>
      <c r="C243" s="302">
        <v>0</v>
      </c>
      <c r="D243" s="302">
        <v>0</v>
      </c>
      <c r="E243" s="302">
        <v>0</v>
      </c>
      <c r="F243" s="302">
        <v>0</v>
      </c>
      <c r="G243" s="302">
        <v>0</v>
      </c>
      <c r="H243" s="302">
        <v>0</v>
      </c>
      <c r="I243" s="302">
        <v>0</v>
      </c>
      <c r="J243" s="302">
        <v>0</v>
      </c>
      <c r="K243" s="302">
        <v>0</v>
      </c>
      <c r="L243" s="302">
        <v>0</v>
      </c>
      <c r="M243" s="302">
        <v>0</v>
      </c>
      <c r="N243" s="302">
        <v>0</v>
      </c>
      <c r="O243" s="302">
        <v>0</v>
      </c>
      <c r="P243" s="302">
        <v>0</v>
      </c>
      <c r="Q243" s="302">
        <v>0</v>
      </c>
      <c r="R243" s="295">
        <f t="shared" si="10"/>
        <v>0</v>
      </c>
      <c r="AD243" s="276"/>
    </row>
    <row r="244" spans="1:30" ht="15" customHeight="1">
      <c r="A244" s="552" t="s">
        <v>925</v>
      </c>
      <c r="B244" s="330" t="s">
        <v>614</v>
      </c>
      <c r="C244" s="302">
        <v>0</v>
      </c>
      <c r="D244" s="302">
        <v>0</v>
      </c>
      <c r="E244" s="302">
        <v>0</v>
      </c>
      <c r="F244" s="302">
        <v>0</v>
      </c>
      <c r="G244" s="302">
        <v>0</v>
      </c>
      <c r="H244" s="302">
        <v>0</v>
      </c>
      <c r="I244" s="302">
        <v>0</v>
      </c>
      <c r="J244" s="302">
        <v>0</v>
      </c>
      <c r="K244" s="302">
        <v>0</v>
      </c>
      <c r="L244" s="302">
        <v>0</v>
      </c>
      <c r="M244" s="302">
        <v>0</v>
      </c>
      <c r="N244" s="302">
        <v>0</v>
      </c>
      <c r="O244" s="302">
        <v>0</v>
      </c>
      <c r="P244" s="302">
        <v>0</v>
      </c>
      <c r="Q244" s="302">
        <v>0</v>
      </c>
      <c r="R244" s="295">
        <f t="shared" si="10"/>
        <v>0</v>
      </c>
      <c r="AD244" s="276"/>
    </row>
    <row r="245" spans="1:30" ht="15" customHeight="1">
      <c r="A245" s="553"/>
      <c r="B245" s="330" t="s">
        <v>615</v>
      </c>
      <c r="C245" s="302">
        <v>0</v>
      </c>
      <c r="D245" s="302">
        <v>0</v>
      </c>
      <c r="E245" s="302">
        <v>0</v>
      </c>
      <c r="F245" s="302">
        <v>0</v>
      </c>
      <c r="G245" s="302">
        <v>0</v>
      </c>
      <c r="H245" s="302">
        <v>0</v>
      </c>
      <c r="I245" s="302">
        <v>0</v>
      </c>
      <c r="J245" s="302">
        <v>0</v>
      </c>
      <c r="K245" s="302">
        <v>0</v>
      </c>
      <c r="L245" s="302">
        <v>0</v>
      </c>
      <c r="M245" s="302">
        <v>0</v>
      </c>
      <c r="N245" s="302">
        <v>0</v>
      </c>
      <c r="O245" s="302">
        <v>0</v>
      </c>
      <c r="P245" s="302">
        <v>0</v>
      </c>
      <c r="Q245" s="302">
        <v>0</v>
      </c>
      <c r="R245" s="295">
        <f t="shared" si="10"/>
        <v>0</v>
      </c>
      <c r="AD245" s="276"/>
    </row>
    <row r="246" spans="1:30" ht="15" customHeight="1">
      <c r="A246" s="553"/>
      <c r="B246" s="330" t="s">
        <v>616</v>
      </c>
      <c r="C246" s="302">
        <v>0</v>
      </c>
      <c r="D246" s="302">
        <v>0</v>
      </c>
      <c r="E246" s="302">
        <v>0</v>
      </c>
      <c r="F246" s="302">
        <v>0</v>
      </c>
      <c r="G246" s="302">
        <v>0</v>
      </c>
      <c r="H246" s="302">
        <v>0</v>
      </c>
      <c r="I246" s="302">
        <v>0</v>
      </c>
      <c r="J246" s="302">
        <v>0</v>
      </c>
      <c r="K246" s="302">
        <v>0</v>
      </c>
      <c r="L246" s="302">
        <v>0</v>
      </c>
      <c r="M246" s="302">
        <v>0</v>
      </c>
      <c r="N246" s="302">
        <v>0</v>
      </c>
      <c r="O246" s="302">
        <v>0</v>
      </c>
      <c r="P246" s="302">
        <v>0</v>
      </c>
      <c r="Q246" s="302">
        <v>0</v>
      </c>
      <c r="R246" s="295">
        <f t="shared" si="10"/>
        <v>0</v>
      </c>
      <c r="AD246" s="276"/>
    </row>
    <row r="247" spans="1:30" ht="15" customHeight="1">
      <c r="A247" s="553"/>
      <c r="B247" s="330" t="s">
        <v>617</v>
      </c>
      <c r="C247" s="302">
        <v>0</v>
      </c>
      <c r="D247" s="302">
        <v>0</v>
      </c>
      <c r="E247" s="302">
        <v>0</v>
      </c>
      <c r="F247" s="302">
        <v>0</v>
      </c>
      <c r="G247" s="302">
        <v>0</v>
      </c>
      <c r="H247" s="302">
        <v>0</v>
      </c>
      <c r="I247" s="302">
        <v>0</v>
      </c>
      <c r="J247" s="302">
        <v>0</v>
      </c>
      <c r="K247" s="302">
        <v>0</v>
      </c>
      <c r="L247" s="302">
        <v>0</v>
      </c>
      <c r="M247" s="302">
        <v>0</v>
      </c>
      <c r="N247" s="302">
        <v>0</v>
      </c>
      <c r="O247" s="302">
        <v>0</v>
      </c>
      <c r="P247" s="302">
        <v>0</v>
      </c>
      <c r="Q247" s="302">
        <v>0</v>
      </c>
      <c r="R247" s="295">
        <f t="shared" si="10"/>
        <v>0</v>
      </c>
      <c r="AD247" s="276"/>
    </row>
    <row r="248" spans="1:30" ht="15" customHeight="1">
      <c r="A248" s="553"/>
      <c r="B248" s="330" t="s">
        <v>618</v>
      </c>
      <c r="C248" s="302">
        <v>0</v>
      </c>
      <c r="D248" s="302">
        <v>0</v>
      </c>
      <c r="E248" s="302">
        <v>0</v>
      </c>
      <c r="F248" s="302">
        <v>0</v>
      </c>
      <c r="G248" s="302">
        <v>0</v>
      </c>
      <c r="H248" s="302">
        <v>0</v>
      </c>
      <c r="I248" s="302">
        <v>0</v>
      </c>
      <c r="J248" s="302">
        <v>0</v>
      </c>
      <c r="K248" s="302">
        <v>0</v>
      </c>
      <c r="L248" s="302">
        <v>0</v>
      </c>
      <c r="M248" s="302">
        <v>0</v>
      </c>
      <c r="N248" s="302">
        <v>0</v>
      </c>
      <c r="O248" s="302">
        <v>0</v>
      </c>
      <c r="P248" s="302">
        <v>0</v>
      </c>
      <c r="Q248" s="302">
        <v>0</v>
      </c>
      <c r="R248" s="295">
        <f t="shared" si="10"/>
        <v>0</v>
      </c>
      <c r="AD248" s="276"/>
    </row>
    <row r="249" spans="1:30" ht="15" customHeight="1">
      <c r="A249" s="553"/>
      <c r="B249" s="330" t="s">
        <v>619</v>
      </c>
      <c r="C249" s="302">
        <v>0</v>
      </c>
      <c r="D249" s="302">
        <v>0</v>
      </c>
      <c r="E249" s="302">
        <v>0</v>
      </c>
      <c r="F249" s="302">
        <v>0</v>
      </c>
      <c r="G249" s="302">
        <v>0</v>
      </c>
      <c r="H249" s="302">
        <v>0</v>
      </c>
      <c r="I249" s="302">
        <v>0</v>
      </c>
      <c r="J249" s="302">
        <v>0</v>
      </c>
      <c r="K249" s="302">
        <v>0</v>
      </c>
      <c r="L249" s="302">
        <v>0</v>
      </c>
      <c r="M249" s="302">
        <v>0</v>
      </c>
      <c r="N249" s="302">
        <v>0</v>
      </c>
      <c r="O249" s="302">
        <v>0</v>
      </c>
      <c r="P249" s="302">
        <v>0</v>
      </c>
      <c r="Q249" s="302">
        <v>0</v>
      </c>
      <c r="R249" s="295">
        <f t="shared" si="10"/>
        <v>0</v>
      </c>
      <c r="AD249" s="276"/>
    </row>
    <row r="250" spans="1:30" ht="15" customHeight="1">
      <c r="A250" s="553"/>
      <c r="B250" s="330" t="s">
        <v>620</v>
      </c>
      <c r="C250" s="302">
        <v>0</v>
      </c>
      <c r="D250" s="302">
        <v>0</v>
      </c>
      <c r="E250" s="302">
        <v>0</v>
      </c>
      <c r="F250" s="302">
        <v>0</v>
      </c>
      <c r="G250" s="302">
        <v>0</v>
      </c>
      <c r="H250" s="302">
        <v>0</v>
      </c>
      <c r="I250" s="302">
        <v>0</v>
      </c>
      <c r="J250" s="302">
        <v>0</v>
      </c>
      <c r="K250" s="302">
        <v>0</v>
      </c>
      <c r="L250" s="302">
        <v>0</v>
      </c>
      <c r="M250" s="302">
        <v>0</v>
      </c>
      <c r="N250" s="302">
        <v>0</v>
      </c>
      <c r="O250" s="302">
        <v>0</v>
      </c>
      <c r="P250" s="302">
        <v>0</v>
      </c>
      <c r="Q250" s="302">
        <v>0</v>
      </c>
      <c r="R250" s="295">
        <f t="shared" si="10"/>
        <v>0</v>
      </c>
      <c r="AD250" s="276"/>
    </row>
    <row r="251" spans="1:30" ht="15" customHeight="1">
      <c r="A251" s="553"/>
      <c r="B251" s="330" t="s">
        <v>621</v>
      </c>
      <c r="C251" s="302">
        <v>0</v>
      </c>
      <c r="D251" s="302">
        <v>0</v>
      </c>
      <c r="E251" s="302">
        <v>0</v>
      </c>
      <c r="F251" s="302">
        <v>0</v>
      </c>
      <c r="G251" s="302">
        <v>0</v>
      </c>
      <c r="H251" s="302">
        <v>0</v>
      </c>
      <c r="I251" s="302">
        <v>0</v>
      </c>
      <c r="J251" s="302">
        <v>0</v>
      </c>
      <c r="K251" s="302">
        <v>0</v>
      </c>
      <c r="L251" s="302">
        <v>0</v>
      </c>
      <c r="M251" s="302">
        <v>0</v>
      </c>
      <c r="N251" s="302">
        <v>0</v>
      </c>
      <c r="O251" s="302">
        <v>0</v>
      </c>
      <c r="P251" s="302">
        <v>0</v>
      </c>
      <c r="Q251" s="302">
        <v>0</v>
      </c>
      <c r="R251" s="295">
        <f t="shared" si="10"/>
        <v>0</v>
      </c>
      <c r="AD251" s="276"/>
    </row>
    <row r="252" spans="1:30" ht="15" customHeight="1">
      <c r="A252" s="553"/>
      <c r="B252" s="330" t="s">
        <v>622</v>
      </c>
      <c r="C252" s="302">
        <v>0</v>
      </c>
      <c r="D252" s="302">
        <v>0</v>
      </c>
      <c r="E252" s="302">
        <v>0</v>
      </c>
      <c r="F252" s="302">
        <v>0</v>
      </c>
      <c r="G252" s="302">
        <v>0</v>
      </c>
      <c r="H252" s="302">
        <v>0</v>
      </c>
      <c r="I252" s="302">
        <v>0</v>
      </c>
      <c r="J252" s="302">
        <v>0</v>
      </c>
      <c r="K252" s="302">
        <v>0</v>
      </c>
      <c r="L252" s="302">
        <v>0</v>
      </c>
      <c r="M252" s="302">
        <v>0</v>
      </c>
      <c r="N252" s="302">
        <v>0</v>
      </c>
      <c r="O252" s="302">
        <v>0</v>
      </c>
      <c r="P252" s="302">
        <v>0</v>
      </c>
      <c r="Q252" s="302">
        <v>0</v>
      </c>
      <c r="R252" s="295">
        <f t="shared" si="10"/>
        <v>0</v>
      </c>
      <c r="AD252" s="276"/>
    </row>
    <row r="253" spans="1:30" ht="15" customHeight="1">
      <c r="A253" s="553"/>
      <c r="B253" s="330" t="s">
        <v>623</v>
      </c>
      <c r="C253" s="302">
        <v>0</v>
      </c>
      <c r="D253" s="302">
        <v>0</v>
      </c>
      <c r="E253" s="302">
        <v>0</v>
      </c>
      <c r="F253" s="302">
        <v>0</v>
      </c>
      <c r="G253" s="302">
        <v>0</v>
      </c>
      <c r="H253" s="302">
        <v>0</v>
      </c>
      <c r="I253" s="302">
        <v>0</v>
      </c>
      <c r="J253" s="302">
        <v>0</v>
      </c>
      <c r="K253" s="302">
        <v>0</v>
      </c>
      <c r="L253" s="302">
        <v>0</v>
      </c>
      <c r="M253" s="302">
        <v>0</v>
      </c>
      <c r="N253" s="302">
        <v>0</v>
      </c>
      <c r="O253" s="302">
        <v>0</v>
      </c>
      <c r="P253" s="302">
        <v>0</v>
      </c>
      <c r="Q253" s="302">
        <v>0</v>
      </c>
      <c r="R253" s="295">
        <f t="shared" si="10"/>
        <v>0</v>
      </c>
      <c r="AD253" s="276"/>
    </row>
    <row r="254" spans="1:30" ht="15" customHeight="1">
      <c r="A254" s="553"/>
      <c r="B254" s="330" t="s">
        <v>624</v>
      </c>
      <c r="C254" s="302">
        <v>0</v>
      </c>
      <c r="D254" s="302">
        <v>0</v>
      </c>
      <c r="E254" s="302">
        <v>0</v>
      </c>
      <c r="F254" s="302">
        <v>0</v>
      </c>
      <c r="G254" s="302">
        <v>0</v>
      </c>
      <c r="H254" s="302">
        <v>0</v>
      </c>
      <c r="I254" s="302">
        <v>0</v>
      </c>
      <c r="J254" s="302">
        <v>0</v>
      </c>
      <c r="K254" s="302">
        <v>0</v>
      </c>
      <c r="L254" s="302">
        <v>0</v>
      </c>
      <c r="M254" s="302">
        <v>0</v>
      </c>
      <c r="N254" s="302">
        <v>0</v>
      </c>
      <c r="O254" s="302">
        <v>0</v>
      </c>
      <c r="P254" s="302">
        <v>0</v>
      </c>
      <c r="Q254" s="302">
        <v>0</v>
      </c>
      <c r="R254" s="295">
        <f t="shared" si="10"/>
        <v>0</v>
      </c>
      <c r="AD254" s="276"/>
    </row>
    <row r="255" spans="1:30" ht="15" customHeight="1">
      <c r="A255" s="553"/>
      <c r="B255" s="330" t="s">
        <v>625</v>
      </c>
      <c r="C255" s="302">
        <v>0</v>
      </c>
      <c r="D255" s="302">
        <v>0</v>
      </c>
      <c r="E255" s="302">
        <v>0</v>
      </c>
      <c r="F255" s="302">
        <v>0</v>
      </c>
      <c r="G255" s="302">
        <v>0</v>
      </c>
      <c r="H255" s="302">
        <v>0</v>
      </c>
      <c r="I255" s="302">
        <v>0</v>
      </c>
      <c r="J255" s="302">
        <v>0</v>
      </c>
      <c r="K255" s="302">
        <v>0</v>
      </c>
      <c r="L255" s="302">
        <v>0</v>
      </c>
      <c r="M255" s="302">
        <v>0</v>
      </c>
      <c r="N255" s="302">
        <v>0</v>
      </c>
      <c r="O255" s="302">
        <v>0</v>
      </c>
      <c r="P255" s="302">
        <v>0</v>
      </c>
      <c r="Q255" s="302">
        <v>0</v>
      </c>
      <c r="R255" s="295">
        <f t="shared" si="10"/>
        <v>0</v>
      </c>
      <c r="AD255" s="276"/>
    </row>
    <row r="256" spans="1:30" ht="15" customHeight="1">
      <c r="A256" s="553"/>
      <c r="B256" s="330" t="s">
        <v>626</v>
      </c>
      <c r="C256" s="302">
        <v>0</v>
      </c>
      <c r="D256" s="302">
        <v>0</v>
      </c>
      <c r="E256" s="302">
        <v>0</v>
      </c>
      <c r="F256" s="302">
        <v>0</v>
      </c>
      <c r="G256" s="302">
        <v>0</v>
      </c>
      <c r="H256" s="302">
        <v>0</v>
      </c>
      <c r="I256" s="302">
        <v>0</v>
      </c>
      <c r="J256" s="302">
        <v>0</v>
      </c>
      <c r="K256" s="302">
        <v>0</v>
      </c>
      <c r="L256" s="302">
        <v>0</v>
      </c>
      <c r="M256" s="302">
        <v>0</v>
      </c>
      <c r="N256" s="302">
        <v>0</v>
      </c>
      <c r="O256" s="302">
        <v>0</v>
      </c>
      <c r="P256" s="302">
        <v>0</v>
      </c>
      <c r="Q256" s="302">
        <v>0</v>
      </c>
      <c r="R256" s="295">
        <f t="shared" si="10"/>
        <v>0</v>
      </c>
      <c r="AD256" s="276"/>
    </row>
    <row r="257" spans="1:30" ht="15" customHeight="1">
      <c r="A257" s="553"/>
      <c r="B257" s="330" t="s">
        <v>627</v>
      </c>
      <c r="C257" s="302">
        <v>0</v>
      </c>
      <c r="D257" s="302">
        <v>0</v>
      </c>
      <c r="E257" s="302">
        <v>0</v>
      </c>
      <c r="F257" s="302">
        <v>0</v>
      </c>
      <c r="G257" s="302">
        <v>0</v>
      </c>
      <c r="H257" s="302">
        <v>0</v>
      </c>
      <c r="I257" s="302">
        <v>0</v>
      </c>
      <c r="J257" s="302">
        <v>0</v>
      </c>
      <c r="K257" s="302">
        <v>0</v>
      </c>
      <c r="L257" s="302">
        <v>0</v>
      </c>
      <c r="M257" s="302">
        <v>0</v>
      </c>
      <c r="N257" s="302">
        <v>0</v>
      </c>
      <c r="O257" s="302">
        <v>0</v>
      </c>
      <c r="P257" s="302">
        <v>0</v>
      </c>
      <c r="Q257" s="302">
        <v>0</v>
      </c>
      <c r="R257" s="295">
        <f t="shared" si="10"/>
        <v>0</v>
      </c>
      <c r="AD257" s="276"/>
    </row>
    <row r="258" spans="1:30" ht="15" customHeight="1">
      <c r="A258" s="553"/>
      <c r="B258" s="330" t="s">
        <v>628</v>
      </c>
      <c r="C258" s="302">
        <v>0</v>
      </c>
      <c r="D258" s="302">
        <v>0</v>
      </c>
      <c r="E258" s="302">
        <v>0</v>
      </c>
      <c r="F258" s="302">
        <v>0</v>
      </c>
      <c r="G258" s="302">
        <v>0</v>
      </c>
      <c r="H258" s="302">
        <v>0</v>
      </c>
      <c r="I258" s="302">
        <v>0</v>
      </c>
      <c r="J258" s="302">
        <v>0</v>
      </c>
      <c r="K258" s="302">
        <v>0</v>
      </c>
      <c r="L258" s="302">
        <v>0</v>
      </c>
      <c r="M258" s="302">
        <v>0</v>
      </c>
      <c r="N258" s="302">
        <v>0</v>
      </c>
      <c r="O258" s="302">
        <v>0</v>
      </c>
      <c r="P258" s="302">
        <v>0</v>
      </c>
      <c r="Q258" s="302">
        <v>0</v>
      </c>
      <c r="R258" s="295">
        <f t="shared" si="10"/>
        <v>0</v>
      </c>
      <c r="AD258" s="276"/>
    </row>
    <row r="259" spans="1:30" ht="15" customHeight="1">
      <c r="A259" s="553"/>
      <c r="B259" s="330" t="s">
        <v>629</v>
      </c>
      <c r="C259" s="302">
        <v>0</v>
      </c>
      <c r="D259" s="302">
        <v>0</v>
      </c>
      <c r="E259" s="302">
        <v>0</v>
      </c>
      <c r="F259" s="302">
        <v>0</v>
      </c>
      <c r="G259" s="302">
        <v>0</v>
      </c>
      <c r="H259" s="302">
        <v>0</v>
      </c>
      <c r="I259" s="302">
        <v>0</v>
      </c>
      <c r="J259" s="302">
        <v>0</v>
      </c>
      <c r="K259" s="302">
        <v>0</v>
      </c>
      <c r="L259" s="302">
        <v>0</v>
      </c>
      <c r="M259" s="302">
        <v>0</v>
      </c>
      <c r="N259" s="302">
        <v>0</v>
      </c>
      <c r="O259" s="302">
        <v>0</v>
      </c>
      <c r="P259" s="302">
        <v>0</v>
      </c>
      <c r="Q259" s="302">
        <v>0</v>
      </c>
      <c r="R259" s="295">
        <f t="shared" si="10"/>
        <v>0</v>
      </c>
      <c r="AD259" s="276"/>
    </row>
    <row r="260" spans="1:30" ht="15" customHeight="1">
      <c r="A260" s="553"/>
      <c r="B260" s="330" t="s">
        <v>630</v>
      </c>
      <c r="C260" s="302">
        <v>0</v>
      </c>
      <c r="D260" s="302">
        <v>0</v>
      </c>
      <c r="E260" s="302">
        <v>0</v>
      </c>
      <c r="F260" s="302">
        <v>0</v>
      </c>
      <c r="G260" s="302">
        <v>0</v>
      </c>
      <c r="H260" s="302">
        <v>0</v>
      </c>
      <c r="I260" s="302">
        <v>0</v>
      </c>
      <c r="J260" s="302">
        <v>0</v>
      </c>
      <c r="K260" s="302">
        <v>0</v>
      </c>
      <c r="L260" s="302">
        <v>0</v>
      </c>
      <c r="M260" s="302">
        <v>0</v>
      </c>
      <c r="N260" s="302">
        <v>0</v>
      </c>
      <c r="O260" s="302">
        <v>0</v>
      </c>
      <c r="P260" s="302">
        <v>0</v>
      </c>
      <c r="Q260" s="302">
        <v>0</v>
      </c>
      <c r="R260" s="295">
        <f t="shared" si="10"/>
        <v>0</v>
      </c>
      <c r="AD260" s="276"/>
    </row>
    <row r="261" spans="1:30" ht="15" customHeight="1">
      <c r="A261" s="553"/>
      <c r="B261" s="330" t="s">
        <v>918</v>
      </c>
      <c r="C261" s="302">
        <v>0</v>
      </c>
      <c r="D261" s="302">
        <v>0</v>
      </c>
      <c r="E261" s="302">
        <v>0</v>
      </c>
      <c r="F261" s="302">
        <v>0</v>
      </c>
      <c r="G261" s="302">
        <v>0</v>
      </c>
      <c r="H261" s="302">
        <v>0</v>
      </c>
      <c r="I261" s="302">
        <v>0</v>
      </c>
      <c r="J261" s="302">
        <v>0</v>
      </c>
      <c r="K261" s="302">
        <v>0</v>
      </c>
      <c r="L261" s="302">
        <v>0</v>
      </c>
      <c r="M261" s="302">
        <v>0</v>
      </c>
      <c r="N261" s="302">
        <v>0</v>
      </c>
      <c r="O261" s="302">
        <v>0</v>
      </c>
      <c r="P261" s="302">
        <v>0</v>
      </c>
      <c r="Q261" s="302">
        <v>0</v>
      </c>
      <c r="R261" s="295">
        <f t="shared" si="10"/>
        <v>0</v>
      </c>
      <c r="AD261" s="276"/>
    </row>
    <row r="262" spans="1:30" ht="15" customHeight="1">
      <c r="A262" s="553"/>
      <c r="B262" s="330" t="s">
        <v>919</v>
      </c>
      <c r="C262" s="302">
        <v>0</v>
      </c>
      <c r="D262" s="302">
        <v>0</v>
      </c>
      <c r="E262" s="302">
        <v>0</v>
      </c>
      <c r="F262" s="302">
        <v>0</v>
      </c>
      <c r="G262" s="302">
        <v>0</v>
      </c>
      <c r="H262" s="302">
        <v>0</v>
      </c>
      <c r="I262" s="302">
        <v>0</v>
      </c>
      <c r="J262" s="302">
        <v>0</v>
      </c>
      <c r="K262" s="302">
        <v>0</v>
      </c>
      <c r="L262" s="302">
        <v>0</v>
      </c>
      <c r="M262" s="302">
        <v>0</v>
      </c>
      <c r="N262" s="302">
        <v>0</v>
      </c>
      <c r="O262" s="302">
        <v>0</v>
      </c>
      <c r="P262" s="302">
        <v>0</v>
      </c>
      <c r="Q262" s="302">
        <v>0</v>
      </c>
      <c r="R262" s="295">
        <f t="shared" si="10"/>
        <v>0</v>
      </c>
      <c r="AD262" s="276"/>
    </row>
    <row r="263" spans="1:30" ht="15" customHeight="1">
      <c r="A263" s="553"/>
      <c r="B263" s="330" t="s">
        <v>920</v>
      </c>
      <c r="C263" s="302">
        <v>0</v>
      </c>
      <c r="D263" s="302">
        <v>0</v>
      </c>
      <c r="E263" s="302">
        <v>0</v>
      </c>
      <c r="F263" s="302">
        <v>0</v>
      </c>
      <c r="G263" s="302">
        <v>0</v>
      </c>
      <c r="H263" s="302">
        <v>0</v>
      </c>
      <c r="I263" s="302">
        <v>0</v>
      </c>
      <c r="J263" s="302">
        <v>0</v>
      </c>
      <c r="K263" s="302">
        <v>0</v>
      </c>
      <c r="L263" s="302">
        <v>0</v>
      </c>
      <c r="M263" s="302">
        <v>0</v>
      </c>
      <c r="N263" s="302">
        <v>0</v>
      </c>
      <c r="O263" s="302">
        <v>0</v>
      </c>
      <c r="P263" s="302">
        <v>0</v>
      </c>
      <c r="Q263" s="302">
        <v>0</v>
      </c>
      <c r="R263" s="295">
        <f t="shared" si="10"/>
        <v>0</v>
      </c>
      <c r="AD263" s="276"/>
    </row>
    <row r="264" spans="1:30" ht="15" customHeight="1" thickBot="1">
      <c r="A264" s="554"/>
      <c r="B264" s="330" t="s">
        <v>921</v>
      </c>
      <c r="C264" s="302">
        <v>0</v>
      </c>
      <c r="D264" s="302">
        <v>0</v>
      </c>
      <c r="E264" s="302">
        <v>0</v>
      </c>
      <c r="F264" s="302">
        <v>0</v>
      </c>
      <c r="G264" s="302">
        <v>0</v>
      </c>
      <c r="H264" s="302">
        <v>0</v>
      </c>
      <c r="I264" s="302">
        <v>0</v>
      </c>
      <c r="J264" s="302">
        <v>0</v>
      </c>
      <c r="K264" s="302">
        <v>0</v>
      </c>
      <c r="L264" s="302">
        <v>0</v>
      </c>
      <c r="M264" s="302">
        <v>0</v>
      </c>
      <c r="N264" s="302">
        <v>0</v>
      </c>
      <c r="O264" s="302">
        <v>0</v>
      </c>
      <c r="P264" s="302">
        <v>0</v>
      </c>
      <c r="Q264" s="302">
        <v>0</v>
      </c>
      <c r="R264" s="295">
        <f t="shared" si="10"/>
        <v>0</v>
      </c>
      <c r="AD264" s="276"/>
    </row>
    <row r="265" spans="1:30" ht="20.100000000000001" customHeight="1" thickBot="1">
      <c r="A265" s="558" t="s">
        <v>755</v>
      </c>
      <c r="B265" s="559"/>
      <c r="C265" s="296"/>
      <c r="D265" s="296"/>
      <c r="E265" s="296"/>
      <c r="F265" s="296"/>
      <c r="G265" s="296"/>
      <c r="H265" s="296"/>
      <c r="I265" s="296"/>
      <c r="J265" s="296"/>
      <c r="K265" s="296"/>
      <c r="L265" s="296"/>
      <c r="M265" s="296"/>
      <c r="N265" s="296"/>
      <c r="O265" s="296"/>
      <c r="P265" s="296"/>
      <c r="Q265" s="296"/>
      <c r="R265" s="560"/>
      <c r="AD265" s="276"/>
    </row>
    <row r="266" spans="1:30" ht="20.100000000000001" customHeight="1" thickBot="1">
      <c r="A266" s="558" t="s">
        <v>754</v>
      </c>
      <c r="B266" s="559"/>
      <c r="C266" s="296">
        <f t="shared" ref="C266:Q266" si="11">+AVERAGE(C221:C264)</f>
        <v>0</v>
      </c>
      <c r="D266" s="296">
        <f t="shared" si="11"/>
        <v>0</v>
      </c>
      <c r="E266" s="296">
        <f t="shared" si="11"/>
        <v>0</v>
      </c>
      <c r="F266" s="296">
        <f t="shared" si="11"/>
        <v>0</v>
      </c>
      <c r="G266" s="296">
        <f t="shared" si="11"/>
        <v>0</v>
      </c>
      <c r="H266" s="296">
        <f t="shared" si="11"/>
        <v>0</v>
      </c>
      <c r="I266" s="296">
        <f t="shared" si="11"/>
        <v>0</v>
      </c>
      <c r="J266" s="296">
        <f t="shared" si="11"/>
        <v>0</v>
      </c>
      <c r="K266" s="296">
        <f t="shared" si="11"/>
        <v>0</v>
      </c>
      <c r="L266" s="296">
        <f t="shared" si="11"/>
        <v>0</v>
      </c>
      <c r="M266" s="296">
        <f t="shared" si="11"/>
        <v>0</v>
      </c>
      <c r="N266" s="296">
        <f t="shared" si="11"/>
        <v>0</v>
      </c>
      <c r="O266" s="296">
        <f t="shared" si="11"/>
        <v>0</v>
      </c>
      <c r="P266" s="296">
        <f t="shared" si="11"/>
        <v>0</v>
      </c>
      <c r="Q266" s="296">
        <f t="shared" si="11"/>
        <v>0</v>
      </c>
      <c r="R266" s="561"/>
      <c r="AD266" s="276"/>
    </row>
    <row r="267" spans="1:30" ht="20.100000000000001" customHeight="1" thickBot="1">
      <c r="A267" s="558" t="s">
        <v>760</v>
      </c>
      <c r="B267" s="563"/>
      <c r="C267" s="516">
        <f>+AVERAGE(C266:Q266)</f>
        <v>0</v>
      </c>
      <c r="D267" s="517"/>
      <c r="E267" s="517"/>
      <c r="F267" s="517"/>
      <c r="G267" s="517"/>
      <c r="H267" s="517"/>
      <c r="I267" s="517"/>
      <c r="J267" s="517"/>
      <c r="K267" s="517"/>
      <c r="L267" s="517"/>
      <c r="M267" s="517"/>
      <c r="N267" s="517"/>
      <c r="O267" s="517"/>
      <c r="P267" s="517"/>
      <c r="Q267" s="517"/>
      <c r="R267" s="562"/>
      <c r="AD267" s="276"/>
    </row>
    <row r="268" spans="1:30" ht="15" customHeight="1">
      <c r="A268" s="552" t="s">
        <v>933</v>
      </c>
      <c r="B268" s="332" t="s">
        <v>631</v>
      </c>
      <c r="C268" s="301">
        <v>0</v>
      </c>
      <c r="D268" s="301">
        <v>0</v>
      </c>
      <c r="E268" s="301">
        <v>0</v>
      </c>
      <c r="F268" s="301">
        <v>0</v>
      </c>
      <c r="G268" s="301">
        <v>0</v>
      </c>
      <c r="H268" s="301">
        <v>0</v>
      </c>
      <c r="I268" s="301">
        <v>0</v>
      </c>
      <c r="J268" s="301">
        <v>0</v>
      </c>
      <c r="K268" s="301">
        <v>0</v>
      </c>
      <c r="L268" s="301">
        <v>0</v>
      </c>
      <c r="M268" s="301">
        <v>0</v>
      </c>
      <c r="N268" s="301">
        <v>0</v>
      </c>
      <c r="O268" s="301">
        <v>0</v>
      </c>
      <c r="P268" s="301">
        <v>0</v>
      </c>
      <c r="Q268" s="301">
        <v>0</v>
      </c>
      <c r="R268" s="293">
        <f t="shared" ref="R268:R311" si="12">+AVERAGE(C268:Q268)</f>
        <v>0</v>
      </c>
      <c r="AD268" s="276"/>
    </row>
    <row r="269" spans="1:30" ht="15" customHeight="1">
      <c r="A269" s="553"/>
      <c r="B269" s="330" t="s">
        <v>632</v>
      </c>
      <c r="C269" s="302">
        <v>0</v>
      </c>
      <c r="D269" s="302">
        <v>0</v>
      </c>
      <c r="E269" s="302">
        <v>0</v>
      </c>
      <c r="F269" s="302">
        <v>0</v>
      </c>
      <c r="G269" s="302">
        <v>0</v>
      </c>
      <c r="H269" s="302">
        <v>0</v>
      </c>
      <c r="I269" s="302">
        <v>0</v>
      </c>
      <c r="J269" s="302">
        <v>0</v>
      </c>
      <c r="K269" s="302">
        <v>0</v>
      </c>
      <c r="L269" s="302">
        <v>0</v>
      </c>
      <c r="M269" s="302">
        <v>0</v>
      </c>
      <c r="N269" s="302">
        <v>0</v>
      </c>
      <c r="O269" s="302">
        <v>0</v>
      </c>
      <c r="P269" s="302">
        <v>0</v>
      </c>
      <c r="Q269" s="302">
        <v>0</v>
      </c>
      <c r="R269" s="295">
        <f t="shared" si="12"/>
        <v>0</v>
      </c>
      <c r="AD269" s="276"/>
    </row>
    <row r="270" spans="1:30" ht="15" customHeight="1">
      <c r="A270" s="553"/>
      <c r="B270" s="330" t="s">
        <v>926</v>
      </c>
      <c r="C270" s="302">
        <v>0</v>
      </c>
      <c r="D270" s="302">
        <v>0</v>
      </c>
      <c r="E270" s="302">
        <v>0</v>
      </c>
      <c r="F270" s="302">
        <v>0</v>
      </c>
      <c r="G270" s="302">
        <v>0</v>
      </c>
      <c r="H270" s="302">
        <v>0</v>
      </c>
      <c r="I270" s="302">
        <v>0</v>
      </c>
      <c r="J270" s="302">
        <v>0</v>
      </c>
      <c r="K270" s="302">
        <v>0</v>
      </c>
      <c r="L270" s="302">
        <v>0</v>
      </c>
      <c r="M270" s="302">
        <v>0</v>
      </c>
      <c r="N270" s="302">
        <v>0</v>
      </c>
      <c r="O270" s="302">
        <v>0</v>
      </c>
      <c r="P270" s="302">
        <v>0</v>
      </c>
      <c r="Q270" s="302">
        <v>0</v>
      </c>
      <c r="R270" s="295">
        <f t="shared" si="12"/>
        <v>0</v>
      </c>
      <c r="AD270" s="276"/>
    </row>
    <row r="271" spans="1:30" ht="15" customHeight="1">
      <c r="A271" s="553"/>
      <c r="B271" s="330" t="s">
        <v>634</v>
      </c>
      <c r="C271" s="302">
        <v>0</v>
      </c>
      <c r="D271" s="302">
        <v>0</v>
      </c>
      <c r="E271" s="302">
        <v>0</v>
      </c>
      <c r="F271" s="302">
        <v>0</v>
      </c>
      <c r="G271" s="302">
        <v>0</v>
      </c>
      <c r="H271" s="302">
        <v>0</v>
      </c>
      <c r="I271" s="302">
        <v>0</v>
      </c>
      <c r="J271" s="302">
        <v>0</v>
      </c>
      <c r="K271" s="302">
        <v>0</v>
      </c>
      <c r="L271" s="302">
        <v>0</v>
      </c>
      <c r="M271" s="302">
        <v>0</v>
      </c>
      <c r="N271" s="302">
        <v>0</v>
      </c>
      <c r="O271" s="302">
        <v>0</v>
      </c>
      <c r="P271" s="302">
        <v>0</v>
      </c>
      <c r="Q271" s="302">
        <v>0</v>
      </c>
      <c r="R271" s="295">
        <f t="shared" si="12"/>
        <v>0</v>
      </c>
      <c r="AD271" s="276"/>
    </row>
    <row r="272" spans="1:30" ht="15" customHeight="1">
      <c r="A272" s="553"/>
      <c r="B272" s="330" t="s">
        <v>635</v>
      </c>
      <c r="C272" s="302">
        <v>0</v>
      </c>
      <c r="D272" s="302">
        <v>0</v>
      </c>
      <c r="E272" s="302">
        <v>0</v>
      </c>
      <c r="F272" s="302">
        <v>0</v>
      </c>
      <c r="G272" s="302">
        <v>0</v>
      </c>
      <c r="H272" s="302">
        <v>0</v>
      </c>
      <c r="I272" s="302">
        <v>0</v>
      </c>
      <c r="J272" s="302">
        <v>0</v>
      </c>
      <c r="K272" s="302">
        <v>0</v>
      </c>
      <c r="L272" s="302">
        <v>0</v>
      </c>
      <c r="M272" s="302">
        <v>0</v>
      </c>
      <c r="N272" s="302">
        <v>0</v>
      </c>
      <c r="O272" s="302">
        <v>0</v>
      </c>
      <c r="P272" s="302">
        <v>0</v>
      </c>
      <c r="Q272" s="302">
        <v>0</v>
      </c>
      <c r="R272" s="295">
        <f t="shared" si="12"/>
        <v>0</v>
      </c>
      <c r="AD272" s="276"/>
    </row>
    <row r="273" spans="1:30" ht="15" customHeight="1">
      <c r="A273" s="553"/>
      <c r="B273" s="330" t="s">
        <v>636</v>
      </c>
      <c r="C273" s="302">
        <v>0</v>
      </c>
      <c r="D273" s="302">
        <v>0</v>
      </c>
      <c r="E273" s="302">
        <v>0</v>
      </c>
      <c r="F273" s="302">
        <v>0</v>
      </c>
      <c r="G273" s="302">
        <v>0</v>
      </c>
      <c r="H273" s="302">
        <v>0</v>
      </c>
      <c r="I273" s="302">
        <v>0</v>
      </c>
      <c r="J273" s="302">
        <v>0</v>
      </c>
      <c r="K273" s="302">
        <v>0</v>
      </c>
      <c r="L273" s="302">
        <v>0</v>
      </c>
      <c r="M273" s="302">
        <v>0</v>
      </c>
      <c r="N273" s="302">
        <v>0</v>
      </c>
      <c r="O273" s="302">
        <v>0</v>
      </c>
      <c r="P273" s="302">
        <v>0</v>
      </c>
      <c r="Q273" s="302">
        <v>0</v>
      </c>
      <c r="R273" s="295">
        <f t="shared" si="12"/>
        <v>0</v>
      </c>
      <c r="AD273" s="276"/>
    </row>
    <row r="274" spans="1:30" ht="15" customHeight="1">
      <c r="A274" s="553"/>
      <c r="B274" s="330" t="s">
        <v>637</v>
      </c>
      <c r="C274" s="302">
        <v>0</v>
      </c>
      <c r="D274" s="302">
        <v>0</v>
      </c>
      <c r="E274" s="302">
        <v>0</v>
      </c>
      <c r="F274" s="302">
        <v>0</v>
      </c>
      <c r="G274" s="302">
        <v>0</v>
      </c>
      <c r="H274" s="302">
        <v>0</v>
      </c>
      <c r="I274" s="302">
        <v>0</v>
      </c>
      <c r="J274" s="302">
        <v>0</v>
      </c>
      <c r="K274" s="302">
        <v>0</v>
      </c>
      <c r="L274" s="302">
        <v>0</v>
      </c>
      <c r="M274" s="302">
        <v>0</v>
      </c>
      <c r="N274" s="302">
        <v>0</v>
      </c>
      <c r="O274" s="302">
        <v>0</v>
      </c>
      <c r="P274" s="302">
        <v>0</v>
      </c>
      <c r="Q274" s="302">
        <v>0</v>
      </c>
      <c r="R274" s="295">
        <f t="shared" si="12"/>
        <v>0</v>
      </c>
      <c r="AD274" s="276"/>
    </row>
    <row r="275" spans="1:30" ht="15" customHeight="1">
      <c r="A275" s="553"/>
      <c r="B275" s="330" t="s">
        <v>638</v>
      </c>
      <c r="C275" s="302">
        <v>0</v>
      </c>
      <c r="D275" s="302">
        <v>0</v>
      </c>
      <c r="E275" s="302">
        <v>0</v>
      </c>
      <c r="F275" s="302">
        <v>0</v>
      </c>
      <c r="G275" s="302">
        <v>0</v>
      </c>
      <c r="H275" s="302">
        <v>0</v>
      </c>
      <c r="I275" s="302">
        <v>0</v>
      </c>
      <c r="J275" s="302">
        <v>0</v>
      </c>
      <c r="K275" s="302">
        <v>0</v>
      </c>
      <c r="L275" s="302">
        <v>0</v>
      </c>
      <c r="M275" s="302">
        <v>0</v>
      </c>
      <c r="N275" s="302">
        <v>0</v>
      </c>
      <c r="O275" s="302">
        <v>0</v>
      </c>
      <c r="P275" s="302">
        <v>0</v>
      </c>
      <c r="Q275" s="302">
        <v>0</v>
      </c>
      <c r="R275" s="295">
        <f t="shared" si="12"/>
        <v>0</v>
      </c>
      <c r="AD275" s="276"/>
    </row>
    <row r="276" spans="1:30" ht="15" customHeight="1">
      <c r="A276" s="553"/>
      <c r="B276" s="330" t="s">
        <v>639</v>
      </c>
      <c r="C276" s="302">
        <v>0</v>
      </c>
      <c r="D276" s="302">
        <v>0</v>
      </c>
      <c r="E276" s="302">
        <v>0</v>
      </c>
      <c r="F276" s="302">
        <v>0</v>
      </c>
      <c r="G276" s="302">
        <v>0</v>
      </c>
      <c r="H276" s="302">
        <v>0</v>
      </c>
      <c r="I276" s="302">
        <v>0</v>
      </c>
      <c r="J276" s="302">
        <v>0</v>
      </c>
      <c r="K276" s="302">
        <v>0</v>
      </c>
      <c r="L276" s="302">
        <v>0</v>
      </c>
      <c r="M276" s="302">
        <v>0</v>
      </c>
      <c r="N276" s="302">
        <v>0</v>
      </c>
      <c r="O276" s="302">
        <v>0</v>
      </c>
      <c r="P276" s="302">
        <v>0</v>
      </c>
      <c r="Q276" s="302">
        <v>0</v>
      </c>
      <c r="R276" s="295">
        <f t="shared" si="12"/>
        <v>0</v>
      </c>
      <c r="AD276" s="276"/>
    </row>
    <row r="277" spans="1:30" ht="15" customHeight="1">
      <c r="A277" s="553"/>
      <c r="B277" s="330" t="s">
        <v>640</v>
      </c>
      <c r="C277" s="302">
        <v>0</v>
      </c>
      <c r="D277" s="302">
        <v>0</v>
      </c>
      <c r="E277" s="302">
        <v>0</v>
      </c>
      <c r="F277" s="302">
        <v>0</v>
      </c>
      <c r="G277" s="302">
        <v>0</v>
      </c>
      <c r="H277" s="302">
        <v>0</v>
      </c>
      <c r="I277" s="302">
        <v>0</v>
      </c>
      <c r="J277" s="302">
        <v>0</v>
      </c>
      <c r="K277" s="302">
        <v>0</v>
      </c>
      <c r="L277" s="302">
        <v>0</v>
      </c>
      <c r="M277" s="302">
        <v>0</v>
      </c>
      <c r="N277" s="302">
        <v>0</v>
      </c>
      <c r="O277" s="302">
        <v>0</v>
      </c>
      <c r="P277" s="302">
        <v>0</v>
      </c>
      <c r="Q277" s="302">
        <v>0</v>
      </c>
      <c r="R277" s="295">
        <f t="shared" si="12"/>
        <v>0</v>
      </c>
      <c r="AD277" s="276"/>
    </row>
    <row r="278" spans="1:30" ht="15" customHeight="1">
      <c r="A278" s="553"/>
      <c r="B278" s="330" t="s">
        <v>641</v>
      </c>
      <c r="C278" s="302">
        <v>0</v>
      </c>
      <c r="D278" s="302">
        <v>0</v>
      </c>
      <c r="E278" s="302">
        <v>0</v>
      </c>
      <c r="F278" s="302">
        <v>0</v>
      </c>
      <c r="G278" s="302">
        <v>0</v>
      </c>
      <c r="H278" s="302">
        <v>0</v>
      </c>
      <c r="I278" s="302">
        <v>0</v>
      </c>
      <c r="J278" s="302">
        <v>0</v>
      </c>
      <c r="K278" s="302">
        <v>0</v>
      </c>
      <c r="L278" s="302">
        <v>0</v>
      </c>
      <c r="M278" s="302">
        <v>0</v>
      </c>
      <c r="N278" s="302">
        <v>0</v>
      </c>
      <c r="O278" s="302">
        <v>0</v>
      </c>
      <c r="P278" s="302">
        <v>0</v>
      </c>
      <c r="Q278" s="302">
        <v>0</v>
      </c>
      <c r="R278" s="295">
        <f t="shared" si="12"/>
        <v>0</v>
      </c>
      <c r="AD278" s="276"/>
    </row>
    <row r="279" spans="1:30" ht="15" customHeight="1">
      <c r="A279" s="553"/>
      <c r="B279" s="330" t="s">
        <v>642</v>
      </c>
      <c r="C279" s="302">
        <v>0</v>
      </c>
      <c r="D279" s="302">
        <v>0</v>
      </c>
      <c r="E279" s="302">
        <v>0</v>
      </c>
      <c r="F279" s="302">
        <v>0</v>
      </c>
      <c r="G279" s="302">
        <v>0</v>
      </c>
      <c r="H279" s="302">
        <v>0</v>
      </c>
      <c r="I279" s="302">
        <v>0</v>
      </c>
      <c r="J279" s="302">
        <v>0</v>
      </c>
      <c r="K279" s="302">
        <v>0</v>
      </c>
      <c r="L279" s="302">
        <v>0</v>
      </c>
      <c r="M279" s="302">
        <v>0</v>
      </c>
      <c r="N279" s="302">
        <v>0</v>
      </c>
      <c r="O279" s="302">
        <v>0</v>
      </c>
      <c r="P279" s="302">
        <v>0</v>
      </c>
      <c r="Q279" s="302">
        <v>0</v>
      </c>
      <c r="R279" s="295">
        <f t="shared" si="12"/>
        <v>0</v>
      </c>
      <c r="AD279" s="276"/>
    </row>
    <row r="280" spans="1:30" ht="15" customHeight="1">
      <c r="A280" s="553"/>
      <c r="B280" s="330" t="s">
        <v>643</v>
      </c>
      <c r="C280" s="302">
        <v>0</v>
      </c>
      <c r="D280" s="302">
        <v>0</v>
      </c>
      <c r="E280" s="302">
        <v>0</v>
      </c>
      <c r="F280" s="302">
        <v>0</v>
      </c>
      <c r="G280" s="302">
        <v>0</v>
      </c>
      <c r="H280" s="302">
        <v>0</v>
      </c>
      <c r="I280" s="302">
        <v>0</v>
      </c>
      <c r="J280" s="302">
        <v>0</v>
      </c>
      <c r="K280" s="302">
        <v>0</v>
      </c>
      <c r="L280" s="302">
        <v>0</v>
      </c>
      <c r="M280" s="302">
        <v>0</v>
      </c>
      <c r="N280" s="302">
        <v>0</v>
      </c>
      <c r="O280" s="302">
        <v>0</v>
      </c>
      <c r="P280" s="302">
        <v>0</v>
      </c>
      <c r="Q280" s="302">
        <v>0</v>
      </c>
      <c r="R280" s="295">
        <f t="shared" si="12"/>
        <v>0</v>
      </c>
      <c r="AD280" s="276"/>
    </row>
    <row r="281" spans="1:30" ht="15" customHeight="1">
      <c r="A281" s="553"/>
      <c r="B281" s="330" t="s">
        <v>644</v>
      </c>
      <c r="C281" s="302">
        <v>0</v>
      </c>
      <c r="D281" s="302">
        <v>0</v>
      </c>
      <c r="E281" s="302">
        <v>0</v>
      </c>
      <c r="F281" s="302">
        <v>0</v>
      </c>
      <c r="G281" s="302">
        <v>0</v>
      </c>
      <c r="H281" s="302">
        <v>0</v>
      </c>
      <c r="I281" s="302">
        <v>0</v>
      </c>
      <c r="J281" s="302">
        <v>0</v>
      </c>
      <c r="K281" s="302">
        <v>0</v>
      </c>
      <c r="L281" s="302">
        <v>0</v>
      </c>
      <c r="M281" s="302">
        <v>0</v>
      </c>
      <c r="N281" s="302">
        <v>0</v>
      </c>
      <c r="O281" s="302">
        <v>0</v>
      </c>
      <c r="P281" s="302">
        <v>0</v>
      </c>
      <c r="Q281" s="302">
        <v>0</v>
      </c>
      <c r="R281" s="295">
        <f t="shared" si="12"/>
        <v>0</v>
      </c>
      <c r="AD281" s="276"/>
    </row>
    <row r="282" spans="1:30" ht="15" customHeight="1">
      <c r="A282" s="553"/>
      <c r="B282" s="330" t="s">
        <v>645</v>
      </c>
      <c r="C282" s="302">
        <v>0</v>
      </c>
      <c r="D282" s="302">
        <v>0</v>
      </c>
      <c r="E282" s="302">
        <v>0</v>
      </c>
      <c r="F282" s="302">
        <v>0</v>
      </c>
      <c r="G282" s="302">
        <v>0</v>
      </c>
      <c r="H282" s="302">
        <v>0</v>
      </c>
      <c r="I282" s="302">
        <v>0</v>
      </c>
      <c r="J282" s="302">
        <v>0</v>
      </c>
      <c r="K282" s="302">
        <v>0</v>
      </c>
      <c r="L282" s="302">
        <v>0</v>
      </c>
      <c r="M282" s="302">
        <v>0</v>
      </c>
      <c r="N282" s="302">
        <v>0</v>
      </c>
      <c r="O282" s="302">
        <v>0</v>
      </c>
      <c r="P282" s="302">
        <v>0</v>
      </c>
      <c r="Q282" s="302">
        <v>0</v>
      </c>
      <c r="R282" s="295">
        <f t="shared" si="12"/>
        <v>0</v>
      </c>
      <c r="AD282" s="276"/>
    </row>
    <row r="283" spans="1:30" ht="15" customHeight="1">
      <c r="A283" s="553"/>
      <c r="B283" s="330" t="s">
        <v>646</v>
      </c>
      <c r="C283" s="302">
        <v>0</v>
      </c>
      <c r="D283" s="302">
        <v>0</v>
      </c>
      <c r="E283" s="302">
        <v>0</v>
      </c>
      <c r="F283" s="302">
        <v>0</v>
      </c>
      <c r="G283" s="302">
        <v>0</v>
      </c>
      <c r="H283" s="302">
        <v>0</v>
      </c>
      <c r="I283" s="302">
        <v>0</v>
      </c>
      <c r="J283" s="302">
        <v>0</v>
      </c>
      <c r="K283" s="302">
        <v>0</v>
      </c>
      <c r="L283" s="302">
        <v>0</v>
      </c>
      <c r="M283" s="302">
        <v>0</v>
      </c>
      <c r="N283" s="302">
        <v>0</v>
      </c>
      <c r="O283" s="302">
        <v>0</v>
      </c>
      <c r="P283" s="302">
        <v>0</v>
      </c>
      <c r="Q283" s="302">
        <v>0</v>
      </c>
      <c r="R283" s="295">
        <f t="shared" si="12"/>
        <v>0</v>
      </c>
      <c r="AD283" s="276"/>
    </row>
    <row r="284" spans="1:30" ht="15" customHeight="1">
      <c r="A284" s="553"/>
      <c r="B284" s="330" t="s">
        <v>647</v>
      </c>
      <c r="C284" s="302">
        <v>0</v>
      </c>
      <c r="D284" s="302">
        <v>0</v>
      </c>
      <c r="E284" s="302">
        <v>0</v>
      </c>
      <c r="F284" s="302">
        <v>0</v>
      </c>
      <c r="G284" s="302">
        <v>0</v>
      </c>
      <c r="H284" s="302">
        <v>0</v>
      </c>
      <c r="I284" s="302">
        <v>0</v>
      </c>
      <c r="J284" s="302">
        <v>0</v>
      </c>
      <c r="K284" s="302">
        <v>0</v>
      </c>
      <c r="L284" s="302">
        <v>0</v>
      </c>
      <c r="M284" s="302">
        <v>0</v>
      </c>
      <c r="N284" s="302">
        <v>0</v>
      </c>
      <c r="O284" s="302">
        <v>0</v>
      </c>
      <c r="P284" s="302">
        <v>0</v>
      </c>
      <c r="Q284" s="302">
        <v>0</v>
      </c>
      <c r="R284" s="295">
        <f t="shared" si="12"/>
        <v>0</v>
      </c>
      <c r="AD284" s="276"/>
    </row>
    <row r="285" spans="1:30" ht="15" customHeight="1">
      <c r="A285" s="553"/>
      <c r="B285" s="330" t="s">
        <v>927</v>
      </c>
      <c r="C285" s="302">
        <v>0</v>
      </c>
      <c r="D285" s="302">
        <v>0</v>
      </c>
      <c r="E285" s="302">
        <v>0</v>
      </c>
      <c r="F285" s="302">
        <v>0</v>
      </c>
      <c r="G285" s="302">
        <v>0</v>
      </c>
      <c r="H285" s="302">
        <v>0</v>
      </c>
      <c r="I285" s="302">
        <v>0</v>
      </c>
      <c r="J285" s="302">
        <v>0</v>
      </c>
      <c r="K285" s="302">
        <v>0</v>
      </c>
      <c r="L285" s="302">
        <v>0</v>
      </c>
      <c r="M285" s="302">
        <v>0</v>
      </c>
      <c r="N285" s="302">
        <v>0</v>
      </c>
      <c r="O285" s="302">
        <v>0</v>
      </c>
      <c r="P285" s="302">
        <v>0</v>
      </c>
      <c r="Q285" s="302">
        <v>0</v>
      </c>
      <c r="R285" s="295">
        <f t="shared" si="12"/>
        <v>0</v>
      </c>
      <c r="AD285" s="276"/>
    </row>
    <row r="286" spans="1:30" ht="15" customHeight="1">
      <c r="A286" s="553"/>
      <c r="B286" s="330" t="s">
        <v>928</v>
      </c>
      <c r="C286" s="302">
        <v>0</v>
      </c>
      <c r="D286" s="302">
        <v>0</v>
      </c>
      <c r="E286" s="302">
        <v>0</v>
      </c>
      <c r="F286" s="302">
        <v>0</v>
      </c>
      <c r="G286" s="302">
        <v>0</v>
      </c>
      <c r="H286" s="302">
        <v>0</v>
      </c>
      <c r="I286" s="302">
        <v>0</v>
      </c>
      <c r="J286" s="302">
        <v>0</v>
      </c>
      <c r="K286" s="302">
        <v>0</v>
      </c>
      <c r="L286" s="302">
        <v>0</v>
      </c>
      <c r="M286" s="302">
        <v>0</v>
      </c>
      <c r="N286" s="302">
        <v>0</v>
      </c>
      <c r="O286" s="302">
        <v>0</v>
      </c>
      <c r="P286" s="302">
        <v>0</v>
      </c>
      <c r="Q286" s="302">
        <v>0</v>
      </c>
      <c r="R286" s="295">
        <f t="shared" si="12"/>
        <v>0</v>
      </c>
      <c r="AD286" s="276"/>
    </row>
    <row r="287" spans="1:30" ht="15" customHeight="1">
      <c r="A287" s="553"/>
      <c r="B287" s="330" t="s">
        <v>929</v>
      </c>
      <c r="C287" s="302">
        <v>0</v>
      </c>
      <c r="D287" s="302">
        <v>0</v>
      </c>
      <c r="E287" s="302">
        <v>0</v>
      </c>
      <c r="F287" s="302">
        <v>0</v>
      </c>
      <c r="G287" s="302">
        <v>0</v>
      </c>
      <c r="H287" s="302">
        <v>0</v>
      </c>
      <c r="I287" s="302">
        <v>0</v>
      </c>
      <c r="J287" s="302">
        <v>0</v>
      </c>
      <c r="K287" s="302">
        <v>0</v>
      </c>
      <c r="L287" s="302">
        <v>0</v>
      </c>
      <c r="M287" s="302">
        <v>0</v>
      </c>
      <c r="N287" s="302">
        <v>0</v>
      </c>
      <c r="O287" s="302">
        <v>0</v>
      </c>
      <c r="P287" s="302">
        <v>0</v>
      </c>
      <c r="Q287" s="302">
        <v>0</v>
      </c>
      <c r="R287" s="295">
        <f t="shared" si="12"/>
        <v>0</v>
      </c>
      <c r="AD287" s="276"/>
    </row>
    <row r="288" spans="1:30" ht="15" customHeight="1">
      <c r="A288" s="553"/>
      <c r="B288" s="330" t="s">
        <v>930</v>
      </c>
      <c r="C288" s="302">
        <v>0</v>
      </c>
      <c r="D288" s="302">
        <v>0</v>
      </c>
      <c r="E288" s="302">
        <v>0</v>
      </c>
      <c r="F288" s="302">
        <v>0</v>
      </c>
      <c r="G288" s="302">
        <v>0</v>
      </c>
      <c r="H288" s="302">
        <v>0</v>
      </c>
      <c r="I288" s="302">
        <v>0</v>
      </c>
      <c r="J288" s="302">
        <v>0</v>
      </c>
      <c r="K288" s="302">
        <v>0</v>
      </c>
      <c r="L288" s="302">
        <v>0</v>
      </c>
      <c r="M288" s="302">
        <v>0</v>
      </c>
      <c r="N288" s="302">
        <v>0</v>
      </c>
      <c r="O288" s="302">
        <v>0</v>
      </c>
      <c r="P288" s="302">
        <v>0</v>
      </c>
      <c r="Q288" s="302">
        <v>0</v>
      </c>
      <c r="R288" s="295">
        <f t="shared" si="12"/>
        <v>0</v>
      </c>
      <c r="AD288" s="276"/>
    </row>
    <row r="289" spans="1:30" ht="15" customHeight="1">
      <c r="A289" s="553"/>
      <c r="B289" s="330" t="s">
        <v>931</v>
      </c>
      <c r="C289" s="302">
        <v>0</v>
      </c>
      <c r="D289" s="302">
        <v>0</v>
      </c>
      <c r="E289" s="302">
        <v>0</v>
      </c>
      <c r="F289" s="302">
        <v>0</v>
      </c>
      <c r="G289" s="302">
        <v>0</v>
      </c>
      <c r="H289" s="302">
        <v>0</v>
      </c>
      <c r="I289" s="302">
        <v>0</v>
      </c>
      <c r="J289" s="302">
        <v>0</v>
      </c>
      <c r="K289" s="302">
        <v>0</v>
      </c>
      <c r="L289" s="302">
        <v>0</v>
      </c>
      <c r="M289" s="302">
        <v>0</v>
      </c>
      <c r="N289" s="302">
        <v>0</v>
      </c>
      <c r="O289" s="302">
        <v>0</v>
      </c>
      <c r="P289" s="302">
        <v>0</v>
      </c>
      <c r="Q289" s="302">
        <v>0</v>
      </c>
      <c r="R289" s="295">
        <f t="shared" si="12"/>
        <v>0</v>
      </c>
      <c r="AD289" s="276"/>
    </row>
    <row r="290" spans="1:30" ht="15" customHeight="1" thickBot="1">
      <c r="A290" s="553"/>
      <c r="B290" s="330" t="s">
        <v>932</v>
      </c>
      <c r="C290" s="302">
        <v>0</v>
      </c>
      <c r="D290" s="302">
        <v>0</v>
      </c>
      <c r="E290" s="302">
        <v>0</v>
      </c>
      <c r="F290" s="302">
        <v>0</v>
      </c>
      <c r="G290" s="302">
        <v>0</v>
      </c>
      <c r="H290" s="302">
        <v>0</v>
      </c>
      <c r="I290" s="302">
        <v>0</v>
      </c>
      <c r="J290" s="302">
        <v>0</v>
      </c>
      <c r="K290" s="302">
        <v>0</v>
      </c>
      <c r="L290" s="302">
        <v>0</v>
      </c>
      <c r="M290" s="302">
        <v>0</v>
      </c>
      <c r="N290" s="302">
        <v>0</v>
      </c>
      <c r="O290" s="302">
        <v>0</v>
      </c>
      <c r="P290" s="302">
        <v>0</v>
      </c>
      <c r="Q290" s="302">
        <v>0</v>
      </c>
      <c r="R290" s="295">
        <f t="shared" si="12"/>
        <v>0</v>
      </c>
      <c r="AD290" s="276"/>
    </row>
    <row r="291" spans="1:30" ht="15" customHeight="1">
      <c r="A291" s="552" t="s">
        <v>934</v>
      </c>
      <c r="B291" s="330" t="s">
        <v>631</v>
      </c>
      <c r="C291" s="302">
        <v>0</v>
      </c>
      <c r="D291" s="302">
        <v>0</v>
      </c>
      <c r="E291" s="302">
        <v>0</v>
      </c>
      <c r="F291" s="302">
        <v>0</v>
      </c>
      <c r="G291" s="302">
        <v>0</v>
      </c>
      <c r="H291" s="302">
        <v>0</v>
      </c>
      <c r="I291" s="302">
        <v>0</v>
      </c>
      <c r="J291" s="302">
        <v>0</v>
      </c>
      <c r="K291" s="302">
        <v>0</v>
      </c>
      <c r="L291" s="302">
        <v>0</v>
      </c>
      <c r="M291" s="302">
        <v>0</v>
      </c>
      <c r="N291" s="302">
        <v>0</v>
      </c>
      <c r="O291" s="302">
        <v>0</v>
      </c>
      <c r="P291" s="302">
        <v>0</v>
      </c>
      <c r="Q291" s="302">
        <v>0</v>
      </c>
      <c r="R291" s="295">
        <f t="shared" si="12"/>
        <v>0</v>
      </c>
      <c r="AD291" s="276"/>
    </row>
    <row r="292" spans="1:30" ht="15" customHeight="1">
      <c r="A292" s="553"/>
      <c r="B292" s="330" t="s">
        <v>632</v>
      </c>
      <c r="C292" s="302">
        <v>0</v>
      </c>
      <c r="D292" s="302">
        <v>0</v>
      </c>
      <c r="E292" s="302">
        <v>0</v>
      </c>
      <c r="F292" s="302">
        <v>0</v>
      </c>
      <c r="G292" s="302">
        <v>0</v>
      </c>
      <c r="H292" s="302">
        <v>0</v>
      </c>
      <c r="I292" s="302">
        <v>0</v>
      </c>
      <c r="J292" s="302">
        <v>0</v>
      </c>
      <c r="K292" s="302">
        <v>0</v>
      </c>
      <c r="L292" s="302">
        <v>0</v>
      </c>
      <c r="M292" s="302">
        <v>0</v>
      </c>
      <c r="N292" s="302">
        <v>0</v>
      </c>
      <c r="O292" s="302">
        <v>0</v>
      </c>
      <c r="P292" s="302">
        <v>0</v>
      </c>
      <c r="Q292" s="302">
        <v>0</v>
      </c>
      <c r="R292" s="295">
        <f t="shared" si="12"/>
        <v>0</v>
      </c>
      <c r="AD292" s="276"/>
    </row>
    <row r="293" spans="1:30" ht="15" customHeight="1">
      <c r="A293" s="553"/>
      <c r="B293" s="330" t="s">
        <v>633</v>
      </c>
      <c r="C293" s="302">
        <v>0</v>
      </c>
      <c r="D293" s="302">
        <v>0</v>
      </c>
      <c r="E293" s="302">
        <v>0</v>
      </c>
      <c r="F293" s="302">
        <v>0</v>
      </c>
      <c r="G293" s="302">
        <v>0</v>
      </c>
      <c r="H293" s="302">
        <v>0</v>
      </c>
      <c r="I293" s="302">
        <v>0</v>
      </c>
      <c r="J293" s="302">
        <v>0</v>
      </c>
      <c r="K293" s="302">
        <v>0</v>
      </c>
      <c r="L293" s="302">
        <v>0</v>
      </c>
      <c r="M293" s="302">
        <v>0</v>
      </c>
      <c r="N293" s="302">
        <v>0</v>
      </c>
      <c r="O293" s="302">
        <v>0</v>
      </c>
      <c r="P293" s="302">
        <v>0</v>
      </c>
      <c r="Q293" s="302">
        <v>0</v>
      </c>
      <c r="R293" s="295">
        <f t="shared" si="12"/>
        <v>0</v>
      </c>
      <c r="AD293" s="276"/>
    </row>
    <row r="294" spans="1:30" ht="15" customHeight="1">
      <c r="A294" s="553"/>
      <c r="B294" s="330" t="s">
        <v>634</v>
      </c>
      <c r="C294" s="302">
        <v>0</v>
      </c>
      <c r="D294" s="302">
        <v>0</v>
      </c>
      <c r="E294" s="302">
        <v>0</v>
      </c>
      <c r="F294" s="302">
        <v>0</v>
      </c>
      <c r="G294" s="302">
        <v>0</v>
      </c>
      <c r="H294" s="302">
        <v>0</v>
      </c>
      <c r="I294" s="302">
        <v>0</v>
      </c>
      <c r="J294" s="302">
        <v>0</v>
      </c>
      <c r="K294" s="302">
        <v>0</v>
      </c>
      <c r="L294" s="302">
        <v>0</v>
      </c>
      <c r="M294" s="302">
        <v>0</v>
      </c>
      <c r="N294" s="302">
        <v>0</v>
      </c>
      <c r="O294" s="302">
        <v>0</v>
      </c>
      <c r="P294" s="302">
        <v>0</v>
      </c>
      <c r="Q294" s="302">
        <v>0</v>
      </c>
      <c r="R294" s="295">
        <f t="shared" si="12"/>
        <v>0</v>
      </c>
      <c r="AD294" s="276"/>
    </row>
    <row r="295" spans="1:30" ht="15" customHeight="1">
      <c r="A295" s="553"/>
      <c r="B295" s="330" t="s">
        <v>635</v>
      </c>
      <c r="C295" s="302">
        <v>0</v>
      </c>
      <c r="D295" s="302">
        <v>0</v>
      </c>
      <c r="E295" s="302">
        <v>0</v>
      </c>
      <c r="F295" s="302">
        <v>0</v>
      </c>
      <c r="G295" s="302">
        <v>0</v>
      </c>
      <c r="H295" s="302">
        <v>0</v>
      </c>
      <c r="I295" s="302">
        <v>0</v>
      </c>
      <c r="J295" s="302">
        <v>0</v>
      </c>
      <c r="K295" s="302">
        <v>0</v>
      </c>
      <c r="L295" s="302">
        <v>0</v>
      </c>
      <c r="M295" s="302">
        <v>0</v>
      </c>
      <c r="N295" s="302">
        <v>0</v>
      </c>
      <c r="O295" s="302">
        <v>0</v>
      </c>
      <c r="P295" s="302">
        <v>0</v>
      </c>
      <c r="Q295" s="302">
        <v>0</v>
      </c>
      <c r="R295" s="295">
        <f t="shared" si="12"/>
        <v>0</v>
      </c>
      <c r="AD295" s="276"/>
    </row>
    <row r="296" spans="1:30" ht="15" customHeight="1">
      <c r="A296" s="553"/>
      <c r="B296" s="330" t="s">
        <v>636</v>
      </c>
      <c r="C296" s="302">
        <v>0</v>
      </c>
      <c r="D296" s="302">
        <v>0</v>
      </c>
      <c r="E296" s="302">
        <v>0</v>
      </c>
      <c r="F296" s="302">
        <v>0</v>
      </c>
      <c r="G296" s="302">
        <v>0</v>
      </c>
      <c r="H296" s="302">
        <v>0</v>
      </c>
      <c r="I296" s="302">
        <v>0</v>
      </c>
      <c r="J296" s="302">
        <v>0</v>
      </c>
      <c r="K296" s="302">
        <v>0</v>
      </c>
      <c r="L296" s="302">
        <v>0</v>
      </c>
      <c r="M296" s="302">
        <v>0</v>
      </c>
      <c r="N296" s="302">
        <v>0</v>
      </c>
      <c r="O296" s="302">
        <v>0</v>
      </c>
      <c r="P296" s="302">
        <v>0</v>
      </c>
      <c r="Q296" s="302">
        <v>0</v>
      </c>
      <c r="R296" s="295">
        <f t="shared" si="12"/>
        <v>0</v>
      </c>
      <c r="AD296" s="276"/>
    </row>
    <row r="297" spans="1:30" ht="15" customHeight="1">
      <c r="A297" s="553"/>
      <c r="B297" s="330" t="s">
        <v>637</v>
      </c>
      <c r="C297" s="302">
        <v>0</v>
      </c>
      <c r="D297" s="302">
        <v>0</v>
      </c>
      <c r="E297" s="302">
        <v>0</v>
      </c>
      <c r="F297" s="302">
        <v>0</v>
      </c>
      <c r="G297" s="302">
        <v>0</v>
      </c>
      <c r="H297" s="302">
        <v>0</v>
      </c>
      <c r="I297" s="302">
        <v>0</v>
      </c>
      <c r="J297" s="302">
        <v>0</v>
      </c>
      <c r="K297" s="302">
        <v>0</v>
      </c>
      <c r="L297" s="302">
        <v>0</v>
      </c>
      <c r="M297" s="302">
        <v>0</v>
      </c>
      <c r="N297" s="302">
        <v>0</v>
      </c>
      <c r="O297" s="302">
        <v>0</v>
      </c>
      <c r="P297" s="302">
        <v>0</v>
      </c>
      <c r="Q297" s="302">
        <v>0</v>
      </c>
      <c r="R297" s="295">
        <f t="shared" si="12"/>
        <v>0</v>
      </c>
      <c r="AD297" s="276"/>
    </row>
    <row r="298" spans="1:30" ht="15" customHeight="1">
      <c r="A298" s="553"/>
      <c r="B298" s="330" t="s">
        <v>638</v>
      </c>
      <c r="C298" s="302">
        <v>0</v>
      </c>
      <c r="D298" s="302">
        <v>0</v>
      </c>
      <c r="E298" s="302">
        <v>0</v>
      </c>
      <c r="F298" s="302">
        <v>0</v>
      </c>
      <c r="G298" s="302">
        <v>0</v>
      </c>
      <c r="H298" s="302">
        <v>0</v>
      </c>
      <c r="I298" s="302">
        <v>0</v>
      </c>
      <c r="J298" s="302">
        <v>0</v>
      </c>
      <c r="K298" s="302">
        <v>0</v>
      </c>
      <c r="L298" s="302">
        <v>0</v>
      </c>
      <c r="M298" s="302">
        <v>0</v>
      </c>
      <c r="N298" s="302">
        <v>0</v>
      </c>
      <c r="O298" s="302">
        <v>0</v>
      </c>
      <c r="P298" s="302">
        <v>0</v>
      </c>
      <c r="Q298" s="302">
        <v>0</v>
      </c>
      <c r="R298" s="295">
        <f t="shared" si="12"/>
        <v>0</v>
      </c>
      <c r="AD298" s="276"/>
    </row>
    <row r="299" spans="1:30" ht="15" customHeight="1">
      <c r="A299" s="553"/>
      <c r="B299" s="330" t="s">
        <v>639</v>
      </c>
      <c r="C299" s="302">
        <v>0</v>
      </c>
      <c r="D299" s="302">
        <v>0</v>
      </c>
      <c r="E299" s="302">
        <v>0</v>
      </c>
      <c r="F299" s="302">
        <v>0</v>
      </c>
      <c r="G299" s="302">
        <v>0</v>
      </c>
      <c r="H299" s="302">
        <v>0</v>
      </c>
      <c r="I299" s="302">
        <v>0</v>
      </c>
      <c r="J299" s="302">
        <v>0</v>
      </c>
      <c r="K299" s="302">
        <v>0</v>
      </c>
      <c r="L299" s="302">
        <v>0</v>
      </c>
      <c r="M299" s="302">
        <v>0</v>
      </c>
      <c r="N299" s="302">
        <v>0</v>
      </c>
      <c r="O299" s="302">
        <v>0</v>
      </c>
      <c r="P299" s="302">
        <v>0</v>
      </c>
      <c r="Q299" s="302">
        <v>0</v>
      </c>
      <c r="R299" s="295">
        <f t="shared" si="12"/>
        <v>0</v>
      </c>
      <c r="AD299" s="276"/>
    </row>
    <row r="300" spans="1:30" ht="15" customHeight="1">
      <c r="A300" s="553"/>
      <c r="B300" s="330" t="s">
        <v>640</v>
      </c>
      <c r="C300" s="302">
        <v>0</v>
      </c>
      <c r="D300" s="302">
        <v>0</v>
      </c>
      <c r="E300" s="302">
        <v>0</v>
      </c>
      <c r="F300" s="302">
        <v>0</v>
      </c>
      <c r="G300" s="302">
        <v>0</v>
      </c>
      <c r="H300" s="302">
        <v>0</v>
      </c>
      <c r="I300" s="302">
        <v>0</v>
      </c>
      <c r="J300" s="302">
        <v>0</v>
      </c>
      <c r="K300" s="302">
        <v>0</v>
      </c>
      <c r="L300" s="302">
        <v>0</v>
      </c>
      <c r="M300" s="302">
        <v>0</v>
      </c>
      <c r="N300" s="302">
        <v>0</v>
      </c>
      <c r="O300" s="302">
        <v>0</v>
      </c>
      <c r="P300" s="302">
        <v>0</v>
      </c>
      <c r="Q300" s="302">
        <v>0</v>
      </c>
      <c r="R300" s="295">
        <f t="shared" si="12"/>
        <v>0</v>
      </c>
      <c r="AD300" s="276"/>
    </row>
    <row r="301" spans="1:30" ht="15" customHeight="1">
      <c r="A301" s="553"/>
      <c r="B301" s="330" t="s">
        <v>641</v>
      </c>
      <c r="C301" s="302">
        <v>0</v>
      </c>
      <c r="D301" s="302">
        <v>0</v>
      </c>
      <c r="E301" s="302">
        <v>0</v>
      </c>
      <c r="F301" s="302">
        <v>0</v>
      </c>
      <c r="G301" s="302">
        <v>0</v>
      </c>
      <c r="H301" s="302">
        <v>0</v>
      </c>
      <c r="I301" s="302">
        <v>0</v>
      </c>
      <c r="J301" s="302">
        <v>0</v>
      </c>
      <c r="K301" s="302">
        <v>0</v>
      </c>
      <c r="L301" s="302">
        <v>0</v>
      </c>
      <c r="M301" s="302">
        <v>0</v>
      </c>
      <c r="N301" s="302">
        <v>0</v>
      </c>
      <c r="O301" s="302">
        <v>0</v>
      </c>
      <c r="P301" s="302">
        <v>0</v>
      </c>
      <c r="Q301" s="302">
        <v>0</v>
      </c>
      <c r="R301" s="295">
        <f t="shared" si="12"/>
        <v>0</v>
      </c>
      <c r="AD301" s="276"/>
    </row>
    <row r="302" spans="1:30" ht="15" customHeight="1">
      <c r="A302" s="553"/>
      <c r="B302" s="330" t="s">
        <v>642</v>
      </c>
      <c r="C302" s="302">
        <v>0</v>
      </c>
      <c r="D302" s="302">
        <v>0</v>
      </c>
      <c r="E302" s="302">
        <v>0</v>
      </c>
      <c r="F302" s="302">
        <v>0</v>
      </c>
      <c r="G302" s="302">
        <v>0</v>
      </c>
      <c r="H302" s="302">
        <v>0</v>
      </c>
      <c r="I302" s="302">
        <v>0</v>
      </c>
      <c r="J302" s="302">
        <v>0</v>
      </c>
      <c r="K302" s="302">
        <v>0</v>
      </c>
      <c r="L302" s="302">
        <v>0</v>
      </c>
      <c r="M302" s="302">
        <v>0</v>
      </c>
      <c r="N302" s="302">
        <v>0</v>
      </c>
      <c r="O302" s="302">
        <v>0</v>
      </c>
      <c r="P302" s="302">
        <v>0</v>
      </c>
      <c r="Q302" s="302">
        <v>0</v>
      </c>
      <c r="R302" s="295">
        <f t="shared" si="12"/>
        <v>0</v>
      </c>
      <c r="AD302" s="276"/>
    </row>
    <row r="303" spans="1:30" ht="15" customHeight="1">
      <c r="A303" s="553"/>
      <c r="B303" s="330" t="s">
        <v>643</v>
      </c>
      <c r="C303" s="302">
        <v>0</v>
      </c>
      <c r="D303" s="302">
        <v>0</v>
      </c>
      <c r="E303" s="302">
        <v>0</v>
      </c>
      <c r="F303" s="302">
        <v>0</v>
      </c>
      <c r="G303" s="302">
        <v>0</v>
      </c>
      <c r="H303" s="302">
        <v>0</v>
      </c>
      <c r="I303" s="302">
        <v>0</v>
      </c>
      <c r="J303" s="302">
        <v>0</v>
      </c>
      <c r="K303" s="302">
        <v>0</v>
      </c>
      <c r="L303" s="302">
        <v>0</v>
      </c>
      <c r="M303" s="302">
        <v>0</v>
      </c>
      <c r="N303" s="302">
        <v>0</v>
      </c>
      <c r="O303" s="302">
        <v>0</v>
      </c>
      <c r="P303" s="302">
        <v>0</v>
      </c>
      <c r="Q303" s="302">
        <v>0</v>
      </c>
      <c r="R303" s="295">
        <f t="shared" si="12"/>
        <v>0</v>
      </c>
      <c r="AD303" s="276"/>
    </row>
    <row r="304" spans="1:30" ht="15" customHeight="1">
      <c r="A304" s="553"/>
      <c r="B304" s="330" t="s">
        <v>644</v>
      </c>
      <c r="C304" s="302">
        <v>0</v>
      </c>
      <c r="D304" s="302">
        <v>0</v>
      </c>
      <c r="E304" s="302">
        <v>0</v>
      </c>
      <c r="F304" s="302">
        <v>0</v>
      </c>
      <c r="G304" s="302">
        <v>0</v>
      </c>
      <c r="H304" s="302">
        <v>0</v>
      </c>
      <c r="I304" s="302">
        <v>0</v>
      </c>
      <c r="J304" s="302">
        <v>0</v>
      </c>
      <c r="K304" s="302">
        <v>0</v>
      </c>
      <c r="L304" s="302">
        <v>0</v>
      </c>
      <c r="M304" s="302">
        <v>0</v>
      </c>
      <c r="N304" s="302">
        <v>0</v>
      </c>
      <c r="O304" s="302">
        <v>0</v>
      </c>
      <c r="P304" s="302">
        <v>0</v>
      </c>
      <c r="Q304" s="302">
        <v>0</v>
      </c>
      <c r="R304" s="295">
        <f t="shared" si="12"/>
        <v>0</v>
      </c>
      <c r="AD304" s="276"/>
    </row>
    <row r="305" spans="1:30" ht="15" customHeight="1">
      <c r="A305" s="553"/>
      <c r="B305" s="330" t="s">
        <v>645</v>
      </c>
      <c r="C305" s="302">
        <v>0</v>
      </c>
      <c r="D305" s="302">
        <v>0</v>
      </c>
      <c r="E305" s="302">
        <v>0</v>
      </c>
      <c r="F305" s="302">
        <v>0</v>
      </c>
      <c r="G305" s="302">
        <v>0</v>
      </c>
      <c r="H305" s="302">
        <v>0</v>
      </c>
      <c r="I305" s="302">
        <v>0</v>
      </c>
      <c r="J305" s="302">
        <v>0</v>
      </c>
      <c r="K305" s="302">
        <v>0</v>
      </c>
      <c r="L305" s="302">
        <v>0</v>
      </c>
      <c r="M305" s="302">
        <v>0</v>
      </c>
      <c r="N305" s="302">
        <v>0</v>
      </c>
      <c r="O305" s="302">
        <v>0</v>
      </c>
      <c r="P305" s="302">
        <v>0</v>
      </c>
      <c r="Q305" s="302">
        <v>0</v>
      </c>
      <c r="R305" s="295">
        <f t="shared" si="12"/>
        <v>0</v>
      </c>
      <c r="AD305" s="276"/>
    </row>
    <row r="306" spans="1:30" ht="15" customHeight="1">
      <c r="A306" s="553"/>
      <c r="B306" s="330" t="s">
        <v>646</v>
      </c>
      <c r="C306" s="302">
        <v>0</v>
      </c>
      <c r="D306" s="302">
        <v>0</v>
      </c>
      <c r="E306" s="302">
        <v>0</v>
      </c>
      <c r="F306" s="302">
        <v>0</v>
      </c>
      <c r="G306" s="302">
        <v>0</v>
      </c>
      <c r="H306" s="302">
        <v>0</v>
      </c>
      <c r="I306" s="302">
        <v>0</v>
      </c>
      <c r="J306" s="302">
        <v>0</v>
      </c>
      <c r="K306" s="302">
        <v>0</v>
      </c>
      <c r="L306" s="302">
        <v>0</v>
      </c>
      <c r="M306" s="302">
        <v>0</v>
      </c>
      <c r="N306" s="302">
        <v>0</v>
      </c>
      <c r="O306" s="302">
        <v>0</v>
      </c>
      <c r="P306" s="302">
        <v>0</v>
      </c>
      <c r="Q306" s="302">
        <v>0</v>
      </c>
      <c r="R306" s="295">
        <f t="shared" si="12"/>
        <v>0</v>
      </c>
      <c r="AD306" s="276"/>
    </row>
    <row r="307" spans="1:30" ht="15" customHeight="1">
      <c r="A307" s="553"/>
      <c r="B307" s="330" t="s">
        <v>647</v>
      </c>
      <c r="C307" s="302">
        <v>0</v>
      </c>
      <c r="D307" s="302">
        <v>0</v>
      </c>
      <c r="E307" s="302">
        <v>0</v>
      </c>
      <c r="F307" s="302">
        <v>0</v>
      </c>
      <c r="G307" s="302">
        <v>0</v>
      </c>
      <c r="H307" s="302">
        <v>0</v>
      </c>
      <c r="I307" s="302">
        <v>0</v>
      </c>
      <c r="J307" s="302">
        <v>0</v>
      </c>
      <c r="K307" s="302">
        <v>0</v>
      </c>
      <c r="L307" s="302">
        <v>0</v>
      </c>
      <c r="M307" s="302">
        <v>0</v>
      </c>
      <c r="N307" s="302">
        <v>0</v>
      </c>
      <c r="O307" s="302">
        <v>0</v>
      </c>
      <c r="P307" s="302">
        <v>0</v>
      </c>
      <c r="Q307" s="302">
        <v>0</v>
      </c>
      <c r="R307" s="295">
        <f t="shared" si="12"/>
        <v>0</v>
      </c>
      <c r="AD307" s="276"/>
    </row>
    <row r="308" spans="1:30" ht="15" customHeight="1">
      <c r="A308" s="553"/>
      <c r="B308" s="330" t="s">
        <v>927</v>
      </c>
      <c r="C308" s="302">
        <v>0</v>
      </c>
      <c r="D308" s="302">
        <v>0</v>
      </c>
      <c r="E308" s="302">
        <v>0</v>
      </c>
      <c r="F308" s="302">
        <v>0</v>
      </c>
      <c r="G308" s="302">
        <v>0</v>
      </c>
      <c r="H308" s="302">
        <v>0</v>
      </c>
      <c r="I308" s="302">
        <v>0</v>
      </c>
      <c r="J308" s="302">
        <v>0</v>
      </c>
      <c r="K308" s="302">
        <v>0</v>
      </c>
      <c r="L308" s="302">
        <v>0</v>
      </c>
      <c r="M308" s="302">
        <v>0</v>
      </c>
      <c r="N308" s="302">
        <v>0</v>
      </c>
      <c r="O308" s="302">
        <v>0</v>
      </c>
      <c r="P308" s="302">
        <v>0</v>
      </c>
      <c r="Q308" s="302">
        <v>0</v>
      </c>
      <c r="R308" s="295">
        <f t="shared" si="12"/>
        <v>0</v>
      </c>
      <c r="AD308" s="276"/>
    </row>
    <row r="309" spans="1:30" ht="15" customHeight="1">
      <c r="A309" s="553"/>
      <c r="B309" s="330" t="s">
        <v>928</v>
      </c>
      <c r="C309" s="302">
        <v>0</v>
      </c>
      <c r="D309" s="302">
        <v>0</v>
      </c>
      <c r="E309" s="302">
        <v>0</v>
      </c>
      <c r="F309" s="302">
        <v>0</v>
      </c>
      <c r="G309" s="302">
        <v>0</v>
      </c>
      <c r="H309" s="302">
        <v>0</v>
      </c>
      <c r="I309" s="302">
        <v>0</v>
      </c>
      <c r="J309" s="302">
        <v>0</v>
      </c>
      <c r="K309" s="302">
        <v>0</v>
      </c>
      <c r="L309" s="302">
        <v>0</v>
      </c>
      <c r="M309" s="302">
        <v>0</v>
      </c>
      <c r="N309" s="302">
        <v>0</v>
      </c>
      <c r="O309" s="302">
        <v>0</v>
      </c>
      <c r="P309" s="302">
        <v>0</v>
      </c>
      <c r="Q309" s="302">
        <v>0</v>
      </c>
      <c r="R309" s="295">
        <f t="shared" si="12"/>
        <v>0</v>
      </c>
      <c r="AD309" s="276"/>
    </row>
    <row r="310" spans="1:30" ht="15" customHeight="1">
      <c r="A310" s="553"/>
      <c r="B310" s="330" t="s">
        <v>929</v>
      </c>
      <c r="C310" s="302">
        <v>0</v>
      </c>
      <c r="D310" s="302">
        <v>0</v>
      </c>
      <c r="E310" s="302">
        <v>0</v>
      </c>
      <c r="F310" s="302">
        <v>0</v>
      </c>
      <c r="G310" s="302">
        <v>0</v>
      </c>
      <c r="H310" s="302">
        <v>0</v>
      </c>
      <c r="I310" s="302">
        <v>0</v>
      </c>
      <c r="J310" s="302">
        <v>0</v>
      </c>
      <c r="K310" s="302">
        <v>0</v>
      </c>
      <c r="L310" s="302">
        <v>0</v>
      </c>
      <c r="M310" s="302">
        <v>0</v>
      </c>
      <c r="N310" s="302">
        <v>0</v>
      </c>
      <c r="O310" s="302">
        <v>0</v>
      </c>
      <c r="P310" s="302">
        <v>0</v>
      </c>
      <c r="Q310" s="302">
        <v>0</v>
      </c>
      <c r="R310" s="295">
        <f t="shared" si="12"/>
        <v>0</v>
      </c>
      <c r="AD310" s="276"/>
    </row>
    <row r="311" spans="1:30" ht="15" customHeight="1" thickBot="1">
      <c r="A311" s="554"/>
      <c r="B311" s="330" t="s">
        <v>930</v>
      </c>
      <c r="C311" s="302">
        <v>0</v>
      </c>
      <c r="D311" s="302">
        <v>0</v>
      </c>
      <c r="E311" s="302">
        <v>0</v>
      </c>
      <c r="F311" s="302">
        <v>0</v>
      </c>
      <c r="G311" s="302">
        <v>0</v>
      </c>
      <c r="H311" s="302">
        <v>0</v>
      </c>
      <c r="I311" s="302">
        <v>0</v>
      </c>
      <c r="J311" s="302">
        <v>0</v>
      </c>
      <c r="K311" s="302">
        <v>0</v>
      </c>
      <c r="L311" s="302">
        <v>0</v>
      </c>
      <c r="M311" s="302">
        <v>0</v>
      </c>
      <c r="N311" s="302">
        <v>0</v>
      </c>
      <c r="O311" s="302">
        <v>0</v>
      </c>
      <c r="P311" s="302">
        <v>0</v>
      </c>
      <c r="Q311" s="302">
        <v>0</v>
      </c>
      <c r="R311" s="295">
        <f t="shared" si="12"/>
        <v>0</v>
      </c>
      <c r="AD311" s="276"/>
    </row>
    <row r="312" spans="1:30" ht="20.100000000000001" customHeight="1" thickBot="1">
      <c r="A312" s="558" t="s">
        <v>755</v>
      </c>
      <c r="B312" s="559"/>
      <c r="C312" s="296"/>
      <c r="D312" s="296"/>
      <c r="E312" s="296"/>
      <c r="F312" s="296"/>
      <c r="G312" s="296"/>
      <c r="H312" s="296"/>
      <c r="I312" s="296"/>
      <c r="J312" s="296"/>
      <c r="K312" s="296"/>
      <c r="L312" s="296"/>
      <c r="M312" s="296"/>
      <c r="N312" s="296"/>
      <c r="O312" s="296"/>
      <c r="P312" s="296"/>
      <c r="Q312" s="296"/>
      <c r="R312" s="560"/>
      <c r="AD312" s="276"/>
    </row>
    <row r="313" spans="1:30" ht="20.100000000000001" customHeight="1" thickBot="1">
      <c r="A313" s="558" t="s">
        <v>754</v>
      </c>
      <c r="B313" s="559"/>
      <c r="C313" s="296">
        <f t="shared" ref="C313:Q313" si="13">+AVERAGE(C268:C311)</f>
        <v>0</v>
      </c>
      <c r="D313" s="296">
        <f t="shared" si="13"/>
        <v>0</v>
      </c>
      <c r="E313" s="296">
        <f t="shared" si="13"/>
        <v>0</v>
      </c>
      <c r="F313" s="296">
        <f t="shared" si="13"/>
        <v>0</v>
      </c>
      <c r="G313" s="296">
        <f t="shared" si="13"/>
        <v>0</v>
      </c>
      <c r="H313" s="296">
        <f t="shared" si="13"/>
        <v>0</v>
      </c>
      <c r="I313" s="296">
        <f t="shared" si="13"/>
        <v>0</v>
      </c>
      <c r="J313" s="296">
        <f t="shared" si="13"/>
        <v>0</v>
      </c>
      <c r="K313" s="296">
        <f t="shared" si="13"/>
        <v>0</v>
      </c>
      <c r="L313" s="296">
        <f t="shared" si="13"/>
        <v>0</v>
      </c>
      <c r="M313" s="296">
        <f t="shared" si="13"/>
        <v>0</v>
      </c>
      <c r="N313" s="296">
        <f t="shared" si="13"/>
        <v>0</v>
      </c>
      <c r="O313" s="296">
        <f t="shared" si="13"/>
        <v>0</v>
      </c>
      <c r="P313" s="296">
        <f t="shared" si="13"/>
        <v>0</v>
      </c>
      <c r="Q313" s="296">
        <f t="shared" si="13"/>
        <v>0</v>
      </c>
      <c r="R313" s="561"/>
      <c r="AD313" s="276"/>
    </row>
    <row r="314" spans="1:30" ht="20.100000000000001" customHeight="1" thickBot="1">
      <c r="A314" s="558" t="s">
        <v>761</v>
      </c>
      <c r="B314" s="563"/>
      <c r="C314" s="516">
        <f>+AVERAGE(C313:Q313)</f>
        <v>0</v>
      </c>
      <c r="D314" s="517"/>
      <c r="E314" s="517"/>
      <c r="F314" s="517"/>
      <c r="G314" s="517"/>
      <c r="H314" s="517"/>
      <c r="I314" s="517"/>
      <c r="J314" s="517"/>
      <c r="K314" s="517"/>
      <c r="L314" s="517"/>
      <c r="M314" s="517"/>
      <c r="N314" s="517"/>
      <c r="O314" s="517"/>
      <c r="P314" s="517"/>
      <c r="Q314" s="517"/>
      <c r="R314" s="562"/>
      <c r="AD314" s="276"/>
    </row>
    <row r="315" spans="1:30" ht="15" customHeight="1">
      <c r="A315" s="552" t="s">
        <v>942</v>
      </c>
      <c r="B315" s="332" t="s">
        <v>648</v>
      </c>
      <c r="C315" s="301">
        <v>0</v>
      </c>
      <c r="D315" s="301">
        <v>0</v>
      </c>
      <c r="E315" s="301">
        <v>0</v>
      </c>
      <c r="F315" s="301">
        <v>0</v>
      </c>
      <c r="G315" s="301">
        <v>0</v>
      </c>
      <c r="H315" s="301">
        <v>0</v>
      </c>
      <c r="I315" s="301">
        <v>0</v>
      </c>
      <c r="J315" s="301">
        <v>0</v>
      </c>
      <c r="K315" s="301">
        <v>0</v>
      </c>
      <c r="L315" s="301">
        <v>0</v>
      </c>
      <c r="M315" s="301">
        <v>0</v>
      </c>
      <c r="N315" s="301">
        <v>0</v>
      </c>
      <c r="O315" s="301">
        <v>0</v>
      </c>
      <c r="P315" s="301">
        <v>0</v>
      </c>
      <c r="Q315" s="301">
        <v>0</v>
      </c>
      <c r="R315" s="293">
        <f t="shared" ref="R315:R358" si="14">+AVERAGE(C315:Q315)</f>
        <v>0</v>
      </c>
      <c r="AD315" s="276"/>
    </row>
    <row r="316" spans="1:30" ht="15" customHeight="1">
      <c r="A316" s="553"/>
      <c r="B316" s="330" t="s">
        <v>649</v>
      </c>
      <c r="C316" s="302">
        <v>0</v>
      </c>
      <c r="D316" s="302">
        <v>0</v>
      </c>
      <c r="E316" s="302">
        <v>0</v>
      </c>
      <c r="F316" s="302">
        <v>0</v>
      </c>
      <c r="G316" s="302">
        <v>0</v>
      </c>
      <c r="H316" s="302">
        <v>0</v>
      </c>
      <c r="I316" s="302">
        <v>0</v>
      </c>
      <c r="J316" s="302">
        <v>0</v>
      </c>
      <c r="K316" s="302">
        <v>0</v>
      </c>
      <c r="L316" s="302">
        <v>0</v>
      </c>
      <c r="M316" s="302">
        <v>0</v>
      </c>
      <c r="N316" s="302">
        <v>0</v>
      </c>
      <c r="O316" s="302">
        <v>0</v>
      </c>
      <c r="P316" s="302">
        <v>0</v>
      </c>
      <c r="Q316" s="302">
        <v>0</v>
      </c>
      <c r="R316" s="295">
        <f t="shared" si="14"/>
        <v>0</v>
      </c>
      <c r="AD316" s="276"/>
    </row>
    <row r="317" spans="1:30" ht="15" customHeight="1">
      <c r="A317" s="553"/>
      <c r="B317" s="330" t="s">
        <v>935</v>
      </c>
      <c r="C317" s="302">
        <v>0</v>
      </c>
      <c r="D317" s="302">
        <v>0</v>
      </c>
      <c r="E317" s="302">
        <v>0</v>
      </c>
      <c r="F317" s="302">
        <v>0</v>
      </c>
      <c r="G317" s="302">
        <v>0</v>
      </c>
      <c r="H317" s="302">
        <v>0</v>
      </c>
      <c r="I317" s="302">
        <v>0</v>
      </c>
      <c r="J317" s="302">
        <v>0</v>
      </c>
      <c r="K317" s="302">
        <v>0</v>
      </c>
      <c r="L317" s="302">
        <v>0</v>
      </c>
      <c r="M317" s="302">
        <v>0</v>
      </c>
      <c r="N317" s="302">
        <v>0</v>
      </c>
      <c r="O317" s="302">
        <v>0</v>
      </c>
      <c r="P317" s="302">
        <v>0</v>
      </c>
      <c r="Q317" s="302">
        <v>0</v>
      </c>
      <c r="R317" s="295">
        <f t="shared" si="14"/>
        <v>0</v>
      </c>
      <c r="AD317" s="276"/>
    </row>
    <row r="318" spans="1:30" ht="15" customHeight="1">
      <c r="A318" s="553"/>
      <c r="B318" s="330" t="s">
        <v>651</v>
      </c>
      <c r="C318" s="302">
        <v>0</v>
      </c>
      <c r="D318" s="302">
        <v>0</v>
      </c>
      <c r="E318" s="302">
        <v>0</v>
      </c>
      <c r="F318" s="302">
        <v>0</v>
      </c>
      <c r="G318" s="302">
        <v>0</v>
      </c>
      <c r="H318" s="302">
        <v>0</v>
      </c>
      <c r="I318" s="302">
        <v>0</v>
      </c>
      <c r="J318" s="302">
        <v>0</v>
      </c>
      <c r="K318" s="302">
        <v>0</v>
      </c>
      <c r="L318" s="302">
        <v>0</v>
      </c>
      <c r="M318" s="302">
        <v>0</v>
      </c>
      <c r="N318" s="302">
        <v>0</v>
      </c>
      <c r="O318" s="302">
        <v>0</v>
      </c>
      <c r="P318" s="302">
        <v>0</v>
      </c>
      <c r="Q318" s="302">
        <v>0</v>
      </c>
      <c r="R318" s="295">
        <f t="shared" si="14"/>
        <v>0</v>
      </c>
      <c r="AD318" s="276"/>
    </row>
    <row r="319" spans="1:30" ht="15" customHeight="1">
      <c r="A319" s="553"/>
      <c r="B319" s="330" t="s">
        <v>652</v>
      </c>
      <c r="C319" s="302">
        <v>0</v>
      </c>
      <c r="D319" s="302">
        <v>0</v>
      </c>
      <c r="E319" s="302">
        <v>0</v>
      </c>
      <c r="F319" s="302">
        <v>0</v>
      </c>
      <c r="G319" s="302">
        <v>0</v>
      </c>
      <c r="H319" s="302">
        <v>0</v>
      </c>
      <c r="I319" s="302">
        <v>0</v>
      </c>
      <c r="J319" s="302">
        <v>0</v>
      </c>
      <c r="K319" s="302">
        <v>0</v>
      </c>
      <c r="L319" s="302">
        <v>0</v>
      </c>
      <c r="M319" s="302">
        <v>0</v>
      </c>
      <c r="N319" s="302">
        <v>0</v>
      </c>
      <c r="O319" s="302">
        <v>0</v>
      </c>
      <c r="P319" s="302">
        <v>0</v>
      </c>
      <c r="Q319" s="302">
        <v>0</v>
      </c>
      <c r="R319" s="295">
        <f t="shared" si="14"/>
        <v>0</v>
      </c>
      <c r="AD319" s="276"/>
    </row>
    <row r="320" spans="1:30" ht="15" customHeight="1">
      <c r="A320" s="553"/>
      <c r="B320" s="330" t="s">
        <v>653</v>
      </c>
      <c r="C320" s="302">
        <v>0</v>
      </c>
      <c r="D320" s="302">
        <v>0</v>
      </c>
      <c r="E320" s="302">
        <v>0</v>
      </c>
      <c r="F320" s="302">
        <v>0</v>
      </c>
      <c r="G320" s="302">
        <v>0</v>
      </c>
      <c r="H320" s="302">
        <v>0</v>
      </c>
      <c r="I320" s="302">
        <v>0</v>
      </c>
      <c r="J320" s="302">
        <v>0</v>
      </c>
      <c r="K320" s="302">
        <v>0</v>
      </c>
      <c r="L320" s="302">
        <v>0</v>
      </c>
      <c r="M320" s="302">
        <v>0</v>
      </c>
      <c r="N320" s="302">
        <v>0</v>
      </c>
      <c r="O320" s="302">
        <v>0</v>
      </c>
      <c r="P320" s="302">
        <v>0</v>
      </c>
      <c r="Q320" s="302">
        <v>0</v>
      </c>
      <c r="R320" s="295">
        <f t="shared" si="14"/>
        <v>0</v>
      </c>
      <c r="AD320" s="276"/>
    </row>
    <row r="321" spans="1:30" ht="15" customHeight="1">
      <c r="A321" s="553"/>
      <c r="B321" s="330" t="s">
        <v>654</v>
      </c>
      <c r="C321" s="302">
        <v>0</v>
      </c>
      <c r="D321" s="302">
        <v>0</v>
      </c>
      <c r="E321" s="302">
        <v>0</v>
      </c>
      <c r="F321" s="302">
        <v>0</v>
      </c>
      <c r="G321" s="302">
        <v>0</v>
      </c>
      <c r="H321" s="302">
        <v>0</v>
      </c>
      <c r="I321" s="302">
        <v>0</v>
      </c>
      <c r="J321" s="302">
        <v>0</v>
      </c>
      <c r="K321" s="302">
        <v>0</v>
      </c>
      <c r="L321" s="302">
        <v>0</v>
      </c>
      <c r="M321" s="302">
        <v>0</v>
      </c>
      <c r="N321" s="302">
        <v>0</v>
      </c>
      <c r="O321" s="302">
        <v>0</v>
      </c>
      <c r="P321" s="302">
        <v>0</v>
      </c>
      <c r="Q321" s="302">
        <v>0</v>
      </c>
      <c r="R321" s="295">
        <f t="shared" si="14"/>
        <v>0</v>
      </c>
      <c r="AD321" s="276"/>
    </row>
    <row r="322" spans="1:30" ht="15" customHeight="1">
      <c r="A322" s="553"/>
      <c r="B322" s="330" t="s">
        <v>655</v>
      </c>
      <c r="C322" s="302">
        <v>0</v>
      </c>
      <c r="D322" s="302">
        <v>0</v>
      </c>
      <c r="E322" s="302">
        <v>0</v>
      </c>
      <c r="F322" s="302">
        <v>0</v>
      </c>
      <c r="G322" s="302">
        <v>0</v>
      </c>
      <c r="H322" s="302">
        <v>0</v>
      </c>
      <c r="I322" s="302">
        <v>0</v>
      </c>
      <c r="J322" s="302">
        <v>0</v>
      </c>
      <c r="K322" s="302">
        <v>0</v>
      </c>
      <c r="L322" s="302">
        <v>0</v>
      </c>
      <c r="M322" s="302">
        <v>0</v>
      </c>
      <c r="N322" s="302">
        <v>0</v>
      </c>
      <c r="O322" s="302">
        <v>0</v>
      </c>
      <c r="P322" s="302">
        <v>0</v>
      </c>
      <c r="Q322" s="302">
        <v>0</v>
      </c>
      <c r="R322" s="295">
        <f t="shared" si="14"/>
        <v>0</v>
      </c>
      <c r="AD322" s="276"/>
    </row>
    <row r="323" spans="1:30" ht="15" customHeight="1">
      <c r="A323" s="553"/>
      <c r="B323" s="330" t="s">
        <v>656</v>
      </c>
      <c r="C323" s="302">
        <v>0</v>
      </c>
      <c r="D323" s="302">
        <v>0</v>
      </c>
      <c r="E323" s="302">
        <v>0</v>
      </c>
      <c r="F323" s="302">
        <v>0</v>
      </c>
      <c r="G323" s="302">
        <v>0</v>
      </c>
      <c r="H323" s="302">
        <v>0</v>
      </c>
      <c r="I323" s="302">
        <v>0</v>
      </c>
      <c r="J323" s="302">
        <v>0</v>
      </c>
      <c r="K323" s="302">
        <v>0</v>
      </c>
      <c r="L323" s="302">
        <v>0</v>
      </c>
      <c r="M323" s="302">
        <v>0</v>
      </c>
      <c r="N323" s="302">
        <v>0</v>
      </c>
      <c r="O323" s="302">
        <v>0</v>
      </c>
      <c r="P323" s="302">
        <v>0</v>
      </c>
      <c r="Q323" s="302">
        <v>0</v>
      </c>
      <c r="R323" s="295">
        <f t="shared" si="14"/>
        <v>0</v>
      </c>
      <c r="AD323" s="276"/>
    </row>
    <row r="324" spans="1:30" ht="15" customHeight="1">
      <c r="A324" s="553"/>
      <c r="B324" s="330" t="s">
        <v>657</v>
      </c>
      <c r="C324" s="302">
        <v>0</v>
      </c>
      <c r="D324" s="302">
        <v>0</v>
      </c>
      <c r="E324" s="302">
        <v>0</v>
      </c>
      <c r="F324" s="302">
        <v>0</v>
      </c>
      <c r="G324" s="302">
        <v>0</v>
      </c>
      <c r="H324" s="302">
        <v>0</v>
      </c>
      <c r="I324" s="302">
        <v>0</v>
      </c>
      <c r="J324" s="302">
        <v>0</v>
      </c>
      <c r="K324" s="302">
        <v>0</v>
      </c>
      <c r="L324" s="302">
        <v>0</v>
      </c>
      <c r="M324" s="302">
        <v>0</v>
      </c>
      <c r="N324" s="302">
        <v>0</v>
      </c>
      <c r="O324" s="302">
        <v>0</v>
      </c>
      <c r="P324" s="302">
        <v>0</v>
      </c>
      <c r="Q324" s="302">
        <v>0</v>
      </c>
      <c r="R324" s="295">
        <f t="shared" si="14"/>
        <v>0</v>
      </c>
      <c r="AD324" s="276"/>
    </row>
    <row r="325" spans="1:30" ht="15" customHeight="1">
      <c r="A325" s="553"/>
      <c r="B325" s="330" t="s">
        <v>658</v>
      </c>
      <c r="C325" s="302">
        <v>0</v>
      </c>
      <c r="D325" s="302">
        <v>0</v>
      </c>
      <c r="E325" s="302">
        <v>0</v>
      </c>
      <c r="F325" s="302">
        <v>0</v>
      </c>
      <c r="G325" s="302">
        <v>0</v>
      </c>
      <c r="H325" s="302">
        <v>0</v>
      </c>
      <c r="I325" s="302">
        <v>0</v>
      </c>
      <c r="J325" s="302">
        <v>0</v>
      </c>
      <c r="K325" s="302">
        <v>0</v>
      </c>
      <c r="L325" s="302">
        <v>0</v>
      </c>
      <c r="M325" s="302">
        <v>0</v>
      </c>
      <c r="N325" s="302">
        <v>0</v>
      </c>
      <c r="O325" s="302">
        <v>0</v>
      </c>
      <c r="P325" s="302">
        <v>0</v>
      </c>
      <c r="Q325" s="302">
        <v>0</v>
      </c>
      <c r="R325" s="295">
        <f t="shared" si="14"/>
        <v>0</v>
      </c>
      <c r="AD325" s="276"/>
    </row>
    <row r="326" spans="1:30" ht="15" customHeight="1">
      <c r="A326" s="553"/>
      <c r="B326" s="330" t="s">
        <v>659</v>
      </c>
      <c r="C326" s="302">
        <v>0</v>
      </c>
      <c r="D326" s="302">
        <v>0</v>
      </c>
      <c r="E326" s="302">
        <v>0</v>
      </c>
      <c r="F326" s="302">
        <v>0</v>
      </c>
      <c r="G326" s="302">
        <v>0</v>
      </c>
      <c r="H326" s="302">
        <v>0</v>
      </c>
      <c r="I326" s="302">
        <v>0</v>
      </c>
      <c r="J326" s="302">
        <v>0</v>
      </c>
      <c r="K326" s="302">
        <v>0</v>
      </c>
      <c r="L326" s="302">
        <v>0</v>
      </c>
      <c r="M326" s="302">
        <v>0</v>
      </c>
      <c r="N326" s="302">
        <v>0</v>
      </c>
      <c r="O326" s="302">
        <v>0</v>
      </c>
      <c r="P326" s="302">
        <v>0</v>
      </c>
      <c r="Q326" s="302">
        <v>0</v>
      </c>
      <c r="R326" s="295">
        <f t="shared" si="14"/>
        <v>0</v>
      </c>
      <c r="AD326" s="276"/>
    </row>
    <row r="327" spans="1:30" ht="15" customHeight="1">
      <c r="A327" s="553"/>
      <c r="B327" s="330" t="s">
        <v>660</v>
      </c>
      <c r="C327" s="302">
        <v>0</v>
      </c>
      <c r="D327" s="302">
        <v>0</v>
      </c>
      <c r="E327" s="302">
        <v>0</v>
      </c>
      <c r="F327" s="302">
        <v>0</v>
      </c>
      <c r="G327" s="302">
        <v>0</v>
      </c>
      <c r="H327" s="302">
        <v>0</v>
      </c>
      <c r="I327" s="302">
        <v>0</v>
      </c>
      <c r="J327" s="302">
        <v>0</v>
      </c>
      <c r="K327" s="302">
        <v>0</v>
      </c>
      <c r="L327" s="302">
        <v>0</v>
      </c>
      <c r="M327" s="302">
        <v>0</v>
      </c>
      <c r="N327" s="302">
        <v>0</v>
      </c>
      <c r="O327" s="302">
        <v>0</v>
      </c>
      <c r="P327" s="302">
        <v>0</v>
      </c>
      <c r="Q327" s="302">
        <v>0</v>
      </c>
      <c r="R327" s="295">
        <f t="shared" si="14"/>
        <v>0</v>
      </c>
      <c r="AD327" s="276"/>
    </row>
    <row r="328" spans="1:30" ht="15" customHeight="1">
      <c r="A328" s="553"/>
      <c r="B328" s="330" t="s">
        <v>661</v>
      </c>
      <c r="C328" s="302">
        <v>0</v>
      </c>
      <c r="D328" s="302">
        <v>0</v>
      </c>
      <c r="E328" s="302">
        <v>0</v>
      </c>
      <c r="F328" s="302">
        <v>0</v>
      </c>
      <c r="G328" s="302">
        <v>0</v>
      </c>
      <c r="H328" s="302">
        <v>0</v>
      </c>
      <c r="I328" s="302">
        <v>0</v>
      </c>
      <c r="J328" s="302">
        <v>0</v>
      </c>
      <c r="K328" s="302">
        <v>0</v>
      </c>
      <c r="L328" s="302">
        <v>0</v>
      </c>
      <c r="M328" s="302">
        <v>0</v>
      </c>
      <c r="N328" s="302">
        <v>0</v>
      </c>
      <c r="O328" s="302">
        <v>0</v>
      </c>
      <c r="P328" s="302">
        <v>0</v>
      </c>
      <c r="Q328" s="302">
        <v>0</v>
      </c>
      <c r="R328" s="295">
        <f t="shared" si="14"/>
        <v>0</v>
      </c>
      <c r="AD328" s="276"/>
    </row>
    <row r="329" spans="1:30" ht="15" customHeight="1">
      <c r="A329" s="553"/>
      <c r="B329" s="330" t="s">
        <v>662</v>
      </c>
      <c r="C329" s="302">
        <v>0</v>
      </c>
      <c r="D329" s="302">
        <v>0</v>
      </c>
      <c r="E329" s="302">
        <v>0</v>
      </c>
      <c r="F329" s="302">
        <v>0</v>
      </c>
      <c r="G329" s="302">
        <v>0</v>
      </c>
      <c r="H329" s="302">
        <v>0</v>
      </c>
      <c r="I329" s="302">
        <v>0</v>
      </c>
      <c r="J329" s="302">
        <v>0</v>
      </c>
      <c r="K329" s="302">
        <v>0</v>
      </c>
      <c r="L329" s="302">
        <v>0</v>
      </c>
      <c r="M329" s="302">
        <v>0</v>
      </c>
      <c r="N329" s="302">
        <v>0</v>
      </c>
      <c r="O329" s="302">
        <v>0</v>
      </c>
      <c r="P329" s="302">
        <v>0</v>
      </c>
      <c r="Q329" s="302">
        <v>0</v>
      </c>
      <c r="R329" s="295">
        <f t="shared" si="14"/>
        <v>0</v>
      </c>
      <c r="AD329" s="276"/>
    </row>
    <row r="330" spans="1:30" ht="15" customHeight="1">
      <c r="A330" s="553"/>
      <c r="B330" s="330" t="s">
        <v>663</v>
      </c>
      <c r="C330" s="302">
        <v>0</v>
      </c>
      <c r="D330" s="302">
        <v>0</v>
      </c>
      <c r="E330" s="302">
        <v>0</v>
      </c>
      <c r="F330" s="302">
        <v>0</v>
      </c>
      <c r="G330" s="302">
        <v>0</v>
      </c>
      <c r="H330" s="302">
        <v>0</v>
      </c>
      <c r="I330" s="302">
        <v>0</v>
      </c>
      <c r="J330" s="302">
        <v>0</v>
      </c>
      <c r="K330" s="302">
        <v>0</v>
      </c>
      <c r="L330" s="302">
        <v>0</v>
      </c>
      <c r="M330" s="302">
        <v>0</v>
      </c>
      <c r="N330" s="302">
        <v>0</v>
      </c>
      <c r="O330" s="302">
        <v>0</v>
      </c>
      <c r="P330" s="302">
        <v>0</v>
      </c>
      <c r="Q330" s="302">
        <v>0</v>
      </c>
      <c r="R330" s="295">
        <f t="shared" si="14"/>
        <v>0</v>
      </c>
      <c r="AD330" s="276"/>
    </row>
    <row r="331" spans="1:30" ht="15" customHeight="1">
      <c r="A331" s="553"/>
      <c r="B331" s="330" t="s">
        <v>664</v>
      </c>
      <c r="C331" s="302">
        <v>0</v>
      </c>
      <c r="D331" s="302">
        <v>0</v>
      </c>
      <c r="E331" s="302">
        <v>0</v>
      </c>
      <c r="F331" s="302">
        <v>0</v>
      </c>
      <c r="G331" s="302">
        <v>0</v>
      </c>
      <c r="H331" s="302">
        <v>0</v>
      </c>
      <c r="I331" s="302">
        <v>0</v>
      </c>
      <c r="J331" s="302">
        <v>0</v>
      </c>
      <c r="K331" s="302">
        <v>0</v>
      </c>
      <c r="L331" s="302">
        <v>0</v>
      </c>
      <c r="M331" s="302">
        <v>0</v>
      </c>
      <c r="N331" s="302">
        <v>0</v>
      </c>
      <c r="O331" s="302">
        <v>0</v>
      </c>
      <c r="P331" s="302">
        <v>0</v>
      </c>
      <c r="Q331" s="302">
        <v>0</v>
      </c>
      <c r="R331" s="295">
        <f t="shared" si="14"/>
        <v>0</v>
      </c>
      <c r="AD331" s="276"/>
    </row>
    <row r="332" spans="1:30" ht="15" customHeight="1">
      <c r="A332" s="553"/>
      <c r="B332" s="330" t="s">
        <v>936</v>
      </c>
      <c r="C332" s="302">
        <v>0</v>
      </c>
      <c r="D332" s="302">
        <v>0</v>
      </c>
      <c r="E332" s="302">
        <v>0</v>
      </c>
      <c r="F332" s="302">
        <v>0</v>
      </c>
      <c r="G332" s="302">
        <v>0</v>
      </c>
      <c r="H332" s="302">
        <v>0</v>
      </c>
      <c r="I332" s="302">
        <v>0</v>
      </c>
      <c r="J332" s="302">
        <v>0</v>
      </c>
      <c r="K332" s="302">
        <v>0</v>
      </c>
      <c r="L332" s="302">
        <v>0</v>
      </c>
      <c r="M332" s="302">
        <v>0</v>
      </c>
      <c r="N332" s="302">
        <v>0</v>
      </c>
      <c r="O332" s="302">
        <v>0</v>
      </c>
      <c r="P332" s="302">
        <v>0</v>
      </c>
      <c r="Q332" s="302">
        <v>0</v>
      </c>
      <c r="R332" s="295">
        <f t="shared" si="14"/>
        <v>0</v>
      </c>
      <c r="AD332" s="276"/>
    </row>
    <row r="333" spans="1:30" ht="15" customHeight="1">
      <c r="A333" s="553"/>
      <c r="B333" s="330" t="s">
        <v>937</v>
      </c>
      <c r="C333" s="302">
        <v>0</v>
      </c>
      <c r="D333" s="302">
        <v>0</v>
      </c>
      <c r="E333" s="302">
        <v>0</v>
      </c>
      <c r="F333" s="302">
        <v>0</v>
      </c>
      <c r="G333" s="302">
        <v>0</v>
      </c>
      <c r="H333" s="302">
        <v>0</v>
      </c>
      <c r="I333" s="302">
        <v>0</v>
      </c>
      <c r="J333" s="302">
        <v>0</v>
      </c>
      <c r="K333" s="302">
        <v>0</v>
      </c>
      <c r="L333" s="302">
        <v>0</v>
      </c>
      <c r="M333" s="302">
        <v>0</v>
      </c>
      <c r="N333" s="302">
        <v>0</v>
      </c>
      <c r="O333" s="302">
        <v>0</v>
      </c>
      <c r="P333" s="302">
        <v>0</v>
      </c>
      <c r="Q333" s="302">
        <v>0</v>
      </c>
      <c r="R333" s="295">
        <f t="shared" si="14"/>
        <v>0</v>
      </c>
      <c r="AD333" s="276"/>
    </row>
    <row r="334" spans="1:30" ht="15" customHeight="1">
      <c r="A334" s="553"/>
      <c r="B334" s="330" t="s">
        <v>938</v>
      </c>
      <c r="C334" s="302">
        <v>0</v>
      </c>
      <c r="D334" s="302">
        <v>0</v>
      </c>
      <c r="E334" s="302">
        <v>0</v>
      </c>
      <c r="F334" s="302">
        <v>0</v>
      </c>
      <c r="G334" s="302">
        <v>0</v>
      </c>
      <c r="H334" s="302">
        <v>0</v>
      </c>
      <c r="I334" s="302">
        <v>0</v>
      </c>
      <c r="J334" s="302">
        <v>0</v>
      </c>
      <c r="K334" s="302">
        <v>0</v>
      </c>
      <c r="L334" s="302">
        <v>0</v>
      </c>
      <c r="M334" s="302">
        <v>0</v>
      </c>
      <c r="N334" s="302">
        <v>0</v>
      </c>
      <c r="O334" s="302">
        <v>0</v>
      </c>
      <c r="P334" s="302">
        <v>0</v>
      </c>
      <c r="Q334" s="302">
        <v>0</v>
      </c>
      <c r="R334" s="295">
        <f t="shared" si="14"/>
        <v>0</v>
      </c>
      <c r="AD334" s="276"/>
    </row>
    <row r="335" spans="1:30" ht="15" customHeight="1">
      <c r="A335" s="553"/>
      <c r="B335" s="330" t="s">
        <v>939</v>
      </c>
      <c r="C335" s="302">
        <v>0</v>
      </c>
      <c r="D335" s="302">
        <v>0</v>
      </c>
      <c r="E335" s="302">
        <v>0</v>
      </c>
      <c r="F335" s="302">
        <v>0</v>
      </c>
      <c r="G335" s="302">
        <v>0</v>
      </c>
      <c r="H335" s="302">
        <v>0</v>
      </c>
      <c r="I335" s="302">
        <v>0</v>
      </c>
      <c r="J335" s="302">
        <v>0</v>
      </c>
      <c r="K335" s="302">
        <v>0</v>
      </c>
      <c r="L335" s="302">
        <v>0</v>
      </c>
      <c r="M335" s="302">
        <v>0</v>
      </c>
      <c r="N335" s="302">
        <v>0</v>
      </c>
      <c r="O335" s="302">
        <v>0</v>
      </c>
      <c r="P335" s="302">
        <v>0</v>
      </c>
      <c r="Q335" s="302">
        <v>0</v>
      </c>
      <c r="R335" s="295">
        <f t="shared" si="14"/>
        <v>0</v>
      </c>
      <c r="AD335" s="276"/>
    </row>
    <row r="336" spans="1:30" ht="15" customHeight="1">
      <c r="A336" s="553"/>
      <c r="B336" s="330" t="s">
        <v>940</v>
      </c>
      <c r="C336" s="302">
        <v>0</v>
      </c>
      <c r="D336" s="302">
        <v>0</v>
      </c>
      <c r="E336" s="302">
        <v>0</v>
      </c>
      <c r="F336" s="302">
        <v>0</v>
      </c>
      <c r="G336" s="302">
        <v>0</v>
      </c>
      <c r="H336" s="302">
        <v>0</v>
      </c>
      <c r="I336" s="302">
        <v>0</v>
      </c>
      <c r="J336" s="302">
        <v>0</v>
      </c>
      <c r="K336" s="302">
        <v>0</v>
      </c>
      <c r="L336" s="302">
        <v>0</v>
      </c>
      <c r="M336" s="302">
        <v>0</v>
      </c>
      <c r="N336" s="302">
        <v>0</v>
      </c>
      <c r="O336" s="302">
        <v>0</v>
      </c>
      <c r="P336" s="302">
        <v>0</v>
      </c>
      <c r="Q336" s="302">
        <v>0</v>
      </c>
      <c r="R336" s="295">
        <f t="shared" si="14"/>
        <v>0</v>
      </c>
      <c r="AD336" s="276"/>
    </row>
    <row r="337" spans="1:30" ht="15" customHeight="1" thickBot="1">
      <c r="A337" s="553"/>
      <c r="B337" s="330" t="s">
        <v>941</v>
      </c>
      <c r="C337" s="302">
        <v>0</v>
      </c>
      <c r="D337" s="302">
        <v>0</v>
      </c>
      <c r="E337" s="302">
        <v>0</v>
      </c>
      <c r="F337" s="302">
        <v>0</v>
      </c>
      <c r="G337" s="302">
        <v>0</v>
      </c>
      <c r="H337" s="302">
        <v>0</v>
      </c>
      <c r="I337" s="302">
        <v>0</v>
      </c>
      <c r="J337" s="302">
        <v>0</v>
      </c>
      <c r="K337" s="302">
        <v>0</v>
      </c>
      <c r="L337" s="302">
        <v>0</v>
      </c>
      <c r="M337" s="302">
        <v>0</v>
      </c>
      <c r="N337" s="302">
        <v>0</v>
      </c>
      <c r="O337" s="302">
        <v>0</v>
      </c>
      <c r="P337" s="302">
        <v>0</v>
      </c>
      <c r="Q337" s="302">
        <v>0</v>
      </c>
      <c r="R337" s="295">
        <f t="shared" si="14"/>
        <v>0</v>
      </c>
      <c r="AD337" s="276"/>
    </row>
    <row r="338" spans="1:30" ht="15" customHeight="1">
      <c r="A338" s="552" t="s">
        <v>943</v>
      </c>
      <c r="B338" s="330" t="s">
        <v>648</v>
      </c>
      <c r="C338" s="302">
        <v>0</v>
      </c>
      <c r="D338" s="302">
        <v>0</v>
      </c>
      <c r="E338" s="302">
        <v>0</v>
      </c>
      <c r="F338" s="302">
        <v>0</v>
      </c>
      <c r="G338" s="302">
        <v>0</v>
      </c>
      <c r="H338" s="302">
        <v>0</v>
      </c>
      <c r="I338" s="302">
        <v>0</v>
      </c>
      <c r="J338" s="302">
        <v>0</v>
      </c>
      <c r="K338" s="302">
        <v>0</v>
      </c>
      <c r="L338" s="302">
        <v>0</v>
      </c>
      <c r="M338" s="302">
        <v>0</v>
      </c>
      <c r="N338" s="302">
        <v>0</v>
      </c>
      <c r="O338" s="302">
        <v>0</v>
      </c>
      <c r="P338" s="302">
        <v>0</v>
      </c>
      <c r="Q338" s="302">
        <v>0</v>
      </c>
      <c r="R338" s="295">
        <f t="shared" si="14"/>
        <v>0</v>
      </c>
      <c r="AD338" s="276"/>
    </row>
    <row r="339" spans="1:30" ht="15" customHeight="1">
      <c r="A339" s="553"/>
      <c r="B339" s="330" t="s">
        <v>649</v>
      </c>
      <c r="C339" s="302">
        <v>0</v>
      </c>
      <c r="D339" s="302">
        <v>0</v>
      </c>
      <c r="E339" s="302">
        <v>0</v>
      </c>
      <c r="F339" s="302">
        <v>0</v>
      </c>
      <c r="G339" s="302">
        <v>0</v>
      </c>
      <c r="H339" s="302">
        <v>0</v>
      </c>
      <c r="I339" s="302">
        <v>0</v>
      </c>
      <c r="J339" s="302">
        <v>0</v>
      </c>
      <c r="K339" s="302">
        <v>0</v>
      </c>
      <c r="L339" s="302">
        <v>0</v>
      </c>
      <c r="M339" s="302">
        <v>0</v>
      </c>
      <c r="N339" s="302">
        <v>0</v>
      </c>
      <c r="O339" s="302">
        <v>0</v>
      </c>
      <c r="P339" s="302">
        <v>0</v>
      </c>
      <c r="Q339" s="302">
        <v>0</v>
      </c>
      <c r="R339" s="295">
        <f t="shared" si="14"/>
        <v>0</v>
      </c>
      <c r="AD339" s="276"/>
    </row>
    <row r="340" spans="1:30" ht="15" customHeight="1">
      <c r="A340" s="553"/>
      <c r="B340" s="330" t="s">
        <v>650</v>
      </c>
      <c r="C340" s="302">
        <v>0</v>
      </c>
      <c r="D340" s="302">
        <v>0</v>
      </c>
      <c r="E340" s="302">
        <v>0</v>
      </c>
      <c r="F340" s="302">
        <v>0</v>
      </c>
      <c r="G340" s="302">
        <v>0</v>
      </c>
      <c r="H340" s="302">
        <v>0</v>
      </c>
      <c r="I340" s="302">
        <v>0</v>
      </c>
      <c r="J340" s="302">
        <v>0</v>
      </c>
      <c r="K340" s="302">
        <v>0</v>
      </c>
      <c r="L340" s="302">
        <v>0</v>
      </c>
      <c r="M340" s="302">
        <v>0</v>
      </c>
      <c r="N340" s="302">
        <v>0</v>
      </c>
      <c r="O340" s="302">
        <v>0</v>
      </c>
      <c r="P340" s="302">
        <v>0</v>
      </c>
      <c r="Q340" s="302">
        <v>0</v>
      </c>
      <c r="R340" s="295">
        <f t="shared" si="14"/>
        <v>0</v>
      </c>
      <c r="AD340" s="276"/>
    </row>
    <row r="341" spans="1:30" ht="15" customHeight="1">
      <c r="A341" s="553"/>
      <c r="B341" s="330" t="s">
        <v>651</v>
      </c>
      <c r="C341" s="302">
        <v>0</v>
      </c>
      <c r="D341" s="302">
        <v>0</v>
      </c>
      <c r="E341" s="302">
        <v>0</v>
      </c>
      <c r="F341" s="302">
        <v>0</v>
      </c>
      <c r="G341" s="302">
        <v>0</v>
      </c>
      <c r="H341" s="302">
        <v>0</v>
      </c>
      <c r="I341" s="302">
        <v>0</v>
      </c>
      <c r="J341" s="302">
        <v>0</v>
      </c>
      <c r="K341" s="302">
        <v>0</v>
      </c>
      <c r="L341" s="302">
        <v>0</v>
      </c>
      <c r="M341" s="302">
        <v>0</v>
      </c>
      <c r="N341" s="302">
        <v>0</v>
      </c>
      <c r="O341" s="302">
        <v>0</v>
      </c>
      <c r="P341" s="302">
        <v>0</v>
      </c>
      <c r="Q341" s="302">
        <v>0</v>
      </c>
      <c r="R341" s="295">
        <f t="shared" si="14"/>
        <v>0</v>
      </c>
      <c r="AD341" s="276"/>
    </row>
    <row r="342" spans="1:30" ht="15" customHeight="1">
      <c r="A342" s="553"/>
      <c r="B342" s="330" t="s">
        <v>652</v>
      </c>
      <c r="C342" s="302">
        <v>0</v>
      </c>
      <c r="D342" s="302">
        <v>0</v>
      </c>
      <c r="E342" s="302">
        <v>0</v>
      </c>
      <c r="F342" s="302">
        <v>0</v>
      </c>
      <c r="G342" s="302">
        <v>0</v>
      </c>
      <c r="H342" s="302">
        <v>0</v>
      </c>
      <c r="I342" s="302">
        <v>0</v>
      </c>
      <c r="J342" s="302">
        <v>0</v>
      </c>
      <c r="K342" s="302">
        <v>0</v>
      </c>
      <c r="L342" s="302">
        <v>0</v>
      </c>
      <c r="M342" s="302">
        <v>0</v>
      </c>
      <c r="N342" s="302">
        <v>0</v>
      </c>
      <c r="O342" s="302">
        <v>0</v>
      </c>
      <c r="P342" s="302">
        <v>0</v>
      </c>
      <c r="Q342" s="302">
        <v>0</v>
      </c>
      <c r="R342" s="295">
        <f t="shared" si="14"/>
        <v>0</v>
      </c>
      <c r="AD342" s="276"/>
    </row>
    <row r="343" spans="1:30" ht="15" customHeight="1">
      <c r="A343" s="553"/>
      <c r="B343" s="330" t="s">
        <v>653</v>
      </c>
      <c r="C343" s="302">
        <v>0</v>
      </c>
      <c r="D343" s="302">
        <v>0</v>
      </c>
      <c r="E343" s="302">
        <v>0</v>
      </c>
      <c r="F343" s="302">
        <v>0</v>
      </c>
      <c r="G343" s="302">
        <v>0</v>
      </c>
      <c r="H343" s="302">
        <v>0</v>
      </c>
      <c r="I343" s="302">
        <v>0</v>
      </c>
      <c r="J343" s="302">
        <v>0</v>
      </c>
      <c r="K343" s="302">
        <v>0</v>
      </c>
      <c r="L343" s="302">
        <v>0</v>
      </c>
      <c r="M343" s="302">
        <v>0</v>
      </c>
      <c r="N343" s="302">
        <v>0</v>
      </c>
      <c r="O343" s="302">
        <v>0</v>
      </c>
      <c r="P343" s="302">
        <v>0</v>
      </c>
      <c r="Q343" s="302">
        <v>0</v>
      </c>
      <c r="R343" s="295">
        <f t="shared" si="14"/>
        <v>0</v>
      </c>
      <c r="AD343" s="276"/>
    </row>
    <row r="344" spans="1:30" ht="15" customHeight="1">
      <c r="A344" s="553"/>
      <c r="B344" s="330" t="s">
        <v>654</v>
      </c>
      <c r="C344" s="302">
        <v>0</v>
      </c>
      <c r="D344" s="302">
        <v>0</v>
      </c>
      <c r="E344" s="302">
        <v>0</v>
      </c>
      <c r="F344" s="302">
        <v>0</v>
      </c>
      <c r="G344" s="302">
        <v>0</v>
      </c>
      <c r="H344" s="302">
        <v>0</v>
      </c>
      <c r="I344" s="302">
        <v>0</v>
      </c>
      <c r="J344" s="302">
        <v>0</v>
      </c>
      <c r="K344" s="302">
        <v>0</v>
      </c>
      <c r="L344" s="302">
        <v>0</v>
      </c>
      <c r="M344" s="302">
        <v>0</v>
      </c>
      <c r="N344" s="302">
        <v>0</v>
      </c>
      <c r="O344" s="302">
        <v>0</v>
      </c>
      <c r="P344" s="302">
        <v>0</v>
      </c>
      <c r="Q344" s="302">
        <v>0</v>
      </c>
      <c r="R344" s="295">
        <f t="shared" si="14"/>
        <v>0</v>
      </c>
      <c r="AD344" s="276"/>
    </row>
    <row r="345" spans="1:30" ht="15" customHeight="1">
      <c r="A345" s="553"/>
      <c r="B345" s="330" t="s">
        <v>655</v>
      </c>
      <c r="C345" s="302">
        <v>0</v>
      </c>
      <c r="D345" s="302">
        <v>0</v>
      </c>
      <c r="E345" s="302">
        <v>0</v>
      </c>
      <c r="F345" s="302">
        <v>0</v>
      </c>
      <c r="G345" s="302">
        <v>0</v>
      </c>
      <c r="H345" s="302">
        <v>0</v>
      </c>
      <c r="I345" s="302">
        <v>0</v>
      </c>
      <c r="J345" s="302">
        <v>0</v>
      </c>
      <c r="K345" s="302">
        <v>0</v>
      </c>
      <c r="L345" s="302">
        <v>0</v>
      </c>
      <c r="M345" s="302">
        <v>0</v>
      </c>
      <c r="N345" s="302">
        <v>0</v>
      </c>
      <c r="O345" s="302">
        <v>0</v>
      </c>
      <c r="P345" s="302">
        <v>0</v>
      </c>
      <c r="Q345" s="302">
        <v>0</v>
      </c>
      <c r="R345" s="295">
        <f t="shared" si="14"/>
        <v>0</v>
      </c>
      <c r="AD345" s="276"/>
    </row>
    <row r="346" spans="1:30" ht="15" customHeight="1">
      <c r="A346" s="553"/>
      <c r="B346" s="330" t="s">
        <v>656</v>
      </c>
      <c r="C346" s="302">
        <v>0</v>
      </c>
      <c r="D346" s="302">
        <v>0</v>
      </c>
      <c r="E346" s="302">
        <v>0</v>
      </c>
      <c r="F346" s="302">
        <v>0</v>
      </c>
      <c r="G346" s="302">
        <v>0</v>
      </c>
      <c r="H346" s="302">
        <v>0</v>
      </c>
      <c r="I346" s="302">
        <v>0</v>
      </c>
      <c r="J346" s="302">
        <v>0</v>
      </c>
      <c r="K346" s="302">
        <v>0</v>
      </c>
      <c r="L346" s="302">
        <v>0</v>
      </c>
      <c r="M346" s="302">
        <v>0</v>
      </c>
      <c r="N346" s="302">
        <v>0</v>
      </c>
      <c r="O346" s="302">
        <v>0</v>
      </c>
      <c r="P346" s="302">
        <v>0</v>
      </c>
      <c r="Q346" s="302">
        <v>0</v>
      </c>
      <c r="R346" s="295">
        <f t="shared" si="14"/>
        <v>0</v>
      </c>
      <c r="AD346" s="276"/>
    </row>
    <row r="347" spans="1:30" ht="15" customHeight="1">
      <c r="A347" s="553"/>
      <c r="B347" s="330" t="s">
        <v>657</v>
      </c>
      <c r="C347" s="302">
        <v>0</v>
      </c>
      <c r="D347" s="302">
        <v>0</v>
      </c>
      <c r="E347" s="302">
        <v>0</v>
      </c>
      <c r="F347" s="302">
        <v>0</v>
      </c>
      <c r="G347" s="302">
        <v>0</v>
      </c>
      <c r="H347" s="302">
        <v>0</v>
      </c>
      <c r="I347" s="302">
        <v>0</v>
      </c>
      <c r="J347" s="302">
        <v>0</v>
      </c>
      <c r="K347" s="302">
        <v>0</v>
      </c>
      <c r="L347" s="302">
        <v>0</v>
      </c>
      <c r="M347" s="302">
        <v>0</v>
      </c>
      <c r="N347" s="302">
        <v>0</v>
      </c>
      <c r="O347" s="302">
        <v>0</v>
      </c>
      <c r="P347" s="302">
        <v>0</v>
      </c>
      <c r="Q347" s="302">
        <v>0</v>
      </c>
      <c r="R347" s="295">
        <f t="shared" si="14"/>
        <v>0</v>
      </c>
      <c r="AD347" s="276"/>
    </row>
    <row r="348" spans="1:30" ht="15" customHeight="1">
      <c r="A348" s="553"/>
      <c r="B348" s="330" t="s">
        <v>658</v>
      </c>
      <c r="C348" s="302">
        <v>0</v>
      </c>
      <c r="D348" s="302">
        <v>0</v>
      </c>
      <c r="E348" s="302">
        <v>0</v>
      </c>
      <c r="F348" s="302">
        <v>0</v>
      </c>
      <c r="G348" s="302">
        <v>0</v>
      </c>
      <c r="H348" s="302">
        <v>0</v>
      </c>
      <c r="I348" s="302">
        <v>0</v>
      </c>
      <c r="J348" s="302">
        <v>0</v>
      </c>
      <c r="K348" s="302">
        <v>0</v>
      </c>
      <c r="L348" s="302">
        <v>0</v>
      </c>
      <c r="M348" s="302">
        <v>0</v>
      </c>
      <c r="N348" s="302">
        <v>0</v>
      </c>
      <c r="O348" s="302">
        <v>0</v>
      </c>
      <c r="P348" s="302">
        <v>0</v>
      </c>
      <c r="Q348" s="302">
        <v>0</v>
      </c>
      <c r="R348" s="295">
        <f t="shared" si="14"/>
        <v>0</v>
      </c>
      <c r="AD348" s="276"/>
    </row>
    <row r="349" spans="1:30" ht="15" customHeight="1">
      <c r="A349" s="553"/>
      <c r="B349" s="330" t="s">
        <v>659</v>
      </c>
      <c r="C349" s="302">
        <v>0</v>
      </c>
      <c r="D349" s="302">
        <v>0</v>
      </c>
      <c r="E349" s="302">
        <v>0</v>
      </c>
      <c r="F349" s="302">
        <v>0</v>
      </c>
      <c r="G349" s="302">
        <v>0</v>
      </c>
      <c r="H349" s="302">
        <v>0</v>
      </c>
      <c r="I349" s="302">
        <v>0</v>
      </c>
      <c r="J349" s="302">
        <v>0</v>
      </c>
      <c r="K349" s="302">
        <v>0</v>
      </c>
      <c r="L349" s="302">
        <v>0</v>
      </c>
      <c r="M349" s="302">
        <v>0</v>
      </c>
      <c r="N349" s="302">
        <v>0</v>
      </c>
      <c r="O349" s="302">
        <v>0</v>
      </c>
      <c r="P349" s="302">
        <v>0</v>
      </c>
      <c r="Q349" s="302">
        <v>0</v>
      </c>
      <c r="R349" s="295">
        <f t="shared" si="14"/>
        <v>0</v>
      </c>
      <c r="AD349" s="276"/>
    </row>
    <row r="350" spans="1:30" ht="15" customHeight="1">
      <c r="A350" s="553"/>
      <c r="B350" s="330" t="s">
        <v>660</v>
      </c>
      <c r="C350" s="302">
        <v>0</v>
      </c>
      <c r="D350" s="302">
        <v>0</v>
      </c>
      <c r="E350" s="302">
        <v>0</v>
      </c>
      <c r="F350" s="302">
        <v>0</v>
      </c>
      <c r="G350" s="302">
        <v>0</v>
      </c>
      <c r="H350" s="302">
        <v>0</v>
      </c>
      <c r="I350" s="302">
        <v>0</v>
      </c>
      <c r="J350" s="302">
        <v>0</v>
      </c>
      <c r="K350" s="302">
        <v>0</v>
      </c>
      <c r="L350" s="302">
        <v>0</v>
      </c>
      <c r="M350" s="302">
        <v>0</v>
      </c>
      <c r="N350" s="302">
        <v>0</v>
      </c>
      <c r="O350" s="302">
        <v>0</v>
      </c>
      <c r="P350" s="302">
        <v>0</v>
      </c>
      <c r="Q350" s="302">
        <v>0</v>
      </c>
      <c r="R350" s="295">
        <f t="shared" si="14"/>
        <v>0</v>
      </c>
      <c r="AD350" s="276"/>
    </row>
    <row r="351" spans="1:30" ht="15" customHeight="1">
      <c r="A351" s="553"/>
      <c r="B351" s="330" t="s">
        <v>661</v>
      </c>
      <c r="C351" s="302">
        <v>0</v>
      </c>
      <c r="D351" s="302">
        <v>0</v>
      </c>
      <c r="E351" s="302">
        <v>0</v>
      </c>
      <c r="F351" s="302">
        <v>0</v>
      </c>
      <c r="G351" s="302">
        <v>0</v>
      </c>
      <c r="H351" s="302">
        <v>0</v>
      </c>
      <c r="I351" s="302">
        <v>0</v>
      </c>
      <c r="J351" s="302">
        <v>0</v>
      </c>
      <c r="K351" s="302">
        <v>0</v>
      </c>
      <c r="L351" s="302">
        <v>0</v>
      </c>
      <c r="M351" s="302">
        <v>0</v>
      </c>
      <c r="N351" s="302">
        <v>0</v>
      </c>
      <c r="O351" s="302">
        <v>0</v>
      </c>
      <c r="P351" s="302">
        <v>0</v>
      </c>
      <c r="Q351" s="302">
        <v>0</v>
      </c>
      <c r="R351" s="295">
        <f t="shared" si="14"/>
        <v>0</v>
      </c>
      <c r="AD351" s="276"/>
    </row>
    <row r="352" spans="1:30" ht="15" customHeight="1">
      <c r="A352" s="553"/>
      <c r="B352" s="330" t="s">
        <v>662</v>
      </c>
      <c r="C352" s="302">
        <v>0</v>
      </c>
      <c r="D352" s="302">
        <v>0</v>
      </c>
      <c r="E352" s="302">
        <v>0</v>
      </c>
      <c r="F352" s="302">
        <v>0</v>
      </c>
      <c r="G352" s="302">
        <v>0</v>
      </c>
      <c r="H352" s="302">
        <v>0</v>
      </c>
      <c r="I352" s="302">
        <v>0</v>
      </c>
      <c r="J352" s="302">
        <v>0</v>
      </c>
      <c r="K352" s="302">
        <v>0</v>
      </c>
      <c r="L352" s="302">
        <v>0</v>
      </c>
      <c r="M352" s="302">
        <v>0</v>
      </c>
      <c r="N352" s="302">
        <v>0</v>
      </c>
      <c r="O352" s="302">
        <v>0</v>
      </c>
      <c r="P352" s="302">
        <v>0</v>
      </c>
      <c r="Q352" s="302">
        <v>0</v>
      </c>
      <c r="R352" s="295">
        <f t="shared" si="14"/>
        <v>0</v>
      </c>
      <c r="AD352" s="276"/>
    </row>
    <row r="353" spans="1:30" ht="15" customHeight="1">
      <c r="A353" s="553"/>
      <c r="B353" s="330" t="s">
        <v>663</v>
      </c>
      <c r="C353" s="302">
        <v>0</v>
      </c>
      <c r="D353" s="302">
        <v>0</v>
      </c>
      <c r="E353" s="302">
        <v>0</v>
      </c>
      <c r="F353" s="302">
        <v>0</v>
      </c>
      <c r="G353" s="302">
        <v>0</v>
      </c>
      <c r="H353" s="302">
        <v>0</v>
      </c>
      <c r="I353" s="302">
        <v>0</v>
      </c>
      <c r="J353" s="302">
        <v>0</v>
      </c>
      <c r="K353" s="302">
        <v>0</v>
      </c>
      <c r="L353" s="302">
        <v>0</v>
      </c>
      <c r="M353" s="302">
        <v>0</v>
      </c>
      <c r="N353" s="302">
        <v>0</v>
      </c>
      <c r="O353" s="302">
        <v>0</v>
      </c>
      <c r="P353" s="302">
        <v>0</v>
      </c>
      <c r="Q353" s="302">
        <v>0</v>
      </c>
      <c r="R353" s="295">
        <f t="shared" si="14"/>
        <v>0</v>
      </c>
      <c r="AD353" s="276"/>
    </row>
    <row r="354" spans="1:30" ht="15" customHeight="1">
      <c r="A354" s="553"/>
      <c r="B354" s="330" t="s">
        <v>664</v>
      </c>
      <c r="C354" s="302">
        <v>0</v>
      </c>
      <c r="D354" s="302">
        <v>0</v>
      </c>
      <c r="E354" s="302">
        <v>0</v>
      </c>
      <c r="F354" s="302">
        <v>0</v>
      </c>
      <c r="G354" s="302">
        <v>0</v>
      </c>
      <c r="H354" s="302">
        <v>0</v>
      </c>
      <c r="I354" s="302">
        <v>0</v>
      </c>
      <c r="J354" s="302">
        <v>0</v>
      </c>
      <c r="K354" s="302">
        <v>0</v>
      </c>
      <c r="L354" s="302">
        <v>0</v>
      </c>
      <c r="M354" s="302">
        <v>0</v>
      </c>
      <c r="N354" s="302">
        <v>0</v>
      </c>
      <c r="O354" s="302">
        <v>0</v>
      </c>
      <c r="P354" s="302">
        <v>0</v>
      </c>
      <c r="Q354" s="302">
        <v>0</v>
      </c>
      <c r="R354" s="295">
        <f t="shared" si="14"/>
        <v>0</v>
      </c>
      <c r="AD354" s="276"/>
    </row>
    <row r="355" spans="1:30" ht="15" customHeight="1">
      <c r="A355" s="553"/>
      <c r="B355" s="330" t="s">
        <v>936</v>
      </c>
      <c r="C355" s="302">
        <v>0</v>
      </c>
      <c r="D355" s="302">
        <v>0</v>
      </c>
      <c r="E355" s="302">
        <v>0</v>
      </c>
      <c r="F355" s="302">
        <v>0</v>
      </c>
      <c r="G355" s="302">
        <v>0</v>
      </c>
      <c r="H355" s="302">
        <v>0</v>
      </c>
      <c r="I355" s="302">
        <v>0</v>
      </c>
      <c r="J355" s="302">
        <v>0</v>
      </c>
      <c r="K355" s="302">
        <v>0</v>
      </c>
      <c r="L355" s="302">
        <v>0</v>
      </c>
      <c r="M355" s="302">
        <v>0</v>
      </c>
      <c r="N355" s="302">
        <v>0</v>
      </c>
      <c r="O355" s="302">
        <v>0</v>
      </c>
      <c r="P355" s="302">
        <v>0</v>
      </c>
      <c r="Q355" s="302">
        <v>0</v>
      </c>
      <c r="R355" s="295">
        <f t="shared" si="14"/>
        <v>0</v>
      </c>
      <c r="AD355" s="276"/>
    </row>
    <row r="356" spans="1:30" ht="15" customHeight="1">
      <c r="A356" s="553"/>
      <c r="B356" s="330" t="s">
        <v>937</v>
      </c>
      <c r="C356" s="302">
        <v>0</v>
      </c>
      <c r="D356" s="302">
        <v>0</v>
      </c>
      <c r="E356" s="302">
        <v>0</v>
      </c>
      <c r="F356" s="302">
        <v>0</v>
      </c>
      <c r="G356" s="302">
        <v>0</v>
      </c>
      <c r="H356" s="302">
        <v>0</v>
      </c>
      <c r="I356" s="302">
        <v>0</v>
      </c>
      <c r="J356" s="302">
        <v>0</v>
      </c>
      <c r="K356" s="302">
        <v>0</v>
      </c>
      <c r="L356" s="302">
        <v>0</v>
      </c>
      <c r="M356" s="302">
        <v>0</v>
      </c>
      <c r="N356" s="302">
        <v>0</v>
      </c>
      <c r="O356" s="302">
        <v>0</v>
      </c>
      <c r="P356" s="302">
        <v>0</v>
      </c>
      <c r="Q356" s="302">
        <v>0</v>
      </c>
      <c r="R356" s="295">
        <f t="shared" si="14"/>
        <v>0</v>
      </c>
      <c r="AD356" s="276"/>
    </row>
    <row r="357" spans="1:30" ht="15" customHeight="1">
      <c r="A357" s="553"/>
      <c r="B357" s="330" t="s">
        <v>938</v>
      </c>
      <c r="C357" s="302">
        <v>0</v>
      </c>
      <c r="D357" s="302">
        <v>0</v>
      </c>
      <c r="E357" s="302">
        <v>0</v>
      </c>
      <c r="F357" s="302">
        <v>0</v>
      </c>
      <c r="G357" s="302">
        <v>0</v>
      </c>
      <c r="H357" s="302">
        <v>0</v>
      </c>
      <c r="I357" s="302">
        <v>0</v>
      </c>
      <c r="J357" s="302">
        <v>0</v>
      </c>
      <c r="K357" s="302">
        <v>0</v>
      </c>
      <c r="L357" s="302">
        <v>0</v>
      </c>
      <c r="M357" s="302">
        <v>0</v>
      </c>
      <c r="N357" s="302">
        <v>0</v>
      </c>
      <c r="O357" s="302">
        <v>0</v>
      </c>
      <c r="P357" s="302">
        <v>0</v>
      </c>
      <c r="Q357" s="302">
        <v>0</v>
      </c>
      <c r="R357" s="295">
        <f t="shared" si="14"/>
        <v>0</v>
      </c>
      <c r="AD357" s="276"/>
    </row>
    <row r="358" spans="1:30" ht="15" customHeight="1" thickBot="1">
      <c r="A358" s="554"/>
      <c r="B358" s="330" t="s">
        <v>939</v>
      </c>
      <c r="C358" s="302">
        <v>0</v>
      </c>
      <c r="D358" s="302">
        <v>0</v>
      </c>
      <c r="E358" s="302">
        <v>0</v>
      </c>
      <c r="F358" s="302">
        <v>0</v>
      </c>
      <c r="G358" s="302">
        <v>0</v>
      </c>
      <c r="H358" s="302">
        <v>0</v>
      </c>
      <c r="I358" s="302">
        <v>0</v>
      </c>
      <c r="J358" s="302">
        <v>0</v>
      </c>
      <c r="K358" s="302">
        <v>0</v>
      </c>
      <c r="L358" s="302">
        <v>0</v>
      </c>
      <c r="M358" s="302">
        <v>0</v>
      </c>
      <c r="N358" s="302">
        <v>0</v>
      </c>
      <c r="O358" s="302">
        <v>0</v>
      </c>
      <c r="P358" s="302">
        <v>0</v>
      </c>
      <c r="Q358" s="302">
        <v>0</v>
      </c>
      <c r="R358" s="295">
        <f t="shared" si="14"/>
        <v>0</v>
      </c>
      <c r="AD358" s="276"/>
    </row>
    <row r="359" spans="1:30" ht="20.100000000000001" customHeight="1" thickBot="1">
      <c r="A359" s="558" t="s">
        <v>755</v>
      </c>
      <c r="B359" s="559"/>
      <c r="C359" s="296"/>
      <c r="D359" s="296"/>
      <c r="E359" s="296"/>
      <c r="F359" s="296"/>
      <c r="G359" s="296"/>
      <c r="H359" s="296"/>
      <c r="I359" s="296"/>
      <c r="J359" s="296"/>
      <c r="K359" s="296"/>
      <c r="L359" s="296"/>
      <c r="M359" s="296"/>
      <c r="N359" s="296"/>
      <c r="O359" s="296"/>
      <c r="P359" s="296"/>
      <c r="Q359" s="296"/>
      <c r="R359" s="560"/>
      <c r="AD359" s="276"/>
    </row>
    <row r="360" spans="1:30" ht="20.100000000000001" customHeight="1" thickBot="1">
      <c r="A360" s="558" t="s">
        <v>754</v>
      </c>
      <c r="B360" s="559"/>
      <c r="C360" s="296">
        <f t="shared" ref="C360:Q360" si="15">+AVERAGE(C315:C358)</f>
        <v>0</v>
      </c>
      <c r="D360" s="296">
        <f t="shared" si="15"/>
        <v>0</v>
      </c>
      <c r="E360" s="296">
        <f t="shared" si="15"/>
        <v>0</v>
      </c>
      <c r="F360" s="296">
        <f t="shared" si="15"/>
        <v>0</v>
      </c>
      <c r="G360" s="296">
        <f t="shared" si="15"/>
        <v>0</v>
      </c>
      <c r="H360" s="296">
        <f t="shared" si="15"/>
        <v>0</v>
      </c>
      <c r="I360" s="296">
        <f t="shared" si="15"/>
        <v>0</v>
      </c>
      <c r="J360" s="296">
        <f t="shared" si="15"/>
        <v>0</v>
      </c>
      <c r="K360" s="296">
        <f t="shared" si="15"/>
        <v>0</v>
      </c>
      <c r="L360" s="296">
        <f t="shared" si="15"/>
        <v>0</v>
      </c>
      <c r="M360" s="296">
        <f t="shared" si="15"/>
        <v>0</v>
      </c>
      <c r="N360" s="296">
        <f t="shared" si="15"/>
        <v>0</v>
      </c>
      <c r="O360" s="296">
        <f t="shared" si="15"/>
        <v>0</v>
      </c>
      <c r="P360" s="296">
        <f t="shared" si="15"/>
        <v>0</v>
      </c>
      <c r="Q360" s="296">
        <f t="shared" si="15"/>
        <v>0</v>
      </c>
      <c r="R360" s="561"/>
      <c r="AD360" s="276"/>
    </row>
    <row r="361" spans="1:30" ht="20.100000000000001" customHeight="1" thickBot="1">
      <c r="A361" s="558" t="s">
        <v>762</v>
      </c>
      <c r="B361" s="563"/>
      <c r="C361" s="516">
        <f>+AVERAGE(C360:Q360)</f>
        <v>0</v>
      </c>
      <c r="D361" s="517"/>
      <c r="E361" s="517"/>
      <c r="F361" s="517"/>
      <c r="G361" s="517"/>
      <c r="H361" s="517"/>
      <c r="I361" s="517"/>
      <c r="J361" s="517"/>
      <c r="K361" s="517"/>
      <c r="L361" s="517"/>
      <c r="M361" s="517"/>
      <c r="N361" s="517"/>
      <c r="O361" s="517"/>
      <c r="P361" s="517"/>
      <c r="Q361" s="517"/>
      <c r="R361" s="562"/>
      <c r="AD361" s="276"/>
    </row>
    <row r="362" spans="1:30" ht="15" customHeight="1">
      <c r="A362" s="555" t="s">
        <v>949</v>
      </c>
      <c r="B362" s="332" t="s">
        <v>665</v>
      </c>
      <c r="C362" s="301">
        <v>0</v>
      </c>
      <c r="D362" s="301">
        <v>0</v>
      </c>
      <c r="E362" s="301">
        <v>0</v>
      </c>
      <c r="F362" s="301">
        <v>0</v>
      </c>
      <c r="G362" s="301">
        <v>0</v>
      </c>
      <c r="H362" s="301">
        <v>0</v>
      </c>
      <c r="I362" s="301">
        <v>0</v>
      </c>
      <c r="J362" s="301">
        <v>0</v>
      </c>
      <c r="K362" s="301">
        <v>0</v>
      </c>
      <c r="L362" s="301">
        <v>0</v>
      </c>
      <c r="M362" s="301">
        <v>0</v>
      </c>
      <c r="N362" s="301">
        <v>0</v>
      </c>
      <c r="O362" s="301">
        <v>0</v>
      </c>
      <c r="P362" s="301">
        <v>0</v>
      </c>
      <c r="Q362" s="301">
        <v>0</v>
      </c>
      <c r="R362" s="293">
        <f t="shared" ref="R362:R402" si="16">+AVERAGE(C362:Q362)</f>
        <v>0</v>
      </c>
      <c r="AD362" s="276"/>
    </row>
    <row r="363" spans="1:30" ht="15" customHeight="1">
      <c r="A363" s="556"/>
      <c r="B363" s="330" t="s">
        <v>666</v>
      </c>
      <c r="C363" s="302">
        <v>0</v>
      </c>
      <c r="D363" s="302">
        <v>0</v>
      </c>
      <c r="E363" s="302">
        <v>0</v>
      </c>
      <c r="F363" s="302">
        <v>0</v>
      </c>
      <c r="G363" s="302">
        <v>0</v>
      </c>
      <c r="H363" s="302">
        <v>0</v>
      </c>
      <c r="I363" s="302">
        <v>0</v>
      </c>
      <c r="J363" s="302">
        <v>0</v>
      </c>
      <c r="K363" s="302">
        <v>0</v>
      </c>
      <c r="L363" s="302">
        <v>0</v>
      </c>
      <c r="M363" s="302">
        <v>0</v>
      </c>
      <c r="N363" s="302">
        <v>0</v>
      </c>
      <c r="O363" s="302">
        <v>0</v>
      </c>
      <c r="P363" s="302">
        <v>0</v>
      </c>
      <c r="Q363" s="302">
        <v>0</v>
      </c>
      <c r="R363" s="295">
        <f t="shared" si="16"/>
        <v>0</v>
      </c>
      <c r="AD363" s="276"/>
    </row>
    <row r="364" spans="1:30" ht="15" customHeight="1">
      <c r="A364" s="556"/>
      <c r="B364" s="330" t="s">
        <v>667</v>
      </c>
      <c r="C364" s="302">
        <v>0</v>
      </c>
      <c r="D364" s="302">
        <v>0</v>
      </c>
      <c r="E364" s="302">
        <v>0</v>
      </c>
      <c r="F364" s="302">
        <v>0</v>
      </c>
      <c r="G364" s="302">
        <v>0</v>
      </c>
      <c r="H364" s="302">
        <v>0</v>
      </c>
      <c r="I364" s="302">
        <v>0</v>
      </c>
      <c r="J364" s="302">
        <v>0</v>
      </c>
      <c r="K364" s="302">
        <v>0</v>
      </c>
      <c r="L364" s="302">
        <v>0</v>
      </c>
      <c r="M364" s="302">
        <v>0</v>
      </c>
      <c r="N364" s="302">
        <v>0</v>
      </c>
      <c r="O364" s="302">
        <v>0</v>
      </c>
      <c r="P364" s="302">
        <v>0</v>
      </c>
      <c r="Q364" s="302">
        <v>0</v>
      </c>
      <c r="R364" s="295">
        <f t="shared" si="16"/>
        <v>0</v>
      </c>
      <c r="AD364" s="276"/>
    </row>
    <row r="365" spans="1:30" ht="15" customHeight="1">
      <c r="A365" s="556"/>
      <c r="B365" s="330" t="s">
        <v>668</v>
      </c>
      <c r="C365" s="302">
        <v>0</v>
      </c>
      <c r="D365" s="302">
        <v>0</v>
      </c>
      <c r="E365" s="302">
        <v>0</v>
      </c>
      <c r="F365" s="302">
        <v>0</v>
      </c>
      <c r="G365" s="302">
        <v>0</v>
      </c>
      <c r="H365" s="302">
        <v>0</v>
      </c>
      <c r="I365" s="302">
        <v>0</v>
      </c>
      <c r="J365" s="302">
        <v>0</v>
      </c>
      <c r="K365" s="302">
        <v>0</v>
      </c>
      <c r="L365" s="302">
        <v>0</v>
      </c>
      <c r="M365" s="302">
        <v>0</v>
      </c>
      <c r="N365" s="302">
        <v>0</v>
      </c>
      <c r="O365" s="302">
        <v>0</v>
      </c>
      <c r="P365" s="302">
        <v>0</v>
      </c>
      <c r="Q365" s="302">
        <v>0</v>
      </c>
      <c r="R365" s="295">
        <f t="shared" si="16"/>
        <v>0</v>
      </c>
      <c r="AD365" s="276"/>
    </row>
    <row r="366" spans="1:30" ht="15" customHeight="1">
      <c r="A366" s="556"/>
      <c r="B366" s="330" t="s">
        <v>669</v>
      </c>
      <c r="C366" s="302">
        <v>0</v>
      </c>
      <c r="D366" s="302">
        <v>0</v>
      </c>
      <c r="E366" s="302">
        <v>0</v>
      </c>
      <c r="F366" s="302">
        <v>0</v>
      </c>
      <c r="G366" s="302">
        <v>0</v>
      </c>
      <c r="H366" s="302">
        <v>0</v>
      </c>
      <c r="I366" s="302">
        <v>0</v>
      </c>
      <c r="J366" s="302">
        <v>0</v>
      </c>
      <c r="K366" s="302">
        <v>0</v>
      </c>
      <c r="L366" s="302">
        <v>0</v>
      </c>
      <c r="M366" s="302">
        <v>0</v>
      </c>
      <c r="N366" s="302">
        <v>0</v>
      </c>
      <c r="O366" s="302">
        <v>0</v>
      </c>
      <c r="P366" s="302">
        <v>0</v>
      </c>
      <c r="Q366" s="302">
        <v>0</v>
      </c>
      <c r="R366" s="295">
        <f t="shared" si="16"/>
        <v>0</v>
      </c>
      <c r="AD366" s="276"/>
    </row>
    <row r="367" spans="1:30" ht="15" customHeight="1">
      <c r="A367" s="556"/>
      <c r="B367" s="330" t="s">
        <v>670</v>
      </c>
      <c r="C367" s="302">
        <v>0</v>
      </c>
      <c r="D367" s="302">
        <v>0</v>
      </c>
      <c r="E367" s="302">
        <v>0</v>
      </c>
      <c r="F367" s="302">
        <v>0</v>
      </c>
      <c r="G367" s="302">
        <v>0</v>
      </c>
      <c r="H367" s="302">
        <v>0</v>
      </c>
      <c r="I367" s="302">
        <v>0</v>
      </c>
      <c r="J367" s="302">
        <v>0</v>
      </c>
      <c r="K367" s="302">
        <v>0</v>
      </c>
      <c r="L367" s="302">
        <v>0</v>
      </c>
      <c r="M367" s="302">
        <v>0</v>
      </c>
      <c r="N367" s="302">
        <v>0</v>
      </c>
      <c r="O367" s="302">
        <v>0</v>
      </c>
      <c r="P367" s="302">
        <v>0</v>
      </c>
      <c r="Q367" s="302">
        <v>0</v>
      </c>
      <c r="R367" s="295">
        <f t="shared" si="16"/>
        <v>0</v>
      </c>
      <c r="AD367" s="276"/>
    </row>
    <row r="368" spans="1:30" ht="15" customHeight="1">
      <c r="A368" s="556"/>
      <c r="B368" s="330" t="s">
        <v>671</v>
      </c>
      <c r="C368" s="302">
        <v>0</v>
      </c>
      <c r="D368" s="302">
        <v>0</v>
      </c>
      <c r="E368" s="302">
        <v>0</v>
      </c>
      <c r="F368" s="302">
        <v>0</v>
      </c>
      <c r="G368" s="302">
        <v>0</v>
      </c>
      <c r="H368" s="302">
        <v>0</v>
      </c>
      <c r="I368" s="302">
        <v>0</v>
      </c>
      <c r="J368" s="302">
        <v>0</v>
      </c>
      <c r="K368" s="302">
        <v>0</v>
      </c>
      <c r="L368" s="302">
        <v>0</v>
      </c>
      <c r="M368" s="302">
        <v>0</v>
      </c>
      <c r="N368" s="302">
        <v>0</v>
      </c>
      <c r="O368" s="302">
        <v>0</v>
      </c>
      <c r="P368" s="302">
        <v>0</v>
      </c>
      <c r="Q368" s="302">
        <v>0</v>
      </c>
      <c r="R368" s="295">
        <f t="shared" si="16"/>
        <v>0</v>
      </c>
      <c r="AD368" s="276"/>
    </row>
    <row r="369" spans="1:30" ht="15" customHeight="1">
      <c r="A369" s="556"/>
      <c r="B369" s="330" t="s">
        <v>672</v>
      </c>
      <c r="C369" s="302">
        <v>0</v>
      </c>
      <c r="D369" s="302">
        <v>0</v>
      </c>
      <c r="E369" s="302">
        <v>0</v>
      </c>
      <c r="F369" s="302">
        <v>0</v>
      </c>
      <c r="G369" s="302">
        <v>0</v>
      </c>
      <c r="H369" s="302">
        <v>0</v>
      </c>
      <c r="I369" s="302">
        <v>0</v>
      </c>
      <c r="J369" s="302">
        <v>0</v>
      </c>
      <c r="K369" s="302">
        <v>0</v>
      </c>
      <c r="L369" s="302">
        <v>0</v>
      </c>
      <c r="M369" s="302">
        <v>0</v>
      </c>
      <c r="N369" s="302">
        <v>0</v>
      </c>
      <c r="O369" s="302">
        <v>0</v>
      </c>
      <c r="P369" s="302">
        <v>0</v>
      </c>
      <c r="Q369" s="302">
        <v>0</v>
      </c>
      <c r="R369" s="295">
        <f t="shared" si="16"/>
        <v>0</v>
      </c>
      <c r="AD369" s="276"/>
    </row>
    <row r="370" spans="1:30" ht="15" customHeight="1">
      <c r="A370" s="556"/>
      <c r="B370" s="330" t="s">
        <v>673</v>
      </c>
      <c r="C370" s="302">
        <v>0</v>
      </c>
      <c r="D370" s="302">
        <v>0</v>
      </c>
      <c r="E370" s="302">
        <v>0</v>
      </c>
      <c r="F370" s="302">
        <v>0</v>
      </c>
      <c r="G370" s="302">
        <v>0</v>
      </c>
      <c r="H370" s="302">
        <v>0</v>
      </c>
      <c r="I370" s="302">
        <v>0</v>
      </c>
      <c r="J370" s="302">
        <v>0</v>
      </c>
      <c r="K370" s="302">
        <v>0</v>
      </c>
      <c r="L370" s="302">
        <v>0</v>
      </c>
      <c r="M370" s="302">
        <v>0</v>
      </c>
      <c r="N370" s="302">
        <v>0</v>
      </c>
      <c r="O370" s="302">
        <v>0</v>
      </c>
      <c r="P370" s="302">
        <v>0</v>
      </c>
      <c r="Q370" s="302">
        <v>0</v>
      </c>
      <c r="R370" s="295">
        <f t="shared" si="16"/>
        <v>0</v>
      </c>
      <c r="AD370" s="276"/>
    </row>
    <row r="371" spans="1:30" ht="15" customHeight="1">
      <c r="A371" s="556"/>
      <c r="B371" s="330" t="s">
        <v>674</v>
      </c>
      <c r="C371" s="302">
        <v>0</v>
      </c>
      <c r="D371" s="302">
        <v>0</v>
      </c>
      <c r="E371" s="302">
        <v>0</v>
      </c>
      <c r="F371" s="302">
        <v>0</v>
      </c>
      <c r="G371" s="302">
        <v>0</v>
      </c>
      <c r="H371" s="302">
        <v>0</v>
      </c>
      <c r="I371" s="302">
        <v>0</v>
      </c>
      <c r="J371" s="302">
        <v>0</v>
      </c>
      <c r="K371" s="302">
        <v>0</v>
      </c>
      <c r="L371" s="302">
        <v>0</v>
      </c>
      <c r="M371" s="302">
        <v>0</v>
      </c>
      <c r="N371" s="302">
        <v>0</v>
      </c>
      <c r="O371" s="302">
        <v>0</v>
      </c>
      <c r="P371" s="302">
        <v>0</v>
      </c>
      <c r="Q371" s="302">
        <v>0</v>
      </c>
      <c r="R371" s="295">
        <f t="shared" si="16"/>
        <v>0</v>
      </c>
      <c r="AD371" s="276"/>
    </row>
    <row r="372" spans="1:30" ht="15" customHeight="1">
      <c r="A372" s="556"/>
      <c r="B372" s="330" t="s">
        <v>675</v>
      </c>
      <c r="C372" s="302">
        <v>0</v>
      </c>
      <c r="D372" s="302">
        <v>0</v>
      </c>
      <c r="E372" s="302">
        <v>0</v>
      </c>
      <c r="F372" s="302">
        <v>0</v>
      </c>
      <c r="G372" s="302">
        <v>0</v>
      </c>
      <c r="H372" s="302">
        <v>0</v>
      </c>
      <c r="I372" s="302">
        <v>0</v>
      </c>
      <c r="J372" s="302">
        <v>0</v>
      </c>
      <c r="K372" s="302">
        <v>0</v>
      </c>
      <c r="L372" s="302">
        <v>0</v>
      </c>
      <c r="M372" s="302">
        <v>0</v>
      </c>
      <c r="N372" s="302">
        <v>0</v>
      </c>
      <c r="O372" s="302">
        <v>0</v>
      </c>
      <c r="P372" s="302">
        <v>0</v>
      </c>
      <c r="Q372" s="302">
        <v>0</v>
      </c>
      <c r="R372" s="295">
        <f t="shared" si="16"/>
        <v>0</v>
      </c>
      <c r="AD372" s="276"/>
    </row>
    <row r="373" spans="1:30" ht="15" customHeight="1">
      <c r="A373" s="556"/>
      <c r="B373" s="330" t="s">
        <v>676</v>
      </c>
      <c r="C373" s="302">
        <v>0</v>
      </c>
      <c r="D373" s="302">
        <v>0</v>
      </c>
      <c r="E373" s="302">
        <v>0</v>
      </c>
      <c r="F373" s="302">
        <v>0</v>
      </c>
      <c r="G373" s="302">
        <v>0</v>
      </c>
      <c r="H373" s="302">
        <v>0</v>
      </c>
      <c r="I373" s="302">
        <v>0</v>
      </c>
      <c r="J373" s="302">
        <v>0</v>
      </c>
      <c r="K373" s="302">
        <v>0</v>
      </c>
      <c r="L373" s="302">
        <v>0</v>
      </c>
      <c r="M373" s="302">
        <v>0</v>
      </c>
      <c r="N373" s="302">
        <v>0</v>
      </c>
      <c r="O373" s="302">
        <v>0</v>
      </c>
      <c r="P373" s="302">
        <v>0</v>
      </c>
      <c r="Q373" s="302">
        <v>0</v>
      </c>
      <c r="R373" s="295">
        <f t="shared" si="16"/>
        <v>0</v>
      </c>
      <c r="AD373" s="276"/>
    </row>
    <row r="374" spans="1:30" ht="15" customHeight="1">
      <c r="A374" s="556"/>
      <c r="B374" s="330" t="s">
        <v>677</v>
      </c>
      <c r="C374" s="302">
        <v>0</v>
      </c>
      <c r="D374" s="302">
        <v>0</v>
      </c>
      <c r="E374" s="302">
        <v>0</v>
      </c>
      <c r="F374" s="302">
        <v>0</v>
      </c>
      <c r="G374" s="302">
        <v>0</v>
      </c>
      <c r="H374" s="302">
        <v>0</v>
      </c>
      <c r="I374" s="302">
        <v>0</v>
      </c>
      <c r="J374" s="302">
        <v>0</v>
      </c>
      <c r="K374" s="302">
        <v>0</v>
      </c>
      <c r="L374" s="302">
        <v>0</v>
      </c>
      <c r="M374" s="302">
        <v>0</v>
      </c>
      <c r="N374" s="302">
        <v>0</v>
      </c>
      <c r="O374" s="302">
        <v>0</v>
      </c>
      <c r="P374" s="302">
        <v>0</v>
      </c>
      <c r="Q374" s="302">
        <v>0</v>
      </c>
      <c r="R374" s="295">
        <f t="shared" si="16"/>
        <v>0</v>
      </c>
      <c r="AD374" s="276"/>
    </row>
    <row r="375" spans="1:30" ht="15" customHeight="1">
      <c r="A375" s="556"/>
      <c r="B375" s="330" t="s">
        <v>678</v>
      </c>
      <c r="C375" s="302">
        <v>0</v>
      </c>
      <c r="D375" s="302">
        <v>0</v>
      </c>
      <c r="E375" s="302">
        <v>0</v>
      </c>
      <c r="F375" s="302">
        <v>0</v>
      </c>
      <c r="G375" s="302">
        <v>0</v>
      </c>
      <c r="H375" s="302">
        <v>0</v>
      </c>
      <c r="I375" s="302">
        <v>0</v>
      </c>
      <c r="J375" s="302">
        <v>0</v>
      </c>
      <c r="K375" s="302">
        <v>0</v>
      </c>
      <c r="L375" s="302">
        <v>0</v>
      </c>
      <c r="M375" s="302">
        <v>0</v>
      </c>
      <c r="N375" s="302">
        <v>0</v>
      </c>
      <c r="O375" s="302">
        <v>0</v>
      </c>
      <c r="P375" s="302">
        <v>0</v>
      </c>
      <c r="Q375" s="302">
        <v>0</v>
      </c>
      <c r="R375" s="295">
        <f t="shared" si="16"/>
        <v>0</v>
      </c>
      <c r="AD375" s="276"/>
    </row>
    <row r="376" spans="1:30" ht="15" customHeight="1">
      <c r="A376" s="556"/>
      <c r="B376" s="330" t="s">
        <v>679</v>
      </c>
      <c r="C376" s="302">
        <v>0</v>
      </c>
      <c r="D376" s="302">
        <v>0</v>
      </c>
      <c r="E376" s="302">
        <v>0</v>
      </c>
      <c r="F376" s="302">
        <v>0</v>
      </c>
      <c r="G376" s="302">
        <v>0</v>
      </c>
      <c r="H376" s="302">
        <v>0</v>
      </c>
      <c r="I376" s="302">
        <v>0</v>
      </c>
      <c r="J376" s="302">
        <v>0</v>
      </c>
      <c r="K376" s="302">
        <v>0</v>
      </c>
      <c r="L376" s="302">
        <v>0</v>
      </c>
      <c r="M376" s="302">
        <v>0</v>
      </c>
      <c r="N376" s="302">
        <v>0</v>
      </c>
      <c r="O376" s="302">
        <v>0</v>
      </c>
      <c r="P376" s="302">
        <v>0</v>
      </c>
      <c r="Q376" s="302">
        <v>0</v>
      </c>
      <c r="R376" s="295">
        <f t="shared" si="16"/>
        <v>0</v>
      </c>
      <c r="AD376" s="276"/>
    </row>
    <row r="377" spans="1:30" ht="15" customHeight="1">
      <c r="A377" s="556"/>
      <c r="B377" s="330" t="s">
        <v>680</v>
      </c>
      <c r="C377" s="302">
        <v>0</v>
      </c>
      <c r="D377" s="302">
        <v>0</v>
      </c>
      <c r="E377" s="302">
        <v>0</v>
      </c>
      <c r="F377" s="302">
        <v>0</v>
      </c>
      <c r="G377" s="302">
        <v>0</v>
      </c>
      <c r="H377" s="302">
        <v>0</v>
      </c>
      <c r="I377" s="302">
        <v>0</v>
      </c>
      <c r="J377" s="302">
        <v>0</v>
      </c>
      <c r="K377" s="302">
        <v>0</v>
      </c>
      <c r="L377" s="302">
        <v>0</v>
      </c>
      <c r="M377" s="302">
        <v>0</v>
      </c>
      <c r="N377" s="302">
        <v>0</v>
      </c>
      <c r="O377" s="302">
        <v>0</v>
      </c>
      <c r="P377" s="302">
        <v>0</v>
      </c>
      <c r="Q377" s="302">
        <v>0</v>
      </c>
      <c r="R377" s="295">
        <f t="shared" si="16"/>
        <v>0</v>
      </c>
      <c r="AD377" s="276"/>
    </row>
    <row r="378" spans="1:30" ht="15" customHeight="1">
      <c r="A378" s="556"/>
      <c r="B378" s="330" t="s">
        <v>681</v>
      </c>
      <c r="C378" s="302">
        <v>0</v>
      </c>
      <c r="D378" s="302">
        <v>0</v>
      </c>
      <c r="E378" s="302">
        <v>0</v>
      </c>
      <c r="F378" s="302">
        <v>0</v>
      </c>
      <c r="G378" s="302">
        <v>0</v>
      </c>
      <c r="H378" s="302">
        <v>0</v>
      </c>
      <c r="I378" s="302">
        <v>0</v>
      </c>
      <c r="J378" s="302">
        <v>0</v>
      </c>
      <c r="K378" s="302">
        <v>0</v>
      </c>
      <c r="L378" s="302">
        <v>0</v>
      </c>
      <c r="M378" s="302">
        <v>0</v>
      </c>
      <c r="N378" s="302">
        <v>0</v>
      </c>
      <c r="O378" s="302">
        <v>0</v>
      </c>
      <c r="P378" s="302">
        <v>0</v>
      </c>
      <c r="Q378" s="302">
        <v>0</v>
      </c>
      <c r="R378" s="295">
        <f t="shared" si="16"/>
        <v>0</v>
      </c>
      <c r="AD378" s="276"/>
    </row>
    <row r="379" spans="1:30" ht="15" customHeight="1">
      <c r="A379" s="556"/>
      <c r="B379" s="330" t="s">
        <v>944</v>
      </c>
      <c r="C379" s="302">
        <v>0</v>
      </c>
      <c r="D379" s="302">
        <v>0</v>
      </c>
      <c r="E379" s="302">
        <v>0</v>
      </c>
      <c r="F379" s="302">
        <v>0</v>
      </c>
      <c r="G379" s="302">
        <v>0</v>
      </c>
      <c r="H379" s="302">
        <v>0</v>
      </c>
      <c r="I379" s="302">
        <v>0</v>
      </c>
      <c r="J379" s="302">
        <v>0</v>
      </c>
      <c r="K379" s="302">
        <v>0</v>
      </c>
      <c r="L379" s="302">
        <v>0</v>
      </c>
      <c r="M379" s="302">
        <v>0</v>
      </c>
      <c r="N379" s="302">
        <v>0</v>
      </c>
      <c r="O379" s="302">
        <v>0</v>
      </c>
      <c r="P379" s="302">
        <v>0</v>
      </c>
      <c r="Q379" s="302">
        <v>0</v>
      </c>
      <c r="R379" s="295">
        <f t="shared" si="16"/>
        <v>0</v>
      </c>
      <c r="AD379" s="276"/>
    </row>
    <row r="380" spans="1:30" ht="15" customHeight="1">
      <c r="A380" s="556"/>
      <c r="B380" s="330" t="s">
        <v>945</v>
      </c>
      <c r="C380" s="302">
        <v>0</v>
      </c>
      <c r="D380" s="302">
        <v>0</v>
      </c>
      <c r="E380" s="302">
        <v>0</v>
      </c>
      <c r="F380" s="302">
        <v>0</v>
      </c>
      <c r="G380" s="302">
        <v>0</v>
      </c>
      <c r="H380" s="302">
        <v>0</v>
      </c>
      <c r="I380" s="302">
        <v>0</v>
      </c>
      <c r="J380" s="302">
        <v>0</v>
      </c>
      <c r="K380" s="302">
        <v>0</v>
      </c>
      <c r="L380" s="302">
        <v>0</v>
      </c>
      <c r="M380" s="302">
        <v>0</v>
      </c>
      <c r="N380" s="302">
        <v>0</v>
      </c>
      <c r="O380" s="302">
        <v>0</v>
      </c>
      <c r="P380" s="302">
        <v>0</v>
      </c>
      <c r="Q380" s="302">
        <v>0</v>
      </c>
      <c r="R380" s="295">
        <f t="shared" si="16"/>
        <v>0</v>
      </c>
      <c r="AD380" s="276"/>
    </row>
    <row r="381" spans="1:30" ht="15" customHeight="1" thickBot="1">
      <c r="A381" s="557"/>
      <c r="B381" s="330" t="s">
        <v>948</v>
      </c>
      <c r="C381" s="302">
        <v>0</v>
      </c>
      <c r="D381" s="302">
        <v>0</v>
      </c>
      <c r="E381" s="302">
        <v>0</v>
      </c>
      <c r="F381" s="302">
        <v>0</v>
      </c>
      <c r="G381" s="302">
        <v>0</v>
      </c>
      <c r="H381" s="302">
        <v>0</v>
      </c>
      <c r="I381" s="302">
        <v>0</v>
      </c>
      <c r="J381" s="302">
        <v>0</v>
      </c>
      <c r="K381" s="302">
        <v>0</v>
      </c>
      <c r="L381" s="302">
        <v>0</v>
      </c>
      <c r="M381" s="302">
        <v>0</v>
      </c>
      <c r="N381" s="302">
        <v>0</v>
      </c>
      <c r="O381" s="302">
        <v>0</v>
      </c>
      <c r="P381" s="302">
        <v>0</v>
      </c>
      <c r="Q381" s="302">
        <v>0</v>
      </c>
      <c r="R381" s="295">
        <f t="shared" si="16"/>
        <v>0</v>
      </c>
      <c r="AD381" s="276"/>
    </row>
    <row r="382" spans="1:30" ht="15" customHeight="1">
      <c r="A382" s="556" t="s">
        <v>950</v>
      </c>
      <c r="B382" s="330" t="s">
        <v>665</v>
      </c>
      <c r="C382" s="302">
        <v>0</v>
      </c>
      <c r="D382" s="302">
        <v>0</v>
      </c>
      <c r="E382" s="302">
        <v>0</v>
      </c>
      <c r="F382" s="302">
        <v>0</v>
      </c>
      <c r="G382" s="302">
        <v>0</v>
      </c>
      <c r="H382" s="302">
        <v>0</v>
      </c>
      <c r="I382" s="302">
        <v>0</v>
      </c>
      <c r="J382" s="302">
        <v>0</v>
      </c>
      <c r="K382" s="302">
        <v>0</v>
      </c>
      <c r="L382" s="302">
        <v>0</v>
      </c>
      <c r="M382" s="302">
        <v>0</v>
      </c>
      <c r="N382" s="302">
        <v>0</v>
      </c>
      <c r="O382" s="302">
        <v>0</v>
      </c>
      <c r="P382" s="302">
        <v>0</v>
      </c>
      <c r="Q382" s="302">
        <v>0</v>
      </c>
      <c r="R382" s="295">
        <f t="shared" si="16"/>
        <v>0</v>
      </c>
      <c r="AD382" s="276"/>
    </row>
    <row r="383" spans="1:30" ht="15" customHeight="1">
      <c r="A383" s="556"/>
      <c r="B383" s="330" t="s">
        <v>666</v>
      </c>
      <c r="C383" s="302">
        <v>0</v>
      </c>
      <c r="D383" s="302">
        <v>0</v>
      </c>
      <c r="E383" s="302">
        <v>0</v>
      </c>
      <c r="F383" s="302">
        <v>0</v>
      </c>
      <c r="G383" s="302">
        <v>0</v>
      </c>
      <c r="H383" s="302">
        <v>0</v>
      </c>
      <c r="I383" s="302">
        <v>0</v>
      </c>
      <c r="J383" s="302">
        <v>0</v>
      </c>
      <c r="K383" s="302">
        <v>0</v>
      </c>
      <c r="L383" s="302">
        <v>0</v>
      </c>
      <c r="M383" s="302">
        <v>0</v>
      </c>
      <c r="N383" s="302">
        <v>0</v>
      </c>
      <c r="O383" s="302">
        <v>0</v>
      </c>
      <c r="P383" s="302">
        <v>0</v>
      </c>
      <c r="Q383" s="302">
        <v>0</v>
      </c>
      <c r="R383" s="295">
        <f t="shared" si="16"/>
        <v>0</v>
      </c>
      <c r="AD383" s="276"/>
    </row>
    <row r="384" spans="1:30" ht="15" customHeight="1">
      <c r="A384" s="556"/>
      <c r="B384" s="330" t="s">
        <v>667</v>
      </c>
      <c r="C384" s="302">
        <v>0</v>
      </c>
      <c r="D384" s="302">
        <v>0</v>
      </c>
      <c r="E384" s="302">
        <v>0</v>
      </c>
      <c r="F384" s="302">
        <v>0</v>
      </c>
      <c r="G384" s="302">
        <v>0</v>
      </c>
      <c r="H384" s="302">
        <v>0</v>
      </c>
      <c r="I384" s="302">
        <v>0</v>
      </c>
      <c r="J384" s="302">
        <v>0</v>
      </c>
      <c r="K384" s="302">
        <v>0</v>
      </c>
      <c r="L384" s="302">
        <v>0</v>
      </c>
      <c r="M384" s="302">
        <v>0</v>
      </c>
      <c r="N384" s="302">
        <v>0</v>
      </c>
      <c r="O384" s="302">
        <v>0</v>
      </c>
      <c r="P384" s="302">
        <v>0</v>
      </c>
      <c r="Q384" s="302">
        <v>0</v>
      </c>
      <c r="R384" s="295">
        <f t="shared" si="16"/>
        <v>0</v>
      </c>
      <c r="AD384" s="276"/>
    </row>
    <row r="385" spans="1:30" ht="15" customHeight="1">
      <c r="A385" s="556"/>
      <c r="B385" s="330" t="s">
        <v>668</v>
      </c>
      <c r="C385" s="302">
        <v>0</v>
      </c>
      <c r="D385" s="302">
        <v>0</v>
      </c>
      <c r="E385" s="302">
        <v>0</v>
      </c>
      <c r="F385" s="302">
        <v>0</v>
      </c>
      <c r="G385" s="302">
        <v>0</v>
      </c>
      <c r="H385" s="302">
        <v>0</v>
      </c>
      <c r="I385" s="302">
        <v>0</v>
      </c>
      <c r="J385" s="302">
        <v>0</v>
      </c>
      <c r="K385" s="302">
        <v>0</v>
      </c>
      <c r="L385" s="302">
        <v>0</v>
      </c>
      <c r="M385" s="302">
        <v>0</v>
      </c>
      <c r="N385" s="302">
        <v>0</v>
      </c>
      <c r="O385" s="302">
        <v>0</v>
      </c>
      <c r="P385" s="302">
        <v>0</v>
      </c>
      <c r="Q385" s="302">
        <v>0</v>
      </c>
      <c r="R385" s="295">
        <f t="shared" si="16"/>
        <v>0</v>
      </c>
      <c r="AD385" s="276"/>
    </row>
    <row r="386" spans="1:30" ht="15" customHeight="1">
      <c r="A386" s="556"/>
      <c r="B386" s="330" t="s">
        <v>669</v>
      </c>
      <c r="C386" s="302">
        <v>0</v>
      </c>
      <c r="D386" s="302">
        <v>0</v>
      </c>
      <c r="E386" s="302">
        <v>0</v>
      </c>
      <c r="F386" s="302">
        <v>0</v>
      </c>
      <c r="G386" s="302">
        <v>0</v>
      </c>
      <c r="H386" s="302">
        <v>0</v>
      </c>
      <c r="I386" s="302">
        <v>0</v>
      </c>
      <c r="J386" s="302">
        <v>0</v>
      </c>
      <c r="K386" s="302">
        <v>0</v>
      </c>
      <c r="L386" s="302">
        <v>0</v>
      </c>
      <c r="M386" s="302">
        <v>0</v>
      </c>
      <c r="N386" s="302">
        <v>0</v>
      </c>
      <c r="O386" s="302">
        <v>0</v>
      </c>
      <c r="P386" s="302">
        <v>0</v>
      </c>
      <c r="Q386" s="302">
        <v>0</v>
      </c>
      <c r="R386" s="295">
        <f t="shared" si="16"/>
        <v>0</v>
      </c>
      <c r="AD386" s="276"/>
    </row>
    <row r="387" spans="1:30" ht="15" customHeight="1">
      <c r="A387" s="556"/>
      <c r="B387" s="330" t="s">
        <v>670</v>
      </c>
      <c r="C387" s="302">
        <v>0</v>
      </c>
      <c r="D387" s="302">
        <v>0</v>
      </c>
      <c r="E387" s="302">
        <v>0</v>
      </c>
      <c r="F387" s="302">
        <v>0</v>
      </c>
      <c r="G387" s="302">
        <v>0</v>
      </c>
      <c r="H387" s="302">
        <v>0</v>
      </c>
      <c r="I387" s="302">
        <v>0</v>
      </c>
      <c r="J387" s="302">
        <v>0</v>
      </c>
      <c r="K387" s="302">
        <v>0</v>
      </c>
      <c r="L387" s="302">
        <v>0</v>
      </c>
      <c r="M387" s="302">
        <v>0</v>
      </c>
      <c r="N387" s="302">
        <v>0</v>
      </c>
      <c r="O387" s="302">
        <v>0</v>
      </c>
      <c r="P387" s="302">
        <v>0</v>
      </c>
      <c r="Q387" s="302">
        <v>0</v>
      </c>
      <c r="R387" s="295">
        <f t="shared" si="16"/>
        <v>0</v>
      </c>
      <c r="AD387" s="276"/>
    </row>
    <row r="388" spans="1:30" ht="15" customHeight="1">
      <c r="A388" s="556"/>
      <c r="B388" s="330" t="s">
        <v>671</v>
      </c>
      <c r="C388" s="302">
        <v>0</v>
      </c>
      <c r="D388" s="302">
        <v>0</v>
      </c>
      <c r="E388" s="302">
        <v>0</v>
      </c>
      <c r="F388" s="302">
        <v>0</v>
      </c>
      <c r="G388" s="302">
        <v>0</v>
      </c>
      <c r="H388" s="302">
        <v>0</v>
      </c>
      <c r="I388" s="302">
        <v>0</v>
      </c>
      <c r="J388" s="302">
        <v>0</v>
      </c>
      <c r="K388" s="302">
        <v>0</v>
      </c>
      <c r="L388" s="302">
        <v>0</v>
      </c>
      <c r="M388" s="302">
        <v>0</v>
      </c>
      <c r="N388" s="302">
        <v>0</v>
      </c>
      <c r="O388" s="302">
        <v>0</v>
      </c>
      <c r="P388" s="302">
        <v>0</v>
      </c>
      <c r="Q388" s="302">
        <v>0</v>
      </c>
      <c r="R388" s="295">
        <f t="shared" si="16"/>
        <v>0</v>
      </c>
      <c r="AD388" s="276"/>
    </row>
    <row r="389" spans="1:30" ht="15" customHeight="1">
      <c r="A389" s="556"/>
      <c r="B389" s="330" t="s">
        <v>672</v>
      </c>
      <c r="C389" s="302">
        <v>0</v>
      </c>
      <c r="D389" s="302">
        <v>0</v>
      </c>
      <c r="E389" s="302">
        <v>0</v>
      </c>
      <c r="F389" s="302">
        <v>0</v>
      </c>
      <c r="G389" s="302">
        <v>0</v>
      </c>
      <c r="H389" s="302">
        <v>0</v>
      </c>
      <c r="I389" s="302">
        <v>0</v>
      </c>
      <c r="J389" s="302">
        <v>0</v>
      </c>
      <c r="K389" s="302">
        <v>0</v>
      </c>
      <c r="L389" s="302">
        <v>0</v>
      </c>
      <c r="M389" s="302">
        <v>0</v>
      </c>
      <c r="N389" s="302">
        <v>0</v>
      </c>
      <c r="O389" s="302">
        <v>0</v>
      </c>
      <c r="P389" s="302">
        <v>0</v>
      </c>
      <c r="Q389" s="302">
        <v>0</v>
      </c>
      <c r="R389" s="295">
        <f t="shared" si="16"/>
        <v>0</v>
      </c>
      <c r="AD389" s="276"/>
    </row>
    <row r="390" spans="1:30" ht="15" customHeight="1">
      <c r="A390" s="556"/>
      <c r="B390" s="330" t="s">
        <v>673</v>
      </c>
      <c r="C390" s="302">
        <v>0</v>
      </c>
      <c r="D390" s="302">
        <v>0</v>
      </c>
      <c r="E390" s="302">
        <v>0</v>
      </c>
      <c r="F390" s="302">
        <v>0</v>
      </c>
      <c r="G390" s="302">
        <v>0</v>
      </c>
      <c r="H390" s="302">
        <v>0</v>
      </c>
      <c r="I390" s="302">
        <v>0</v>
      </c>
      <c r="J390" s="302">
        <v>0</v>
      </c>
      <c r="K390" s="302">
        <v>0</v>
      </c>
      <c r="L390" s="302">
        <v>0</v>
      </c>
      <c r="M390" s="302">
        <v>0</v>
      </c>
      <c r="N390" s="302">
        <v>0</v>
      </c>
      <c r="O390" s="302">
        <v>0</v>
      </c>
      <c r="P390" s="302">
        <v>0</v>
      </c>
      <c r="Q390" s="302">
        <v>0</v>
      </c>
      <c r="R390" s="295">
        <f t="shared" si="16"/>
        <v>0</v>
      </c>
      <c r="AD390" s="276"/>
    </row>
    <row r="391" spans="1:30" ht="15" customHeight="1">
      <c r="A391" s="556"/>
      <c r="B391" s="330" t="s">
        <v>674</v>
      </c>
      <c r="C391" s="302">
        <v>0</v>
      </c>
      <c r="D391" s="302">
        <v>0</v>
      </c>
      <c r="E391" s="302">
        <v>0</v>
      </c>
      <c r="F391" s="302">
        <v>0</v>
      </c>
      <c r="G391" s="302">
        <v>0</v>
      </c>
      <c r="H391" s="302">
        <v>0</v>
      </c>
      <c r="I391" s="302">
        <v>0</v>
      </c>
      <c r="J391" s="302">
        <v>0</v>
      </c>
      <c r="K391" s="302">
        <v>0</v>
      </c>
      <c r="L391" s="302">
        <v>0</v>
      </c>
      <c r="M391" s="302">
        <v>0</v>
      </c>
      <c r="N391" s="302">
        <v>0</v>
      </c>
      <c r="O391" s="302">
        <v>0</v>
      </c>
      <c r="P391" s="302">
        <v>0</v>
      </c>
      <c r="Q391" s="302">
        <v>0</v>
      </c>
      <c r="R391" s="295">
        <f t="shared" si="16"/>
        <v>0</v>
      </c>
      <c r="AD391" s="276"/>
    </row>
    <row r="392" spans="1:30" ht="15" customHeight="1">
      <c r="A392" s="556"/>
      <c r="B392" s="330" t="s">
        <v>675</v>
      </c>
      <c r="C392" s="302">
        <v>0</v>
      </c>
      <c r="D392" s="302">
        <v>0</v>
      </c>
      <c r="E392" s="302">
        <v>0</v>
      </c>
      <c r="F392" s="302">
        <v>0</v>
      </c>
      <c r="G392" s="302">
        <v>0</v>
      </c>
      <c r="H392" s="302">
        <v>0</v>
      </c>
      <c r="I392" s="302">
        <v>0</v>
      </c>
      <c r="J392" s="302">
        <v>0</v>
      </c>
      <c r="K392" s="302">
        <v>0</v>
      </c>
      <c r="L392" s="302">
        <v>0</v>
      </c>
      <c r="M392" s="302">
        <v>0</v>
      </c>
      <c r="N392" s="302">
        <v>0</v>
      </c>
      <c r="O392" s="302">
        <v>0</v>
      </c>
      <c r="P392" s="302">
        <v>0</v>
      </c>
      <c r="Q392" s="302">
        <v>0</v>
      </c>
      <c r="R392" s="295">
        <f t="shared" si="16"/>
        <v>0</v>
      </c>
      <c r="AD392" s="276"/>
    </row>
    <row r="393" spans="1:30" ht="15" customHeight="1">
      <c r="A393" s="556"/>
      <c r="B393" s="330" t="s">
        <v>676</v>
      </c>
      <c r="C393" s="302">
        <v>0</v>
      </c>
      <c r="D393" s="302">
        <v>0</v>
      </c>
      <c r="E393" s="302">
        <v>0</v>
      </c>
      <c r="F393" s="302">
        <v>0</v>
      </c>
      <c r="G393" s="302">
        <v>0</v>
      </c>
      <c r="H393" s="302">
        <v>0</v>
      </c>
      <c r="I393" s="302">
        <v>0</v>
      </c>
      <c r="J393" s="302">
        <v>0</v>
      </c>
      <c r="K393" s="302">
        <v>0</v>
      </c>
      <c r="L393" s="302">
        <v>0</v>
      </c>
      <c r="M393" s="302">
        <v>0</v>
      </c>
      <c r="N393" s="302">
        <v>0</v>
      </c>
      <c r="O393" s="302">
        <v>0</v>
      </c>
      <c r="P393" s="302">
        <v>0</v>
      </c>
      <c r="Q393" s="302">
        <v>0</v>
      </c>
      <c r="R393" s="295">
        <f t="shared" si="16"/>
        <v>0</v>
      </c>
      <c r="AD393" s="276"/>
    </row>
    <row r="394" spans="1:30" ht="15" customHeight="1">
      <c r="A394" s="556"/>
      <c r="B394" s="330" t="s">
        <v>677</v>
      </c>
      <c r="C394" s="302">
        <v>0</v>
      </c>
      <c r="D394" s="302">
        <v>0</v>
      </c>
      <c r="E394" s="302">
        <v>0</v>
      </c>
      <c r="F394" s="302">
        <v>0</v>
      </c>
      <c r="G394" s="302">
        <v>0</v>
      </c>
      <c r="H394" s="302">
        <v>0</v>
      </c>
      <c r="I394" s="302">
        <v>0</v>
      </c>
      <c r="J394" s="302">
        <v>0</v>
      </c>
      <c r="K394" s="302">
        <v>0</v>
      </c>
      <c r="L394" s="302">
        <v>0</v>
      </c>
      <c r="M394" s="302">
        <v>0</v>
      </c>
      <c r="N394" s="302">
        <v>0</v>
      </c>
      <c r="O394" s="302">
        <v>0</v>
      </c>
      <c r="P394" s="302">
        <v>0</v>
      </c>
      <c r="Q394" s="302">
        <v>0</v>
      </c>
      <c r="R394" s="295">
        <f t="shared" si="16"/>
        <v>0</v>
      </c>
      <c r="AD394" s="276"/>
    </row>
    <row r="395" spans="1:30" ht="15" customHeight="1">
      <c r="A395" s="556"/>
      <c r="B395" s="330" t="s">
        <v>678</v>
      </c>
      <c r="C395" s="302">
        <v>0</v>
      </c>
      <c r="D395" s="302">
        <v>0</v>
      </c>
      <c r="E395" s="302">
        <v>0</v>
      </c>
      <c r="F395" s="302">
        <v>0</v>
      </c>
      <c r="G395" s="302">
        <v>0</v>
      </c>
      <c r="H395" s="302">
        <v>0</v>
      </c>
      <c r="I395" s="302">
        <v>0</v>
      </c>
      <c r="J395" s="302">
        <v>0</v>
      </c>
      <c r="K395" s="302">
        <v>0</v>
      </c>
      <c r="L395" s="302">
        <v>0</v>
      </c>
      <c r="M395" s="302">
        <v>0</v>
      </c>
      <c r="N395" s="302">
        <v>0</v>
      </c>
      <c r="O395" s="302">
        <v>0</v>
      </c>
      <c r="P395" s="302">
        <v>0</v>
      </c>
      <c r="Q395" s="302">
        <v>0</v>
      </c>
      <c r="R395" s="295">
        <f t="shared" si="16"/>
        <v>0</v>
      </c>
      <c r="AD395" s="276"/>
    </row>
    <row r="396" spans="1:30" ht="15" customHeight="1">
      <c r="A396" s="556"/>
      <c r="B396" s="330" t="s">
        <v>679</v>
      </c>
      <c r="C396" s="302">
        <v>0</v>
      </c>
      <c r="D396" s="302">
        <v>0</v>
      </c>
      <c r="E396" s="302">
        <v>0</v>
      </c>
      <c r="F396" s="302">
        <v>0</v>
      </c>
      <c r="G396" s="302">
        <v>0</v>
      </c>
      <c r="H396" s="302">
        <v>0</v>
      </c>
      <c r="I396" s="302">
        <v>0</v>
      </c>
      <c r="J396" s="302">
        <v>0</v>
      </c>
      <c r="K396" s="302">
        <v>0</v>
      </c>
      <c r="L396" s="302">
        <v>0</v>
      </c>
      <c r="M396" s="302">
        <v>0</v>
      </c>
      <c r="N396" s="302">
        <v>0</v>
      </c>
      <c r="O396" s="302">
        <v>0</v>
      </c>
      <c r="P396" s="302">
        <v>0</v>
      </c>
      <c r="Q396" s="302">
        <v>0</v>
      </c>
      <c r="R396" s="295">
        <f t="shared" si="16"/>
        <v>0</v>
      </c>
      <c r="AD396" s="276"/>
    </row>
    <row r="397" spans="1:30" ht="15" customHeight="1">
      <c r="A397" s="556"/>
      <c r="B397" s="330" t="s">
        <v>680</v>
      </c>
      <c r="C397" s="302">
        <v>0</v>
      </c>
      <c r="D397" s="302">
        <v>0</v>
      </c>
      <c r="E397" s="302">
        <v>0</v>
      </c>
      <c r="F397" s="302">
        <v>0</v>
      </c>
      <c r="G397" s="302">
        <v>0</v>
      </c>
      <c r="H397" s="302">
        <v>0</v>
      </c>
      <c r="I397" s="302">
        <v>0</v>
      </c>
      <c r="J397" s="302">
        <v>0</v>
      </c>
      <c r="K397" s="302">
        <v>0</v>
      </c>
      <c r="L397" s="302">
        <v>0</v>
      </c>
      <c r="M397" s="302">
        <v>0</v>
      </c>
      <c r="N397" s="302">
        <v>0</v>
      </c>
      <c r="O397" s="302">
        <v>0</v>
      </c>
      <c r="P397" s="302">
        <v>0</v>
      </c>
      <c r="Q397" s="302">
        <v>0</v>
      </c>
      <c r="R397" s="295">
        <f t="shared" si="16"/>
        <v>0</v>
      </c>
      <c r="AD397" s="276"/>
    </row>
    <row r="398" spans="1:30" ht="15" customHeight="1">
      <c r="A398" s="556"/>
      <c r="B398" s="330" t="s">
        <v>681</v>
      </c>
      <c r="C398" s="302">
        <v>0</v>
      </c>
      <c r="D398" s="302">
        <v>0</v>
      </c>
      <c r="E398" s="302">
        <v>0</v>
      </c>
      <c r="F398" s="302">
        <v>0</v>
      </c>
      <c r="G398" s="302">
        <v>0</v>
      </c>
      <c r="H398" s="302">
        <v>0</v>
      </c>
      <c r="I398" s="302">
        <v>0</v>
      </c>
      <c r="J398" s="302">
        <v>0</v>
      </c>
      <c r="K398" s="302">
        <v>0</v>
      </c>
      <c r="L398" s="302">
        <v>0</v>
      </c>
      <c r="M398" s="302">
        <v>0</v>
      </c>
      <c r="N398" s="302">
        <v>0</v>
      </c>
      <c r="O398" s="302">
        <v>0</v>
      </c>
      <c r="P398" s="302">
        <v>0</v>
      </c>
      <c r="Q398" s="302">
        <v>0</v>
      </c>
      <c r="R398" s="295">
        <f t="shared" si="16"/>
        <v>0</v>
      </c>
      <c r="AD398" s="276"/>
    </row>
    <row r="399" spans="1:30" ht="15" customHeight="1">
      <c r="A399" s="556"/>
      <c r="B399" s="330" t="s">
        <v>944</v>
      </c>
      <c r="C399" s="302">
        <v>0</v>
      </c>
      <c r="D399" s="302">
        <v>0</v>
      </c>
      <c r="E399" s="302">
        <v>0</v>
      </c>
      <c r="F399" s="302">
        <v>0</v>
      </c>
      <c r="G399" s="302">
        <v>0</v>
      </c>
      <c r="H399" s="302">
        <v>0</v>
      </c>
      <c r="I399" s="302">
        <v>0</v>
      </c>
      <c r="J399" s="302">
        <v>0</v>
      </c>
      <c r="K399" s="302">
        <v>0</v>
      </c>
      <c r="L399" s="302">
        <v>0</v>
      </c>
      <c r="M399" s="302">
        <v>0</v>
      </c>
      <c r="N399" s="302">
        <v>0</v>
      </c>
      <c r="O399" s="302">
        <v>0</v>
      </c>
      <c r="P399" s="302">
        <v>0</v>
      </c>
      <c r="Q399" s="302">
        <v>0</v>
      </c>
      <c r="R399" s="295">
        <f t="shared" si="16"/>
        <v>0</v>
      </c>
      <c r="AD399" s="276"/>
    </row>
    <row r="400" spans="1:30" ht="15" customHeight="1">
      <c r="A400" s="556"/>
      <c r="B400" s="330" t="s">
        <v>945</v>
      </c>
      <c r="C400" s="302">
        <v>0</v>
      </c>
      <c r="D400" s="302">
        <v>0</v>
      </c>
      <c r="E400" s="302">
        <v>0</v>
      </c>
      <c r="F400" s="302">
        <v>0</v>
      </c>
      <c r="G400" s="302">
        <v>0</v>
      </c>
      <c r="H400" s="302">
        <v>0</v>
      </c>
      <c r="I400" s="302">
        <v>0</v>
      </c>
      <c r="J400" s="302">
        <v>0</v>
      </c>
      <c r="K400" s="302">
        <v>0</v>
      </c>
      <c r="L400" s="302">
        <v>0</v>
      </c>
      <c r="M400" s="302">
        <v>0</v>
      </c>
      <c r="N400" s="302">
        <v>0</v>
      </c>
      <c r="O400" s="302">
        <v>0</v>
      </c>
      <c r="P400" s="302">
        <v>0</v>
      </c>
      <c r="Q400" s="302">
        <v>0</v>
      </c>
      <c r="R400" s="295">
        <f t="shared" si="16"/>
        <v>0</v>
      </c>
      <c r="AD400" s="276"/>
    </row>
    <row r="401" spans="1:30" ht="15" customHeight="1">
      <c r="A401" s="556"/>
      <c r="B401" s="330" t="s">
        <v>946</v>
      </c>
      <c r="C401" s="302">
        <v>0</v>
      </c>
      <c r="D401" s="302">
        <v>0</v>
      </c>
      <c r="E401" s="302">
        <v>0</v>
      </c>
      <c r="F401" s="302">
        <v>0</v>
      </c>
      <c r="G401" s="302">
        <v>0</v>
      </c>
      <c r="H401" s="302">
        <v>0</v>
      </c>
      <c r="I401" s="302">
        <v>0</v>
      </c>
      <c r="J401" s="302">
        <v>0</v>
      </c>
      <c r="K401" s="302">
        <v>0</v>
      </c>
      <c r="L401" s="302">
        <v>0</v>
      </c>
      <c r="M401" s="302">
        <v>0</v>
      </c>
      <c r="N401" s="302">
        <v>0</v>
      </c>
      <c r="O401" s="302">
        <v>0</v>
      </c>
      <c r="P401" s="302">
        <v>0</v>
      </c>
      <c r="Q401" s="302">
        <v>0</v>
      </c>
      <c r="R401" s="295">
        <f t="shared" si="16"/>
        <v>0</v>
      </c>
      <c r="AD401" s="276"/>
    </row>
    <row r="402" spans="1:30" ht="15" customHeight="1" thickBot="1">
      <c r="A402" s="556"/>
      <c r="B402" s="330" t="s">
        <v>947</v>
      </c>
      <c r="C402" s="302">
        <v>0</v>
      </c>
      <c r="D402" s="302">
        <v>0</v>
      </c>
      <c r="E402" s="302">
        <v>0</v>
      </c>
      <c r="F402" s="302">
        <v>0</v>
      </c>
      <c r="G402" s="302">
        <v>0</v>
      </c>
      <c r="H402" s="302">
        <v>0</v>
      </c>
      <c r="I402" s="302">
        <v>0</v>
      </c>
      <c r="J402" s="302">
        <v>0</v>
      </c>
      <c r="K402" s="302">
        <v>0</v>
      </c>
      <c r="L402" s="302">
        <v>0</v>
      </c>
      <c r="M402" s="302">
        <v>0</v>
      </c>
      <c r="N402" s="302">
        <v>0</v>
      </c>
      <c r="O402" s="302">
        <v>0</v>
      </c>
      <c r="P402" s="302">
        <v>0</v>
      </c>
      <c r="Q402" s="302">
        <v>0</v>
      </c>
      <c r="R402" s="295">
        <f t="shared" si="16"/>
        <v>0</v>
      </c>
      <c r="AD402" s="276"/>
    </row>
    <row r="403" spans="1:30" ht="20.100000000000001" customHeight="1" thickBot="1">
      <c r="A403" s="558" t="s">
        <v>755</v>
      </c>
      <c r="B403" s="559"/>
      <c r="C403" s="296"/>
      <c r="D403" s="296"/>
      <c r="E403" s="296"/>
      <c r="F403" s="296"/>
      <c r="G403" s="296"/>
      <c r="H403" s="296"/>
      <c r="I403" s="296"/>
      <c r="J403" s="296"/>
      <c r="K403" s="296"/>
      <c r="L403" s="296"/>
      <c r="M403" s="296"/>
      <c r="N403" s="296"/>
      <c r="O403" s="296"/>
      <c r="P403" s="296"/>
      <c r="Q403" s="296"/>
      <c r="R403" s="560"/>
      <c r="AD403" s="276"/>
    </row>
    <row r="404" spans="1:30" ht="20.100000000000001" customHeight="1" thickBot="1">
      <c r="A404" s="558" t="s">
        <v>754</v>
      </c>
      <c r="B404" s="559"/>
      <c r="C404" s="296">
        <f t="shared" ref="C404:Q404" si="17">+AVERAGE(C362:C402)</f>
        <v>0</v>
      </c>
      <c r="D404" s="296">
        <f t="shared" si="17"/>
        <v>0</v>
      </c>
      <c r="E404" s="296">
        <f t="shared" si="17"/>
        <v>0</v>
      </c>
      <c r="F404" s="296">
        <f t="shared" si="17"/>
        <v>0</v>
      </c>
      <c r="G404" s="296">
        <f t="shared" si="17"/>
        <v>0</v>
      </c>
      <c r="H404" s="296">
        <f t="shared" si="17"/>
        <v>0</v>
      </c>
      <c r="I404" s="296">
        <f t="shared" si="17"/>
        <v>0</v>
      </c>
      <c r="J404" s="296">
        <f t="shared" si="17"/>
        <v>0</v>
      </c>
      <c r="K404" s="296">
        <f t="shared" si="17"/>
        <v>0</v>
      </c>
      <c r="L404" s="296">
        <f t="shared" si="17"/>
        <v>0</v>
      </c>
      <c r="M404" s="296">
        <f t="shared" si="17"/>
        <v>0</v>
      </c>
      <c r="N404" s="296">
        <f t="shared" si="17"/>
        <v>0</v>
      </c>
      <c r="O404" s="296">
        <f t="shared" si="17"/>
        <v>0</v>
      </c>
      <c r="P404" s="296">
        <f t="shared" si="17"/>
        <v>0</v>
      </c>
      <c r="Q404" s="296">
        <f t="shared" si="17"/>
        <v>0</v>
      </c>
      <c r="R404" s="561"/>
      <c r="AD404" s="276"/>
    </row>
    <row r="405" spans="1:30" ht="20.100000000000001" customHeight="1" thickBot="1">
      <c r="A405" s="558" t="s">
        <v>763</v>
      </c>
      <c r="B405" s="563"/>
      <c r="C405" s="516">
        <f>+AVERAGE(C404:Q404)</f>
        <v>0</v>
      </c>
      <c r="D405" s="517"/>
      <c r="E405" s="517"/>
      <c r="F405" s="517"/>
      <c r="G405" s="517"/>
      <c r="H405" s="517"/>
      <c r="I405" s="517"/>
      <c r="J405" s="517"/>
      <c r="K405" s="517"/>
      <c r="L405" s="517"/>
      <c r="M405" s="517"/>
      <c r="N405" s="517"/>
      <c r="O405" s="517"/>
      <c r="P405" s="517"/>
      <c r="Q405" s="517"/>
      <c r="R405" s="562"/>
      <c r="AD405" s="276"/>
    </row>
    <row r="406" spans="1:30" ht="20.100000000000001" customHeight="1">
      <c r="A406" s="309"/>
      <c r="B406" s="309"/>
      <c r="C406" s="310"/>
      <c r="D406" s="310"/>
      <c r="E406" s="310"/>
      <c r="F406" s="310"/>
      <c r="G406" s="310"/>
      <c r="H406" s="310"/>
      <c r="I406" s="310"/>
      <c r="J406" s="310"/>
      <c r="K406" s="310"/>
      <c r="L406" s="310"/>
      <c r="M406" s="310"/>
      <c r="N406" s="310"/>
      <c r="O406" s="310"/>
      <c r="P406" s="310"/>
      <c r="Q406" s="310"/>
      <c r="R406" s="311"/>
      <c r="AD406" s="276"/>
    </row>
    <row r="407" spans="1:30" ht="15" customHeight="1" thickBot="1">
      <c r="K407" s="276"/>
    </row>
    <row r="408" spans="1:30" ht="39" thickBot="1">
      <c r="B408" s="339" t="s">
        <v>39</v>
      </c>
      <c r="C408" s="339" t="str">
        <f t="shared" ref="C408:Q408" si="18">C6</f>
        <v>Huinchas tabiques</v>
      </c>
      <c r="D408" s="339" t="str">
        <f t="shared" si="18"/>
        <v>Instalación Marco Puerta Acceso</v>
      </c>
      <c r="E408" s="339" t="str">
        <f t="shared" si="18"/>
        <v>Marcos Puertas Interiores</v>
      </c>
      <c r="F408" s="339" t="str">
        <f t="shared" si="18"/>
        <v>Impermeabilizacion Baños</v>
      </c>
      <c r="G408" s="339" t="str">
        <f t="shared" si="18"/>
        <v>Impermeabilizacion Terrazas</v>
      </c>
      <c r="H408" s="339" t="str">
        <f t="shared" si="18"/>
        <v>Preparación de Pisos</v>
      </c>
      <c r="I408" s="339" t="str">
        <f t="shared" si="18"/>
        <v>Instalacion de tina/Receptaculo</v>
      </c>
      <c r="J408" s="339" t="str">
        <f t="shared" si="18"/>
        <v>Protección Tina/receptaculo</v>
      </c>
      <c r="K408" s="339" t="str">
        <f t="shared" si="18"/>
        <v>Faldon de tina.</v>
      </c>
      <c r="L408" s="339" t="str">
        <f t="shared" si="18"/>
        <v>Instalación Ventana</v>
      </c>
      <c r="M408" s="339" t="str">
        <f t="shared" si="18"/>
        <v>Ceramica Pisos</v>
      </c>
      <c r="N408" s="339" t="str">
        <f t="shared" si="18"/>
        <v>Ceramica Muros</v>
      </c>
      <c r="O408" s="339" t="str">
        <f t="shared" si="18"/>
        <v>Instalación de Gargolas en Terraza</v>
      </c>
      <c r="P408" s="339" t="str">
        <f t="shared" si="18"/>
        <v>Frague</v>
      </c>
      <c r="Q408" s="339" t="str">
        <f t="shared" si="18"/>
        <v>Cerámica de Terrazas</v>
      </c>
      <c r="R408" s="339" t="s">
        <v>13</v>
      </c>
    </row>
    <row r="409" spans="1:30" ht="20.25" customHeight="1">
      <c r="B409" s="280"/>
      <c r="C409" s="281"/>
      <c r="D409" s="281"/>
      <c r="E409" s="281"/>
      <c r="F409" s="281"/>
      <c r="G409" s="281"/>
      <c r="H409" s="281"/>
      <c r="I409" s="281"/>
      <c r="J409" s="281"/>
      <c r="K409" s="276"/>
    </row>
    <row r="410" spans="1:30" s="283" customFormat="1" ht="15" customHeight="1">
      <c r="B410" s="334" t="s">
        <v>548</v>
      </c>
      <c r="C410" s="282">
        <f>C32</f>
        <v>0.15</v>
      </c>
      <c r="D410" s="282">
        <f t="shared" ref="D410:Q410" si="19">D32</f>
        <v>8.3333333333333329E-2</v>
      </c>
      <c r="E410" s="282">
        <f t="shared" si="19"/>
        <v>8.3333333333333329E-2</v>
      </c>
      <c r="F410" s="282">
        <f t="shared" si="19"/>
        <v>0.3666666666666667</v>
      </c>
      <c r="G410" s="282">
        <f t="shared" si="19"/>
        <v>0.16666666666666666</v>
      </c>
      <c r="H410" s="282">
        <f t="shared" si="19"/>
        <v>0.34583333333333338</v>
      </c>
      <c r="I410" s="282">
        <f t="shared" si="19"/>
        <v>8.3333333333333329E-2</v>
      </c>
      <c r="J410" s="282">
        <f t="shared" si="19"/>
        <v>8.3333333333333329E-2</v>
      </c>
      <c r="K410" s="282">
        <f t="shared" si="19"/>
        <v>8.3333333333333329E-2</v>
      </c>
      <c r="L410" s="282">
        <f t="shared" si="19"/>
        <v>8.3333333333333329E-2</v>
      </c>
      <c r="M410" s="282">
        <f t="shared" si="19"/>
        <v>4.1666666666666664E-2</v>
      </c>
      <c r="N410" s="282">
        <f t="shared" si="19"/>
        <v>4.1666666666666664E-2</v>
      </c>
      <c r="O410" s="282">
        <f t="shared" si="19"/>
        <v>0</v>
      </c>
      <c r="P410" s="282">
        <f t="shared" si="19"/>
        <v>4.1666666666666664E-2</v>
      </c>
      <c r="Q410" s="282">
        <f t="shared" si="19"/>
        <v>0.125</v>
      </c>
      <c r="R410" s="303">
        <f t="shared" ref="R410:R418" si="20">AVERAGE(C410:Q410)</f>
        <v>0.1186111111111111</v>
      </c>
    </row>
    <row r="411" spans="1:30" ht="15" customHeight="1">
      <c r="B411" s="335" t="s">
        <v>14</v>
      </c>
      <c r="C411" s="284">
        <f>C78</f>
        <v>0</v>
      </c>
      <c r="D411" s="284">
        <f t="shared" ref="D411:Q411" si="21">D78</f>
        <v>0</v>
      </c>
      <c r="E411" s="284">
        <f t="shared" si="21"/>
        <v>0</v>
      </c>
      <c r="F411" s="284">
        <f t="shared" si="21"/>
        <v>0</v>
      </c>
      <c r="G411" s="284">
        <f t="shared" si="21"/>
        <v>0</v>
      </c>
      <c r="H411" s="284">
        <f t="shared" si="21"/>
        <v>0</v>
      </c>
      <c r="I411" s="284">
        <f t="shared" si="21"/>
        <v>0</v>
      </c>
      <c r="J411" s="284">
        <f t="shared" si="21"/>
        <v>0</v>
      </c>
      <c r="K411" s="284">
        <f t="shared" si="21"/>
        <v>0</v>
      </c>
      <c r="L411" s="284">
        <f t="shared" si="21"/>
        <v>0</v>
      </c>
      <c r="M411" s="284">
        <f t="shared" si="21"/>
        <v>0</v>
      </c>
      <c r="N411" s="284">
        <f t="shared" si="21"/>
        <v>0</v>
      </c>
      <c r="O411" s="284">
        <f t="shared" si="21"/>
        <v>0</v>
      </c>
      <c r="P411" s="284">
        <f t="shared" si="21"/>
        <v>0</v>
      </c>
      <c r="Q411" s="284">
        <f t="shared" si="21"/>
        <v>0</v>
      </c>
      <c r="R411" s="303">
        <f t="shared" si="20"/>
        <v>0</v>
      </c>
    </row>
    <row r="412" spans="1:30" ht="15" customHeight="1">
      <c r="B412" s="335" t="s">
        <v>15</v>
      </c>
      <c r="C412" s="284">
        <f>C125</f>
        <v>0</v>
      </c>
      <c r="D412" s="284">
        <f t="shared" ref="D412:Q412" si="22">D125</f>
        <v>0</v>
      </c>
      <c r="E412" s="284">
        <f t="shared" si="22"/>
        <v>0</v>
      </c>
      <c r="F412" s="284">
        <f t="shared" si="22"/>
        <v>0</v>
      </c>
      <c r="G412" s="284">
        <f t="shared" si="22"/>
        <v>0</v>
      </c>
      <c r="H412" s="284">
        <f t="shared" si="22"/>
        <v>0</v>
      </c>
      <c r="I412" s="284">
        <f t="shared" si="22"/>
        <v>0</v>
      </c>
      <c r="J412" s="284">
        <f t="shared" si="22"/>
        <v>0</v>
      </c>
      <c r="K412" s="284">
        <f t="shared" si="22"/>
        <v>0</v>
      </c>
      <c r="L412" s="284">
        <f t="shared" si="22"/>
        <v>0</v>
      </c>
      <c r="M412" s="284">
        <f t="shared" si="22"/>
        <v>0</v>
      </c>
      <c r="N412" s="284">
        <f t="shared" si="22"/>
        <v>0</v>
      </c>
      <c r="O412" s="284">
        <f t="shared" si="22"/>
        <v>0</v>
      </c>
      <c r="P412" s="284">
        <f t="shared" si="22"/>
        <v>0</v>
      </c>
      <c r="Q412" s="284">
        <f t="shared" si="22"/>
        <v>0</v>
      </c>
      <c r="R412" s="303">
        <f t="shared" si="20"/>
        <v>0</v>
      </c>
    </row>
    <row r="413" spans="1:30" ht="15" customHeight="1">
      <c r="B413" s="335" t="s">
        <v>16</v>
      </c>
      <c r="C413" s="284">
        <f>C172</f>
        <v>0</v>
      </c>
      <c r="D413" s="284">
        <f t="shared" ref="D413:Q413" si="23">D172</f>
        <v>0</v>
      </c>
      <c r="E413" s="284">
        <f t="shared" si="23"/>
        <v>0</v>
      </c>
      <c r="F413" s="284">
        <f t="shared" si="23"/>
        <v>0</v>
      </c>
      <c r="G413" s="284">
        <f t="shared" si="23"/>
        <v>0</v>
      </c>
      <c r="H413" s="284">
        <f t="shared" si="23"/>
        <v>0</v>
      </c>
      <c r="I413" s="284">
        <f t="shared" si="23"/>
        <v>0</v>
      </c>
      <c r="J413" s="284">
        <f t="shared" si="23"/>
        <v>0</v>
      </c>
      <c r="K413" s="284">
        <f t="shared" si="23"/>
        <v>0</v>
      </c>
      <c r="L413" s="284">
        <f t="shared" si="23"/>
        <v>0</v>
      </c>
      <c r="M413" s="284">
        <f t="shared" si="23"/>
        <v>0</v>
      </c>
      <c r="N413" s="284">
        <f t="shared" si="23"/>
        <v>0</v>
      </c>
      <c r="O413" s="284">
        <f t="shared" si="23"/>
        <v>0</v>
      </c>
      <c r="P413" s="284">
        <f t="shared" si="23"/>
        <v>0</v>
      </c>
      <c r="Q413" s="284">
        <f t="shared" si="23"/>
        <v>0</v>
      </c>
      <c r="R413" s="303">
        <f t="shared" si="20"/>
        <v>0</v>
      </c>
    </row>
    <row r="414" spans="1:30" ht="15" customHeight="1">
      <c r="B414" s="335" t="s">
        <v>17</v>
      </c>
      <c r="C414" s="284">
        <f>C219</f>
        <v>0</v>
      </c>
      <c r="D414" s="284">
        <f t="shared" ref="D414:Q414" si="24">D219</f>
        <v>0</v>
      </c>
      <c r="E414" s="284">
        <f t="shared" si="24"/>
        <v>0</v>
      </c>
      <c r="F414" s="284">
        <f t="shared" si="24"/>
        <v>0</v>
      </c>
      <c r="G414" s="284">
        <f t="shared" si="24"/>
        <v>0</v>
      </c>
      <c r="H414" s="284">
        <f t="shared" si="24"/>
        <v>0</v>
      </c>
      <c r="I414" s="284">
        <f t="shared" si="24"/>
        <v>0</v>
      </c>
      <c r="J414" s="284">
        <f t="shared" si="24"/>
        <v>0</v>
      </c>
      <c r="K414" s="284">
        <f t="shared" si="24"/>
        <v>0</v>
      </c>
      <c r="L414" s="284">
        <f t="shared" si="24"/>
        <v>0</v>
      </c>
      <c r="M414" s="284">
        <f t="shared" si="24"/>
        <v>0</v>
      </c>
      <c r="N414" s="284">
        <f t="shared" si="24"/>
        <v>0</v>
      </c>
      <c r="O414" s="284">
        <f t="shared" si="24"/>
        <v>0</v>
      </c>
      <c r="P414" s="284">
        <f t="shared" si="24"/>
        <v>0</v>
      </c>
      <c r="Q414" s="284">
        <f t="shared" si="24"/>
        <v>0</v>
      </c>
      <c r="R414" s="303">
        <f t="shared" si="20"/>
        <v>0</v>
      </c>
    </row>
    <row r="415" spans="1:30" ht="15" customHeight="1">
      <c r="B415" s="335" t="s">
        <v>18</v>
      </c>
      <c r="C415" s="284">
        <f>C266</f>
        <v>0</v>
      </c>
      <c r="D415" s="284">
        <f t="shared" ref="D415:Q415" si="25">D266</f>
        <v>0</v>
      </c>
      <c r="E415" s="284">
        <f t="shared" si="25"/>
        <v>0</v>
      </c>
      <c r="F415" s="284">
        <f t="shared" si="25"/>
        <v>0</v>
      </c>
      <c r="G415" s="284">
        <f t="shared" si="25"/>
        <v>0</v>
      </c>
      <c r="H415" s="284">
        <f t="shared" si="25"/>
        <v>0</v>
      </c>
      <c r="I415" s="284">
        <f t="shared" si="25"/>
        <v>0</v>
      </c>
      <c r="J415" s="284">
        <f t="shared" si="25"/>
        <v>0</v>
      </c>
      <c r="K415" s="284">
        <f t="shared" si="25"/>
        <v>0</v>
      </c>
      <c r="L415" s="284">
        <f t="shared" si="25"/>
        <v>0</v>
      </c>
      <c r="M415" s="284">
        <f t="shared" si="25"/>
        <v>0</v>
      </c>
      <c r="N415" s="284">
        <f t="shared" si="25"/>
        <v>0</v>
      </c>
      <c r="O415" s="284">
        <f t="shared" si="25"/>
        <v>0</v>
      </c>
      <c r="P415" s="284">
        <f t="shared" si="25"/>
        <v>0</v>
      </c>
      <c r="Q415" s="284">
        <f t="shared" si="25"/>
        <v>0</v>
      </c>
      <c r="R415" s="303">
        <f t="shared" si="20"/>
        <v>0</v>
      </c>
    </row>
    <row r="416" spans="1:30" ht="15" customHeight="1">
      <c r="B416" s="335" t="s">
        <v>19</v>
      </c>
      <c r="C416" s="284">
        <f>C313</f>
        <v>0</v>
      </c>
      <c r="D416" s="284">
        <f t="shared" ref="D416:Q416" si="26">D313</f>
        <v>0</v>
      </c>
      <c r="E416" s="284">
        <f t="shared" si="26"/>
        <v>0</v>
      </c>
      <c r="F416" s="284">
        <f t="shared" si="26"/>
        <v>0</v>
      </c>
      <c r="G416" s="284">
        <f t="shared" si="26"/>
        <v>0</v>
      </c>
      <c r="H416" s="284">
        <f t="shared" si="26"/>
        <v>0</v>
      </c>
      <c r="I416" s="284">
        <f t="shared" si="26"/>
        <v>0</v>
      </c>
      <c r="J416" s="284">
        <f t="shared" si="26"/>
        <v>0</v>
      </c>
      <c r="K416" s="284">
        <f t="shared" si="26"/>
        <v>0</v>
      </c>
      <c r="L416" s="284">
        <f t="shared" si="26"/>
        <v>0</v>
      </c>
      <c r="M416" s="284">
        <f t="shared" si="26"/>
        <v>0</v>
      </c>
      <c r="N416" s="284">
        <f t="shared" si="26"/>
        <v>0</v>
      </c>
      <c r="O416" s="284">
        <f t="shared" si="26"/>
        <v>0</v>
      </c>
      <c r="P416" s="284">
        <f t="shared" si="26"/>
        <v>0</v>
      </c>
      <c r="Q416" s="284">
        <f t="shared" si="26"/>
        <v>0</v>
      </c>
      <c r="R416" s="303">
        <f t="shared" si="20"/>
        <v>0</v>
      </c>
    </row>
    <row r="417" spans="2:18" ht="15" customHeight="1">
      <c r="B417" s="335" t="s">
        <v>20</v>
      </c>
      <c r="C417" s="284">
        <f>C360</f>
        <v>0</v>
      </c>
      <c r="D417" s="284">
        <f t="shared" ref="D417:Q417" si="27">D360</f>
        <v>0</v>
      </c>
      <c r="E417" s="284">
        <f t="shared" si="27"/>
        <v>0</v>
      </c>
      <c r="F417" s="284">
        <f t="shared" si="27"/>
        <v>0</v>
      </c>
      <c r="G417" s="284">
        <f t="shared" si="27"/>
        <v>0</v>
      </c>
      <c r="H417" s="284">
        <f t="shared" si="27"/>
        <v>0</v>
      </c>
      <c r="I417" s="284">
        <f t="shared" si="27"/>
        <v>0</v>
      </c>
      <c r="J417" s="284">
        <f t="shared" si="27"/>
        <v>0</v>
      </c>
      <c r="K417" s="284">
        <f t="shared" si="27"/>
        <v>0</v>
      </c>
      <c r="L417" s="284">
        <f t="shared" si="27"/>
        <v>0</v>
      </c>
      <c r="M417" s="284">
        <f t="shared" si="27"/>
        <v>0</v>
      </c>
      <c r="N417" s="284">
        <f t="shared" si="27"/>
        <v>0</v>
      </c>
      <c r="O417" s="284">
        <f t="shared" si="27"/>
        <v>0</v>
      </c>
      <c r="P417" s="284">
        <f t="shared" si="27"/>
        <v>0</v>
      </c>
      <c r="Q417" s="284">
        <f t="shared" si="27"/>
        <v>0</v>
      </c>
      <c r="R417" s="303">
        <f t="shared" si="20"/>
        <v>0</v>
      </c>
    </row>
    <row r="418" spans="2:18" ht="15" customHeight="1">
      <c r="B418" s="335" t="s">
        <v>21</v>
      </c>
      <c r="C418" s="337">
        <f>C404</f>
        <v>0</v>
      </c>
      <c r="D418" s="337">
        <f t="shared" ref="D418:Q418" si="28">D404</f>
        <v>0</v>
      </c>
      <c r="E418" s="337">
        <f t="shared" si="28"/>
        <v>0</v>
      </c>
      <c r="F418" s="337">
        <f t="shared" si="28"/>
        <v>0</v>
      </c>
      <c r="G418" s="337">
        <f t="shared" si="28"/>
        <v>0</v>
      </c>
      <c r="H418" s="337">
        <f t="shared" si="28"/>
        <v>0</v>
      </c>
      <c r="I418" s="337">
        <f t="shared" si="28"/>
        <v>0</v>
      </c>
      <c r="J418" s="337">
        <f t="shared" si="28"/>
        <v>0</v>
      </c>
      <c r="K418" s="337">
        <f t="shared" si="28"/>
        <v>0</v>
      </c>
      <c r="L418" s="337">
        <f t="shared" si="28"/>
        <v>0</v>
      </c>
      <c r="M418" s="337">
        <f t="shared" si="28"/>
        <v>0</v>
      </c>
      <c r="N418" s="337">
        <f t="shared" si="28"/>
        <v>0</v>
      </c>
      <c r="O418" s="337">
        <f t="shared" si="28"/>
        <v>0</v>
      </c>
      <c r="P418" s="337">
        <f t="shared" si="28"/>
        <v>0</v>
      </c>
      <c r="Q418" s="337">
        <f t="shared" si="28"/>
        <v>0</v>
      </c>
      <c r="R418" s="338">
        <f t="shared" si="20"/>
        <v>0</v>
      </c>
    </row>
    <row r="419" spans="2:18" ht="15" customHeight="1">
      <c r="B419" s="336" t="s">
        <v>970</v>
      </c>
      <c r="C419" s="310">
        <f>AVERAGE(C410:C418)</f>
        <v>1.6666666666666666E-2</v>
      </c>
      <c r="D419" s="310">
        <f t="shared" ref="D419:R419" si="29">AVERAGE(D410:D418)</f>
        <v>9.2592592592592587E-3</v>
      </c>
      <c r="E419" s="310">
        <f t="shared" si="29"/>
        <v>9.2592592592592587E-3</v>
      </c>
      <c r="F419" s="310">
        <f t="shared" si="29"/>
        <v>4.0740740740740744E-2</v>
      </c>
      <c r="G419" s="310">
        <f t="shared" si="29"/>
        <v>1.8518518518518517E-2</v>
      </c>
      <c r="H419" s="310">
        <f t="shared" si="29"/>
        <v>3.8425925925925933E-2</v>
      </c>
      <c r="I419" s="310">
        <f t="shared" si="29"/>
        <v>9.2592592592592587E-3</v>
      </c>
      <c r="J419" s="310">
        <f t="shared" si="29"/>
        <v>9.2592592592592587E-3</v>
      </c>
      <c r="K419" s="310">
        <f t="shared" si="29"/>
        <v>9.2592592592592587E-3</v>
      </c>
      <c r="L419" s="310">
        <f t="shared" si="29"/>
        <v>9.2592592592592587E-3</v>
      </c>
      <c r="M419" s="310">
        <f t="shared" si="29"/>
        <v>4.6296296296296294E-3</v>
      </c>
      <c r="N419" s="310">
        <f t="shared" si="29"/>
        <v>4.6296296296296294E-3</v>
      </c>
      <c r="O419" s="310">
        <f t="shared" si="29"/>
        <v>0</v>
      </c>
      <c r="P419" s="310">
        <f t="shared" si="29"/>
        <v>4.6296296296296294E-3</v>
      </c>
      <c r="Q419" s="310">
        <f t="shared" si="29"/>
        <v>1.3888888888888888E-2</v>
      </c>
      <c r="R419" s="310">
        <f t="shared" si="29"/>
        <v>1.317901234567901E-2</v>
      </c>
    </row>
    <row r="420" spans="2:18" ht="20.25" customHeight="1">
      <c r="K420" s="276"/>
      <c r="R420" s="286">
        <f>AVERAGE(R410:R418)</f>
        <v>1.317901234567901E-2</v>
      </c>
    </row>
    <row r="421" spans="2:18" ht="20.25" customHeight="1">
      <c r="K421" s="276"/>
    </row>
    <row r="422" spans="2:18" ht="20.25" customHeight="1">
      <c r="K422" s="276"/>
    </row>
    <row r="423" spans="2:18" ht="20.25" customHeight="1">
      <c r="K423" s="276"/>
    </row>
    <row r="424" spans="2:18" ht="20.25" customHeight="1">
      <c r="K424" s="276"/>
    </row>
    <row r="425" spans="2:18" ht="20.25" customHeight="1">
      <c r="K425" s="276"/>
    </row>
    <row r="426" spans="2:18" ht="20.25" customHeight="1">
      <c r="K426" s="276"/>
    </row>
    <row r="427" spans="2:18" ht="20.25" customHeight="1">
      <c r="K427" s="276"/>
    </row>
    <row r="428" spans="2:18" ht="20.25" customHeight="1">
      <c r="K428" s="276"/>
    </row>
    <row r="429" spans="2:18" ht="20.25" customHeight="1">
      <c r="K429" s="276"/>
    </row>
    <row r="430" spans="2:18" ht="20.25" customHeight="1">
      <c r="K430" s="276"/>
    </row>
    <row r="431" spans="2:18" ht="20.25" customHeight="1">
      <c r="K431" s="276"/>
    </row>
    <row r="432" spans="2:18" ht="20.25" customHeight="1">
      <c r="K432" s="276"/>
    </row>
    <row r="433" spans="11:11" ht="20.25" customHeight="1">
      <c r="K433" s="276"/>
    </row>
    <row r="434" spans="11:11" ht="20.25" customHeight="1">
      <c r="K434" s="276"/>
    </row>
    <row r="435" spans="11:11" ht="20.25" customHeight="1">
      <c r="K435" s="276"/>
    </row>
    <row r="436" spans="11:11" ht="20.25" customHeight="1">
      <c r="K436" s="276"/>
    </row>
    <row r="437" spans="11:11" ht="20.25" customHeight="1">
      <c r="K437" s="276"/>
    </row>
    <row r="438" spans="11:11" ht="20.25" customHeight="1">
      <c r="K438" s="276"/>
    </row>
    <row r="439" spans="11:11" ht="20.25" customHeight="1">
      <c r="K439" s="276"/>
    </row>
    <row r="440" spans="11:11" ht="20.25" customHeight="1">
      <c r="K440" s="276"/>
    </row>
    <row r="441" spans="11:11" ht="20.25" customHeight="1">
      <c r="K441" s="276"/>
    </row>
    <row r="442" spans="11:11" ht="20.25" customHeight="1">
      <c r="K442" s="276"/>
    </row>
    <row r="443" spans="11:11" ht="20.25" customHeight="1">
      <c r="K443" s="276"/>
    </row>
    <row r="444" spans="11:11" ht="20.25" customHeight="1">
      <c r="K444" s="276"/>
    </row>
    <row r="445" spans="11:11" ht="20.25" customHeight="1">
      <c r="K445" s="276"/>
    </row>
    <row r="446" spans="11:11" ht="20.25" customHeight="1">
      <c r="K446" s="276"/>
    </row>
    <row r="447" spans="11:11" ht="20.25" customHeight="1">
      <c r="K447" s="276"/>
    </row>
    <row r="448" spans="11:11" ht="20.25" customHeight="1">
      <c r="K448" s="276"/>
    </row>
    <row r="449" spans="11:11" ht="20.25" customHeight="1">
      <c r="K449" s="276"/>
    </row>
    <row r="450" spans="11:11" ht="20.25" customHeight="1">
      <c r="K450" s="276"/>
    </row>
    <row r="451" spans="11:11" ht="20.25" customHeight="1">
      <c r="K451" s="276"/>
    </row>
    <row r="452" spans="11:11" ht="20.25" customHeight="1">
      <c r="K452" s="276"/>
    </row>
    <row r="453" spans="11:11" ht="20.25" customHeight="1">
      <c r="K453" s="276"/>
    </row>
    <row r="454" spans="11:11" ht="20.25" customHeight="1"/>
    <row r="455" spans="11:11" ht="20.25" customHeight="1"/>
    <row r="456" spans="11:11" ht="20.25" customHeight="1"/>
    <row r="457" spans="11:11" ht="20.25" customHeight="1"/>
    <row r="458" spans="11:11" ht="20.25" customHeight="1"/>
    <row r="459" spans="11:11" ht="20.25" customHeight="1"/>
    <row r="460" spans="11:11" ht="20.25" customHeight="1"/>
    <row r="461" spans="11:11" ht="20.25" customHeight="1"/>
    <row r="462" spans="11:11" ht="20.25" customHeight="1"/>
    <row r="463" spans="11:11" ht="20.25" customHeight="1"/>
    <row r="464" spans="11:11" ht="20.25" customHeight="1"/>
    <row r="465" ht="20.25" customHeight="1"/>
    <row r="466" ht="20.25" customHeight="1"/>
    <row r="467" ht="20.25" customHeight="1"/>
    <row r="468" ht="20.25" customHeight="1"/>
    <row r="469" ht="20.25" customHeight="1"/>
    <row r="470" ht="20.25" customHeight="1"/>
    <row r="471" ht="20.25" customHeight="1"/>
    <row r="472" ht="20.25" customHeight="1"/>
    <row r="473" ht="20.25" customHeight="1"/>
    <row r="474" ht="20.25" customHeight="1"/>
    <row r="475" ht="20.25" customHeight="1"/>
    <row r="476" ht="20.25" customHeight="1"/>
    <row r="477" ht="20.25" customHeight="1"/>
    <row r="478" ht="20.25" customHeight="1"/>
    <row r="479" ht="20.25" customHeight="1"/>
    <row r="480" ht="20.25" customHeight="1"/>
    <row r="481" ht="20.25" customHeight="1"/>
    <row r="482" ht="20.25" customHeight="1"/>
    <row r="483" ht="20.25" customHeight="1"/>
    <row r="484" ht="20.25" customHeight="1"/>
    <row r="485" ht="20.25" customHeight="1"/>
    <row r="486" ht="20.25" customHeight="1"/>
    <row r="487" ht="20.25" customHeight="1"/>
    <row r="488" ht="20.25" customHeight="1"/>
    <row r="489" ht="20.25" customHeight="1"/>
    <row r="490" ht="20.25" customHeight="1"/>
    <row r="491" ht="20.25" customHeight="1"/>
    <row r="492" ht="20.25" customHeight="1"/>
    <row r="493" ht="20.25" customHeight="1"/>
    <row r="494" ht="20.25" customHeight="1"/>
    <row r="495" ht="20.25" customHeight="1"/>
    <row r="496" ht="20.25" customHeight="1"/>
    <row r="497" ht="20.25" customHeight="1"/>
    <row r="498" ht="20.25" customHeight="1"/>
    <row r="499" ht="20.25" customHeight="1"/>
    <row r="500" ht="20.25" customHeight="1"/>
    <row r="501" ht="20.25" customHeight="1"/>
    <row r="502" ht="20.25" customHeight="1"/>
    <row r="503" ht="20.25" customHeight="1"/>
    <row r="504" ht="20.25" customHeight="1"/>
    <row r="505" ht="20.25" customHeight="1"/>
    <row r="506" ht="20.25" customHeight="1"/>
    <row r="507" ht="20.25" customHeight="1"/>
    <row r="508" ht="20.25" customHeight="1"/>
    <row r="509" ht="20.25" customHeight="1"/>
    <row r="510" ht="20.25" customHeight="1"/>
    <row r="511" ht="20.25" customHeight="1"/>
    <row r="512" ht="20.25" customHeight="1"/>
    <row r="513" ht="20.25" customHeight="1"/>
    <row r="514" ht="20.25" customHeight="1"/>
    <row r="515" ht="20.25" customHeight="1"/>
    <row r="516" ht="20.25" customHeight="1"/>
    <row r="517" ht="20.25" customHeight="1"/>
    <row r="518" ht="20.25" customHeight="1"/>
    <row r="519" ht="20.25" customHeight="1"/>
    <row r="520" ht="20.25" customHeight="1"/>
    <row r="521" ht="20.25" customHeight="1"/>
    <row r="522" ht="20.25" customHeight="1"/>
    <row r="523" ht="20.25" customHeight="1"/>
    <row r="524" ht="20.25" customHeight="1"/>
    <row r="525" ht="20.25" customHeight="1"/>
    <row r="526" ht="20.25" customHeight="1"/>
    <row r="527" ht="20.25" customHeight="1"/>
    <row r="528" ht="20.25" customHeight="1"/>
    <row r="529" ht="20.25" customHeight="1"/>
    <row r="530" ht="20.25" customHeight="1"/>
    <row r="531" ht="20.25" customHeight="1"/>
    <row r="532" ht="20.25" customHeight="1"/>
    <row r="533" ht="20.25" customHeight="1"/>
    <row r="534" ht="20.25" customHeight="1"/>
    <row r="535" ht="20.25" customHeight="1"/>
    <row r="536" ht="20.25" customHeight="1"/>
    <row r="537" ht="20.25" customHeight="1"/>
    <row r="538" ht="20.25" customHeight="1"/>
    <row r="539" ht="20.25" customHeight="1"/>
  </sheetData>
  <mergeCells count="67">
    <mergeCell ref="A403:B403"/>
    <mergeCell ref="R403:R405"/>
    <mergeCell ref="A404:B404"/>
    <mergeCell ref="A405:B405"/>
    <mergeCell ref="C405:Q405"/>
    <mergeCell ref="R359:R361"/>
    <mergeCell ref="A360:B360"/>
    <mergeCell ref="A361:B361"/>
    <mergeCell ref="C361:Q361"/>
    <mergeCell ref="A338:A358"/>
    <mergeCell ref="R265:R267"/>
    <mergeCell ref="A266:B266"/>
    <mergeCell ref="A267:B267"/>
    <mergeCell ref="C267:Q267"/>
    <mergeCell ref="R312:R314"/>
    <mergeCell ref="A313:B313"/>
    <mergeCell ref="A314:B314"/>
    <mergeCell ref="C314:Q314"/>
    <mergeCell ref="A197:A217"/>
    <mergeCell ref="A218:B218"/>
    <mergeCell ref="A171:B171"/>
    <mergeCell ref="R218:R220"/>
    <mergeCell ref="A219:B219"/>
    <mergeCell ref="A220:B220"/>
    <mergeCell ref="C220:Q220"/>
    <mergeCell ref="R171:R173"/>
    <mergeCell ref="A172:B172"/>
    <mergeCell ref="A173:B173"/>
    <mergeCell ref="C173:Q173"/>
    <mergeCell ref="R124:R126"/>
    <mergeCell ref="A125:B125"/>
    <mergeCell ref="A126:B126"/>
    <mergeCell ref="C126:Q126"/>
    <mergeCell ref="R77:R79"/>
    <mergeCell ref="A78:B78"/>
    <mergeCell ref="A79:B79"/>
    <mergeCell ref="C79:Q79"/>
    <mergeCell ref="A80:A102"/>
    <mergeCell ref="A103:A123"/>
    <mergeCell ref="A124:B124"/>
    <mergeCell ref="R1:R2"/>
    <mergeCell ref="Q3:Q4"/>
    <mergeCell ref="R3:R4"/>
    <mergeCell ref="A7:A30"/>
    <mergeCell ref="C2:N4"/>
    <mergeCell ref="P3:P4"/>
    <mergeCell ref="A31:B31"/>
    <mergeCell ref="R31:R33"/>
    <mergeCell ref="A32:B32"/>
    <mergeCell ref="A33:B33"/>
    <mergeCell ref="C33:Q33"/>
    <mergeCell ref="A34:A55"/>
    <mergeCell ref="A56:A76"/>
    <mergeCell ref="A362:A381"/>
    <mergeCell ref="A382:A402"/>
    <mergeCell ref="A221:A243"/>
    <mergeCell ref="A244:A264"/>
    <mergeCell ref="A268:A290"/>
    <mergeCell ref="A291:A311"/>
    <mergeCell ref="A315:A337"/>
    <mergeCell ref="A265:B265"/>
    <mergeCell ref="A359:B359"/>
    <mergeCell ref="A312:B312"/>
    <mergeCell ref="A77:B77"/>
    <mergeCell ref="A127:A149"/>
    <mergeCell ref="A150:A170"/>
    <mergeCell ref="A174:A196"/>
  </mergeCells>
  <conditionalFormatting sqref="C7:Q30">
    <cfRule type="dataBar" priority="12">
      <dataBar>
        <cfvo type="min"/>
        <cfvo type="max"/>
        <color theme="5" tint="0.79998168889431442"/>
      </dataBar>
      <extLst>
        <ext xmlns:x14="http://schemas.microsoft.com/office/spreadsheetml/2009/9/main" uri="{B025F937-C7B1-47D3-B67F-A62EFF666E3E}">
          <x14:id>{B418458C-05BD-4A8D-8378-4D3A8297C77A}</x14:id>
        </ext>
      </extLst>
    </cfRule>
  </conditionalFormatting>
  <conditionalFormatting sqref="C32:Q33">
    <cfRule type="colorScale" priority="44">
      <colorScale>
        <cfvo type="min"/>
        <cfvo type="percentile" val="50"/>
        <cfvo type="max"/>
        <color rgb="FF63BE7B"/>
        <color rgb="FFFFEB84"/>
        <color rgb="FFF8696B"/>
      </colorScale>
    </cfRule>
  </conditionalFormatting>
  <conditionalFormatting sqref="C33:Q33">
    <cfRule type="colorScale" priority="45">
      <colorScale>
        <cfvo type="min"/>
        <cfvo type="percentile" val="50"/>
        <cfvo type="max"/>
        <color rgb="FF63BE7B"/>
        <color rgb="FFFFEB84"/>
        <color rgb="FFF8696B"/>
      </colorScale>
    </cfRule>
  </conditionalFormatting>
  <conditionalFormatting sqref="C34:Q76">
    <cfRule type="dataBar" priority="10">
      <dataBar>
        <cfvo type="min"/>
        <cfvo type="max"/>
        <color theme="5" tint="0.79998168889431442"/>
      </dataBar>
      <extLst>
        <ext xmlns:x14="http://schemas.microsoft.com/office/spreadsheetml/2009/9/main" uri="{B025F937-C7B1-47D3-B67F-A62EFF666E3E}">
          <x14:id>{2369A949-8645-492C-946B-0D8300156142}</x14:id>
        </ext>
      </extLst>
    </cfRule>
  </conditionalFormatting>
  <conditionalFormatting sqref="C78:Q79">
    <cfRule type="colorScale" priority="46">
      <colorScale>
        <cfvo type="min"/>
        <cfvo type="percentile" val="50"/>
        <cfvo type="max"/>
        <color rgb="FF63BE7B"/>
        <color rgb="FFFFEB84"/>
        <color rgb="FFF8696B"/>
      </colorScale>
    </cfRule>
  </conditionalFormatting>
  <conditionalFormatting sqref="C79:Q79">
    <cfRule type="colorScale" priority="47">
      <colorScale>
        <cfvo type="min"/>
        <cfvo type="percentile" val="50"/>
        <cfvo type="max"/>
        <color rgb="FF63BE7B"/>
        <color rgb="FFFFEB84"/>
        <color rgb="FFF8696B"/>
      </colorScale>
    </cfRule>
  </conditionalFormatting>
  <conditionalFormatting sqref="C80:Q123">
    <cfRule type="dataBar" priority="9">
      <dataBar>
        <cfvo type="min"/>
        <cfvo type="max"/>
        <color theme="5" tint="0.79998168889431442"/>
      </dataBar>
      <extLst>
        <ext xmlns:x14="http://schemas.microsoft.com/office/spreadsheetml/2009/9/main" uri="{B025F937-C7B1-47D3-B67F-A62EFF666E3E}">
          <x14:id>{A830C630-864E-4F94-966F-08B59E775908}</x14:id>
        </ext>
      </extLst>
    </cfRule>
  </conditionalFormatting>
  <conditionalFormatting sqref="C125:Q126">
    <cfRule type="colorScale" priority="48">
      <colorScale>
        <cfvo type="min"/>
        <cfvo type="percentile" val="50"/>
        <cfvo type="max"/>
        <color rgb="FF63BE7B"/>
        <color rgb="FFFFEB84"/>
        <color rgb="FFF8696B"/>
      </colorScale>
    </cfRule>
  </conditionalFormatting>
  <conditionalFormatting sqref="C126:Q126 C79:Q79 C33:Q33 C173:Q173 C220:Q220 C267:Q267 C314:Q314 C361:Q361 C405:Q406">
    <cfRule type="dataBar" priority="77">
      <dataBar>
        <cfvo type="num" val="0"/>
        <cfvo type="num" val="1"/>
        <color theme="5" tint="0.59999389629810485"/>
      </dataBar>
      <extLst>
        <ext xmlns:x14="http://schemas.microsoft.com/office/spreadsheetml/2009/9/main" uri="{B025F937-C7B1-47D3-B67F-A62EFF666E3E}">
          <x14:id>{4BFC3EE2-70BA-4A33-AC30-B0B526099C83}</x14:id>
        </ext>
      </extLst>
    </cfRule>
  </conditionalFormatting>
  <conditionalFormatting sqref="C126:Q126">
    <cfRule type="colorScale" priority="49">
      <colorScale>
        <cfvo type="min"/>
        <cfvo type="percentile" val="50"/>
        <cfvo type="max"/>
        <color rgb="FF63BE7B"/>
        <color rgb="FFFFEB84"/>
        <color rgb="FFF8696B"/>
      </colorScale>
    </cfRule>
  </conditionalFormatting>
  <conditionalFormatting sqref="C127:Q170">
    <cfRule type="dataBar" priority="8">
      <dataBar>
        <cfvo type="min"/>
        <cfvo type="max"/>
        <color theme="5" tint="0.79998168889431442"/>
      </dataBar>
      <extLst>
        <ext xmlns:x14="http://schemas.microsoft.com/office/spreadsheetml/2009/9/main" uri="{B025F937-C7B1-47D3-B67F-A62EFF666E3E}">
          <x14:id>{AF2FAA03-64BD-4D91-A0CD-CB7C6CB5B2AF}</x14:id>
        </ext>
      </extLst>
    </cfRule>
  </conditionalFormatting>
  <conditionalFormatting sqref="C172:Q173">
    <cfRule type="colorScale" priority="50">
      <colorScale>
        <cfvo type="min"/>
        <cfvo type="percentile" val="50"/>
        <cfvo type="max"/>
        <color rgb="FF63BE7B"/>
        <color rgb="FFFFEB84"/>
        <color rgb="FFF8696B"/>
      </colorScale>
    </cfRule>
  </conditionalFormatting>
  <conditionalFormatting sqref="C173:Q173">
    <cfRule type="colorScale" priority="51">
      <colorScale>
        <cfvo type="min"/>
        <cfvo type="percentile" val="50"/>
        <cfvo type="max"/>
        <color rgb="FF63BE7B"/>
        <color rgb="FFFFEB84"/>
        <color rgb="FFF8696B"/>
      </colorScale>
    </cfRule>
    <cfRule type="colorScale" priority="41">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onditionalFormatting>
  <conditionalFormatting sqref="C174:Q217">
    <cfRule type="dataBar" priority="7">
      <dataBar>
        <cfvo type="min"/>
        <cfvo type="max"/>
        <color theme="5" tint="0.79998168889431442"/>
      </dataBar>
      <extLst>
        <ext xmlns:x14="http://schemas.microsoft.com/office/spreadsheetml/2009/9/main" uri="{B025F937-C7B1-47D3-B67F-A62EFF666E3E}">
          <x14:id>{38EA994A-726E-4F4C-A887-7D2D7D982698}</x14:id>
        </ext>
      </extLst>
    </cfRule>
  </conditionalFormatting>
  <conditionalFormatting sqref="C219:Q220">
    <cfRule type="colorScale" priority="52">
      <colorScale>
        <cfvo type="min"/>
        <cfvo type="percentile" val="50"/>
        <cfvo type="max"/>
        <color rgb="FF63BE7B"/>
        <color rgb="FFFFEB84"/>
        <color rgb="FFF8696B"/>
      </colorScale>
    </cfRule>
  </conditionalFormatting>
  <conditionalFormatting sqref="C220:Q220">
    <cfRule type="colorScale" priority="53">
      <colorScale>
        <cfvo type="min"/>
        <cfvo type="percentile" val="50"/>
        <cfvo type="max"/>
        <color rgb="FF63BE7B"/>
        <color rgb="FFFFEB84"/>
        <color rgb="FFF8696B"/>
      </colorScale>
    </cfRule>
    <cfRule type="colorScale" priority="40">
      <colorScale>
        <cfvo type="min"/>
        <cfvo type="percentile" val="50"/>
        <cfvo type="max"/>
        <color rgb="FF63BE7B"/>
        <color rgb="FFFFEB84"/>
        <color rgb="FFF8696B"/>
      </colorScale>
    </cfRule>
    <cfRule type="colorScale" priority="39">
      <colorScale>
        <cfvo type="min"/>
        <cfvo type="percentile" val="50"/>
        <cfvo type="max"/>
        <color rgb="FF63BE7B"/>
        <color rgb="FFFFEB84"/>
        <color rgb="FFF8696B"/>
      </colorScale>
    </cfRule>
    <cfRule type="colorScale" priority="38">
      <colorScale>
        <cfvo type="min"/>
        <cfvo type="percentile" val="50"/>
        <cfvo type="max"/>
        <color rgb="FF63BE7B"/>
        <color rgb="FFFFEB84"/>
        <color rgb="FFF8696B"/>
      </colorScale>
    </cfRule>
    <cfRule type="colorScale" priority="37">
      <colorScale>
        <cfvo type="min"/>
        <cfvo type="percentile" val="50"/>
        <cfvo type="max"/>
        <color rgb="FF63BE7B"/>
        <color rgb="FFFFEB84"/>
        <color rgb="FFF8696B"/>
      </colorScale>
    </cfRule>
  </conditionalFormatting>
  <conditionalFormatting sqref="C221:Q264">
    <cfRule type="dataBar" priority="6">
      <dataBar>
        <cfvo type="min"/>
        <cfvo type="max"/>
        <color theme="5" tint="0.79998168889431442"/>
      </dataBar>
      <extLst>
        <ext xmlns:x14="http://schemas.microsoft.com/office/spreadsheetml/2009/9/main" uri="{B025F937-C7B1-47D3-B67F-A62EFF666E3E}">
          <x14:id>{CA90ADE7-8379-4539-A36D-A7EBAE738E6B}</x14:id>
        </ext>
      </extLst>
    </cfRule>
  </conditionalFormatting>
  <conditionalFormatting sqref="C266:Q267">
    <cfRule type="colorScale" priority="54">
      <colorScale>
        <cfvo type="min"/>
        <cfvo type="percentile" val="50"/>
        <cfvo type="max"/>
        <color rgb="FF63BE7B"/>
        <color rgb="FFFFEB84"/>
        <color rgb="FFF8696B"/>
      </colorScale>
    </cfRule>
  </conditionalFormatting>
  <conditionalFormatting sqref="C267:Q267">
    <cfRule type="colorScale" priority="34">
      <colorScale>
        <cfvo type="min"/>
        <cfvo type="percentile" val="50"/>
        <cfvo type="max"/>
        <color rgb="FF63BE7B"/>
        <color rgb="FFFFEB84"/>
        <color rgb="FFF8696B"/>
      </colorScale>
    </cfRule>
    <cfRule type="colorScale" priority="36">
      <colorScale>
        <cfvo type="min"/>
        <cfvo type="percentile" val="50"/>
        <cfvo type="max"/>
        <color rgb="FF63BE7B"/>
        <color rgb="FFFFEB84"/>
        <color rgb="FFF8696B"/>
      </colorScale>
    </cfRule>
    <cfRule type="colorScale" priority="35">
      <colorScale>
        <cfvo type="min"/>
        <cfvo type="percentile" val="50"/>
        <cfvo type="max"/>
        <color rgb="FF63BE7B"/>
        <color rgb="FFFFEB84"/>
        <color rgb="FFF8696B"/>
      </colorScale>
    </cfRule>
    <cfRule type="colorScale" priority="33">
      <colorScale>
        <cfvo type="min"/>
        <cfvo type="percentile" val="50"/>
        <cfvo type="max"/>
        <color rgb="FF63BE7B"/>
        <color rgb="FFFFEB84"/>
        <color rgb="FFF8696B"/>
      </colorScale>
    </cfRule>
    <cfRule type="colorScale" priority="55">
      <colorScale>
        <cfvo type="min"/>
        <cfvo type="percentile" val="50"/>
        <cfvo type="max"/>
        <color rgb="FF63BE7B"/>
        <color rgb="FFFFEB84"/>
        <color rgb="FFF8696B"/>
      </colorScale>
    </cfRule>
  </conditionalFormatting>
  <conditionalFormatting sqref="C268:Q311">
    <cfRule type="dataBar" priority="5">
      <dataBar>
        <cfvo type="min"/>
        <cfvo type="max"/>
        <color theme="5" tint="0.79998168889431442"/>
      </dataBar>
      <extLst>
        <ext xmlns:x14="http://schemas.microsoft.com/office/spreadsheetml/2009/9/main" uri="{B025F937-C7B1-47D3-B67F-A62EFF666E3E}">
          <x14:id>{34FD26C6-444E-4148-82BE-895BD0F5CB68}</x14:id>
        </ext>
      </extLst>
    </cfRule>
  </conditionalFormatting>
  <conditionalFormatting sqref="C313:Q314">
    <cfRule type="colorScale" priority="56">
      <colorScale>
        <cfvo type="min"/>
        <cfvo type="percentile" val="50"/>
        <cfvo type="max"/>
        <color rgb="FF63BE7B"/>
        <color rgb="FFFFEB84"/>
        <color rgb="FFF8696B"/>
      </colorScale>
    </cfRule>
  </conditionalFormatting>
  <conditionalFormatting sqref="C314:Q314">
    <cfRule type="colorScale" priority="29">
      <colorScale>
        <cfvo type="min"/>
        <cfvo type="percentile" val="50"/>
        <cfvo type="max"/>
        <color rgb="FF63BE7B"/>
        <color rgb="FFFFEB84"/>
        <color rgb="FFF8696B"/>
      </colorScale>
    </cfRule>
    <cfRule type="colorScale" priority="30">
      <colorScale>
        <cfvo type="min"/>
        <cfvo type="percentile" val="50"/>
        <cfvo type="max"/>
        <color rgb="FF63BE7B"/>
        <color rgb="FFFFEB84"/>
        <color rgb="FFF8696B"/>
      </colorScale>
    </cfRule>
    <cfRule type="colorScale" priority="31">
      <colorScale>
        <cfvo type="min"/>
        <cfvo type="percentile" val="50"/>
        <cfvo type="max"/>
        <color rgb="FF63BE7B"/>
        <color rgb="FFFFEB84"/>
        <color rgb="FFF8696B"/>
      </colorScale>
    </cfRule>
    <cfRule type="colorScale" priority="32">
      <colorScale>
        <cfvo type="min"/>
        <cfvo type="percentile" val="50"/>
        <cfvo type="max"/>
        <color rgb="FF63BE7B"/>
        <color rgb="FFFFEB84"/>
        <color rgb="FFF8696B"/>
      </colorScale>
    </cfRule>
    <cfRule type="colorScale" priority="57">
      <colorScale>
        <cfvo type="min"/>
        <cfvo type="percentile" val="50"/>
        <cfvo type="max"/>
        <color rgb="FF63BE7B"/>
        <color rgb="FFFFEB84"/>
        <color rgb="FFF8696B"/>
      </colorScale>
    </cfRule>
  </conditionalFormatting>
  <conditionalFormatting sqref="C315:Q358">
    <cfRule type="dataBar" priority="4">
      <dataBar>
        <cfvo type="min"/>
        <cfvo type="max"/>
        <color theme="5" tint="0.79998168889431442"/>
      </dataBar>
      <extLst>
        <ext xmlns:x14="http://schemas.microsoft.com/office/spreadsheetml/2009/9/main" uri="{B025F937-C7B1-47D3-B67F-A62EFF666E3E}">
          <x14:id>{42FCA6A6-40E2-4043-83C5-EDFA264EC0A8}</x14:id>
        </ext>
      </extLst>
    </cfRule>
  </conditionalFormatting>
  <conditionalFormatting sqref="C315:Q360 C268:Q313 C221:Q266 C174:Q219 C127:Q172 C126 C79 C33 C34:Q78 C80:Q125 C173 C220 C267 C314 C361 C405:C406 C362:Q404 C7:Q32">
    <cfRule type="iconSet" priority="735">
      <iconSet iconSet="3Symbols2">
        <cfvo type="percent" val="0"/>
        <cfvo type="percent" val="24" gte="0"/>
        <cfvo type="percent" val="76" gte="0"/>
      </iconSet>
    </cfRule>
  </conditionalFormatting>
  <conditionalFormatting sqref="C360:Q361">
    <cfRule type="colorScale" priority="58">
      <colorScale>
        <cfvo type="min"/>
        <cfvo type="percentile" val="50"/>
        <cfvo type="max"/>
        <color rgb="FF63BE7B"/>
        <color rgb="FFFFEB84"/>
        <color rgb="FFF8696B"/>
      </colorScale>
    </cfRule>
  </conditionalFormatting>
  <conditionalFormatting sqref="C361:Q361">
    <cfRule type="colorScale" priority="26">
      <colorScale>
        <cfvo type="min"/>
        <cfvo type="percentile" val="50"/>
        <cfvo type="max"/>
        <color rgb="FF63BE7B"/>
        <color rgb="FFFFEB84"/>
        <color rgb="FFF8696B"/>
      </colorScale>
    </cfRule>
    <cfRule type="colorScale" priority="28">
      <colorScale>
        <cfvo type="min"/>
        <cfvo type="percentile" val="50"/>
        <cfvo type="max"/>
        <color rgb="FF63BE7B"/>
        <color rgb="FFFFEB84"/>
        <color rgb="FFF8696B"/>
      </colorScale>
    </cfRule>
    <cfRule type="colorScale" priority="27">
      <colorScale>
        <cfvo type="min"/>
        <cfvo type="percentile" val="50"/>
        <cfvo type="max"/>
        <color rgb="FF63BE7B"/>
        <color rgb="FFFFEB84"/>
        <color rgb="FFF8696B"/>
      </colorScale>
    </cfRule>
    <cfRule type="colorScale" priority="25">
      <colorScale>
        <cfvo type="min"/>
        <cfvo type="percentile" val="50"/>
        <cfvo type="max"/>
        <color rgb="FF63BE7B"/>
        <color rgb="FFFFEB84"/>
        <color rgb="FFF8696B"/>
      </colorScale>
    </cfRule>
    <cfRule type="colorScale" priority="59">
      <colorScale>
        <cfvo type="min"/>
        <cfvo type="percentile" val="50"/>
        <cfvo type="max"/>
        <color rgb="FF63BE7B"/>
        <color rgb="FFFFEB84"/>
        <color rgb="FFF8696B"/>
      </colorScale>
    </cfRule>
  </conditionalFormatting>
  <conditionalFormatting sqref="C362:Q402">
    <cfRule type="dataBar" priority="3">
      <dataBar>
        <cfvo type="min"/>
        <cfvo type="max"/>
        <color theme="5" tint="0.79998168889431442"/>
      </dataBar>
      <extLst>
        <ext xmlns:x14="http://schemas.microsoft.com/office/spreadsheetml/2009/9/main" uri="{B025F937-C7B1-47D3-B67F-A62EFF666E3E}">
          <x14:id>{DED5DD54-43DA-4732-9238-20EA9745AD61}</x14:id>
        </ext>
      </extLst>
    </cfRule>
  </conditionalFormatting>
  <conditionalFormatting sqref="C404:Q405">
    <cfRule type="colorScale" priority="60">
      <colorScale>
        <cfvo type="min"/>
        <cfvo type="percentile" val="50"/>
        <cfvo type="max"/>
        <color rgb="FF63BE7B"/>
        <color rgb="FFFFEB84"/>
        <color rgb="FFF8696B"/>
      </colorScale>
    </cfRule>
  </conditionalFormatting>
  <conditionalFormatting sqref="C405:Q405">
    <cfRule type="colorScale" priority="22">
      <colorScale>
        <cfvo type="min"/>
        <cfvo type="percentile" val="50"/>
        <cfvo type="max"/>
        <color rgb="FF63BE7B"/>
        <color rgb="FFFFEB84"/>
        <color rgb="FFF8696B"/>
      </colorScale>
    </cfRule>
    <cfRule type="colorScale" priority="21">
      <colorScale>
        <cfvo type="min"/>
        <cfvo type="percentile" val="50"/>
        <cfvo type="max"/>
        <color rgb="FF63BE7B"/>
        <color rgb="FFFFEB84"/>
        <color rgb="FFF8696B"/>
      </colorScale>
    </cfRule>
    <cfRule type="colorScale" priority="24">
      <colorScale>
        <cfvo type="min"/>
        <cfvo type="percentile" val="50"/>
        <cfvo type="max"/>
        <color rgb="FF63BE7B"/>
        <color rgb="FFFFEB84"/>
        <color rgb="FFF8696B"/>
      </colorScale>
    </cfRule>
    <cfRule type="colorScale" priority="61">
      <colorScale>
        <cfvo type="min"/>
        <cfvo type="percentile" val="50"/>
        <cfvo type="max"/>
        <color rgb="FF63BE7B"/>
        <color rgb="FFFFEB84"/>
        <color rgb="FFF8696B"/>
      </colorScale>
    </cfRule>
    <cfRule type="colorScale" priority="23">
      <colorScale>
        <cfvo type="min"/>
        <cfvo type="percentile" val="50"/>
        <cfvo type="max"/>
        <color rgb="FF63BE7B"/>
        <color rgb="FFFFEB84"/>
        <color rgb="FFF8696B"/>
      </colorScale>
    </cfRule>
  </conditionalFormatting>
  <conditionalFormatting sqref="C410:R418">
    <cfRule type="cellIs" dxfId="145" priority="62" operator="equal">
      <formula>0</formula>
    </cfRule>
    <cfRule type="cellIs" dxfId="144" priority="63" operator="equal">
      <formula>100</formula>
    </cfRule>
    <cfRule type="cellIs" dxfId="143" priority="64" operator="between">
      <formula>50</formula>
      <formula>99</formula>
    </cfRule>
  </conditionalFormatting>
  <conditionalFormatting sqref="C419:R419">
    <cfRule type="iconSet" priority="20">
      <iconSet iconSet="3Symbols2">
        <cfvo type="percent" val="0"/>
        <cfvo type="percent" val="24" gte="0"/>
        <cfvo type="percent" val="76" gte="0"/>
      </iconSet>
    </cfRule>
    <cfRule type="cellIs" dxfId="142" priority="19" operator="between">
      <formula>1%</formula>
      <formula>0.2</formula>
    </cfRule>
    <cfRule type="cellIs" dxfId="141" priority="17" operator="between">
      <formula>51</formula>
      <formula>99</formula>
    </cfRule>
    <cfRule type="cellIs" dxfId="140" priority="16" operator="equal">
      <formula>0%</formula>
    </cfRule>
    <cfRule type="cellIs" dxfId="139" priority="15" operator="between">
      <formula>51%</formula>
      <formula>99%</formula>
    </cfRule>
    <cfRule type="cellIs" dxfId="138" priority="14" operator="equal">
      <formula>100%</formula>
    </cfRule>
    <cfRule type="colorScale" priority="13">
      <colorScale>
        <cfvo type="min"/>
        <cfvo type="percentile" val="50"/>
        <cfvo type="max"/>
        <color rgb="FF63BE7B"/>
        <color rgb="FFFFEB84"/>
        <color rgb="FFF8696B"/>
      </colorScale>
    </cfRule>
    <cfRule type="cellIs" dxfId="137" priority="18" operator="equal">
      <formula>0</formula>
    </cfRule>
  </conditionalFormatting>
  <conditionalFormatting sqref="R3:R4">
    <cfRule type="colorScale" priority="2">
      <colorScale>
        <cfvo type="min"/>
        <cfvo type="percentile" val="50"/>
        <cfvo type="max"/>
        <color rgb="FF63BE7B"/>
        <color rgb="FFFFEB84"/>
        <color rgb="FFF8696B"/>
      </colorScale>
    </cfRule>
  </conditionalFormatting>
  <conditionalFormatting sqref="R7:R405">
    <cfRule type="colorScale" priority="1">
      <colorScale>
        <cfvo type="min"/>
        <cfvo type="percentile" val="50"/>
        <cfvo type="max"/>
        <color rgb="FF63BE7B"/>
        <color rgb="FFFFEB84"/>
        <color rgb="FFF8696B"/>
      </colorScale>
    </cfRule>
  </conditionalFormatting>
  <printOptions horizontalCentered="1"/>
  <pageMargins left="0" right="0" top="0" bottom="0" header="0" footer="0"/>
  <pageSetup paperSize="8" scale="42" fitToHeight="0" orientation="landscape" r:id="rId1"/>
  <headerFooter>
    <oddFooter>&amp;LProgramacion y Control&amp;Cleo.cg_10@yahoo.es&amp;RFecha:19-12-2013</oddFooter>
  </headerFooter>
  <colBreaks count="1" manualBreakCount="1">
    <brk id="11" max="420" man="1"/>
  </colBreaks>
  <drawing r:id="rId2"/>
  <extLst>
    <ext xmlns:x14="http://schemas.microsoft.com/office/spreadsheetml/2009/9/main" uri="{78C0D931-6437-407d-A8EE-F0AAD7539E65}">
      <x14:conditionalFormattings>
        <x14:conditionalFormatting xmlns:xm="http://schemas.microsoft.com/office/excel/2006/main">
          <x14:cfRule type="dataBar" id="{B418458C-05BD-4A8D-8378-4D3A8297C77A}">
            <x14:dataBar minLength="0" maxLength="100" gradient="0">
              <x14:cfvo type="autoMin"/>
              <x14:cfvo type="autoMax"/>
              <x14:negativeFillColor rgb="FFFF0000"/>
              <x14:axisColor rgb="FF000000"/>
            </x14:dataBar>
          </x14:cfRule>
          <xm:sqref>C7:Q30</xm:sqref>
        </x14:conditionalFormatting>
        <x14:conditionalFormatting xmlns:xm="http://schemas.microsoft.com/office/excel/2006/main">
          <x14:cfRule type="dataBar" id="{2369A949-8645-492C-946B-0D8300156142}">
            <x14:dataBar minLength="0" maxLength="100" gradient="0">
              <x14:cfvo type="autoMin"/>
              <x14:cfvo type="autoMax"/>
              <x14:negativeFillColor rgb="FFFF0000"/>
              <x14:axisColor rgb="FF000000"/>
            </x14:dataBar>
          </x14:cfRule>
          <xm:sqref>C34:Q76</xm:sqref>
        </x14:conditionalFormatting>
        <x14:conditionalFormatting xmlns:xm="http://schemas.microsoft.com/office/excel/2006/main">
          <x14:cfRule type="dataBar" id="{A830C630-864E-4F94-966F-08B59E775908}">
            <x14:dataBar minLength="0" maxLength="100" gradient="0">
              <x14:cfvo type="autoMin"/>
              <x14:cfvo type="autoMax"/>
              <x14:negativeFillColor rgb="FFFF0000"/>
              <x14:axisColor rgb="FF000000"/>
            </x14:dataBar>
          </x14:cfRule>
          <xm:sqref>C80:Q123</xm:sqref>
        </x14:conditionalFormatting>
        <x14:conditionalFormatting xmlns:xm="http://schemas.microsoft.com/office/excel/2006/main">
          <x14:cfRule type="dataBar" id="{4BFC3EE2-70BA-4A33-AC30-B0B526099C83}">
            <x14:dataBar minLength="0" maxLength="100" gradient="0">
              <x14:cfvo type="num">
                <xm:f>0</xm:f>
              </x14:cfvo>
              <x14:cfvo type="num">
                <xm:f>1</xm:f>
              </x14:cfvo>
              <x14:negativeFillColor rgb="FFFF0000"/>
              <x14:axisColor rgb="FF000000"/>
            </x14:dataBar>
          </x14:cfRule>
          <xm:sqref>C126:Q126 C79:Q79 C33:Q33 C173:Q173 C220:Q220 C267:Q267 C314:Q314 C361:Q361 C405:Q406</xm:sqref>
        </x14:conditionalFormatting>
        <x14:conditionalFormatting xmlns:xm="http://schemas.microsoft.com/office/excel/2006/main">
          <x14:cfRule type="dataBar" id="{AF2FAA03-64BD-4D91-A0CD-CB7C6CB5B2AF}">
            <x14:dataBar minLength="0" maxLength="100" gradient="0">
              <x14:cfvo type="autoMin"/>
              <x14:cfvo type="autoMax"/>
              <x14:negativeFillColor rgb="FFFF0000"/>
              <x14:axisColor rgb="FF000000"/>
            </x14:dataBar>
          </x14:cfRule>
          <xm:sqref>C127:Q170</xm:sqref>
        </x14:conditionalFormatting>
        <x14:conditionalFormatting xmlns:xm="http://schemas.microsoft.com/office/excel/2006/main">
          <x14:cfRule type="dataBar" id="{38EA994A-726E-4F4C-A887-7D2D7D982698}">
            <x14:dataBar minLength="0" maxLength="100" gradient="0">
              <x14:cfvo type="autoMin"/>
              <x14:cfvo type="autoMax"/>
              <x14:negativeFillColor rgb="FFFF0000"/>
              <x14:axisColor rgb="FF000000"/>
            </x14:dataBar>
          </x14:cfRule>
          <xm:sqref>C174:Q217</xm:sqref>
        </x14:conditionalFormatting>
        <x14:conditionalFormatting xmlns:xm="http://schemas.microsoft.com/office/excel/2006/main">
          <x14:cfRule type="dataBar" id="{CA90ADE7-8379-4539-A36D-A7EBAE738E6B}">
            <x14:dataBar minLength="0" maxLength="100" gradient="0">
              <x14:cfvo type="autoMin"/>
              <x14:cfvo type="autoMax"/>
              <x14:negativeFillColor rgb="FFFF0000"/>
              <x14:axisColor rgb="FF000000"/>
            </x14:dataBar>
          </x14:cfRule>
          <xm:sqref>C221:Q264</xm:sqref>
        </x14:conditionalFormatting>
        <x14:conditionalFormatting xmlns:xm="http://schemas.microsoft.com/office/excel/2006/main">
          <x14:cfRule type="dataBar" id="{34FD26C6-444E-4148-82BE-895BD0F5CB68}">
            <x14:dataBar minLength="0" maxLength="100" gradient="0">
              <x14:cfvo type="autoMin"/>
              <x14:cfvo type="autoMax"/>
              <x14:negativeFillColor rgb="FFFF0000"/>
              <x14:axisColor rgb="FF000000"/>
            </x14:dataBar>
          </x14:cfRule>
          <xm:sqref>C268:Q311</xm:sqref>
        </x14:conditionalFormatting>
        <x14:conditionalFormatting xmlns:xm="http://schemas.microsoft.com/office/excel/2006/main">
          <x14:cfRule type="dataBar" id="{42FCA6A6-40E2-4043-83C5-EDFA264EC0A8}">
            <x14:dataBar minLength="0" maxLength="100" gradient="0">
              <x14:cfvo type="autoMin"/>
              <x14:cfvo type="autoMax"/>
              <x14:negativeFillColor rgb="FFFF0000"/>
              <x14:axisColor rgb="FF000000"/>
            </x14:dataBar>
          </x14:cfRule>
          <xm:sqref>C315:Q358</xm:sqref>
        </x14:conditionalFormatting>
        <x14:conditionalFormatting xmlns:xm="http://schemas.microsoft.com/office/excel/2006/main">
          <x14:cfRule type="dataBar" id="{DED5DD54-43DA-4732-9238-20EA9745AD61}">
            <x14:dataBar minLength="0" maxLength="100" gradient="0">
              <x14:cfvo type="autoMin"/>
              <x14:cfvo type="autoMax"/>
              <x14:negativeFillColor rgb="FFFF0000"/>
              <x14:axisColor rgb="FF000000"/>
            </x14:dataBar>
          </x14:cfRule>
          <xm:sqref>C362:Q402</xm:sqref>
        </x14:conditionalFormatting>
      </x14:conditionalFormattings>
    </ext>
    <ext xmlns:x14="http://schemas.microsoft.com/office/spreadsheetml/2009/9/main" uri="{05C60535-1F16-4fd2-B633-F4F36F0B64E0}">
      <x14:sparklineGroups xmlns:xm="http://schemas.microsoft.com/office/excel/2006/main">
        <x14:sparklineGroup manualMax="1" manualMin="0" type="column" displayEmptyCellsAs="gap" high="1" low="1" first="1" last="1" negative="1" minAxisType="custom" maxAxisType="custom" xr2:uid="{70B940EF-C9AC-4662-BFF8-912947C52812}">
          <x14:colorSeries theme="3" tint="0.39997558519241921"/>
          <x14:colorNegative rgb="FFD00000"/>
          <x14:colorAxis rgb="FF000000"/>
          <x14:colorMarkers rgb="FFD00000"/>
          <x14:colorFirst rgb="FFD00000"/>
          <x14:colorLast rgb="FFD00000"/>
          <x14:colorHigh rgb="FF00FF00"/>
          <x14:colorLow rgb="FF0070C0"/>
          <x14:sparklines>
            <x14:sparkline>
              <xm:f>'FASE 2  '!C404:C404</xm:f>
              <xm:sqref>C403</xm:sqref>
            </x14:sparkline>
            <x14:sparkline>
              <xm:f>'FASE 2  '!D404:D404</xm:f>
              <xm:sqref>D403</xm:sqref>
            </x14:sparkline>
            <x14:sparkline>
              <xm:f>'FASE 2  '!E404:E404</xm:f>
              <xm:sqref>E403</xm:sqref>
            </x14:sparkline>
            <x14:sparkline>
              <xm:f>'FASE 2  '!F404:F404</xm:f>
              <xm:sqref>F403</xm:sqref>
            </x14:sparkline>
            <x14:sparkline>
              <xm:f>'FASE 2  '!G404:G404</xm:f>
              <xm:sqref>G403</xm:sqref>
            </x14:sparkline>
            <x14:sparkline>
              <xm:f>'FASE 2  '!H404:H404</xm:f>
              <xm:sqref>H403</xm:sqref>
            </x14:sparkline>
            <x14:sparkline>
              <xm:f>'FASE 2  '!I404:I404</xm:f>
              <xm:sqref>I403</xm:sqref>
            </x14:sparkline>
            <x14:sparkline>
              <xm:f>'FASE 2  '!J404:J404</xm:f>
              <xm:sqref>J403</xm:sqref>
            </x14:sparkline>
            <x14:sparkline>
              <xm:f>'FASE 2  '!K404:K404</xm:f>
              <xm:sqref>K403</xm:sqref>
            </x14:sparkline>
            <x14:sparkline>
              <xm:f>'FASE 2  '!L404:L404</xm:f>
              <xm:sqref>L403</xm:sqref>
            </x14:sparkline>
            <x14:sparkline>
              <xm:f>'FASE 2  '!M404:M404</xm:f>
              <xm:sqref>M403</xm:sqref>
            </x14:sparkline>
            <x14:sparkline>
              <xm:f>'FASE 2  '!N404:N404</xm:f>
              <xm:sqref>N403</xm:sqref>
            </x14:sparkline>
            <x14:sparkline>
              <xm:f>'FASE 2  '!O404:O404</xm:f>
              <xm:sqref>O403</xm:sqref>
            </x14:sparkline>
            <x14:sparkline>
              <xm:f>'FASE 2  '!P404:P404</xm:f>
              <xm:sqref>P403</xm:sqref>
            </x14:sparkline>
            <x14:sparkline>
              <xm:f>'FASE 2  '!Q404:Q404</xm:f>
              <xm:sqref>Q403</xm:sqref>
            </x14:sparkline>
          </x14:sparklines>
        </x14:sparklineGroup>
        <x14:sparklineGroup manualMax="1" manualMin="0" type="column" displayEmptyCellsAs="gap" high="1" low="1" first="1" last="1" negative="1" minAxisType="custom" maxAxisType="custom" xr2:uid="{56250278-FA8B-4B64-9D90-E40919DD859E}">
          <x14:colorSeries theme="3" tint="0.39997558519241921"/>
          <x14:colorNegative rgb="FFD00000"/>
          <x14:colorAxis rgb="FF000000"/>
          <x14:colorMarkers rgb="FFD00000"/>
          <x14:colorFirst rgb="FFD00000"/>
          <x14:colorLast rgb="FFD00000"/>
          <x14:colorHigh rgb="FF00FF00"/>
          <x14:colorLow rgb="FF0070C0"/>
          <x14:sparklines>
            <x14:sparkline>
              <xm:f>'FASE 2  '!C360:C360</xm:f>
              <xm:sqref>C359</xm:sqref>
            </x14:sparkline>
            <x14:sparkline>
              <xm:f>'FASE 2  '!D360:D360</xm:f>
              <xm:sqref>D359</xm:sqref>
            </x14:sparkline>
            <x14:sparkline>
              <xm:f>'FASE 2  '!E360:E360</xm:f>
              <xm:sqref>E359</xm:sqref>
            </x14:sparkline>
            <x14:sparkline>
              <xm:f>'FASE 2  '!F360:F360</xm:f>
              <xm:sqref>F359</xm:sqref>
            </x14:sparkline>
            <x14:sparkline>
              <xm:f>'FASE 2  '!G360:G360</xm:f>
              <xm:sqref>G359</xm:sqref>
            </x14:sparkline>
            <x14:sparkline>
              <xm:f>'FASE 2  '!H360:H360</xm:f>
              <xm:sqref>H359</xm:sqref>
            </x14:sparkline>
            <x14:sparkline>
              <xm:f>'FASE 2  '!I360:I360</xm:f>
              <xm:sqref>I359</xm:sqref>
            </x14:sparkline>
            <x14:sparkline>
              <xm:f>'FASE 2  '!J360:J360</xm:f>
              <xm:sqref>J359</xm:sqref>
            </x14:sparkline>
            <x14:sparkline>
              <xm:f>'FASE 2  '!K360:K360</xm:f>
              <xm:sqref>K359</xm:sqref>
            </x14:sparkline>
            <x14:sparkline>
              <xm:f>'FASE 2  '!L360:L360</xm:f>
              <xm:sqref>L359</xm:sqref>
            </x14:sparkline>
            <x14:sparkline>
              <xm:f>'FASE 2  '!M360:M360</xm:f>
              <xm:sqref>M359</xm:sqref>
            </x14:sparkline>
            <x14:sparkline>
              <xm:f>'FASE 2  '!N360:N360</xm:f>
              <xm:sqref>N359</xm:sqref>
            </x14:sparkline>
            <x14:sparkline>
              <xm:f>'FASE 2  '!O360:O360</xm:f>
              <xm:sqref>O359</xm:sqref>
            </x14:sparkline>
            <x14:sparkline>
              <xm:f>'FASE 2  '!P360:P360</xm:f>
              <xm:sqref>P359</xm:sqref>
            </x14:sparkline>
            <x14:sparkline>
              <xm:f>'FASE 2  '!Q360:Q360</xm:f>
              <xm:sqref>Q359</xm:sqref>
            </x14:sparkline>
          </x14:sparklines>
        </x14:sparklineGroup>
        <x14:sparklineGroup manualMax="1" manualMin="0" type="column" displayEmptyCellsAs="gap" high="1" low="1" first="1" last="1" negative="1" minAxisType="custom" maxAxisType="custom" xr2:uid="{D6419EFF-4064-4FE9-AD10-BBEEFD25A201}">
          <x14:colorSeries theme="3" tint="0.39997558519241921"/>
          <x14:colorNegative rgb="FFD00000"/>
          <x14:colorAxis rgb="FF000000"/>
          <x14:colorMarkers rgb="FFD00000"/>
          <x14:colorFirst rgb="FFD00000"/>
          <x14:colorLast rgb="FFD00000"/>
          <x14:colorHigh rgb="FF00FF00"/>
          <x14:colorLow rgb="FF0070C0"/>
          <x14:sparklines>
            <x14:sparkline>
              <xm:f>'FASE 2  '!C313:C313</xm:f>
              <xm:sqref>C312</xm:sqref>
            </x14:sparkline>
            <x14:sparkline>
              <xm:f>'FASE 2  '!D313:D313</xm:f>
              <xm:sqref>D312</xm:sqref>
            </x14:sparkline>
            <x14:sparkline>
              <xm:f>'FASE 2  '!E313:E313</xm:f>
              <xm:sqref>E312</xm:sqref>
            </x14:sparkline>
            <x14:sparkline>
              <xm:f>'FASE 2  '!F313:F313</xm:f>
              <xm:sqref>F312</xm:sqref>
            </x14:sparkline>
            <x14:sparkline>
              <xm:f>'FASE 2  '!G313:G313</xm:f>
              <xm:sqref>G312</xm:sqref>
            </x14:sparkline>
            <x14:sparkline>
              <xm:f>'FASE 2  '!H313:H313</xm:f>
              <xm:sqref>H312</xm:sqref>
            </x14:sparkline>
            <x14:sparkline>
              <xm:f>'FASE 2  '!I313:I313</xm:f>
              <xm:sqref>I312</xm:sqref>
            </x14:sparkline>
            <x14:sparkline>
              <xm:f>'FASE 2  '!J313:J313</xm:f>
              <xm:sqref>J312</xm:sqref>
            </x14:sparkline>
            <x14:sparkline>
              <xm:f>'FASE 2  '!K313:K313</xm:f>
              <xm:sqref>K312</xm:sqref>
            </x14:sparkline>
            <x14:sparkline>
              <xm:f>'FASE 2  '!L313:L313</xm:f>
              <xm:sqref>L312</xm:sqref>
            </x14:sparkline>
            <x14:sparkline>
              <xm:f>'FASE 2  '!M313:M313</xm:f>
              <xm:sqref>M312</xm:sqref>
            </x14:sparkline>
            <x14:sparkline>
              <xm:f>'FASE 2  '!N313:N313</xm:f>
              <xm:sqref>N312</xm:sqref>
            </x14:sparkline>
            <x14:sparkline>
              <xm:f>'FASE 2  '!O313:O313</xm:f>
              <xm:sqref>O312</xm:sqref>
            </x14:sparkline>
            <x14:sparkline>
              <xm:f>'FASE 2  '!P313:P313</xm:f>
              <xm:sqref>P312</xm:sqref>
            </x14:sparkline>
            <x14:sparkline>
              <xm:f>'FASE 2  '!Q313:Q313</xm:f>
              <xm:sqref>Q312</xm:sqref>
            </x14:sparkline>
          </x14:sparklines>
        </x14:sparklineGroup>
        <x14:sparklineGroup manualMax="1" manualMin="0" type="column" displayEmptyCellsAs="gap" high="1" low="1" first="1" last="1" negative="1" minAxisType="custom" maxAxisType="custom" xr2:uid="{7547F196-0428-48AE-A62F-52E4513DE136}">
          <x14:colorSeries theme="3" tint="0.39997558519241921"/>
          <x14:colorNegative rgb="FFD00000"/>
          <x14:colorAxis rgb="FF000000"/>
          <x14:colorMarkers rgb="FFD00000"/>
          <x14:colorFirst rgb="FFD00000"/>
          <x14:colorLast rgb="FFD00000"/>
          <x14:colorHigh rgb="FF00FF00"/>
          <x14:colorLow rgb="FF0070C0"/>
          <x14:sparklines>
            <x14:sparkline>
              <xm:f>'FASE 2  '!C266:C266</xm:f>
              <xm:sqref>C265</xm:sqref>
            </x14:sparkline>
            <x14:sparkline>
              <xm:f>'FASE 2  '!D266:D266</xm:f>
              <xm:sqref>D265</xm:sqref>
            </x14:sparkline>
            <x14:sparkline>
              <xm:f>'FASE 2  '!E266:E266</xm:f>
              <xm:sqref>E265</xm:sqref>
            </x14:sparkline>
            <x14:sparkline>
              <xm:f>'FASE 2  '!F266:F266</xm:f>
              <xm:sqref>F265</xm:sqref>
            </x14:sparkline>
            <x14:sparkline>
              <xm:f>'FASE 2  '!G266:G266</xm:f>
              <xm:sqref>G265</xm:sqref>
            </x14:sparkline>
            <x14:sparkline>
              <xm:f>'FASE 2  '!H266:H266</xm:f>
              <xm:sqref>H265</xm:sqref>
            </x14:sparkline>
            <x14:sparkline>
              <xm:f>'FASE 2  '!I266:I266</xm:f>
              <xm:sqref>I265</xm:sqref>
            </x14:sparkline>
            <x14:sparkline>
              <xm:f>'FASE 2  '!J266:J266</xm:f>
              <xm:sqref>J265</xm:sqref>
            </x14:sparkline>
            <x14:sparkline>
              <xm:f>'FASE 2  '!K266:K266</xm:f>
              <xm:sqref>K265</xm:sqref>
            </x14:sparkline>
            <x14:sparkline>
              <xm:f>'FASE 2  '!L266:L266</xm:f>
              <xm:sqref>L265</xm:sqref>
            </x14:sparkline>
            <x14:sparkline>
              <xm:f>'FASE 2  '!M266:M266</xm:f>
              <xm:sqref>M265</xm:sqref>
            </x14:sparkline>
            <x14:sparkline>
              <xm:f>'FASE 2  '!N266:N266</xm:f>
              <xm:sqref>N265</xm:sqref>
            </x14:sparkline>
            <x14:sparkline>
              <xm:f>'FASE 2  '!O266:O266</xm:f>
              <xm:sqref>O265</xm:sqref>
            </x14:sparkline>
            <x14:sparkline>
              <xm:f>'FASE 2  '!P266:P266</xm:f>
              <xm:sqref>P265</xm:sqref>
            </x14:sparkline>
            <x14:sparkline>
              <xm:f>'FASE 2  '!Q266:Q266</xm:f>
              <xm:sqref>Q265</xm:sqref>
            </x14:sparkline>
          </x14:sparklines>
        </x14:sparklineGroup>
        <x14:sparklineGroup manualMax="1" manualMin="0" type="column" displayEmptyCellsAs="gap" high="1" low="1" first="1" last="1" negative="1" minAxisType="custom" maxAxisType="custom" xr2:uid="{01025286-5E60-4A6E-A73E-21ED5AD9371D}">
          <x14:colorSeries theme="3" tint="0.39997558519241921"/>
          <x14:colorNegative rgb="FFD00000"/>
          <x14:colorAxis rgb="FF000000"/>
          <x14:colorMarkers rgb="FFD00000"/>
          <x14:colorFirst rgb="FFD00000"/>
          <x14:colorLast rgb="FFD00000"/>
          <x14:colorHigh rgb="FF00FF00"/>
          <x14:colorLow rgb="FF0070C0"/>
          <x14:sparklines>
            <x14:sparkline>
              <xm:f>'FASE 2  '!C219:C219</xm:f>
              <xm:sqref>C218</xm:sqref>
            </x14:sparkline>
            <x14:sparkline>
              <xm:f>'FASE 2  '!D219:D219</xm:f>
              <xm:sqref>D218</xm:sqref>
            </x14:sparkline>
            <x14:sparkline>
              <xm:f>'FASE 2  '!E219:E219</xm:f>
              <xm:sqref>E218</xm:sqref>
            </x14:sparkline>
            <x14:sparkline>
              <xm:f>'FASE 2  '!F219:F219</xm:f>
              <xm:sqref>F218</xm:sqref>
            </x14:sparkline>
            <x14:sparkline>
              <xm:f>'FASE 2  '!G219:G219</xm:f>
              <xm:sqref>G218</xm:sqref>
            </x14:sparkline>
            <x14:sparkline>
              <xm:f>'FASE 2  '!H219:H219</xm:f>
              <xm:sqref>H218</xm:sqref>
            </x14:sparkline>
            <x14:sparkline>
              <xm:f>'FASE 2  '!I219:I219</xm:f>
              <xm:sqref>I218</xm:sqref>
            </x14:sparkline>
            <x14:sparkline>
              <xm:f>'FASE 2  '!J219:J219</xm:f>
              <xm:sqref>J218</xm:sqref>
            </x14:sparkline>
            <x14:sparkline>
              <xm:f>'FASE 2  '!K219:K219</xm:f>
              <xm:sqref>K218</xm:sqref>
            </x14:sparkline>
            <x14:sparkline>
              <xm:f>'FASE 2  '!L219:L219</xm:f>
              <xm:sqref>L218</xm:sqref>
            </x14:sparkline>
            <x14:sparkline>
              <xm:f>'FASE 2  '!M219:M219</xm:f>
              <xm:sqref>M218</xm:sqref>
            </x14:sparkline>
            <x14:sparkline>
              <xm:f>'FASE 2  '!N219:N219</xm:f>
              <xm:sqref>N218</xm:sqref>
            </x14:sparkline>
            <x14:sparkline>
              <xm:f>'FASE 2  '!O219:O219</xm:f>
              <xm:sqref>O218</xm:sqref>
            </x14:sparkline>
            <x14:sparkline>
              <xm:f>'FASE 2  '!P219:P219</xm:f>
              <xm:sqref>P218</xm:sqref>
            </x14:sparkline>
            <x14:sparkline>
              <xm:f>'FASE 2  '!Q219:Q219</xm:f>
              <xm:sqref>Q218</xm:sqref>
            </x14:sparkline>
          </x14:sparklines>
        </x14:sparklineGroup>
        <x14:sparklineGroup manualMax="1" manualMin="0" type="column" displayEmptyCellsAs="gap" high="1" low="1" first="1" last="1" negative="1" minAxisType="custom" maxAxisType="custom" xr2:uid="{AD005C3C-E2DA-4BD3-8044-5AC830505BC1}">
          <x14:colorSeries theme="3" tint="0.39997558519241921"/>
          <x14:colorNegative rgb="FFD00000"/>
          <x14:colorAxis rgb="FF000000"/>
          <x14:colorMarkers rgb="FFD00000"/>
          <x14:colorFirst rgb="FFD00000"/>
          <x14:colorLast rgb="FFD00000"/>
          <x14:colorHigh rgb="FF00FF00"/>
          <x14:colorLow rgb="FF0070C0"/>
          <x14:sparklines>
            <x14:sparkline>
              <xm:f>'FASE 2  '!C172:C172</xm:f>
              <xm:sqref>C171</xm:sqref>
            </x14:sparkline>
            <x14:sparkline>
              <xm:f>'FASE 2  '!D172:D172</xm:f>
              <xm:sqref>D171</xm:sqref>
            </x14:sparkline>
            <x14:sparkline>
              <xm:f>'FASE 2  '!E172:E172</xm:f>
              <xm:sqref>E171</xm:sqref>
            </x14:sparkline>
            <x14:sparkline>
              <xm:f>'FASE 2  '!F172:F172</xm:f>
              <xm:sqref>F171</xm:sqref>
            </x14:sparkline>
            <x14:sparkline>
              <xm:f>'FASE 2  '!G172:G172</xm:f>
              <xm:sqref>G171</xm:sqref>
            </x14:sparkline>
            <x14:sparkline>
              <xm:f>'FASE 2  '!H172:H172</xm:f>
              <xm:sqref>H171</xm:sqref>
            </x14:sparkline>
            <x14:sparkline>
              <xm:f>'FASE 2  '!I172:I172</xm:f>
              <xm:sqref>I171</xm:sqref>
            </x14:sparkline>
            <x14:sparkline>
              <xm:f>'FASE 2  '!J172:J172</xm:f>
              <xm:sqref>J171</xm:sqref>
            </x14:sparkline>
            <x14:sparkline>
              <xm:f>'FASE 2  '!K172:K172</xm:f>
              <xm:sqref>K171</xm:sqref>
            </x14:sparkline>
            <x14:sparkline>
              <xm:f>'FASE 2  '!L172:L172</xm:f>
              <xm:sqref>L171</xm:sqref>
            </x14:sparkline>
            <x14:sparkline>
              <xm:f>'FASE 2  '!M172:M172</xm:f>
              <xm:sqref>M171</xm:sqref>
            </x14:sparkline>
            <x14:sparkline>
              <xm:f>'FASE 2  '!N172:N172</xm:f>
              <xm:sqref>N171</xm:sqref>
            </x14:sparkline>
            <x14:sparkline>
              <xm:f>'FASE 2  '!O172:O172</xm:f>
              <xm:sqref>O171</xm:sqref>
            </x14:sparkline>
            <x14:sparkline>
              <xm:f>'FASE 2  '!P172:P172</xm:f>
              <xm:sqref>P171</xm:sqref>
            </x14:sparkline>
            <x14:sparkline>
              <xm:f>'FASE 2  '!Q172:Q172</xm:f>
              <xm:sqref>Q171</xm:sqref>
            </x14:sparkline>
          </x14:sparklines>
        </x14:sparklineGroup>
        <x14:sparklineGroup manualMax="1" manualMin="0" type="column" displayEmptyCellsAs="gap" high="1" low="1" first="1" last="1" negative="1" minAxisType="custom" maxAxisType="custom" xr2:uid="{842FD82E-DCCB-46DB-B54D-D8C3B8F4A980}">
          <x14:colorSeries theme="3" tint="0.39997558519241921"/>
          <x14:colorNegative rgb="FFD00000"/>
          <x14:colorAxis rgb="FF000000"/>
          <x14:colorMarkers rgb="FFD00000"/>
          <x14:colorFirst rgb="FFD00000"/>
          <x14:colorLast rgb="FFD00000"/>
          <x14:colorHigh rgb="FF00FF00"/>
          <x14:colorLow rgb="FF0070C0"/>
          <x14:sparklines>
            <x14:sparkline>
              <xm:f>'FASE 2  '!C125:C125</xm:f>
              <xm:sqref>C124</xm:sqref>
            </x14:sparkline>
            <x14:sparkline>
              <xm:f>'FASE 2  '!D125:D125</xm:f>
              <xm:sqref>D124</xm:sqref>
            </x14:sparkline>
            <x14:sparkline>
              <xm:f>'FASE 2  '!E125:E125</xm:f>
              <xm:sqref>E124</xm:sqref>
            </x14:sparkline>
            <x14:sparkline>
              <xm:f>'FASE 2  '!F125:F125</xm:f>
              <xm:sqref>F124</xm:sqref>
            </x14:sparkline>
            <x14:sparkline>
              <xm:f>'FASE 2  '!G125:G125</xm:f>
              <xm:sqref>G124</xm:sqref>
            </x14:sparkline>
            <x14:sparkline>
              <xm:f>'FASE 2  '!H125:H125</xm:f>
              <xm:sqref>H124</xm:sqref>
            </x14:sparkline>
            <x14:sparkline>
              <xm:f>'FASE 2  '!I125:I125</xm:f>
              <xm:sqref>I124</xm:sqref>
            </x14:sparkline>
            <x14:sparkline>
              <xm:f>'FASE 2  '!J125:J125</xm:f>
              <xm:sqref>J124</xm:sqref>
            </x14:sparkline>
            <x14:sparkline>
              <xm:f>'FASE 2  '!K125:K125</xm:f>
              <xm:sqref>K124</xm:sqref>
            </x14:sparkline>
            <x14:sparkline>
              <xm:f>'FASE 2  '!L125:L125</xm:f>
              <xm:sqref>L124</xm:sqref>
            </x14:sparkline>
            <x14:sparkline>
              <xm:f>'FASE 2  '!M125:M125</xm:f>
              <xm:sqref>M124</xm:sqref>
            </x14:sparkline>
            <x14:sparkline>
              <xm:f>'FASE 2  '!N125:N125</xm:f>
              <xm:sqref>N124</xm:sqref>
            </x14:sparkline>
            <x14:sparkline>
              <xm:f>'FASE 2  '!O125:O125</xm:f>
              <xm:sqref>O124</xm:sqref>
            </x14:sparkline>
            <x14:sparkline>
              <xm:f>'FASE 2  '!P125:P125</xm:f>
              <xm:sqref>P124</xm:sqref>
            </x14:sparkline>
            <x14:sparkline>
              <xm:f>'FASE 2  '!Q125:Q125</xm:f>
              <xm:sqref>Q124</xm:sqref>
            </x14:sparkline>
          </x14:sparklines>
        </x14:sparklineGroup>
        <x14:sparklineGroup manualMax="1" manualMin="0" type="column" displayEmptyCellsAs="gap" high="1" low="1" first="1" last="1" negative="1" minAxisType="custom" maxAxisType="custom" xr2:uid="{83907063-F3EE-47B2-AB2B-48F6051DDDA0}">
          <x14:colorSeries theme="3" tint="0.39997558519241921"/>
          <x14:colorNegative rgb="FFD00000"/>
          <x14:colorAxis rgb="FF000000"/>
          <x14:colorMarkers rgb="FFD00000"/>
          <x14:colorFirst rgb="FFD00000"/>
          <x14:colorLast rgb="FFD00000"/>
          <x14:colorHigh rgb="FF00FF00"/>
          <x14:colorLow rgb="FF0070C0"/>
          <x14:sparklines>
            <x14:sparkline>
              <xm:f>'FASE 2  '!C78:C78</xm:f>
              <xm:sqref>C77</xm:sqref>
            </x14:sparkline>
            <x14:sparkline>
              <xm:f>'FASE 2  '!D78:D78</xm:f>
              <xm:sqref>D77</xm:sqref>
            </x14:sparkline>
            <x14:sparkline>
              <xm:f>'FASE 2  '!E78:E78</xm:f>
              <xm:sqref>E77</xm:sqref>
            </x14:sparkline>
            <x14:sparkline>
              <xm:f>'FASE 2  '!F78:F78</xm:f>
              <xm:sqref>F77</xm:sqref>
            </x14:sparkline>
            <x14:sparkline>
              <xm:f>'FASE 2  '!G78:G78</xm:f>
              <xm:sqref>G77</xm:sqref>
            </x14:sparkline>
            <x14:sparkline>
              <xm:f>'FASE 2  '!H78:H78</xm:f>
              <xm:sqref>H77</xm:sqref>
            </x14:sparkline>
            <x14:sparkline>
              <xm:f>'FASE 2  '!I78:I78</xm:f>
              <xm:sqref>I77</xm:sqref>
            </x14:sparkline>
            <x14:sparkline>
              <xm:f>'FASE 2  '!J78:J78</xm:f>
              <xm:sqref>J77</xm:sqref>
            </x14:sparkline>
            <x14:sparkline>
              <xm:f>'FASE 2  '!K78:K78</xm:f>
              <xm:sqref>K77</xm:sqref>
            </x14:sparkline>
            <x14:sparkline>
              <xm:f>'FASE 2  '!L78:L78</xm:f>
              <xm:sqref>L77</xm:sqref>
            </x14:sparkline>
            <x14:sparkline>
              <xm:f>'FASE 2  '!M78:M78</xm:f>
              <xm:sqref>M77</xm:sqref>
            </x14:sparkline>
            <x14:sparkline>
              <xm:f>'FASE 2  '!N78:N78</xm:f>
              <xm:sqref>N77</xm:sqref>
            </x14:sparkline>
            <x14:sparkline>
              <xm:f>'FASE 2  '!O78:O78</xm:f>
              <xm:sqref>O77</xm:sqref>
            </x14:sparkline>
            <x14:sparkline>
              <xm:f>'FASE 2  '!P78:P78</xm:f>
              <xm:sqref>P77</xm:sqref>
            </x14:sparkline>
            <x14:sparkline>
              <xm:f>'FASE 2  '!Q78:Q78</xm:f>
              <xm:sqref>Q77</xm:sqref>
            </x14:sparkline>
          </x14:sparklines>
        </x14:sparklineGroup>
        <x14:sparklineGroup manualMax="1" manualMin="0" type="column" displayEmptyCellsAs="gap" high="1" low="1" minAxisType="custom" maxAxisType="custom" xr2:uid="{3A9096AB-FF97-4A82-A518-9630337FDAB1}">
          <x14:colorSeries theme="3" tint="0.39997558519241921"/>
          <x14:colorNegative rgb="FFD00000"/>
          <x14:colorAxis rgb="FF000000"/>
          <x14:colorMarkers rgb="FFD00000"/>
          <x14:colorFirst rgb="FFD00000"/>
          <x14:colorLast rgb="FFD00000"/>
          <x14:colorHigh rgb="FF00FF00"/>
          <x14:colorLow rgb="FF0070C0"/>
          <x14:sparklines>
            <x14:sparkline>
              <xm:f>'FASE 2  '!C32:C32</xm:f>
              <xm:sqref>C31</xm:sqref>
            </x14:sparkline>
            <x14:sparkline>
              <xm:f>'FASE 2  '!D32:D32</xm:f>
              <xm:sqref>D31</xm:sqref>
            </x14:sparkline>
            <x14:sparkline>
              <xm:f>'FASE 2  '!E32:E32</xm:f>
              <xm:sqref>E31</xm:sqref>
            </x14:sparkline>
            <x14:sparkline>
              <xm:f>'FASE 2  '!F32:F32</xm:f>
              <xm:sqref>F31</xm:sqref>
            </x14:sparkline>
            <x14:sparkline>
              <xm:f>'FASE 2  '!G32:G32</xm:f>
              <xm:sqref>G31</xm:sqref>
            </x14:sparkline>
            <x14:sparkline>
              <xm:f>'FASE 2  '!H32:H32</xm:f>
              <xm:sqref>H31</xm:sqref>
            </x14:sparkline>
            <x14:sparkline>
              <xm:f>'FASE 2  '!I32:I32</xm:f>
              <xm:sqref>I31</xm:sqref>
            </x14:sparkline>
            <x14:sparkline>
              <xm:f>'FASE 2  '!J32:J32</xm:f>
              <xm:sqref>J31</xm:sqref>
            </x14:sparkline>
            <x14:sparkline>
              <xm:f>'FASE 2  '!K32:K32</xm:f>
              <xm:sqref>K31</xm:sqref>
            </x14:sparkline>
            <x14:sparkline>
              <xm:f>'FASE 2  '!L32:L32</xm:f>
              <xm:sqref>L31</xm:sqref>
            </x14:sparkline>
            <x14:sparkline>
              <xm:f>'FASE 2  '!M32:M32</xm:f>
              <xm:sqref>M31</xm:sqref>
            </x14:sparkline>
            <x14:sparkline>
              <xm:f>'FASE 2  '!N32:N32</xm:f>
              <xm:sqref>N31</xm:sqref>
            </x14:sparkline>
            <x14:sparkline>
              <xm:f>'FASE 2  '!O32:O32</xm:f>
              <xm:sqref>O31</xm:sqref>
            </x14:sparkline>
            <x14:sparkline>
              <xm:f>'FASE 2  '!P32:P32</xm:f>
              <xm:sqref>P31</xm:sqref>
            </x14:sparkline>
            <x14:sparkline>
              <xm:f>'FASE 2  '!Q32:Q32</xm:f>
              <xm:sqref>Q31</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7">
    <tabColor rgb="FF00FF00"/>
  </sheetPr>
  <dimension ref="A1:AB111"/>
  <sheetViews>
    <sheetView zoomScale="60" zoomScaleNormal="60" zoomScaleSheetLayoutView="160" workbookViewId="0">
      <selection activeCell="D27" sqref="D27"/>
    </sheetView>
  </sheetViews>
  <sheetFormatPr baseColWidth="10" defaultColWidth="9.140625" defaultRowHeight="28.5"/>
  <cols>
    <col min="1" max="1" width="2.140625" style="4" customWidth="1"/>
    <col min="2" max="2" width="11.85546875" style="6" customWidth="1"/>
    <col min="3" max="3" width="75.28515625" style="37" customWidth="1"/>
    <col min="4" max="15" width="8.7109375" style="1" customWidth="1"/>
    <col min="16" max="16" width="13.28515625" style="1" customWidth="1"/>
    <col min="17" max="22" width="15.5703125" style="207" customWidth="1"/>
    <col min="23" max="23" width="17" style="1" customWidth="1"/>
    <col min="24" max="24" width="25.5703125" style="1" customWidth="1"/>
    <col min="25" max="28" width="9.140625" style="1"/>
  </cols>
  <sheetData>
    <row r="1" spans="2:28" s="4" customFormat="1">
      <c r="B1" s="6"/>
      <c r="C1" s="7"/>
      <c r="D1" s="5"/>
      <c r="E1" s="5"/>
      <c r="F1" s="5"/>
      <c r="G1" s="5"/>
      <c r="H1" s="5"/>
      <c r="I1" s="5"/>
      <c r="J1" s="5"/>
      <c r="K1" s="5"/>
      <c r="L1" s="5"/>
      <c r="M1" s="5"/>
      <c r="N1" s="5"/>
      <c r="O1" s="5"/>
      <c r="P1" s="5"/>
      <c r="Q1" s="191"/>
      <c r="R1" s="191"/>
      <c r="S1" s="191"/>
      <c r="T1" s="191"/>
      <c r="U1" s="191"/>
      <c r="V1" s="191"/>
      <c r="W1" s="5"/>
      <c r="X1" s="5"/>
      <c r="Y1" s="5"/>
      <c r="Z1" s="5"/>
      <c r="AA1" s="5"/>
      <c r="AB1" s="5"/>
    </row>
    <row r="2" spans="2:28" s="4" customFormat="1" ht="31.5">
      <c r="B2" s="6"/>
      <c r="C2" s="7"/>
      <c r="D2" s="5"/>
      <c r="E2" s="5"/>
      <c r="F2" s="5"/>
      <c r="G2" s="8" t="s">
        <v>772</v>
      </c>
      <c r="H2" s="8"/>
      <c r="I2" s="8"/>
      <c r="J2" s="8"/>
      <c r="K2" s="8"/>
      <c r="L2" s="8"/>
      <c r="M2" s="8"/>
      <c r="N2" s="8"/>
      <c r="O2" s="8"/>
      <c r="P2" s="5"/>
      <c r="Q2" s="191"/>
      <c r="R2" s="191"/>
      <c r="S2" s="191"/>
      <c r="T2" s="191"/>
      <c r="U2" s="191"/>
      <c r="V2" s="191"/>
      <c r="W2" s="5"/>
      <c r="X2" s="5"/>
      <c r="Y2" s="5"/>
      <c r="Z2" s="5"/>
      <c r="AA2" s="5"/>
      <c r="AB2" s="5"/>
    </row>
    <row r="3" spans="2:28" s="4" customFormat="1" ht="31.5">
      <c r="B3" s="6"/>
      <c r="C3" s="7"/>
      <c r="D3" s="578"/>
      <c r="E3" s="578"/>
      <c r="F3" s="578"/>
      <c r="G3" s="578"/>
      <c r="H3" s="578"/>
      <c r="I3" s="578"/>
      <c r="J3" s="578"/>
      <c r="K3" s="578"/>
      <c r="L3" s="149"/>
      <c r="M3" s="149"/>
      <c r="N3" s="149"/>
      <c r="O3" s="149"/>
      <c r="P3" s="8"/>
      <c r="Q3" s="192"/>
      <c r="R3" s="192"/>
      <c r="S3" s="192"/>
      <c r="T3" s="192"/>
      <c r="U3" s="191"/>
      <c r="V3" s="191"/>
      <c r="X3" s="5"/>
      <c r="Y3" s="5"/>
      <c r="Z3" s="5"/>
      <c r="AA3" s="5"/>
      <c r="AB3" s="5"/>
    </row>
    <row r="4" spans="2:28" s="4" customFormat="1" hidden="1">
      <c r="B4" s="6"/>
      <c r="C4" s="7"/>
      <c r="D4" s="106" t="s">
        <v>169</v>
      </c>
      <c r="E4" s="106" t="s">
        <v>169</v>
      </c>
      <c r="F4" s="106" t="s">
        <v>49</v>
      </c>
      <c r="G4" s="106" t="s">
        <v>49</v>
      </c>
      <c r="H4" s="106" t="s">
        <v>170</v>
      </c>
      <c r="I4" s="106" t="s">
        <v>50</v>
      </c>
      <c r="J4" s="106" t="s">
        <v>50</v>
      </c>
      <c r="K4" s="106" t="s">
        <v>50</v>
      </c>
      <c r="L4" s="106" t="s">
        <v>52</v>
      </c>
      <c r="M4" s="106"/>
      <c r="N4" s="106"/>
      <c r="O4" s="106"/>
      <c r="P4" s="5"/>
      <c r="Q4" s="191"/>
      <c r="R4" s="191"/>
      <c r="S4" s="191"/>
      <c r="T4" s="191"/>
      <c r="U4" s="191"/>
      <c r="V4" s="191"/>
      <c r="W4" s="5"/>
      <c r="X4" s="5"/>
      <c r="Y4" s="5"/>
      <c r="Z4" s="5"/>
      <c r="AA4" s="5"/>
      <c r="AB4" s="5"/>
    </row>
    <row r="5" spans="2:28" s="4" customFormat="1" ht="29.25" thickBot="1">
      <c r="B5" s="6"/>
      <c r="C5" s="7"/>
      <c r="D5" s="106"/>
      <c r="E5" s="106"/>
      <c r="F5" s="106"/>
      <c r="G5" s="106"/>
      <c r="H5" s="106"/>
      <c r="I5" s="106"/>
      <c r="J5" s="106"/>
      <c r="K5" s="106"/>
      <c r="L5" s="106"/>
      <c r="M5" s="106"/>
      <c r="N5" s="106"/>
      <c r="O5" s="106"/>
      <c r="P5" s="5"/>
      <c r="Q5" s="191"/>
      <c r="R5" s="191"/>
      <c r="S5" s="191"/>
      <c r="T5" s="191"/>
      <c r="U5" s="191"/>
      <c r="V5" s="191"/>
      <c r="W5" s="5"/>
      <c r="X5" s="5"/>
      <c r="Y5" s="5"/>
      <c r="Z5" s="5"/>
      <c r="AA5" s="5"/>
      <c r="AB5" s="5"/>
    </row>
    <row r="6" spans="2:28" ht="29.25" customHeight="1" thickBot="1">
      <c r="C6" s="589" t="s">
        <v>38</v>
      </c>
      <c r="D6" s="172" t="s">
        <v>39</v>
      </c>
      <c r="E6" s="172" t="s">
        <v>39</v>
      </c>
      <c r="F6" s="172" t="s">
        <v>39</v>
      </c>
      <c r="G6" s="172" t="s">
        <v>39</v>
      </c>
      <c r="H6" s="172" t="s">
        <v>39</v>
      </c>
      <c r="I6" s="172" t="s">
        <v>39</v>
      </c>
      <c r="J6" s="172" t="s">
        <v>39</v>
      </c>
      <c r="K6" s="172" t="s">
        <v>39</v>
      </c>
      <c r="L6" s="172" t="s">
        <v>39</v>
      </c>
      <c r="M6" s="172" t="s">
        <v>39</v>
      </c>
      <c r="N6" s="172" t="s">
        <v>39</v>
      </c>
      <c r="O6" s="172" t="s">
        <v>39</v>
      </c>
      <c r="P6" s="576" t="s">
        <v>40</v>
      </c>
      <c r="Q6" s="594" t="s">
        <v>41</v>
      </c>
      <c r="R6" s="595"/>
      <c r="S6" s="595"/>
      <c r="T6" s="595"/>
      <c r="U6" s="595"/>
      <c r="V6" s="596"/>
      <c r="W6" s="576" t="s">
        <v>42</v>
      </c>
      <c r="X6" s="574" t="s">
        <v>43</v>
      </c>
    </row>
    <row r="7" spans="2:28" ht="75" customHeight="1" thickBot="1">
      <c r="C7" s="590"/>
      <c r="D7" s="220">
        <v>1</v>
      </c>
      <c r="E7" s="221">
        <v>2</v>
      </c>
      <c r="F7" s="221">
        <v>3</v>
      </c>
      <c r="G7" s="221">
        <v>4</v>
      </c>
      <c r="H7" s="221">
        <v>5</v>
      </c>
      <c r="I7" s="221">
        <v>6</v>
      </c>
      <c r="J7" s="221">
        <v>7</v>
      </c>
      <c r="K7" s="221">
        <v>8</v>
      </c>
      <c r="L7" s="221">
        <v>9</v>
      </c>
      <c r="M7" s="221">
        <v>10</v>
      </c>
      <c r="N7" s="221">
        <v>11</v>
      </c>
      <c r="O7" s="222">
        <v>12</v>
      </c>
      <c r="P7" s="577"/>
      <c r="Q7" s="597"/>
      <c r="R7" s="598"/>
      <c r="S7" s="598"/>
      <c r="T7" s="598"/>
      <c r="U7" s="598"/>
      <c r="V7" s="599"/>
      <c r="W7" s="577"/>
      <c r="X7" s="575"/>
    </row>
    <row r="8" spans="2:28" ht="23.25" customHeight="1" thickBot="1">
      <c r="C8" s="179"/>
      <c r="D8" s="180"/>
      <c r="E8" s="181"/>
      <c r="F8" s="181"/>
      <c r="G8" s="181"/>
      <c r="H8" s="181"/>
      <c r="I8" s="181"/>
      <c r="J8" s="181"/>
      <c r="K8" s="181"/>
      <c r="L8" s="181"/>
      <c r="M8" s="181"/>
      <c r="N8" s="181"/>
      <c r="O8" s="182"/>
      <c r="P8" s="184"/>
      <c r="Q8" s="193" t="s">
        <v>775</v>
      </c>
      <c r="R8" s="194" t="s">
        <v>776</v>
      </c>
      <c r="S8" s="194" t="s">
        <v>777</v>
      </c>
      <c r="T8" s="194" t="s">
        <v>778</v>
      </c>
      <c r="U8" s="194" t="s">
        <v>779</v>
      </c>
      <c r="V8" s="194"/>
      <c r="W8" s="214"/>
      <c r="X8" s="183"/>
    </row>
    <row r="9" spans="2:28" ht="24.75" customHeight="1" thickBot="1">
      <c r="C9" s="79">
        <f>0%/100</f>
        <v>0</v>
      </c>
      <c r="D9" s="153">
        <f>8.33333333333333%*D7</f>
        <v>8.3333333333333301E-2</v>
      </c>
      <c r="E9" s="153">
        <f>8.33333333333333%*E7</f>
        <v>0.1666666666666666</v>
      </c>
      <c r="F9" s="153">
        <f t="shared" ref="F9:O9" si="0">8.33333333333333%*F7</f>
        <v>0.24999999999999989</v>
      </c>
      <c r="G9" s="153">
        <f t="shared" si="0"/>
        <v>0.3333333333333332</v>
      </c>
      <c r="H9" s="153">
        <f t="shared" si="0"/>
        <v>0.41666666666666652</v>
      </c>
      <c r="I9" s="153">
        <f t="shared" si="0"/>
        <v>0.49999999999999978</v>
      </c>
      <c r="J9" s="153">
        <f t="shared" si="0"/>
        <v>0.58333333333333315</v>
      </c>
      <c r="K9" s="153">
        <f t="shared" si="0"/>
        <v>0.66666666666666641</v>
      </c>
      <c r="L9" s="153">
        <f t="shared" si="0"/>
        <v>0.74999999999999967</v>
      </c>
      <c r="M9" s="153">
        <f t="shared" si="0"/>
        <v>0.83333333333333304</v>
      </c>
      <c r="N9" s="153">
        <f t="shared" si="0"/>
        <v>0.9166666666666663</v>
      </c>
      <c r="O9" s="153">
        <f t="shared" si="0"/>
        <v>0.99999999999999956</v>
      </c>
      <c r="P9" s="150"/>
      <c r="Q9" s="195">
        <f>+H9</f>
        <v>0.41666666666666652</v>
      </c>
      <c r="R9" s="195">
        <f>+J9</f>
        <v>0.58333333333333315</v>
      </c>
      <c r="S9" s="195">
        <f>+L9</f>
        <v>0.74999999999999967</v>
      </c>
      <c r="T9" s="195">
        <f>+N9</f>
        <v>0.9166666666666663</v>
      </c>
      <c r="U9" s="195">
        <f>+O9</f>
        <v>0.99999999999999956</v>
      </c>
      <c r="V9" s="195"/>
      <c r="W9" s="215"/>
      <c r="X9" s="154"/>
    </row>
    <row r="10" spans="2:28" ht="21.75" customHeight="1" thickBot="1">
      <c r="B10" s="591" t="s">
        <v>44</v>
      </c>
      <c r="C10" s="165" t="s">
        <v>683</v>
      </c>
      <c r="D10" s="162" t="e">
        <f>+_xlfn.XLOOKUP($C10,'FASE 1   '!$C$421:$V$421,'FASE 1   '!$C$423:$V$423)</f>
        <v>#N/A</v>
      </c>
      <c r="E10" s="162" t="e">
        <f>+_xlfn.XLOOKUP($C10,'FASE 1   '!$C$421:$V$421,'FASE 1   '!$C$424:$V$424)</f>
        <v>#N/A</v>
      </c>
      <c r="F10" s="162" t="e">
        <f>+_xlfn.XLOOKUP($C10,'FASE 1   '!$C$421:$V$421,'FASE 1   '!$C$425:$V$425)</f>
        <v>#N/A</v>
      </c>
      <c r="G10" s="162" t="e">
        <f>+_xlfn.XLOOKUP($C10,'FASE 1   '!$C$421:$V$421,'FASE 1   '!$C$426:$V$426)</f>
        <v>#N/A</v>
      </c>
      <c r="H10" s="162" t="e">
        <f>+_xlfn.XLOOKUP($C10,'FASE 1   '!$C$421:$V$421,'FASE 1   '!$C$427:$V$427)</f>
        <v>#N/A</v>
      </c>
      <c r="I10" s="162" t="e">
        <f>+_xlfn.XLOOKUP($C10,'FASE 1   '!$C$421:$V$421,'FASE 1   '!$C$428:$V$428)</f>
        <v>#N/A</v>
      </c>
      <c r="J10" s="162" t="e">
        <f>+_xlfn.XLOOKUP($C10,'FASE 1   '!$C$421:$V$421,'FASE 1   '!$C$429:$V$429)</f>
        <v>#N/A</v>
      </c>
      <c r="K10" s="162" t="e">
        <f>+_xlfn.XLOOKUP($C10,'FASE 1   '!$C$421:$V$421,'FASE 1   '!$C$430:$V$430)</f>
        <v>#N/A</v>
      </c>
      <c r="L10" s="162" t="e">
        <f>+_xlfn.XLOOKUP($C10,'FASE 1   '!$C$421:$V$421,'FASE 1   '!$C$431:$V$431)</f>
        <v>#N/A</v>
      </c>
      <c r="M10" s="162" t="e">
        <f>+_xlfn.XLOOKUP($C10,'FASE 1   '!$C$421:$V$421,'FASE 1   '!#REF!)</f>
        <v>#REF!</v>
      </c>
      <c r="N10" s="162" t="e">
        <f>+_xlfn.XLOOKUP($C10,'FASE 1   '!$C$421:$V$421,'FASE 1   '!#REF!)</f>
        <v>#REF!</v>
      </c>
      <c r="O10" s="162" t="e">
        <f>+_xlfn.XLOOKUP($C10,'FASE 1   '!$C$421:$V$421,'FASE 1   '!#REF!)</f>
        <v>#REF!</v>
      </c>
      <c r="P10" s="156" t="e">
        <f>+AVERAGE(D10:O10)</f>
        <v>#N/A</v>
      </c>
      <c r="Q10" s="196" t="e">
        <f>P10</f>
        <v>#N/A</v>
      </c>
      <c r="R10" s="196"/>
      <c r="S10" s="196"/>
      <c r="T10" s="196"/>
      <c r="U10" s="196"/>
      <c r="V10" s="223"/>
      <c r="W10" s="216"/>
      <c r="X10" s="157"/>
    </row>
    <row r="11" spans="2:28" ht="21.75" thickBot="1">
      <c r="B11" s="592"/>
      <c r="C11" s="166" t="s">
        <v>684</v>
      </c>
      <c r="D11" s="162" t="e">
        <f>+_xlfn.XLOOKUP($C11,'FASE 1   '!$C$421:$V$421,'FASE 1   '!$C$423:$V$423)</f>
        <v>#N/A</v>
      </c>
      <c r="E11" s="162" t="e">
        <f>+_xlfn.XLOOKUP($C11,'FASE 1   '!$C$421:$V$421,'FASE 1   '!$C$424:$V$424)</f>
        <v>#N/A</v>
      </c>
      <c r="F11" s="162" t="e">
        <f>+_xlfn.XLOOKUP($C11,'FASE 1   '!$C$421:$V$421,'FASE 1   '!$C$425:$V$425)</f>
        <v>#N/A</v>
      </c>
      <c r="G11" s="162" t="e">
        <f>+_xlfn.XLOOKUP($C11,'FASE 1   '!$C$421:$V$421,'FASE 1   '!$C$426:$V$426)</f>
        <v>#N/A</v>
      </c>
      <c r="H11" s="162" t="e">
        <f>+_xlfn.XLOOKUP($C11,'FASE 1   '!$C$421:$V$421,'FASE 1   '!$C$427:$V$427)</f>
        <v>#N/A</v>
      </c>
      <c r="I11" s="162" t="e">
        <f>+_xlfn.XLOOKUP($C11,'FASE 1   '!$C$421:$V$421,'FASE 1   '!$C$428:$V$428)</f>
        <v>#N/A</v>
      </c>
      <c r="J11" s="162" t="e">
        <f>+_xlfn.XLOOKUP($C11,'FASE 1   '!$C$421:$V$421,'FASE 1   '!$C$429:$V$429)</f>
        <v>#N/A</v>
      </c>
      <c r="K11" s="162" t="e">
        <f>+_xlfn.XLOOKUP($C11,'FASE 1   '!$C$421:$V$421,'FASE 1   '!$C$430:$V$430)</f>
        <v>#N/A</v>
      </c>
      <c r="L11" s="162" t="e">
        <f>+_xlfn.XLOOKUP($C11,'FASE 1   '!$C$421:$V$421,'FASE 1   '!$C$431:$V$431)</f>
        <v>#N/A</v>
      </c>
      <c r="M11" s="162" t="e">
        <f>+_xlfn.XLOOKUP($C11,'FASE 1   '!$C$421:$V$421,'FASE 1   '!#REF!)</f>
        <v>#REF!</v>
      </c>
      <c r="N11" s="162" t="e">
        <f>+_xlfn.XLOOKUP($C11,'FASE 1   '!$C$421:$V$421,'FASE 1   '!#REF!)</f>
        <v>#REF!</v>
      </c>
      <c r="O11" s="162" t="e">
        <f>+_xlfn.XLOOKUP($C11,'FASE 1   '!$C$421:$V$421,'FASE 1   '!#REF!)</f>
        <v>#REF!</v>
      </c>
      <c r="P11" s="155" t="e">
        <f t="shared" ref="P11:P86" si="1">+AVERAGE(D11:O11)</f>
        <v>#N/A</v>
      </c>
      <c r="Q11" s="196" t="e">
        <f t="shared" ref="Q11:Q31" si="2">P11</f>
        <v>#N/A</v>
      </c>
      <c r="R11" s="197"/>
      <c r="S11" s="197"/>
      <c r="T11" s="197"/>
      <c r="U11" s="197"/>
      <c r="V11" s="224"/>
      <c r="W11" s="217"/>
      <c r="X11" s="158"/>
    </row>
    <row r="12" spans="2:28" ht="21.75" thickBot="1">
      <c r="B12" s="592"/>
      <c r="C12" s="166" t="s">
        <v>685</v>
      </c>
      <c r="D12" s="162">
        <f>+_xlfn.XLOOKUP($C12,'FASE 1   '!$C$421:$V$421,'FASE 1   '!$C$423:$V$423)</f>
        <v>0.58333333333333337</v>
      </c>
      <c r="E12" s="162">
        <f>+_xlfn.XLOOKUP($C12,'FASE 1   '!$C$421:$V$421,'FASE 1   '!$C$424:$V$424)</f>
        <v>0.97674418604651159</v>
      </c>
      <c r="F12" s="162">
        <f>+_xlfn.XLOOKUP($C12,'FASE 1   '!$C$421:$V$421,'FASE 1   '!$C$425:$V$425)</f>
        <v>0.47727272727272729</v>
      </c>
      <c r="G12" s="162">
        <f>+_xlfn.XLOOKUP($C12,'FASE 1   '!$C$421:$V$421,'FASE 1   '!$C$426:$V$426)</f>
        <v>0</v>
      </c>
      <c r="H12" s="162">
        <f>+_xlfn.XLOOKUP($C12,'FASE 1   '!$C$421:$V$421,'FASE 1   '!$C$427:$V$427)</f>
        <v>0</v>
      </c>
      <c r="I12" s="162">
        <f>+_xlfn.XLOOKUP($C12,'FASE 1   '!$C$421:$V$421,'FASE 1   '!$C$428:$V$428)</f>
        <v>0</v>
      </c>
      <c r="J12" s="162">
        <f>+_xlfn.XLOOKUP($C12,'FASE 1   '!$C$421:$V$421,'FASE 1   '!$C$429:$V$429)</f>
        <v>0</v>
      </c>
      <c r="K12" s="162">
        <f>+_xlfn.XLOOKUP($C12,'FASE 1   '!$C$421:$V$421,'FASE 1   '!$C$430:$V$430)</f>
        <v>0</v>
      </c>
      <c r="L12" s="162">
        <f>+_xlfn.XLOOKUP($C12,'FASE 1   '!$C$421:$V$421,'FASE 1   '!$C$431:$V$431)</f>
        <v>0</v>
      </c>
      <c r="M12" s="162" t="e">
        <f>+_xlfn.XLOOKUP($C12,'FASE 1   '!$C$421:$V$421,'FASE 1   '!#REF!)</f>
        <v>#REF!</v>
      </c>
      <c r="N12" s="162" t="e">
        <f>+_xlfn.XLOOKUP($C12,'FASE 1   '!$C$421:$V$421,'FASE 1   '!#REF!)</f>
        <v>#REF!</v>
      </c>
      <c r="O12" s="162" t="e">
        <f>+_xlfn.XLOOKUP($C12,'FASE 1   '!$C$421:$V$421,'FASE 1   '!#REF!)</f>
        <v>#REF!</v>
      </c>
      <c r="P12" s="155" t="e">
        <f t="shared" si="1"/>
        <v>#REF!</v>
      </c>
      <c r="Q12" s="196" t="e">
        <f t="shared" si="2"/>
        <v>#REF!</v>
      </c>
      <c r="R12" s="197"/>
      <c r="S12" s="197"/>
      <c r="T12" s="197"/>
      <c r="U12" s="197"/>
      <c r="V12" s="224"/>
      <c r="W12" s="217"/>
      <c r="X12" s="158"/>
    </row>
    <row r="13" spans="2:28" ht="21.75" thickBot="1">
      <c r="B13" s="592"/>
      <c r="C13" s="166" t="s">
        <v>686</v>
      </c>
      <c r="D13" s="162">
        <f>+_xlfn.XLOOKUP($C13,'FASE 1   '!$C$421:$V$421,'FASE 1   '!$C$423:$V$423)</f>
        <v>0.58333333333333337</v>
      </c>
      <c r="E13" s="162">
        <f>+_xlfn.XLOOKUP($C13,'FASE 1   '!$C$421:$V$421,'FASE 1   '!$C$424:$V$424)</f>
        <v>0.95348837209302328</v>
      </c>
      <c r="F13" s="162">
        <f>+_xlfn.XLOOKUP($C13,'FASE 1   '!$C$421:$V$421,'FASE 1   '!$C$425:$V$425)</f>
        <v>0.18181818181818182</v>
      </c>
      <c r="G13" s="162">
        <f>+_xlfn.XLOOKUP($C13,'FASE 1   '!$C$421:$V$421,'FASE 1   '!$C$426:$V$426)</f>
        <v>0</v>
      </c>
      <c r="H13" s="162">
        <f>+_xlfn.XLOOKUP($C13,'FASE 1   '!$C$421:$V$421,'FASE 1   '!$C$427:$V$427)</f>
        <v>0</v>
      </c>
      <c r="I13" s="162">
        <f>+_xlfn.XLOOKUP($C13,'FASE 1   '!$C$421:$V$421,'FASE 1   '!$C$428:$V$428)</f>
        <v>0</v>
      </c>
      <c r="J13" s="162">
        <f>+_xlfn.XLOOKUP($C13,'FASE 1   '!$C$421:$V$421,'FASE 1   '!$C$429:$V$429)</f>
        <v>0</v>
      </c>
      <c r="K13" s="162">
        <f>+_xlfn.XLOOKUP($C13,'FASE 1   '!$C$421:$V$421,'FASE 1   '!$C$430:$V$430)</f>
        <v>0</v>
      </c>
      <c r="L13" s="162">
        <f>+_xlfn.XLOOKUP($C13,'FASE 1   '!$C$421:$V$421,'FASE 1   '!$C$431:$V$431)</f>
        <v>0</v>
      </c>
      <c r="M13" s="162" t="e">
        <f>+_xlfn.XLOOKUP($C13,'FASE 1   '!$C$421:$V$421,'FASE 1   '!#REF!)</f>
        <v>#REF!</v>
      </c>
      <c r="N13" s="162" t="e">
        <f>+_xlfn.XLOOKUP($C13,'FASE 1   '!$C$421:$V$421,'FASE 1   '!#REF!)</f>
        <v>#REF!</v>
      </c>
      <c r="O13" s="162" t="e">
        <f>+_xlfn.XLOOKUP($C13,'FASE 1   '!$C$421:$V$421,'FASE 1   '!#REF!)</f>
        <v>#REF!</v>
      </c>
      <c r="P13" s="155" t="e">
        <f t="shared" si="1"/>
        <v>#REF!</v>
      </c>
      <c r="Q13" s="196" t="e">
        <f t="shared" si="2"/>
        <v>#REF!</v>
      </c>
      <c r="R13" s="197"/>
      <c r="S13" s="197"/>
      <c r="T13" s="197"/>
      <c r="U13" s="197"/>
      <c r="V13" s="224"/>
      <c r="W13" s="217"/>
      <c r="X13" s="158"/>
    </row>
    <row r="14" spans="2:28" ht="21.75" thickBot="1">
      <c r="B14" s="592"/>
      <c r="C14" s="166" t="s">
        <v>687</v>
      </c>
      <c r="D14" s="162">
        <f>+_xlfn.XLOOKUP($C14,'FASE 1   '!$C$421:$V$421,'FASE 1   '!$C$423:$V$423)</f>
        <v>0.58333333333333337</v>
      </c>
      <c r="E14" s="162">
        <f>+_xlfn.XLOOKUP($C14,'FASE 1   '!$C$421:$V$421,'FASE 1   '!$C$424:$V$424)</f>
        <v>0.26511627906976726</v>
      </c>
      <c r="F14" s="162">
        <f>+_xlfn.XLOOKUP($C14,'FASE 1   '!$C$421:$V$421,'FASE 1   '!$C$425:$V$425)</f>
        <v>0.18181818181818182</v>
      </c>
      <c r="G14" s="162">
        <f>+_xlfn.XLOOKUP($C14,'FASE 1   '!$C$421:$V$421,'FASE 1   '!$C$426:$V$426)</f>
        <v>0</v>
      </c>
      <c r="H14" s="162">
        <f>+_xlfn.XLOOKUP($C14,'FASE 1   '!$C$421:$V$421,'FASE 1   '!$C$427:$V$427)</f>
        <v>0</v>
      </c>
      <c r="I14" s="162">
        <f>+_xlfn.XLOOKUP($C14,'FASE 1   '!$C$421:$V$421,'FASE 1   '!$C$428:$V$428)</f>
        <v>0</v>
      </c>
      <c r="J14" s="162">
        <f>+_xlfn.XLOOKUP($C14,'FASE 1   '!$C$421:$V$421,'FASE 1   '!$C$429:$V$429)</f>
        <v>0</v>
      </c>
      <c r="K14" s="162">
        <f>+_xlfn.XLOOKUP($C14,'FASE 1   '!$C$421:$V$421,'FASE 1   '!$C$430:$V$430)</f>
        <v>0</v>
      </c>
      <c r="L14" s="162">
        <f>+_xlfn.XLOOKUP($C14,'FASE 1   '!$C$421:$V$421,'FASE 1   '!$C$431:$V$431)</f>
        <v>0</v>
      </c>
      <c r="M14" s="162" t="e">
        <f>+_xlfn.XLOOKUP($C14,'FASE 1   '!$C$421:$V$421,'FASE 1   '!#REF!)</f>
        <v>#REF!</v>
      </c>
      <c r="N14" s="162" t="e">
        <f>+_xlfn.XLOOKUP($C14,'FASE 1   '!$C$421:$V$421,'FASE 1   '!#REF!)</f>
        <v>#REF!</v>
      </c>
      <c r="O14" s="162" t="e">
        <f>+_xlfn.XLOOKUP($C14,'FASE 1   '!$C$421:$V$421,'FASE 1   '!#REF!)</f>
        <v>#REF!</v>
      </c>
      <c r="P14" s="155" t="e">
        <f t="shared" si="1"/>
        <v>#REF!</v>
      </c>
      <c r="Q14" s="196" t="e">
        <f t="shared" si="2"/>
        <v>#REF!</v>
      </c>
      <c r="R14" s="197"/>
      <c r="S14" s="197"/>
      <c r="T14" s="197"/>
      <c r="U14" s="197"/>
      <c r="V14" s="224"/>
      <c r="W14" s="217"/>
      <c r="X14" s="158"/>
    </row>
    <row r="15" spans="2:28" ht="21.75" thickBot="1">
      <c r="B15" s="592"/>
      <c r="C15" s="166" t="s">
        <v>688</v>
      </c>
      <c r="D15" s="162">
        <f>+_xlfn.XLOOKUP($C15,'FASE 1   '!$C$421:$V$421,'FASE 1   '!$C$423:$V$423)</f>
        <v>0.3833333333333333</v>
      </c>
      <c r="E15" s="162">
        <f>+_xlfn.XLOOKUP($C15,'FASE 1   '!$C$421:$V$421,'FASE 1   '!$C$424:$V$424)</f>
        <v>0.29767441860465116</v>
      </c>
      <c r="F15" s="162">
        <f>+_xlfn.XLOOKUP($C15,'FASE 1   '!$C$421:$V$421,'FASE 1   '!$C$425:$V$425)</f>
        <v>0.18181818181818182</v>
      </c>
      <c r="G15" s="162">
        <f>+_xlfn.XLOOKUP($C15,'FASE 1   '!$C$421:$V$421,'FASE 1   '!$C$426:$V$426)</f>
        <v>0</v>
      </c>
      <c r="H15" s="162">
        <f>+_xlfn.XLOOKUP($C15,'FASE 1   '!$C$421:$V$421,'FASE 1   '!$C$427:$V$427)</f>
        <v>0</v>
      </c>
      <c r="I15" s="162">
        <f>+_xlfn.XLOOKUP($C15,'FASE 1   '!$C$421:$V$421,'FASE 1   '!$C$428:$V$428)</f>
        <v>0</v>
      </c>
      <c r="J15" s="162">
        <f>+_xlfn.XLOOKUP($C15,'FASE 1   '!$C$421:$V$421,'FASE 1   '!$C$429:$V$429)</f>
        <v>0</v>
      </c>
      <c r="K15" s="162">
        <f>+_xlfn.XLOOKUP($C15,'FASE 1   '!$C$421:$V$421,'FASE 1   '!$C$430:$V$430)</f>
        <v>0</v>
      </c>
      <c r="L15" s="162">
        <f>+_xlfn.XLOOKUP($C15,'FASE 1   '!$C$421:$V$421,'FASE 1   '!$C$431:$V$431)</f>
        <v>0</v>
      </c>
      <c r="M15" s="162" t="e">
        <f>+_xlfn.XLOOKUP($C15,'FASE 1   '!$C$421:$V$421,'FASE 1   '!#REF!)</f>
        <v>#REF!</v>
      </c>
      <c r="N15" s="162" t="e">
        <f>+_xlfn.XLOOKUP($C15,'FASE 1   '!$C$421:$V$421,'FASE 1   '!#REF!)</f>
        <v>#REF!</v>
      </c>
      <c r="O15" s="162" t="e">
        <f>+_xlfn.XLOOKUP($C15,'FASE 1   '!$C$421:$V$421,'FASE 1   '!#REF!)</f>
        <v>#REF!</v>
      </c>
      <c r="P15" s="155" t="e">
        <f t="shared" si="1"/>
        <v>#REF!</v>
      </c>
      <c r="Q15" s="196" t="e">
        <f t="shared" si="2"/>
        <v>#REF!</v>
      </c>
      <c r="R15" s="197"/>
      <c r="S15" s="197"/>
      <c r="T15" s="197"/>
      <c r="U15" s="197"/>
      <c r="V15" s="224"/>
      <c r="W15" s="217"/>
      <c r="X15" s="158"/>
    </row>
    <row r="16" spans="2:28" ht="21.75" thickBot="1">
      <c r="B16" s="592"/>
      <c r="C16" s="166" t="s">
        <v>689</v>
      </c>
      <c r="D16" s="162">
        <f>+_xlfn.XLOOKUP($C16,'FASE 1   '!$C$421:$V$421,'FASE 1   '!$C$423:$V$423)</f>
        <v>0.58333333333333337</v>
      </c>
      <c r="E16" s="162">
        <f>+_xlfn.XLOOKUP($C16,'FASE 1   '!$C$421:$V$421,'FASE 1   '!$C$424:$V$424)</f>
        <v>0.46511627906976744</v>
      </c>
      <c r="F16" s="162">
        <f>+_xlfn.XLOOKUP($C16,'FASE 1   '!$C$421:$V$421,'FASE 1   '!$C$425:$V$425)</f>
        <v>0</v>
      </c>
      <c r="G16" s="162">
        <f>+_xlfn.XLOOKUP($C16,'FASE 1   '!$C$421:$V$421,'FASE 1   '!$C$426:$V$426)</f>
        <v>0</v>
      </c>
      <c r="H16" s="162">
        <f>+_xlfn.XLOOKUP($C16,'FASE 1   '!$C$421:$V$421,'FASE 1   '!$C$427:$V$427)</f>
        <v>0</v>
      </c>
      <c r="I16" s="162">
        <f>+_xlfn.XLOOKUP($C16,'FASE 1   '!$C$421:$V$421,'FASE 1   '!$C$428:$V$428)</f>
        <v>0</v>
      </c>
      <c r="J16" s="162">
        <f>+_xlfn.XLOOKUP($C16,'FASE 1   '!$C$421:$V$421,'FASE 1   '!$C$429:$V$429)</f>
        <v>0</v>
      </c>
      <c r="K16" s="162">
        <f>+_xlfn.XLOOKUP($C16,'FASE 1   '!$C$421:$V$421,'FASE 1   '!$C$430:$V$430)</f>
        <v>0</v>
      </c>
      <c r="L16" s="162">
        <f>+_xlfn.XLOOKUP($C16,'FASE 1   '!$C$421:$V$421,'FASE 1   '!$C$431:$V$431)</f>
        <v>0</v>
      </c>
      <c r="M16" s="162" t="e">
        <f>+_xlfn.XLOOKUP($C16,'FASE 1   '!$C$421:$V$421,'FASE 1   '!#REF!)</f>
        <v>#REF!</v>
      </c>
      <c r="N16" s="162" t="e">
        <f>+_xlfn.XLOOKUP($C16,'FASE 1   '!$C$421:$V$421,'FASE 1   '!#REF!)</f>
        <v>#REF!</v>
      </c>
      <c r="O16" s="162" t="e">
        <f>+_xlfn.XLOOKUP($C16,'FASE 1   '!$C$421:$V$421,'FASE 1   '!#REF!)</f>
        <v>#REF!</v>
      </c>
      <c r="P16" s="155" t="e">
        <f t="shared" si="1"/>
        <v>#REF!</v>
      </c>
      <c r="Q16" s="196" t="e">
        <f t="shared" si="2"/>
        <v>#REF!</v>
      </c>
      <c r="R16" s="197"/>
      <c r="S16" s="197"/>
      <c r="T16" s="197"/>
      <c r="U16" s="197"/>
      <c r="V16" s="224"/>
      <c r="W16" s="217"/>
      <c r="X16" s="158"/>
    </row>
    <row r="17" spans="2:25" ht="21.75" thickBot="1">
      <c r="B17" s="592"/>
      <c r="C17" s="166" t="s">
        <v>691</v>
      </c>
      <c r="D17" s="162">
        <f>+_xlfn.XLOOKUP($C17,'FASE 1   '!$C$421:$V$421,'FASE 1   '!$C$423:$V$423)</f>
        <v>0.57500000000000007</v>
      </c>
      <c r="E17" s="162">
        <f>+_xlfn.XLOOKUP($C17,'FASE 1   '!$C$421:$V$421,'FASE 1   '!$C$424:$V$424)</f>
        <v>0.1988372093023256</v>
      </c>
      <c r="F17" s="162">
        <f>+_xlfn.XLOOKUP($C17,'FASE 1   '!$C$421:$V$421,'FASE 1   '!$C$425:$V$425)</f>
        <v>0</v>
      </c>
      <c r="G17" s="162">
        <f>+_xlfn.XLOOKUP($C17,'FASE 1   '!$C$421:$V$421,'FASE 1   '!$C$426:$V$426)</f>
        <v>0</v>
      </c>
      <c r="H17" s="162">
        <f>+_xlfn.XLOOKUP($C17,'FASE 1   '!$C$421:$V$421,'FASE 1   '!$C$427:$V$427)</f>
        <v>0</v>
      </c>
      <c r="I17" s="162">
        <f>+_xlfn.XLOOKUP($C17,'FASE 1   '!$C$421:$V$421,'FASE 1   '!$C$428:$V$428)</f>
        <v>0</v>
      </c>
      <c r="J17" s="162">
        <f>+_xlfn.XLOOKUP($C17,'FASE 1   '!$C$421:$V$421,'FASE 1   '!$C$429:$V$429)</f>
        <v>0</v>
      </c>
      <c r="K17" s="162">
        <f>+_xlfn.XLOOKUP($C17,'FASE 1   '!$C$421:$V$421,'FASE 1   '!$C$430:$V$430)</f>
        <v>0</v>
      </c>
      <c r="L17" s="162">
        <f>+_xlfn.XLOOKUP($C17,'FASE 1   '!$C$421:$V$421,'FASE 1   '!$C$431:$V$431)</f>
        <v>0</v>
      </c>
      <c r="M17" s="162" t="e">
        <f>+_xlfn.XLOOKUP($C17,'FASE 1   '!$C$421:$V$421,'FASE 1   '!#REF!)</f>
        <v>#REF!</v>
      </c>
      <c r="N17" s="162" t="e">
        <f>+_xlfn.XLOOKUP($C17,'FASE 1   '!$C$421:$V$421,'FASE 1   '!#REF!)</f>
        <v>#REF!</v>
      </c>
      <c r="O17" s="162" t="e">
        <f>+_xlfn.XLOOKUP($C17,'FASE 1   '!$C$421:$V$421,'FASE 1   '!#REF!)</f>
        <v>#REF!</v>
      </c>
      <c r="P17" s="155" t="e">
        <f t="shared" si="1"/>
        <v>#REF!</v>
      </c>
      <c r="Q17" s="196" t="e">
        <f t="shared" si="2"/>
        <v>#REF!</v>
      </c>
      <c r="R17" s="197"/>
      <c r="S17" s="197"/>
      <c r="T17" s="197"/>
      <c r="U17" s="197"/>
      <c r="V17" s="224"/>
      <c r="W17" s="217"/>
      <c r="X17" s="158"/>
    </row>
    <row r="18" spans="2:25" ht="21.75" thickBot="1">
      <c r="B18" s="592"/>
      <c r="C18" s="166" t="s">
        <v>774</v>
      </c>
      <c r="D18" s="162">
        <f>+_xlfn.XLOOKUP($C18,'FASE 1   '!$C$421:$V$421,'FASE 1   '!$C$423:$V$423)</f>
        <v>0.52083333333333337</v>
      </c>
      <c r="E18" s="162">
        <f>+_xlfn.XLOOKUP($C18,'FASE 1   '!$C$421:$V$421,'FASE 1   '!$C$424:$V$424)</f>
        <v>0.48837209302325579</v>
      </c>
      <c r="F18" s="162">
        <f>+_xlfn.XLOOKUP($C18,'FASE 1   '!$C$421:$V$421,'FASE 1   '!$C$425:$V$425)</f>
        <v>0.12272727272727274</v>
      </c>
      <c r="G18" s="162">
        <f>+_xlfn.XLOOKUP($C18,'FASE 1   '!$C$421:$V$421,'FASE 1   '!$C$426:$V$426)</f>
        <v>0</v>
      </c>
      <c r="H18" s="162">
        <f>+_xlfn.XLOOKUP($C18,'FASE 1   '!$C$421:$V$421,'FASE 1   '!$C$427:$V$427)</f>
        <v>0</v>
      </c>
      <c r="I18" s="162">
        <f>+_xlfn.XLOOKUP($C18,'FASE 1   '!$C$421:$V$421,'FASE 1   '!$C$428:$V$428)</f>
        <v>0</v>
      </c>
      <c r="J18" s="162">
        <f>+_xlfn.XLOOKUP($C18,'FASE 1   '!$C$421:$V$421,'FASE 1   '!$C$429:$V$429)</f>
        <v>0</v>
      </c>
      <c r="K18" s="162">
        <f>+_xlfn.XLOOKUP($C18,'FASE 1   '!$C$421:$V$421,'FASE 1   '!$C$430:$V$430)</f>
        <v>0</v>
      </c>
      <c r="L18" s="162">
        <f>+_xlfn.XLOOKUP($C18,'FASE 1   '!$C$421:$V$421,'FASE 1   '!$C$431:$V$431)</f>
        <v>0</v>
      </c>
      <c r="M18" s="162" t="e">
        <f>+_xlfn.XLOOKUP($C18,'FASE 1   '!$C$421:$V$421,'FASE 1   '!#REF!)</f>
        <v>#REF!</v>
      </c>
      <c r="N18" s="162" t="e">
        <f>+_xlfn.XLOOKUP($C18,'FASE 1   '!$C$421:$V$421,'FASE 1   '!#REF!)</f>
        <v>#REF!</v>
      </c>
      <c r="O18" s="162" t="e">
        <f>+_xlfn.XLOOKUP($C18,'FASE 1   '!$C$421:$V$421,'FASE 1   '!#REF!)</f>
        <v>#REF!</v>
      </c>
      <c r="P18" s="155" t="e">
        <f t="shared" si="1"/>
        <v>#REF!</v>
      </c>
      <c r="Q18" s="196" t="e">
        <f t="shared" si="2"/>
        <v>#REF!</v>
      </c>
      <c r="R18" s="197"/>
      <c r="S18" s="197"/>
      <c r="T18" s="197"/>
      <c r="U18" s="197"/>
      <c r="V18" s="224"/>
      <c r="W18" s="217"/>
      <c r="X18" s="158"/>
    </row>
    <row r="19" spans="2:25" ht="21.75" thickBot="1">
      <c r="B19" s="592"/>
      <c r="C19" s="166" t="s">
        <v>693</v>
      </c>
      <c r="D19" s="162">
        <f>+_xlfn.XLOOKUP($C19,'FASE 1   '!$C$421:$V$421,'FASE 1   '!$C$423:$V$423)</f>
        <v>0.58333333333333337</v>
      </c>
      <c r="E19" s="162">
        <f>+_xlfn.XLOOKUP($C19,'FASE 1   '!$C$421:$V$421,'FASE 1   '!$C$424:$V$424)</f>
        <v>0.45348837209302323</v>
      </c>
      <c r="F19" s="162">
        <f>+_xlfn.XLOOKUP($C19,'FASE 1   '!$C$421:$V$421,'FASE 1   '!$C$425:$V$425)</f>
        <v>0.18181818181818182</v>
      </c>
      <c r="G19" s="162">
        <f>+_xlfn.XLOOKUP($C19,'FASE 1   '!$C$421:$V$421,'FASE 1   '!$C$426:$V$426)</f>
        <v>0</v>
      </c>
      <c r="H19" s="162">
        <f>+_xlfn.XLOOKUP($C19,'FASE 1   '!$C$421:$V$421,'FASE 1   '!$C$427:$V$427)</f>
        <v>0</v>
      </c>
      <c r="I19" s="162">
        <f>+_xlfn.XLOOKUP($C19,'FASE 1   '!$C$421:$V$421,'FASE 1   '!$C$428:$V$428)</f>
        <v>0</v>
      </c>
      <c r="J19" s="162">
        <f>+_xlfn.XLOOKUP($C19,'FASE 1   '!$C$421:$V$421,'FASE 1   '!$C$429:$V$429)</f>
        <v>0</v>
      </c>
      <c r="K19" s="162">
        <f>+_xlfn.XLOOKUP($C19,'FASE 1   '!$C$421:$V$421,'FASE 1   '!$C$430:$V$430)</f>
        <v>0</v>
      </c>
      <c r="L19" s="162">
        <f>+_xlfn.XLOOKUP($C19,'FASE 1   '!$C$421:$V$421,'FASE 1   '!$C$431:$V$431)</f>
        <v>0</v>
      </c>
      <c r="M19" s="162" t="e">
        <f>+_xlfn.XLOOKUP($C19,'FASE 1   '!$C$421:$V$421,'FASE 1   '!#REF!)</f>
        <v>#REF!</v>
      </c>
      <c r="N19" s="162" t="e">
        <f>+_xlfn.XLOOKUP($C19,'FASE 1   '!$C$421:$V$421,'FASE 1   '!#REF!)</f>
        <v>#REF!</v>
      </c>
      <c r="O19" s="162" t="e">
        <f>+_xlfn.XLOOKUP($C19,'FASE 1   '!$C$421:$V$421,'FASE 1   '!#REF!)</f>
        <v>#REF!</v>
      </c>
      <c r="P19" s="155" t="e">
        <f t="shared" si="1"/>
        <v>#REF!</v>
      </c>
      <c r="Q19" s="196" t="e">
        <f t="shared" si="2"/>
        <v>#REF!</v>
      </c>
      <c r="R19" s="197"/>
      <c r="S19" s="197"/>
      <c r="T19" s="197"/>
      <c r="U19" s="197"/>
      <c r="V19" s="224"/>
      <c r="W19" s="217"/>
      <c r="X19" s="158"/>
    </row>
    <row r="20" spans="2:25" ht="21.75" thickBot="1">
      <c r="B20" s="592"/>
      <c r="C20" s="166" t="s">
        <v>694</v>
      </c>
      <c r="D20" s="162">
        <f>+_xlfn.XLOOKUP($C20,'FASE 1   '!$C$421:$V$421,'FASE 1   '!$C$423:$V$423)</f>
        <v>0.58333333333333337</v>
      </c>
      <c r="E20" s="162">
        <f>+_xlfn.XLOOKUP($C20,'FASE 1   '!$C$421:$V$421,'FASE 1   '!$C$424:$V$424)</f>
        <v>0.18604651162790697</v>
      </c>
      <c r="F20" s="162">
        <f>+_xlfn.XLOOKUP($C20,'FASE 1   '!$C$421:$V$421,'FASE 1   '!$C$425:$V$425)</f>
        <v>0</v>
      </c>
      <c r="G20" s="162">
        <f>+_xlfn.XLOOKUP($C20,'FASE 1   '!$C$421:$V$421,'FASE 1   '!$C$426:$V$426)</f>
        <v>0</v>
      </c>
      <c r="H20" s="162">
        <f>+_xlfn.XLOOKUP($C20,'FASE 1   '!$C$421:$V$421,'FASE 1   '!$C$427:$V$427)</f>
        <v>0</v>
      </c>
      <c r="I20" s="162">
        <f>+_xlfn.XLOOKUP($C20,'FASE 1   '!$C$421:$V$421,'FASE 1   '!$C$428:$V$428)</f>
        <v>0</v>
      </c>
      <c r="J20" s="162">
        <f>+_xlfn.XLOOKUP($C20,'FASE 1   '!$C$421:$V$421,'FASE 1   '!$C$429:$V$429)</f>
        <v>0</v>
      </c>
      <c r="K20" s="162">
        <f>+_xlfn.XLOOKUP($C20,'FASE 1   '!$C$421:$V$421,'FASE 1   '!$C$430:$V$430)</f>
        <v>0</v>
      </c>
      <c r="L20" s="162">
        <f>+_xlfn.XLOOKUP($C20,'FASE 1   '!$C$421:$V$421,'FASE 1   '!$C$431:$V$431)</f>
        <v>0</v>
      </c>
      <c r="M20" s="162" t="e">
        <f>+_xlfn.XLOOKUP($C20,'FASE 1   '!$C$421:$V$421,'FASE 1   '!#REF!)</f>
        <v>#REF!</v>
      </c>
      <c r="N20" s="162" t="e">
        <f>+_xlfn.XLOOKUP($C20,'FASE 1   '!$C$421:$V$421,'FASE 1   '!#REF!)</f>
        <v>#REF!</v>
      </c>
      <c r="O20" s="162" t="e">
        <f>+_xlfn.XLOOKUP($C20,'FASE 1   '!$C$421:$V$421,'FASE 1   '!#REF!)</f>
        <v>#REF!</v>
      </c>
      <c r="P20" s="155" t="e">
        <f t="shared" si="1"/>
        <v>#REF!</v>
      </c>
      <c r="Q20" s="196" t="e">
        <f t="shared" si="2"/>
        <v>#REF!</v>
      </c>
      <c r="R20" s="197"/>
      <c r="S20" s="197"/>
      <c r="T20" s="197"/>
      <c r="U20" s="197"/>
      <c r="V20" s="224"/>
      <c r="W20" s="217"/>
      <c r="X20" s="158"/>
    </row>
    <row r="21" spans="2:25" ht="21.75" thickBot="1">
      <c r="B21" s="592"/>
      <c r="C21" s="166" t="s">
        <v>695</v>
      </c>
      <c r="D21" s="162">
        <f>+_xlfn.XLOOKUP($C21,'FASE 1   '!$C$421:$V$421,'FASE 1   '!$C$423:$V$423)</f>
        <v>0.31666666666666671</v>
      </c>
      <c r="E21" s="162">
        <f>+_xlfn.XLOOKUP($C21,'FASE 1   '!$C$421:$V$421,'FASE 1   '!$C$424:$V$424)</f>
        <v>0</v>
      </c>
      <c r="F21" s="162">
        <f>+_xlfn.XLOOKUP($C21,'FASE 1   '!$C$421:$V$421,'FASE 1   '!$C$425:$V$425)</f>
        <v>0</v>
      </c>
      <c r="G21" s="162">
        <f>+_xlfn.XLOOKUP($C21,'FASE 1   '!$C$421:$V$421,'FASE 1   '!$C$426:$V$426)</f>
        <v>0</v>
      </c>
      <c r="H21" s="162">
        <f>+_xlfn.XLOOKUP($C21,'FASE 1   '!$C$421:$V$421,'FASE 1   '!$C$427:$V$427)</f>
        <v>0</v>
      </c>
      <c r="I21" s="162">
        <f>+_xlfn.XLOOKUP($C21,'FASE 1   '!$C$421:$V$421,'FASE 1   '!$C$428:$V$428)</f>
        <v>0</v>
      </c>
      <c r="J21" s="162">
        <f>+_xlfn.XLOOKUP($C21,'FASE 1   '!$C$421:$V$421,'FASE 1   '!$C$429:$V$429)</f>
        <v>0</v>
      </c>
      <c r="K21" s="162">
        <f>+_xlfn.XLOOKUP($C21,'FASE 1   '!$C$421:$V$421,'FASE 1   '!$C$430:$V$430)</f>
        <v>0</v>
      </c>
      <c r="L21" s="162">
        <f>+_xlfn.XLOOKUP($C21,'FASE 1   '!$C$421:$V$421,'FASE 1   '!$C$431:$V$431)</f>
        <v>0</v>
      </c>
      <c r="M21" s="162" t="e">
        <f>+_xlfn.XLOOKUP($C21,'FASE 1   '!$C$421:$V$421,'FASE 1   '!#REF!)</f>
        <v>#REF!</v>
      </c>
      <c r="N21" s="162" t="e">
        <f>+_xlfn.XLOOKUP($C21,'FASE 1   '!$C$421:$V$421,'FASE 1   '!#REF!)</f>
        <v>#REF!</v>
      </c>
      <c r="O21" s="162" t="e">
        <f>+_xlfn.XLOOKUP($C21,'FASE 1   '!$C$421:$V$421,'FASE 1   '!#REF!)</f>
        <v>#REF!</v>
      </c>
      <c r="P21" s="155" t="e">
        <f t="shared" si="1"/>
        <v>#REF!</v>
      </c>
      <c r="Q21" s="196" t="e">
        <f t="shared" si="2"/>
        <v>#REF!</v>
      </c>
      <c r="R21" s="197"/>
      <c r="S21" s="197"/>
      <c r="T21" s="197"/>
      <c r="U21" s="197"/>
      <c r="V21" s="224"/>
      <c r="W21" s="217"/>
      <c r="X21" s="158"/>
      <c r="Y21" s="173"/>
    </row>
    <row r="22" spans="2:25" ht="21.75" thickBot="1">
      <c r="B22" s="592"/>
      <c r="C22" s="166" t="s">
        <v>752</v>
      </c>
      <c r="D22" s="162" t="e">
        <f>+_xlfn.XLOOKUP($C22,'FASE 1   '!$C$421:$V$421,'FASE 1   '!$C$423:$V$423)</f>
        <v>#N/A</v>
      </c>
      <c r="E22" s="162" t="e">
        <f>+_xlfn.XLOOKUP($C22,'FASE 1   '!$C$421:$V$421,'FASE 1   '!$C$424:$V$424)</f>
        <v>#N/A</v>
      </c>
      <c r="F22" s="162" t="e">
        <f>+_xlfn.XLOOKUP($C22,'FASE 1   '!$C$421:$V$421,'FASE 1   '!$C$425:$V$425)</f>
        <v>#N/A</v>
      </c>
      <c r="G22" s="162" t="e">
        <f>+_xlfn.XLOOKUP($C22,'FASE 1   '!$C$421:$V$421,'FASE 1   '!$C$426:$V$426)</f>
        <v>#N/A</v>
      </c>
      <c r="H22" s="162" t="e">
        <f>+_xlfn.XLOOKUP($C22,'FASE 1   '!$C$421:$V$421,'FASE 1   '!$C$427:$V$427)</f>
        <v>#N/A</v>
      </c>
      <c r="I22" s="162" t="e">
        <f>+_xlfn.XLOOKUP($C22,'FASE 1   '!$C$421:$V$421,'FASE 1   '!$C$428:$V$428)</f>
        <v>#N/A</v>
      </c>
      <c r="J22" s="162" t="e">
        <f>+_xlfn.XLOOKUP($C22,'FASE 1   '!$C$421:$V$421,'FASE 1   '!$C$429:$V$429)</f>
        <v>#N/A</v>
      </c>
      <c r="K22" s="162" t="e">
        <f>+_xlfn.XLOOKUP($C22,'FASE 1   '!$C$421:$V$421,'FASE 1   '!$C$430:$V$430)</f>
        <v>#N/A</v>
      </c>
      <c r="L22" s="162" t="e">
        <f>+_xlfn.XLOOKUP($C22,'FASE 1   '!$C$421:$V$421,'FASE 1   '!$C$431:$V$431)</f>
        <v>#N/A</v>
      </c>
      <c r="M22" s="162" t="e">
        <f>+_xlfn.XLOOKUP($C22,'FASE 1   '!$C$421:$V$421,'FASE 1   '!#REF!)</f>
        <v>#REF!</v>
      </c>
      <c r="N22" s="162" t="e">
        <f>+_xlfn.XLOOKUP($C22,'FASE 1   '!$C$421:$V$421,'FASE 1   '!#REF!)</f>
        <v>#REF!</v>
      </c>
      <c r="O22" s="162" t="e">
        <f>+_xlfn.XLOOKUP($C22,'FASE 1   '!$C$421:$V$421,'FASE 1   '!#REF!)</f>
        <v>#REF!</v>
      </c>
      <c r="P22" s="155" t="e">
        <f t="shared" si="1"/>
        <v>#N/A</v>
      </c>
      <c r="Q22" s="196" t="e">
        <f t="shared" si="2"/>
        <v>#N/A</v>
      </c>
      <c r="R22" s="197"/>
      <c r="S22" s="197"/>
      <c r="T22" s="197"/>
      <c r="U22" s="197"/>
      <c r="V22" s="224"/>
      <c r="W22" s="217"/>
      <c r="X22" s="158"/>
    </row>
    <row r="23" spans="2:25" ht="21.75" thickBot="1">
      <c r="B23" s="592"/>
      <c r="C23" s="166" t="s">
        <v>748</v>
      </c>
      <c r="D23" s="162">
        <f>+_xlfn.XLOOKUP($C23,'FASE 1   '!$C$421:$V$421,'FASE 1   '!$C$423:$V$423)</f>
        <v>0.22916666666666666</v>
      </c>
      <c r="E23" s="162">
        <f>+_xlfn.XLOOKUP($C23,'FASE 1   '!$C$421:$V$421,'FASE 1   '!$C$424:$V$424)</f>
        <v>3.7209302325581395E-2</v>
      </c>
      <c r="F23" s="162">
        <f>+_xlfn.XLOOKUP($C23,'FASE 1   '!$C$421:$V$421,'FASE 1   '!$C$425:$V$425)</f>
        <v>0</v>
      </c>
      <c r="G23" s="162">
        <f>+_xlfn.XLOOKUP($C23,'FASE 1   '!$C$421:$V$421,'FASE 1   '!$C$426:$V$426)</f>
        <v>0</v>
      </c>
      <c r="H23" s="162">
        <f>+_xlfn.XLOOKUP($C23,'FASE 1   '!$C$421:$V$421,'FASE 1   '!$C$427:$V$427)</f>
        <v>0</v>
      </c>
      <c r="I23" s="162">
        <f>+_xlfn.XLOOKUP($C23,'FASE 1   '!$C$421:$V$421,'FASE 1   '!$C$428:$V$428)</f>
        <v>0</v>
      </c>
      <c r="J23" s="162">
        <f>+_xlfn.XLOOKUP($C23,'FASE 1   '!$C$421:$V$421,'FASE 1   '!$C$429:$V$429)</f>
        <v>0</v>
      </c>
      <c r="K23" s="162">
        <f>+_xlfn.XLOOKUP($C23,'FASE 1   '!$C$421:$V$421,'FASE 1   '!$C$430:$V$430)</f>
        <v>0</v>
      </c>
      <c r="L23" s="162">
        <f>+_xlfn.XLOOKUP($C23,'FASE 1   '!$C$421:$V$421,'FASE 1   '!$C$431:$V$431)</f>
        <v>0</v>
      </c>
      <c r="M23" s="162" t="e">
        <f>+_xlfn.XLOOKUP($C23,'FASE 1   '!$C$421:$V$421,'FASE 1   '!#REF!)</f>
        <v>#REF!</v>
      </c>
      <c r="N23" s="162" t="e">
        <f>+_xlfn.XLOOKUP($C23,'FASE 1   '!$C$421:$V$421,'FASE 1   '!#REF!)</f>
        <v>#REF!</v>
      </c>
      <c r="O23" s="162" t="e">
        <f>+_xlfn.XLOOKUP($C23,'FASE 1   '!$C$421:$V$421,'FASE 1   '!#REF!)</f>
        <v>#REF!</v>
      </c>
      <c r="P23" s="155" t="e">
        <f t="shared" si="1"/>
        <v>#REF!</v>
      </c>
      <c r="Q23" s="196" t="e">
        <f t="shared" si="2"/>
        <v>#REF!</v>
      </c>
      <c r="R23" s="197"/>
      <c r="S23" s="197"/>
      <c r="T23" s="197"/>
      <c r="U23" s="197"/>
      <c r="V23" s="224"/>
      <c r="W23" s="217"/>
      <c r="X23" s="158"/>
    </row>
    <row r="24" spans="2:25" ht="21.75" thickBot="1">
      <c r="B24" s="592"/>
      <c r="C24" s="166" t="s">
        <v>696</v>
      </c>
      <c r="D24" s="162">
        <f>+_xlfn.XLOOKUP($C24,'FASE 1   '!$C$421:$V$421,'FASE 1   '!$C$423:$V$423)</f>
        <v>0.44166666666666665</v>
      </c>
      <c r="E24" s="162">
        <f>+_xlfn.XLOOKUP($C24,'FASE 1   '!$C$421:$V$421,'FASE 1   '!$C$424:$V$424)</f>
        <v>0.14651162790697675</v>
      </c>
      <c r="F24" s="162">
        <f>+_xlfn.XLOOKUP($C24,'FASE 1   '!$C$421:$V$421,'FASE 1   '!$C$425:$V$425)</f>
        <v>0</v>
      </c>
      <c r="G24" s="162">
        <f>+_xlfn.XLOOKUP($C24,'FASE 1   '!$C$421:$V$421,'FASE 1   '!$C$426:$V$426)</f>
        <v>0</v>
      </c>
      <c r="H24" s="162">
        <f>+_xlfn.XLOOKUP($C24,'FASE 1   '!$C$421:$V$421,'FASE 1   '!$C$427:$V$427)</f>
        <v>0</v>
      </c>
      <c r="I24" s="162">
        <f>+_xlfn.XLOOKUP($C24,'FASE 1   '!$C$421:$V$421,'FASE 1   '!$C$428:$V$428)</f>
        <v>0</v>
      </c>
      <c r="J24" s="162">
        <f>+_xlfn.XLOOKUP($C24,'FASE 1   '!$C$421:$V$421,'FASE 1   '!$C$429:$V$429)</f>
        <v>0</v>
      </c>
      <c r="K24" s="162">
        <f>+_xlfn.XLOOKUP($C24,'FASE 1   '!$C$421:$V$421,'FASE 1   '!$C$430:$V$430)</f>
        <v>0</v>
      </c>
      <c r="L24" s="162">
        <f>+_xlfn.XLOOKUP($C24,'FASE 1   '!$C$421:$V$421,'FASE 1   '!$C$431:$V$431)</f>
        <v>0</v>
      </c>
      <c r="M24" s="162" t="e">
        <f>+_xlfn.XLOOKUP($C24,'FASE 1   '!$C$421:$V$421,'FASE 1   '!#REF!)</f>
        <v>#REF!</v>
      </c>
      <c r="N24" s="162" t="e">
        <f>+_xlfn.XLOOKUP($C24,'FASE 1   '!$C$421:$V$421,'FASE 1   '!#REF!)</f>
        <v>#REF!</v>
      </c>
      <c r="O24" s="162" t="e">
        <f>+_xlfn.XLOOKUP($C24,'FASE 1   '!$C$421:$V$421,'FASE 1   '!#REF!)</f>
        <v>#REF!</v>
      </c>
      <c r="P24" s="155" t="e">
        <f t="shared" si="1"/>
        <v>#REF!</v>
      </c>
      <c r="Q24" s="196" t="e">
        <f t="shared" si="2"/>
        <v>#REF!</v>
      </c>
      <c r="R24" s="197"/>
      <c r="S24" s="197"/>
      <c r="T24" s="197"/>
      <c r="U24" s="197"/>
      <c r="V24" s="224"/>
      <c r="W24" s="217"/>
      <c r="X24" s="158"/>
    </row>
    <row r="25" spans="2:25" ht="21.75" thickBot="1">
      <c r="B25" s="592"/>
      <c r="C25" s="166" t="s">
        <v>697</v>
      </c>
      <c r="D25" s="162">
        <f>+_xlfn.XLOOKUP($C25,'FASE 1   '!$C$421:$V$421,'FASE 1   '!$C$423:$V$423)</f>
        <v>0.52708333333333335</v>
      </c>
      <c r="E25" s="162">
        <f>+_xlfn.XLOOKUP($C25,'FASE 1   '!$C$421:$V$421,'FASE 1   '!$C$424:$V$424)</f>
        <v>0</v>
      </c>
      <c r="F25" s="162">
        <f>+_xlfn.XLOOKUP($C25,'FASE 1   '!$C$421:$V$421,'FASE 1   '!$C$425:$V$425)</f>
        <v>0</v>
      </c>
      <c r="G25" s="162">
        <f>+_xlfn.XLOOKUP($C25,'FASE 1   '!$C$421:$V$421,'FASE 1   '!$C$426:$V$426)</f>
        <v>0</v>
      </c>
      <c r="H25" s="162">
        <f>+_xlfn.XLOOKUP($C25,'FASE 1   '!$C$421:$V$421,'FASE 1   '!$C$427:$V$427)</f>
        <v>0</v>
      </c>
      <c r="I25" s="162">
        <f>+_xlfn.XLOOKUP($C25,'FASE 1   '!$C$421:$V$421,'FASE 1   '!$C$428:$V$428)</f>
        <v>0</v>
      </c>
      <c r="J25" s="162">
        <f>+_xlfn.XLOOKUP($C25,'FASE 1   '!$C$421:$V$421,'FASE 1   '!$C$429:$V$429)</f>
        <v>0</v>
      </c>
      <c r="K25" s="162">
        <f>+_xlfn.XLOOKUP($C25,'FASE 1   '!$C$421:$V$421,'FASE 1   '!$C$430:$V$430)</f>
        <v>0</v>
      </c>
      <c r="L25" s="162">
        <f>+_xlfn.XLOOKUP($C25,'FASE 1   '!$C$421:$V$421,'FASE 1   '!$C$431:$V$431)</f>
        <v>0</v>
      </c>
      <c r="M25" s="162" t="e">
        <f>+_xlfn.XLOOKUP($C25,'FASE 1   '!$C$421:$V$421,'FASE 1   '!#REF!)</f>
        <v>#REF!</v>
      </c>
      <c r="N25" s="162" t="e">
        <f>+_xlfn.XLOOKUP($C25,'FASE 1   '!$C$421:$V$421,'FASE 1   '!#REF!)</f>
        <v>#REF!</v>
      </c>
      <c r="O25" s="162" t="e">
        <f>+_xlfn.XLOOKUP($C25,'FASE 1   '!$C$421:$V$421,'FASE 1   '!#REF!)</f>
        <v>#REF!</v>
      </c>
      <c r="P25" s="155" t="e">
        <f t="shared" si="1"/>
        <v>#REF!</v>
      </c>
      <c r="Q25" s="196" t="e">
        <f t="shared" si="2"/>
        <v>#REF!</v>
      </c>
      <c r="R25" s="197"/>
      <c r="S25" s="197"/>
      <c r="T25" s="197"/>
      <c r="U25" s="197"/>
      <c r="V25" s="224"/>
      <c r="W25" s="217"/>
      <c r="X25" s="158"/>
    </row>
    <row r="26" spans="2:25" ht="21.75" thickBot="1">
      <c r="B26" s="592"/>
      <c r="C26" s="166" t="s">
        <v>698</v>
      </c>
      <c r="D26" s="162">
        <f>+_xlfn.XLOOKUP($C26,'FASE 1   '!$C$421:$V$421,'FASE 1   '!$C$423:$V$423)</f>
        <v>0.45833333333333331</v>
      </c>
      <c r="E26" s="162">
        <f>+_xlfn.XLOOKUP($C26,'FASE 1   '!$C$421:$V$421,'FASE 1   '!$C$424:$V$424)</f>
        <v>0</v>
      </c>
      <c r="F26" s="162">
        <f>+_xlfn.XLOOKUP($C26,'FASE 1   '!$C$421:$V$421,'FASE 1   '!$C$425:$V$425)</f>
        <v>0</v>
      </c>
      <c r="G26" s="162">
        <f>+_xlfn.XLOOKUP($C26,'FASE 1   '!$C$421:$V$421,'FASE 1   '!$C$426:$V$426)</f>
        <v>0</v>
      </c>
      <c r="H26" s="162">
        <f>+_xlfn.XLOOKUP($C26,'FASE 1   '!$C$421:$V$421,'FASE 1   '!$C$427:$V$427)</f>
        <v>0</v>
      </c>
      <c r="I26" s="162">
        <f>+_xlfn.XLOOKUP($C26,'FASE 1   '!$C$421:$V$421,'FASE 1   '!$C$428:$V$428)</f>
        <v>0</v>
      </c>
      <c r="J26" s="162">
        <f>+_xlfn.XLOOKUP($C26,'FASE 1   '!$C$421:$V$421,'FASE 1   '!$C$429:$V$429)</f>
        <v>0</v>
      </c>
      <c r="K26" s="162">
        <f>+_xlfn.XLOOKUP($C26,'FASE 1   '!$C$421:$V$421,'FASE 1   '!$C$430:$V$430)</f>
        <v>0</v>
      </c>
      <c r="L26" s="162">
        <f>+_xlfn.XLOOKUP($C26,'FASE 1   '!$C$421:$V$421,'FASE 1   '!$C$431:$V$431)</f>
        <v>0</v>
      </c>
      <c r="M26" s="162" t="e">
        <f>+_xlfn.XLOOKUP($C26,'FASE 1   '!$C$421:$V$421,'FASE 1   '!#REF!)</f>
        <v>#REF!</v>
      </c>
      <c r="N26" s="162" t="e">
        <f>+_xlfn.XLOOKUP($C26,'FASE 1   '!$C$421:$V$421,'FASE 1   '!#REF!)</f>
        <v>#REF!</v>
      </c>
      <c r="O26" s="162" t="e">
        <f>+_xlfn.XLOOKUP($C26,'FASE 1   '!$C$421:$V$421,'FASE 1   '!#REF!)</f>
        <v>#REF!</v>
      </c>
      <c r="P26" s="155" t="e">
        <f t="shared" si="1"/>
        <v>#REF!</v>
      </c>
      <c r="Q26" s="196" t="e">
        <f t="shared" si="2"/>
        <v>#REF!</v>
      </c>
      <c r="R26" s="197"/>
      <c r="S26" s="197"/>
      <c r="T26" s="197"/>
      <c r="U26" s="197"/>
      <c r="V26" s="224"/>
      <c r="W26" s="217"/>
      <c r="X26" s="158"/>
    </row>
    <row r="27" spans="2:25" ht="21.75" thickBot="1">
      <c r="B27" s="592"/>
      <c r="C27" s="166" t="s">
        <v>773</v>
      </c>
      <c r="D27" s="162">
        <f>+_xlfn.XLOOKUP($C27,'FASE 1   '!$C$421:$V$421,'FASE 1   '!$C$423:$V$423)</f>
        <v>8.3333333333333329E-2</v>
      </c>
      <c r="E27" s="162">
        <f>+_xlfn.XLOOKUP($C27,'FASE 1   '!$C$421:$V$421,'FASE 1   '!$C$423:$V$423)</f>
        <v>8.3333333333333329E-2</v>
      </c>
      <c r="F27" s="162">
        <f>+_xlfn.XLOOKUP($C27,'FASE 1   '!$C$421:$V$421,'FASE 1   '!$C$423:$V$423)</f>
        <v>8.3333333333333329E-2</v>
      </c>
      <c r="G27" s="162">
        <f>+_xlfn.XLOOKUP($C27,'FASE 1   '!$C$421:$V$421,'FASE 1   '!$C$423:$V$423)</f>
        <v>8.3333333333333329E-2</v>
      </c>
      <c r="H27" s="162">
        <f>+_xlfn.XLOOKUP($C27,'FASE 1   '!$C$421:$V$421,'FASE 1   '!$C$423:$V$423)</f>
        <v>8.3333333333333329E-2</v>
      </c>
      <c r="I27" s="162">
        <f>+_xlfn.XLOOKUP($C27,'FASE 1   '!$C$421:$V$421,'FASE 1   '!$C$423:$V$423)</f>
        <v>8.3333333333333329E-2</v>
      </c>
      <c r="J27" s="162">
        <f>+_xlfn.XLOOKUP($C27,'FASE 1   '!$C$421:$V$421,'FASE 1   '!$C$423:$V$423)</f>
        <v>8.3333333333333329E-2</v>
      </c>
      <c r="K27" s="162">
        <f>+_xlfn.XLOOKUP($C27,'FASE 1   '!$C$421:$V$421,'FASE 1   '!$C$423:$V$423)</f>
        <v>8.3333333333333329E-2</v>
      </c>
      <c r="L27" s="162">
        <f>+_xlfn.XLOOKUP($C27,'FASE 1   '!$C$421:$V$421,'FASE 1   '!$C$423:$V$423)</f>
        <v>8.3333333333333329E-2</v>
      </c>
      <c r="M27" s="162">
        <f>+_xlfn.XLOOKUP($C27,'FASE 1   '!$C$421:$V$421,'FASE 1   '!$C$423:$V$423)</f>
        <v>8.3333333333333329E-2</v>
      </c>
      <c r="N27" s="162">
        <f>+_xlfn.XLOOKUP($C27,'FASE 1   '!$C$421:$V$421,'FASE 1   '!$C$423:$V$423)</f>
        <v>8.3333333333333329E-2</v>
      </c>
      <c r="O27" s="162">
        <f>+_xlfn.XLOOKUP($C27,'FASE 1   '!$C$421:$V$421,'FASE 1   '!$C$423:$V$423)</f>
        <v>8.3333333333333329E-2</v>
      </c>
      <c r="P27" s="155">
        <f>+AVERAGE(D27:O27)</f>
        <v>8.3333333333333329E-2</v>
      </c>
      <c r="Q27" s="196">
        <f t="shared" si="2"/>
        <v>8.3333333333333329E-2</v>
      </c>
      <c r="R27" s="197"/>
      <c r="S27" s="197"/>
      <c r="T27" s="197"/>
      <c r="U27" s="197"/>
      <c r="V27" s="224"/>
      <c r="W27" s="217"/>
      <c r="X27" s="158"/>
    </row>
    <row r="28" spans="2:25" ht="21.75" thickBot="1">
      <c r="B28" s="592"/>
      <c r="C28" s="166" t="s">
        <v>699</v>
      </c>
      <c r="D28" s="162">
        <f>+_xlfn.XLOOKUP($C28,'FASE 1   '!$C$421:$V$421,'FASE 1   '!$C$423:$V$423)</f>
        <v>0.45</v>
      </c>
      <c r="E28" s="162">
        <f>+_xlfn.XLOOKUP($C28,'FASE 1   '!$C$421:$V$421,'FASE 1   '!$C$424:$V$424)</f>
        <v>0</v>
      </c>
      <c r="F28" s="162">
        <f>+_xlfn.XLOOKUP($C28,'FASE 1   '!$C$421:$V$421,'FASE 1   '!$C$425:$V$425)</f>
        <v>0</v>
      </c>
      <c r="G28" s="162">
        <f>+_xlfn.XLOOKUP($C28,'FASE 1   '!$C$421:$V$421,'FASE 1   '!$C$426:$V$426)</f>
        <v>0</v>
      </c>
      <c r="H28" s="162">
        <f>+_xlfn.XLOOKUP($C28,'FASE 1   '!$C$421:$V$421,'FASE 1   '!$C$427:$V$427)</f>
        <v>0</v>
      </c>
      <c r="I28" s="162">
        <f>+_xlfn.XLOOKUP($C28,'FASE 1   '!$C$421:$V$421,'FASE 1   '!$C$428:$V$428)</f>
        <v>0</v>
      </c>
      <c r="J28" s="162">
        <f>+_xlfn.XLOOKUP($C28,'FASE 1   '!$C$421:$V$421,'FASE 1   '!$C$429:$V$429)</f>
        <v>0</v>
      </c>
      <c r="K28" s="162">
        <f>+_xlfn.XLOOKUP($C28,'FASE 1   '!$C$421:$V$421,'FASE 1   '!$C$430:$V$430)</f>
        <v>0</v>
      </c>
      <c r="L28" s="162">
        <f>+_xlfn.XLOOKUP($C28,'FASE 1   '!$C$421:$V$421,'FASE 1   '!$C$431:$V$431)</f>
        <v>0</v>
      </c>
      <c r="M28" s="162" t="e">
        <f>+_xlfn.XLOOKUP($C28,'FASE 1   '!$C$421:$V$421,'FASE 1   '!#REF!)</f>
        <v>#REF!</v>
      </c>
      <c r="N28" s="162" t="e">
        <f>+_xlfn.XLOOKUP($C28,'FASE 1   '!$C$421:$V$421,'FASE 1   '!#REF!)</f>
        <v>#REF!</v>
      </c>
      <c r="O28" s="162" t="e">
        <f>+_xlfn.XLOOKUP($C28,'FASE 1   '!$C$421:$V$421,'FASE 1   '!#REF!)</f>
        <v>#REF!</v>
      </c>
      <c r="P28" s="155" t="e">
        <f t="shared" si="1"/>
        <v>#REF!</v>
      </c>
      <c r="Q28" s="196" t="e">
        <f t="shared" si="2"/>
        <v>#REF!</v>
      </c>
      <c r="R28" s="197"/>
      <c r="S28" s="197"/>
      <c r="T28" s="197"/>
      <c r="U28" s="197"/>
      <c r="V28" s="224"/>
      <c r="W28" s="217"/>
      <c r="X28" s="158"/>
    </row>
    <row r="29" spans="2:25" ht="21.75" thickBot="1">
      <c r="B29" s="592"/>
      <c r="C29" s="166" t="s">
        <v>700</v>
      </c>
      <c r="D29" s="162">
        <f>+_xlfn.XLOOKUP($C29,'FASE 1   '!$C$421:$V$421,'FASE 1   '!$C$423:$V$423)</f>
        <v>0.36041666666666666</v>
      </c>
      <c r="E29" s="162">
        <f>+_xlfn.XLOOKUP($C29,'FASE 1   '!$C$421:$V$421,'FASE 1   '!$C$424:$V$424)</f>
        <v>0</v>
      </c>
      <c r="F29" s="162">
        <f>+_xlfn.XLOOKUP($C29,'FASE 1   '!$C$421:$V$421,'FASE 1   '!$C$425:$V$425)</f>
        <v>0</v>
      </c>
      <c r="G29" s="162">
        <f>+_xlfn.XLOOKUP($C29,'FASE 1   '!$C$421:$V$421,'FASE 1   '!$C$426:$V$426)</f>
        <v>0</v>
      </c>
      <c r="H29" s="162">
        <f>+_xlfn.XLOOKUP($C29,'FASE 1   '!$C$421:$V$421,'FASE 1   '!$C$427:$V$427)</f>
        <v>0</v>
      </c>
      <c r="I29" s="162">
        <f>+_xlfn.XLOOKUP($C29,'FASE 1   '!$C$421:$V$421,'FASE 1   '!$C$428:$V$428)</f>
        <v>0</v>
      </c>
      <c r="J29" s="162">
        <f>+_xlfn.XLOOKUP($C29,'FASE 1   '!$C$421:$V$421,'FASE 1   '!$C$429:$V$429)</f>
        <v>0</v>
      </c>
      <c r="K29" s="162">
        <f>+_xlfn.XLOOKUP($C29,'FASE 1   '!$C$421:$V$421,'FASE 1   '!$C$430:$V$430)</f>
        <v>0</v>
      </c>
      <c r="L29" s="162">
        <f>+_xlfn.XLOOKUP($C29,'FASE 1   '!$C$421:$V$421,'FASE 1   '!$C$431:$V$431)</f>
        <v>0</v>
      </c>
      <c r="M29" s="162" t="e">
        <f>+_xlfn.XLOOKUP($C29,'FASE 1   '!$C$421:$V$421,'FASE 1   '!#REF!)</f>
        <v>#REF!</v>
      </c>
      <c r="N29" s="162" t="e">
        <f>+_xlfn.XLOOKUP($C29,'FASE 1   '!$C$421:$V$421,'FASE 1   '!#REF!)</f>
        <v>#REF!</v>
      </c>
      <c r="O29" s="162" t="e">
        <f>+_xlfn.XLOOKUP($C29,'FASE 1   '!$C$421:$V$421,'FASE 1   '!#REF!)</f>
        <v>#REF!</v>
      </c>
      <c r="P29" s="155" t="e">
        <f t="shared" si="1"/>
        <v>#REF!</v>
      </c>
      <c r="Q29" s="196" t="e">
        <f t="shared" si="2"/>
        <v>#REF!</v>
      </c>
      <c r="R29" s="197"/>
      <c r="S29" s="197"/>
      <c r="T29" s="197"/>
      <c r="U29" s="197"/>
      <c r="V29" s="224"/>
      <c r="W29" s="217"/>
      <c r="X29" s="158"/>
    </row>
    <row r="30" spans="2:25" ht="21.75" thickBot="1">
      <c r="B30" s="592"/>
      <c r="C30" s="166" t="s">
        <v>701</v>
      </c>
      <c r="D30" s="162">
        <f>+_xlfn.XLOOKUP($C30,'FASE 1   '!$C$421:$V$421,'FASE 1   '!$C$423:$V$423)</f>
        <v>0.13333333333333333</v>
      </c>
      <c r="E30" s="162">
        <f>+_xlfn.XLOOKUP($C30,'FASE 1   '!$C$421:$V$421,'FASE 1   '!$C$424:$V$424)</f>
        <v>0</v>
      </c>
      <c r="F30" s="162">
        <f>+_xlfn.XLOOKUP($C30,'FASE 1   '!$C$421:$V$421,'FASE 1   '!$C$425:$V$425)</f>
        <v>0</v>
      </c>
      <c r="G30" s="162">
        <f>+_xlfn.XLOOKUP($C30,'FASE 1   '!$C$421:$V$421,'FASE 1   '!$C$426:$V$426)</f>
        <v>0</v>
      </c>
      <c r="H30" s="162">
        <f>+_xlfn.XLOOKUP($C30,'FASE 1   '!$C$421:$V$421,'FASE 1   '!$C$427:$V$427)</f>
        <v>0</v>
      </c>
      <c r="I30" s="162">
        <f>+_xlfn.XLOOKUP($C30,'FASE 1   '!$C$421:$V$421,'FASE 1   '!$C$428:$V$428)</f>
        <v>0</v>
      </c>
      <c r="J30" s="162">
        <f>+_xlfn.XLOOKUP($C30,'FASE 1   '!$C$421:$V$421,'FASE 1   '!$C$429:$V$429)</f>
        <v>0</v>
      </c>
      <c r="K30" s="162">
        <f>+_xlfn.XLOOKUP($C30,'FASE 1   '!$C$421:$V$421,'FASE 1   '!$C$430:$V$430)</f>
        <v>0</v>
      </c>
      <c r="L30" s="162">
        <f>+_xlfn.XLOOKUP($C30,'FASE 1   '!$C$421:$V$421,'FASE 1   '!$C$431:$V$431)</f>
        <v>0</v>
      </c>
      <c r="M30" s="162" t="e">
        <f>+_xlfn.XLOOKUP($C30,'FASE 1   '!$C$421:$V$421,'FASE 1   '!#REF!)</f>
        <v>#REF!</v>
      </c>
      <c r="N30" s="162" t="e">
        <f>+_xlfn.XLOOKUP($C30,'FASE 1   '!$C$421:$V$421,'FASE 1   '!#REF!)</f>
        <v>#REF!</v>
      </c>
      <c r="O30" s="162" t="e">
        <f>+_xlfn.XLOOKUP($C30,'FASE 1   '!$C$421:$V$421,'FASE 1   '!#REF!)</f>
        <v>#REF!</v>
      </c>
      <c r="P30" s="155" t="e">
        <f t="shared" si="1"/>
        <v>#REF!</v>
      </c>
      <c r="Q30" s="196" t="e">
        <f t="shared" si="2"/>
        <v>#REF!</v>
      </c>
      <c r="R30" s="197"/>
      <c r="S30" s="197"/>
      <c r="T30" s="197"/>
      <c r="U30" s="197"/>
      <c r="V30" s="224"/>
      <c r="W30" s="217"/>
      <c r="X30" s="158"/>
    </row>
    <row r="31" spans="2:25" ht="21.75" thickBot="1">
      <c r="B31" s="593"/>
      <c r="C31" s="189" t="s">
        <v>702</v>
      </c>
      <c r="D31" s="188">
        <f>+_xlfn.XLOOKUP($C31,'FASE 1   '!$C$421:$V$421,'FASE 1   '!$C$423:$V$423)</f>
        <v>0.11666666666666665</v>
      </c>
      <c r="E31" s="188">
        <f>+_xlfn.XLOOKUP($C31,'FASE 1   '!$C$421:$V$421,'FASE 1   '!$C$424:$V$424)</f>
        <v>0</v>
      </c>
      <c r="F31" s="188">
        <f>+_xlfn.XLOOKUP($C31,'FASE 1   '!$C$421:$V$421,'FASE 1   '!$C$425:$V$425)</f>
        <v>0</v>
      </c>
      <c r="G31" s="188">
        <f>+_xlfn.XLOOKUP($C31,'FASE 1   '!$C$421:$V$421,'FASE 1   '!$C$426:$V$426)</f>
        <v>0</v>
      </c>
      <c r="H31" s="188">
        <f>+_xlfn.XLOOKUP($C31,'FASE 1   '!$C$421:$V$421,'FASE 1   '!$C$427:$V$427)</f>
        <v>0</v>
      </c>
      <c r="I31" s="188">
        <f>+_xlfn.XLOOKUP($C31,'FASE 1   '!$C$421:$V$421,'FASE 1   '!$C$428:$V$428)</f>
        <v>0</v>
      </c>
      <c r="J31" s="188">
        <f>+_xlfn.XLOOKUP($C31,'FASE 1   '!$C$421:$V$421,'FASE 1   '!$C$429:$V$429)</f>
        <v>0</v>
      </c>
      <c r="K31" s="188">
        <f>+_xlfn.XLOOKUP($C31,'FASE 1   '!$C$421:$V$421,'FASE 1   '!$C$430:$V$430)</f>
        <v>0</v>
      </c>
      <c r="L31" s="188">
        <f>+_xlfn.XLOOKUP($C31,'FASE 1   '!$C$421:$V$421,'FASE 1   '!$C$431:$V$431)</f>
        <v>0</v>
      </c>
      <c r="M31" s="188" t="e">
        <f>+_xlfn.XLOOKUP($C31,'FASE 1   '!$C$421:$V$421,'FASE 1   '!#REF!)</f>
        <v>#REF!</v>
      </c>
      <c r="N31" s="188" t="e">
        <f>+_xlfn.XLOOKUP($C31,'FASE 1   '!$C$421:$V$421,'FASE 1   '!#REF!)</f>
        <v>#REF!</v>
      </c>
      <c r="O31" s="188" t="e">
        <f>+_xlfn.XLOOKUP($C31,'FASE 1   '!$C$421:$V$421,'FASE 1   '!#REF!)</f>
        <v>#REF!</v>
      </c>
      <c r="P31" s="160" t="e">
        <f t="shared" si="1"/>
        <v>#REF!</v>
      </c>
      <c r="Q31" s="196" t="e">
        <f t="shared" si="2"/>
        <v>#REF!</v>
      </c>
      <c r="R31" s="198"/>
      <c r="S31" s="198"/>
      <c r="T31" s="198"/>
      <c r="U31" s="198"/>
      <c r="V31" s="225"/>
      <c r="W31" s="218"/>
      <c r="X31" s="161"/>
    </row>
    <row r="32" spans="2:25" s="185" customFormat="1" ht="13.5" customHeight="1" thickBot="1">
      <c r="B32" s="585" t="s">
        <v>45</v>
      </c>
      <c r="C32" s="231"/>
      <c r="D32" s="232"/>
      <c r="E32" s="232"/>
      <c r="F32" s="232"/>
      <c r="G32" s="232"/>
      <c r="H32" s="232"/>
      <c r="I32" s="232"/>
      <c r="J32" s="232"/>
      <c r="K32" s="232"/>
      <c r="L32" s="232"/>
      <c r="M32" s="232"/>
      <c r="N32" s="232"/>
      <c r="O32" s="232"/>
      <c r="P32" s="233"/>
      <c r="Q32" s="199" t="s">
        <v>776</v>
      </c>
      <c r="R32" s="199" t="s">
        <v>777</v>
      </c>
      <c r="S32" s="199" t="s">
        <v>778</v>
      </c>
      <c r="T32" s="199" t="s">
        <v>779</v>
      </c>
      <c r="U32" s="199" t="s">
        <v>780</v>
      </c>
      <c r="V32" s="199" t="s">
        <v>169</v>
      </c>
    </row>
    <row r="33" spans="1:24" s="185" customFormat="1" ht="13.5" thickBot="1">
      <c r="B33" s="586"/>
      <c r="C33" s="234"/>
      <c r="D33" s="235"/>
      <c r="E33" s="235"/>
      <c r="F33" s="235"/>
      <c r="G33" s="235"/>
      <c r="H33" s="235"/>
      <c r="I33" s="235"/>
      <c r="J33" s="235"/>
      <c r="K33" s="235"/>
      <c r="L33" s="235"/>
      <c r="M33" s="235"/>
      <c r="N33" s="235"/>
      <c r="O33" s="235"/>
      <c r="P33" s="236"/>
      <c r="Q33" s="195">
        <f>+F9</f>
        <v>0.24999999999999989</v>
      </c>
      <c r="R33" s="195">
        <f>+H9</f>
        <v>0.41666666666666652</v>
      </c>
      <c r="S33" s="195">
        <f>+J9</f>
        <v>0.58333333333333315</v>
      </c>
      <c r="T33" s="195">
        <f>+L9</f>
        <v>0.74999999999999967</v>
      </c>
      <c r="U33" s="195">
        <f>+N9</f>
        <v>0.9166666666666663</v>
      </c>
      <c r="V33" s="195">
        <f>+O9</f>
        <v>0.99999999999999956</v>
      </c>
    </row>
    <row r="34" spans="1:24" ht="21.75" customHeight="1" thickBot="1">
      <c r="B34" s="586"/>
      <c r="C34" s="163" t="s">
        <v>703</v>
      </c>
      <c r="D34" s="162">
        <f>+_xlfn.XLOOKUP($C34,'FASE 2  '!$C$408:$Q$408,'FASE 2  '!$C$410:$Q$410)</f>
        <v>0.15</v>
      </c>
      <c r="E34" s="162">
        <f>+_xlfn.XLOOKUP($C34,'FASE 2  '!$C$408:$Q$408,'FASE 2  '!$C$411:$Q$411)</f>
        <v>0</v>
      </c>
      <c r="F34" s="162">
        <f>+_xlfn.XLOOKUP($C34,'FASE 2  '!$C$408:$Q$408,'FASE 2  '!$C$412:$Q$412)</f>
        <v>0</v>
      </c>
      <c r="G34" s="162">
        <f>+_xlfn.XLOOKUP($C34,'FASE 2  '!$C$408:$Q$408,'FASE 2  '!$C$413:$Q$413)</f>
        <v>0</v>
      </c>
      <c r="H34" s="162">
        <f>+_xlfn.XLOOKUP($C34,'FASE 2  '!$C$408:$Q$408,'FASE 2  '!$C$414:$Q$414)</f>
        <v>0</v>
      </c>
      <c r="I34" s="162">
        <f>+_xlfn.XLOOKUP($C34,'FASE 2  '!$C$408:$Q$408,'FASE 2  '!$C$415:$Q$415)</f>
        <v>0</v>
      </c>
      <c r="J34" s="162">
        <f>+_xlfn.XLOOKUP($C34,'FASE 2  '!$C$408:$Q$408,'FASE 2  '!$C$416:$Q$416)</f>
        <v>0</v>
      </c>
      <c r="K34" s="162">
        <f>+_xlfn.XLOOKUP($C34,'FASE 2  '!$C$408:$Q$408,'FASE 2  '!$C$417:$Q$417)</f>
        <v>0</v>
      </c>
      <c r="L34" s="162">
        <f>+_xlfn.XLOOKUP($C34,'FASE 2  '!$C$408:$Q$408,'FASE 2  '!$C$418:$Q$418)</f>
        <v>0</v>
      </c>
      <c r="M34" s="162" t="e">
        <f>+_xlfn.XLOOKUP($C34,'FASE 2  '!$C$408:$Q$408,'FASE 2  '!#REF!)</f>
        <v>#REF!</v>
      </c>
      <c r="N34" s="162" t="e">
        <f>+_xlfn.XLOOKUP($C34,'FASE 2  '!$C$408:$Q$408,'FASE 2  '!#REF!)</f>
        <v>#REF!</v>
      </c>
      <c r="O34" s="162" t="e">
        <f>+_xlfn.XLOOKUP($C34,'FASE 2  '!$C$408:$Q$408,'FASE 2  '!#REF!)</f>
        <v>#REF!</v>
      </c>
      <c r="P34" s="156" t="e">
        <f t="shared" si="1"/>
        <v>#REF!</v>
      </c>
      <c r="Q34" s="196" t="e">
        <f>P34</f>
        <v>#REF!</v>
      </c>
      <c r="R34" s="200"/>
      <c r="S34" s="200"/>
      <c r="T34" s="200"/>
      <c r="U34" s="200"/>
      <c r="V34" s="226"/>
      <c r="W34" s="216"/>
      <c r="X34" s="157"/>
    </row>
    <row r="35" spans="1:24" s="1" customFormat="1" ht="21.75" thickBot="1">
      <c r="A35" s="4"/>
      <c r="B35" s="586"/>
      <c r="C35" s="164" t="s">
        <v>704</v>
      </c>
      <c r="D35" s="162">
        <f>+_xlfn.XLOOKUP($C35,'FASE 2  '!$C$408:$Q$408,'FASE 2  '!$C$410:$Q$410)</f>
        <v>8.3333333333333329E-2</v>
      </c>
      <c r="E35" s="162">
        <f>+_xlfn.XLOOKUP($C35,'FASE 2  '!$C$408:$Q$408,'FASE 2  '!$C$411:$Q$411)</f>
        <v>0</v>
      </c>
      <c r="F35" s="162">
        <f>+_xlfn.XLOOKUP($C35,'FASE 2  '!$C$408:$Q$408,'FASE 2  '!$C$412:$Q$412)</f>
        <v>0</v>
      </c>
      <c r="G35" s="162">
        <f>+_xlfn.XLOOKUP($C35,'FASE 2  '!$C$408:$Q$408,'FASE 2  '!$C$413:$Q$413)</f>
        <v>0</v>
      </c>
      <c r="H35" s="162">
        <f>+_xlfn.XLOOKUP($C35,'FASE 2  '!$C$408:$Q$408,'FASE 2  '!$C$414:$Q$414)</f>
        <v>0</v>
      </c>
      <c r="I35" s="162">
        <f>+_xlfn.XLOOKUP($C35,'FASE 2  '!$C$408:$Q$408,'FASE 2  '!$C$415:$Q$415)</f>
        <v>0</v>
      </c>
      <c r="J35" s="162">
        <f>+_xlfn.XLOOKUP($C35,'FASE 2  '!$C$408:$Q$408,'FASE 2  '!$C$416:$Q$416)</f>
        <v>0</v>
      </c>
      <c r="K35" s="162">
        <f>+_xlfn.XLOOKUP($C35,'FASE 2  '!$C$408:$Q$408,'FASE 2  '!$C$417:$Q$417)</f>
        <v>0</v>
      </c>
      <c r="L35" s="162">
        <f>+_xlfn.XLOOKUP($C35,'FASE 2  '!$C$408:$Q$408,'FASE 2  '!$C$418:$Q$418)</f>
        <v>0</v>
      </c>
      <c r="M35" s="162" t="e">
        <f>+_xlfn.XLOOKUP($C35,'FASE 2  '!$C$408:$Q$408,'FASE 2  '!#REF!)</f>
        <v>#REF!</v>
      </c>
      <c r="N35" s="162" t="e">
        <f>+_xlfn.XLOOKUP($C35,'FASE 2  '!$C$408:$Q$408,'FASE 2  '!#REF!)</f>
        <v>#REF!</v>
      </c>
      <c r="O35" s="162" t="e">
        <f>+_xlfn.XLOOKUP($C35,'FASE 2  '!$C$408:$Q$408,'FASE 2  '!#REF!)</f>
        <v>#REF!</v>
      </c>
      <c r="P35" s="155" t="e">
        <f t="shared" si="1"/>
        <v>#REF!</v>
      </c>
      <c r="Q35" s="196" t="e">
        <f t="shared" ref="Q35:Q48" si="3">P35</f>
        <v>#REF!</v>
      </c>
      <c r="R35" s="197"/>
      <c r="S35" s="197"/>
      <c r="T35" s="197"/>
      <c r="U35" s="197"/>
      <c r="V35" s="224"/>
      <c r="W35" s="217"/>
      <c r="X35" s="158"/>
    </row>
    <row r="36" spans="1:24" s="1" customFormat="1" ht="21.75" thickBot="1">
      <c r="A36" s="4"/>
      <c r="B36" s="586"/>
      <c r="C36" s="164" t="s">
        <v>705</v>
      </c>
      <c r="D36" s="162">
        <f>+_xlfn.XLOOKUP($C36,'FASE 2  '!$C$408:$Q$408,'FASE 2  '!$C$410:$Q$410)</f>
        <v>8.3333333333333329E-2</v>
      </c>
      <c r="E36" s="162">
        <f>+_xlfn.XLOOKUP($C36,'FASE 2  '!$C$408:$Q$408,'FASE 2  '!$C$411:$Q$411)</f>
        <v>0</v>
      </c>
      <c r="F36" s="162">
        <f>+_xlfn.XLOOKUP($C36,'FASE 2  '!$C$408:$Q$408,'FASE 2  '!$C$412:$Q$412)</f>
        <v>0</v>
      </c>
      <c r="G36" s="162">
        <f>+_xlfn.XLOOKUP($C36,'FASE 2  '!$C$408:$Q$408,'FASE 2  '!$C$413:$Q$413)</f>
        <v>0</v>
      </c>
      <c r="H36" s="162">
        <f>+_xlfn.XLOOKUP($C36,'FASE 2  '!$C$408:$Q$408,'FASE 2  '!$C$414:$Q$414)</f>
        <v>0</v>
      </c>
      <c r="I36" s="162">
        <f>+_xlfn.XLOOKUP($C36,'FASE 2  '!$C$408:$Q$408,'FASE 2  '!$C$415:$Q$415)</f>
        <v>0</v>
      </c>
      <c r="J36" s="162">
        <f>+_xlfn.XLOOKUP($C36,'FASE 2  '!$C$408:$Q$408,'FASE 2  '!$C$416:$Q$416)</f>
        <v>0</v>
      </c>
      <c r="K36" s="162">
        <f>+_xlfn.XLOOKUP($C36,'FASE 2  '!$C$408:$Q$408,'FASE 2  '!$C$417:$Q$417)</f>
        <v>0</v>
      </c>
      <c r="L36" s="162">
        <f>+_xlfn.XLOOKUP($C36,'FASE 2  '!$C$408:$Q$408,'FASE 2  '!$C$418:$Q$418)</f>
        <v>0</v>
      </c>
      <c r="M36" s="162" t="e">
        <f>+_xlfn.XLOOKUP($C36,'FASE 2  '!$C$408:$Q$408,'FASE 2  '!#REF!)</f>
        <v>#REF!</v>
      </c>
      <c r="N36" s="162" t="e">
        <f>+_xlfn.XLOOKUP($C36,'FASE 2  '!$C$408:$Q$408,'FASE 2  '!#REF!)</f>
        <v>#REF!</v>
      </c>
      <c r="O36" s="162" t="e">
        <f>+_xlfn.XLOOKUP($C36,'FASE 2  '!$C$408:$Q$408,'FASE 2  '!#REF!)</f>
        <v>#REF!</v>
      </c>
      <c r="P36" s="155" t="e">
        <f t="shared" si="1"/>
        <v>#REF!</v>
      </c>
      <c r="Q36" s="196" t="e">
        <f t="shared" si="3"/>
        <v>#REF!</v>
      </c>
      <c r="R36" s="197"/>
      <c r="S36" s="197"/>
      <c r="T36" s="197"/>
      <c r="U36" s="197"/>
      <c r="V36" s="224"/>
      <c r="W36" s="217"/>
      <c r="X36" s="158"/>
    </row>
    <row r="37" spans="1:24" s="1" customFormat="1" ht="21.75" thickBot="1">
      <c r="A37" s="4"/>
      <c r="B37" s="586"/>
      <c r="C37" s="164" t="s">
        <v>706</v>
      </c>
      <c r="D37" s="162">
        <f>+_xlfn.XLOOKUP($C37,'FASE 2  '!$C$408:$Q$408,'FASE 2  '!$C$410:$Q$410)</f>
        <v>0.3666666666666667</v>
      </c>
      <c r="E37" s="162">
        <f>+_xlfn.XLOOKUP($C37,'FASE 2  '!$C$408:$Q$408,'FASE 2  '!$C$411:$Q$411)</f>
        <v>0</v>
      </c>
      <c r="F37" s="162">
        <f>+_xlfn.XLOOKUP($C37,'FASE 2  '!$C$408:$Q$408,'FASE 2  '!$C$412:$Q$412)</f>
        <v>0</v>
      </c>
      <c r="G37" s="162">
        <f>+_xlfn.XLOOKUP($C37,'FASE 2  '!$C$408:$Q$408,'FASE 2  '!$C$413:$Q$413)</f>
        <v>0</v>
      </c>
      <c r="H37" s="162">
        <f>+_xlfn.XLOOKUP($C37,'FASE 2  '!$C$408:$Q$408,'FASE 2  '!$C$414:$Q$414)</f>
        <v>0</v>
      </c>
      <c r="I37" s="162">
        <f>+_xlfn.XLOOKUP($C37,'FASE 2  '!$C$408:$Q$408,'FASE 2  '!$C$415:$Q$415)</f>
        <v>0</v>
      </c>
      <c r="J37" s="162">
        <f>+_xlfn.XLOOKUP($C37,'FASE 2  '!$C$408:$Q$408,'FASE 2  '!$C$416:$Q$416)</f>
        <v>0</v>
      </c>
      <c r="K37" s="162">
        <f>+_xlfn.XLOOKUP($C37,'FASE 2  '!$C$408:$Q$408,'FASE 2  '!$C$417:$Q$417)</f>
        <v>0</v>
      </c>
      <c r="L37" s="162">
        <f>+_xlfn.XLOOKUP($C37,'FASE 2  '!$C$408:$Q$408,'FASE 2  '!$C$418:$Q$418)</f>
        <v>0</v>
      </c>
      <c r="M37" s="162" t="e">
        <f>+_xlfn.XLOOKUP($C37,'FASE 2  '!$C$408:$Q$408,'FASE 2  '!#REF!)</f>
        <v>#REF!</v>
      </c>
      <c r="N37" s="162" t="e">
        <f>+_xlfn.XLOOKUP($C37,'FASE 2  '!$C$408:$Q$408,'FASE 2  '!#REF!)</f>
        <v>#REF!</v>
      </c>
      <c r="O37" s="162" t="e">
        <f>+_xlfn.XLOOKUP($C37,'FASE 2  '!$C$408:$Q$408,'FASE 2  '!#REF!)</f>
        <v>#REF!</v>
      </c>
      <c r="P37" s="155" t="e">
        <f t="shared" si="1"/>
        <v>#REF!</v>
      </c>
      <c r="Q37" s="196" t="e">
        <f t="shared" si="3"/>
        <v>#REF!</v>
      </c>
      <c r="R37" s="197"/>
      <c r="S37" s="197"/>
      <c r="T37" s="197"/>
      <c r="U37" s="197"/>
      <c r="V37" s="224"/>
      <c r="W37" s="217"/>
      <c r="X37" s="158"/>
    </row>
    <row r="38" spans="1:24" s="1" customFormat="1" ht="21.75" thickBot="1">
      <c r="A38" s="4"/>
      <c r="B38" s="586"/>
      <c r="C38" s="164" t="s">
        <v>707</v>
      </c>
      <c r="D38" s="162">
        <f>+_xlfn.XLOOKUP($C38,'FASE 2  '!$C$408:$Q$408,'FASE 2  '!$C$410:$Q$410)</f>
        <v>0.16666666666666666</v>
      </c>
      <c r="E38" s="162">
        <f>+_xlfn.XLOOKUP($C38,'FASE 2  '!$C$408:$Q$408,'FASE 2  '!$C$411:$Q$411)</f>
        <v>0</v>
      </c>
      <c r="F38" s="162">
        <f>+_xlfn.XLOOKUP($C38,'FASE 2  '!$C$408:$Q$408,'FASE 2  '!$C$412:$Q$412)</f>
        <v>0</v>
      </c>
      <c r="G38" s="162">
        <f>+_xlfn.XLOOKUP($C38,'FASE 2  '!$C$408:$Q$408,'FASE 2  '!$C$413:$Q$413)</f>
        <v>0</v>
      </c>
      <c r="H38" s="162">
        <f>+_xlfn.XLOOKUP($C38,'FASE 2  '!$C$408:$Q$408,'FASE 2  '!$C$414:$Q$414)</f>
        <v>0</v>
      </c>
      <c r="I38" s="162">
        <f>+_xlfn.XLOOKUP($C38,'FASE 2  '!$C$408:$Q$408,'FASE 2  '!$C$415:$Q$415)</f>
        <v>0</v>
      </c>
      <c r="J38" s="162">
        <f>+_xlfn.XLOOKUP($C38,'FASE 2  '!$C$408:$Q$408,'FASE 2  '!$C$416:$Q$416)</f>
        <v>0</v>
      </c>
      <c r="K38" s="162">
        <f>+_xlfn.XLOOKUP($C38,'FASE 2  '!$C$408:$Q$408,'FASE 2  '!$C$417:$Q$417)</f>
        <v>0</v>
      </c>
      <c r="L38" s="162">
        <f>+_xlfn.XLOOKUP($C38,'FASE 2  '!$C$408:$Q$408,'FASE 2  '!$C$418:$Q$418)</f>
        <v>0</v>
      </c>
      <c r="M38" s="162" t="e">
        <f>+_xlfn.XLOOKUP($C38,'FASE 2  '!$C$408:$Q$408,'FASE 2  '!#REF!)</f>
        <v>#REF!</v>
      </c>
      <c r="N38" s="162" t="e">
        <f>+_xlfn.XLOOKUP($C38,'FASE 2  '!$C$408:$Q$408,'FASE 2  '!#REF!)</f>
        <v>#REF!</v>
      </c>
      <c r="O38" s="162" t="e">
        <f>+_xlfn.XLOOKUP($C38,'FASE 2  '!$C$408:$Q$408,'FASE 2  '!#REF!)</f>
        <v>#REF!</v>
      </c>
      <c r="P38" s="155" t="e">
        <f t="shared" si="1"/>
        <v>#REF!</v>
      </c>
      <c r="Q38" s="196" t="e">
        <f t="shared" si="3"/>
        <v>#REF!</v>
      </c>
      <c r="R38" s="197"/>
      <c r="S38" s="197"/>
      <c r="T38" s="197"/>
      <c r="U38" s="197"/>
      <c r="V38" s="224"/>
      <c r="W38" s="217"/>
      <c r="X38" s="158"/>
    </row>
    <row r="39" spans="1:24" s="1" customFormat="1" ht="21.75" thickBot="1">
      <c r="A39" s="4"/>
      <c r="B39" s="586"/>
      <c r="C39" s="164" t="s">
        <v>708</v>
      </c>
      <c r="D39" s="162">
        <f>+_xlfn.XLOOKUP($C39,'FASE 2  '!$C$408:$Q$408,'FASE 2  '!$C$410:$Q$410)</f>
        <v>0.34583333333333338</v>
      </c>
      <c r="E39" s="162">
        <f>+_xlfn.XLOOKUP($C39,'FASE 2  '!$C$408:$Q$408,'FASE 2  '!$C$411:$Q$411)</f>
        <v>0</v>
      </c>
      <c r="F39" s="162">
        <f>+_xlfn.XLOOKUP($C39,'FASE 2  '!$C$408:$Q$408,'FASE 2  '!$C$412:$Q$412)</f>
        <v>0</v>
      </c>
      <c r="G39" s="162">
        <f>+_xlfn.XLOOKUP($C39,'FASE 2  '!$C$408:$Q$408,'FASE 2  '!$C$413:$Q$413)</f>
        <v>0</v>
      </c>
      <c r="H39" s="162">
        <f>+_xlfn.XLOOKUP($C39,'FASE 2  '!$C$408:$Q$408,'FASE 2  '!$C$414:$Q$414)</f>
        <v>0</v>
      </c>
      <c r="I39" s="162">
        <f>+_xlfn.XLOOKUP($C39,'FASE 2  '!$C$408:$Q$408,'FASE 2  '!$C$415:$Q$415)</f>
        <v>0</v>
      </c>
      <c r="J39" s="162">
        <f>+_xlfn.XLOOKUP($C39,'FASE 2  '!$C$408:$Q$408,'FASE 2  '!$C$416:$Q$416)</f>
        <v>0</v>
      </c>
      <c r="K39" s="162">
        <f>+_xlfn.XLOOKUP($C39,'FASE 2  '!$C$408:$Q$408,'FASE 2  '!$C$417:$Q$417)</f>
        <v>0</v>
      </c>
      <c r="L39" s="162">
        <f>+_xlfn.XLOOKUP($C39,'FASE 2  '!$C$408:$Q$408,'FASE 2  '!$C$418:$Q$418)</f>
        <v>0</v>
      </c>
      <c r="M39" s="162" t="e">
        <f>+_xlfn.XLOOKUP($C39,'FASE 2  '!$C$408:$Q$408,'FASE 2  '!#REF!)</f>
        <v>#REF!</v>
      </c>
      <c r="N39" s="162" t="e">
        <f>+_xlfn.XLOOKUP($C39,'FASE 2  '!$C$408:$Q$408,'FASE 2  '!#REF!)</f>
        <v>#REF!</v>
      </c>
      <c r="O39" s="162" t="e">
        <f>+_xlfn.XLOOKUP($C39,'FASE 2  '!$C$408:$Q$408,'FASE 2  '!#REF!)</f>
        <v>#REF!</v>
      </c>
      <c r="P39" s="155" t="e">
        <f t="shared" si="1"/>
        <v>#REF!</v>
      </c>
      <c r="Q39" s="196" t="e">
        <f t="shared" si="3"/>
        <v>#REF!</v>
      </c>
      <c r="R39" s="197"/>
      <c r="S39" s="197"/>
      <c r="T39" s="197"/>
      <c r="U39" s="197"/>
      <c r="V39" s="224"/>
      <c r="W39" s="217"/>
      <c r="X39" s="158"/>
    </row>
    <row r="40" spans="1:24" s="1" customFormat="1" ht="21.75" thickBot="1">
      <c r="A40" s="4"/>
      <c r="B40" s="586"/>
      <c r="C40" s="164" t="s">
        <v>709</v>
      </c>
      <c r="D40" s="162">
        <f>+_xlfn.XLOOKUP($C40,'FASE 2  '!$C$408:$Q$408,'FASE 2  '!$C$410:$Q$410)</f>
        <v>8.3333333333333329E-2</v>
      </c>
      <c r="E40" s="162">
        <f>+_xlfn.XLOOKUP($C40,'FASE 2  '!$C$408:$Q$408,'FASE 2  '!$C$411:$Q$411)</f>
        <v>0</v>
      </c>
      <c r="F40" s="162">
        <f>+_xlfn.XLOOKUP($C40,'FASE 2  '!$C$408:$Q$408,'FASE 2  '!$C$412:$Q$412)</f>
        <v>0</v>
      </c>
      <c r="G40" s="162">
        <f>+_xlfn.XLOOKUP($C40,'FASE 2  '!$C$408:$Q$408,'FASE 2  '!$C$413:$Q$413)</f>
        <v>0</v>
      </c>
      <c r="H40" s="162">
        <f>+_xlfn.XLOOKUP($C40,'FASE 2  '!$C$408:$Q$408,'FASE 2  '!$C$414:$Q$414)</f>
        <v>0</v>
      </c>
      <c r="I40" s="162">
        <f>+_xlfn.XLOOKUP($C40,'FASE 2  '!$C$408:$Q$408,'FASE 2  '!$C$415:$Q$415)</f>
        <v>0</v>
      </c>
      <c r="J40" s="162">
        <f>+_xlfn.XLOOKUP($C40,'FASE 2  '!$C$408:$Q$408,'FASE 2  '!$C$416:$Q$416)</f>
        <v>0</v>
      </c>
      <c r="K40" s="162">
        <f>+_xlfn.XLOOKUP($C40,'FASE 2  '!$C$408:$Q$408,'FASE 2  '!$C$417:$Q$417)</f>
        <v>0</v>
      </c>
      <c r="L40" s="162">
        <f>+_xlfn.XLOOKUP($C40,'FASE 2  '!$C$408:$Q$408,'FASE 2  '!$C$418:$Q$418)</f>
        <v>0</v>
      </c>
      <c r="M40" s="162" t="e">
        <f>+_xlfn.XLOOKUP($C40,'FASE 2  '!$C$408:$Q$408,'FASE 2  '!#REF!)</f>
        <v>#REF!</v>
      </c>
      <c r="N40" s="162" t="e">
        <f>+_xlfn.XLOOKUP($C40,'FASE 2  '!$C$408:$Q$408,'FASE 2  '!#REF!)</f>
        <v>#REF!</v>
      </c>
      <c r="O40" s="162" t="e">
        <f>+_xlfn.XLOOKUP($C40,'FASE 2  '!$C$408:$Q$408,'FASE 2  '!#REF!)</f>
        <v>#REF!</v>
      </c>
      <c r="P40" s="155" t="e">
        <f t="shared" si="1"/>
        <v>#REF!</v>
      </c>
      <c r="Q40" s="196" t="e">
        <f t="shared" si="3"/>
        <v>#REF!</v>
      </c>
      <c r="R40" s="197"/>
      <c r="S40" s="197"/>
      <c r="T40" s="197"/>
      <c r="U40" s="197"/>
      <c r="V40" s="224"/>
      <c r="W40" s="217"/>
      <c r="X40" s="158"/>
    </row>
    <row r="41" spans="1:24" s="1" customFormat="1" ht="21.75" thickBot="1">
      <c r="A41" s="4"/>
      <c r="B41" s="586"/>
      <c r="C41" s="164" t="s">
        <v>749</v>
      </c>
      <c r="D41" s="162">
        <f>+_xlfn.XLOOKUP($C41,'FASE 2  '!$C$408:$Q$408,'FASE 2  '!$C$410:$Q$410)</f>
        <v>8.3333333333333329E-2</v>
      </c>
      <c r="E41" s="162">
        <f>+_xlfn.XLOOKUP($C41,'FASE 2  '!$C$408:$Q$408,'FASE 2  '!$C$411:$Q$411)</f>
        <v>0</v>
      </c>
      <c r="F41" s="162">
        <f>+_xlfn.XLOOKUP($C41,'FASE 2  '!$C$408:$Q$408,'FASE 2  '!$C$412:$Q$412)</f>
        <v>0</v>
      </c>
      <c r="G41" s="162">
        <f>+_xlfn.XLOOKUP($C41,'FASE 2  '!$C$408:$Q$408,'FASE 2  '!$C$413:$Q$413)</f>
        <v>0</v>
      </c>
      <c r="H41" s="162">
        <f>+_xlfn.XLOOKUP($C41,'FASE 2  '!$C$408:$Q$408,'FASE 2  '!$C$414:$Q$414)</f>
        <v>0</v>
      </c>
      <c r="I41" s="162">
        <f>+_xlfn.XLOOKUP($C41,'FASE 2  '!$C$408:$Q$408,'FASE 2  '!$C$415:$Q$415)</f>
        <v>0</v>
      </c>
      <c r="J41" s="162">
        <f>+_xlfn.XLOOKUP($C41,'FASE 2  '!$C$408:$Q$408,'FASE 2  '!$C$416:$Q$416)</f>
        <v>0</v>
      </c>
      <c r="K41" s="162">
        <f>+_xlfn.XLOOKUP($C41,'FASE 2  '!$C$408:$Q$408,'FASE 2  '!$C$417:$Q$417)</f>
        <v>0</v>
      </c>
      <c r="L41" s="162">
        <f>+_xlfn.XLOOKUP($C41,'FASE 2  '!$C$408:$Q$408,'FASE 2  '!$C$418:$Q$418)</f>
        <v>0</v>
      </c>
      <c r="M41" s="162" t="e">
        <f>+_xlfn.XLOOKUP($C41,'FASE 2  '!$C$408:$Q$408,'FASE 2  '!#REF!)</f>
        <v>#REF!</v>
      </c>
      <c r="N41" s="162" t="e">
        <f>+_xlfn.XLOOKUP($C41,'FASE 2  '!$C$408:$Q$408,'FASE 2  '!#REF!)</f>
        <v>#REF!</v>
      </c>
      <c r="O41" s="162" t="e">
        <f>+_xlfn.XLOOKUP($C41,'FASE 2  '!$C$408:$Q$408,'FASE 2  '!#REF!)</f>
        <v>#REF!</v>
      </c>
      <c r="P41" s="155" t="e">
        <f t="shared" si="1"/>
        <v>#REF!</v>
      </c>
      <c r="Q41" s="196" t="e">
        <f t="shared" si="3"/>
        <v>#REF!</v>
      </c>
      <c r="R41" s="197"/>
      <c r="S41" s="197"/>
      <c r="T41" s="197"/>
      <c r="U41" s="197"/>
      <c r="V41" s="224"/>
      <c r="W41" s="217"/>
      <c r="X41" s="158"/>
    </row>
    <row r="42" spans="1:24" s="1" customFormat="1" ht="21.75" thickBot="1">
      <c r="A42" s="4"/>
      <c r="B42" s="586"/>
      <c r="C42" s="164" t="s">
        <v>710</v>
      </c>
      <c r="D42" s="162">
        <f>+_xlfn.XLOOKUP($C42,'FASE 2  '!$C$408:$Q$408,'FASE 2  '!$C$410:$Q$410)</f>
        <v>8.3333333333333329E-2</v>
      </c>
      <c r="E42" s="162">
        <f>+_xlfn.XLOOKUP($C42,'FASE 2  '!$C$408:$Q$408,'FASE 2  '!$C$411:$Q$411)</f>
        <v>0</v>
      </c>
      <c r="F42" s="162">
        <f>+_xlfn.XLOOKUP($C42,'FASE 2  '!$C$408:$Q$408,'FASE 2  '!$C$412:$Q$412)</f>
        <v>0</v>
      </c>
      <c r="G42" s="162">
        <f>+_xlfn.XLOOKUP($C42,'FASE 2  '!$C$408:$Q$408,'FASE 2  '!$C$413:$Q$413)</f>
        <v>0</v>
      </c>
      <c r="H42" s="162">
        <f>+_xlfn.XLOOKUP($C42,'FASE 2  '!$C$408:$Q$408,'FASE 2  '!$C$414:$Q$414)</f>
        <v>0</v>
      </c>
      <c r="I42" s="162">
        <f>+_xlfn.XLOOKUP($C42,'FASE 2  '!$C$408:$Q$408,'FASE 2  '!$C$415:$Q$415)</f>
        <v>0</v>
      </c>
      <c r="J42" s="162">
        <f>+_xlfn.XLOOKUP($C42,'FASE 2  '!$C$408:$Q$408,'FASE 2  '!$C$416:$Q$416)</f>
        <v>0</v>
      </c>
      <c r="K42" s="162">
        <f>+_xlfn.XLOOKUP($C42,'FASE 2  '!$C$408:$Q$408,'FASE 2  '!$C$417:$Q$417)</f>
        <v>0</v>
      </c>
      <c r="L42" s="162">
        <f>+_xlfn.XLOOKUP($C42,'FASE 2  '!$C$408:$Q$408,'FASE 2  '!$C$418:$Q$418)</f>
        <v>0</v>
      </c>
      <c r="M42" s="162" t="e">
        <f>+_xlfn.XLOOKUP($C42,'FASE 2  '!$C$408:$Q$408,'FASE 2  '!#REF!)</f>
        <v>#REF!</v>
      </c>
      <c r="N42" s="162" t="e">
        <f>+_xlfn.XLOOKUP($C42,'FASE 2  '!$C$408:$Q$408,'FASE 2  '!#REF!)</f>
        <v>#REF!</v>
      </c>
      <c r="O42" s="162" t="e">
        <f>+_xlfn.XLOOKUP($C42,'FASE 2  '!$C$408:$Q$408,'FASE 2  '!#REF!)</f>
        <v>#REF!</v>
      </c>
      <c r="P42" s="155" t="e">
        <f t="shared" si="1"/>
        <v>#REF!</v>
      </c>
      <c r="Q42" s="196" t="e">
        <f t="shared" si="3"/>
        <v>#REF!</v>
      </c>
      <c r="R42" s="197"/>
      <c r="S42" s="197"/>
      <c r="T42" s="197"/>
      <c r="U42" s="197"/>
      <c r="V42" s="224"/>
      <c r="W42" s="217"/>
      <c r="X42" s="158"/>
    </row>
    <row r="43" spans="1:24" s="1" customFormat="1" ht="21.75" thickBot="1">
      <c r="A43" s="4"/>
      <c r="B43" s="586"/>
      <c r="C43" s="164" t="s">
        <v>711</v>
      </c>
      <c r="D43" s="162">
        <f>+_xlfn.XLOOKUP($C43,'FASE 2  '!$C$408:$Q$408,'FASE 2  '!$C$410:$Q$410)</f>
        <v>8.3333333333333329E-2</v>
      </c>
      <c r="E43" s="162">
        <f>+_xlfn.XLOOKUP($C43,'FASE 2  '!$C$408:$Q$408,'FASE 2  '!$C$411:$Q$411)</f>
        <v>0</v>
      </c>
      <c r="F43" s="162">
        <f>+_xlfn.XLOOKUP($C43,'FASE 2  '!$C$408:$Q$408,'FASE 2  '!$C$412:$Q$412)</f>
        <v>0</v>
      </c>
      <c r="G43" s="162">
        <f>+_xlfn.XLOOKUP($C43,'FASE 2  '!$C$408:$Q$408,'FASE 2  '!$C$413:$Q$413)</f>
        <v>0</v>
      </c>
      <c r="H43" s="162">
        <f>+_xlfn.XLOOKUP($C43,'FASE 2  '!$C$408:$Q$408,'FASE 2  '!$C$414:$Q$414)</f>
        <v>0</v>
      </c>
      <c r="I43" s="162">
        <f>+_xlfn.XLOOKUP($C43,'FASE 2  '!$C$408:$Q$408,'FASE 2  '!$C$415:$Q$415)</f>
        <v>0</v>
      </c>
      <c r="J43" s="162">
        <f>+_xlfn.XLOOKUP($C43,'FASE 2  '!$C$408:$Q$408,'FASE 2  '!$C$416:$Q$416)</f>
        <v>0</v>
      </c>
      <c r="K43" s="162">
        <f>+_xlfn.XLOOKUP($C43,'FASE 2  '!$C$408:$Q$408,'FASE 2  '!$C$417:$Q$417)</f>
        <v>0</v>
      </c>
      <c r="L43" s="162">
        <f>+_xlfn.XLOOKUP($C43,'FASE 2  '!$C$408:$Q$408,'FASE 2  '!$C$418:$Q$418)</f>
        <v>0</v>
      </c>
      <c r="M43" s="162" t="e">
        <f>+_xlfn.XLOOKUP($C43,'FASE 2  '!$C$408:$Q$408,'FASE 2  '!#REF!)</f>
        <v>#REF!</v>
      </c>
      <c r="N43" s="162" t="e">
        <f>+_xlfn.XLOOKUP($C43,'FASE 2  '!$C$408:$Q$408,'FASE 2  '!#REF!)</f>
        <v>#REF!</v>
      </c>
      <c r="O43" s="162" t="e">
        <f>+_xlfn.XLOOKUP($C43,'FASE 2  '!$C$408:$Q$408,'FASE 2  '!#REF!)</f>
        <v>#REF!</v>
      </c>
      <c r="P43" s="155" t="e">
        <f t="shared" si="1"/>
        <v>#REF!</v>
      </c>
      <c r="Q43" s="196" t="e">
        <f t="shared" si="3"/>
        <v>#REF!</v>
      </c>
      <c r="R43" s="197"/>
      <c r="S43" s="197"/>
      <c r="T43" s="197"/>
      <c r="U43" s="197"/>
      <c r="V43" s="224"/>
      <c r="W43" s="217"/>
      <c r="X43" s="158"/>
    </row>
    <row r="44" spans="1:24" s="1" customFormat="1" ht="21.75" thickBot="1">
      <c r="A44" s="4"/>
      <c r="B44" s="586"/>
      <c r="C44" s="164" t="s">
        <v>712</v>
      </c>
      <c r="D44" s="162">
        <f>+_xlfn.XLOOKUP($C44,'FASE 2  '!$C$408:$Q$408,'FASE 2  '!$C$410:$Q$410)</f>
        <v>4.1666666666666664E-2</v>
      </c>
      <c r="E44" s="162">
        <f>+_xlfn.XLOOKUP($C44,'FASE 2  '!$C$408:$Q$408,'FASE 2  '!$C$411:$Q$411)</f>
        <v>0</v>
      </c>
      <c r="F44" s="162">
        <f>+_xlfn.XLOOKUP($C44,'FASE 2  '!$C$408:$Q$408,'FASE 2  '!$C$412:$Q$412)</f>
        <v>0</v>
      </c>
      <c r="G44" s="162">
        <f>+_xlfn.XLOOKUP($C44,'FASE 2  '!$C$408:$Q$408,'FASE 2  '!$C$413:$Q$413)</f>
        <v>0</v>
      </c>
      <c r="H44" s="162">
        <f>+_xlfn.XLOOKUP($C44,'FASE 2  '!$C$408:$Q$408,'FASE 2  '!$C$414:$Q$414)</f>
        <v>0</v>
      </c>
      <c r="I44" s="162">
        <f>+_xlfn.XLOOKUP($C44,'FASE 2  '!$C$408:$Q$408,'FASE 2  '!$C$415:$Q$415)</f>
        <v>0</v>
      </c>
      <c r="J44" s="162">
        <f>+_xlfn.XLOOKUP($C44,'FASE 2  '!$C$408:$Q$408,'FASE 2  '!$C$416:$Q$416)</f>
        <v>0</v>
      </c>
      <c r="K44" s="162">
        <f>+_xlfn.XLOOKUP($C44,'FASE 2  '!$C$408:$Q$408,'FASE 2  '!$C$417:$Q$417)</f>
        <v>0</v>
      </c>
      <c r="L44" s="162">
        <f>+_xlfn.XLOOKUP($C44,'FASE 2  '!$C$408:$Q$408,'FASE 2  '!$C$418:$Q$418)</f>
        <v>0</v>
      </c>
      <c r="M44" s="162" t="e">
        <f>+_xlfn.XLOOKUP($C44,'FASE 2  '!$C$408:$Q$408,'FASE 2  '!#REF!)</f>
        <v>#REF!</v>
      </c>
      <c r="N44" s="162" t="e">
        <f>+_xlfn.XLOOKUP($C44,'FASE 2  '!$C$408:$Q$408,'FASE 2  '!#REF!)</f>
        <v>#REF!</v>
      </c>
      <c r="O44" s="162" t="e">
        <f>+_xlfn.XLOOKUP($C44,'FASE 2  '!$C$408:$Q$408,'FASE 2  '!#REF!)</f>
        <v>#REF!</v>
      </c>
      <c r="P44" s="155" t="e">
        <f t="shared" si="1"/>
        <v>#REF!</v>
      </c>
      <c r="Q44" s="196" t="e">
        <f t="shared" si="3"/>
        <v>#REF!</v>
      </c>
      <c r="R44" s="197"/>
      <c r="S44" s="197"/>
      <c r="T44" s="197"/>
      <c r="U44" s="197"/>
      <c r="V44" s="224"/>
      <c r="W44" s="217"/>
      <c r="X44" s="158"/>
    </row>
    <row r="45" spans="1:24" s="1" customFormat="1" ht="21.75" thickBot="1">
      <c r="A45" s="4"/>
      <c r="B45" s="586"/>
      <c r="C45" s="164" t="s">
        <v>713</v>
      </c>
      <c r="D45" s="162">
        <f>+_xlfn.XLOOKUP($C45,'FASE 2  '!$C$408:$Q$408,'FASE 2  '!$C$410:$Q$410)</f>
        <v>4.1666666666666664E-2</v>
      </c>
      <c r="E45" s="162">
        <f>+_xlfn.XLOOKUP($C45,'FASE 2  '!$C$408:$Q$408,'FASE 2  '!$C$411:$Q$411)</f>
        <v>0</v>
      </c>
      <c r="F45" s="162">
        <f>+_xlfn.XLOOKUP($C45,'FASE 2  '!$C$408:$Q$408,'FASE 2  '!$C$412:$Q$412)</f>
        <v>0</v>
      </c>
      <c r="G45" s="162">
        <f>+_xlfn.XLOOKUP($C45,'FASE 2  '!$C$408:$Q$408,'FASE 2  '!$C$413:$Q$413)</f>
        <v>0</v>
      </c>
      <c r="H45" s="162">
        <f>+_xlfn.XLOOKUP($C45,'FASE 2  '!$C$408:$Q$408,'FASE 2  '!$C$414:$Q$414)</f>
        <v>0</v>
      </c>
      <c r="I45" s="162">
        <f>+_xlfn.XLOOKUP($C45,'FASE 2  '!$C$408:$Q$408,'FASE 2  '!$C$415:$Q$415)</f>
        <v>0</v>
      </c>
      <c r="J45" s="162">
        <f>+_xlfn.XLOOKUP($C45,'FASE 2  '!$C$408:$Q$408,'FASE 2  '!$C$416:$Q$416)</f>
        <v>0</v>
      </c>
      <c r="K45" s="162">
        <f>+_xlfn.XLOOKUP($C45,'FASE 2  '!$C$408:$Q$408,'FASE 2  '!$C$417:$Q$417)</f>
        <v>0</v>
      </c>
      <c r="L45" s="162">
        <f>+_xlfn.XLOOKUP($C45,'FASE 2  '!$C$408:$Q$408,'FASE 2  '!$C$418:$Q$418)</f>
        <v>0</v>
      </c>
      <c r="M45" s="162" t="e">
        <f>+_xlfn.XLOOKUP($C45,'FASE 2  '!$C$408:$Q$408,'FASE 2  '!#REF!)</f>
        <v>#REF!</v>
      </c>
      <c r="N45" s="162" t="e">
        <f>+_xlfn.XLOOKUP($C45,'FASE 2  '!$C$408:$Q$408,'FASE 2  '!#REF!)</f>
        <v>#REF!</v>
      </c>
      <c r="O45" s="162" t="e">
        <f>+_xlfn.XLOOKUP($C45,'FASE 2  '!$C$408:$Q$408,'FASE 2  '!#REF!)</f>
        <v>#REF!</v>
      </c>
      <c r="P45" s="155" t="e">
        <f t="shared" si="1"/>
        <v>#REF!</v>
      </c>
      <c r="Q45" s="196" t="e">
        <f t="shared" si="3"/>
        <v>#REF!</v>
      </c>
      <c r="R45" s="197"/>
      <c r="S45" s="197"/>
      <c r="T45" s="197"/>
      <c r="U45" s="197"/>
      <c r="V45" s="224"/>
      <c r="W45" s="217"/>
      <c r="X45" s="158"/>
    </row>
    <row r="46" spans="1:24" s="1" customFormat="1" ht="21.75" thickBot="1">
      <c r="A46" s="4"/>
      <c r="B46" s="586"/>
      <c r="C46" s="164" t="s">
        <v>690</v>
      </c>
      <c r="D46" s="162">
        <f>+_xlfn.XLOOKUP($C46,'FASE 2  '!$C$408:$Q$408,'FASE 2  '!$C$410:$Q$410)</f>
        <v>0</v>
      </c>
      <c r="E46" s="162">
        <f>+_xlfn.XLOOKUP($C46,'FASE 2  '!$C$408:$Q$408,'FASE 2  '!$C$410:$Q$410)</f>
        <v>0</v>
      </c>
      <c r="F46" s="162">
        <f>+_xlfn.XLOOKUP($C46,'FASE 2  '!$C$408:$Q$408,'FASE 2  '!$C$410:$Q$410)</f>
        <v>0</v>
      </c>
      <c r="G46" s="162">
        <f>+_xlfn.XLOOKUP($C46,'FASE 2  '!$C$408:$Q$408,'FASE 2  '!$C$410:$Q$410)</f>
        <v>0</v>
      </c>
      <c r="H46" s="162">
        <f>+_xlfn.XLOOKUP($C46,'FASE 2  '!$C$408:$Q$408,'FASE 2  '!$C$410:$Q$410)</f>
        <v>0</v>
      </c>
      <c r="I46" s="162">
        <f>+_xlfn.XLOOKUP($C46,'FASE 2  '!$C$408:$Q$408,'FASE 2  '!$C$410:$Q$410)</f>
        <v>0</v>
      </c>
      <c r="J46" s="162">
        <f>+_xlfn.XLOOKUP($C46,'FASE 2  '!$C$408:$Q$408,'FASE 2  '!$C$410:$Q$410)</f>
        <v>0</v>
      </c>
      <c r="K46" s="162">
        <f>+_xlfn.XLOOKUP($C46,'FASE 2  '!$C$408:$Q$408,'FASE 2  '!$C$410:$Q$410)</f>
        <v>0</v>
      </c>
      <c r="L46" s="162">
        <f>+_xlfn.XLOOKUP($C46,'FASE 2  '!$C$408:$Q$408,'FASE 2  '!$C$410:$Q$410)</f>
        <v>0</v>
      </c>
      <c r="M46" s="162">
        <f>+_xlfn.XLOOKUP($C46,'FASE 2  '!$C$408:$Q$408,'FASE 2  '!$C$410:$Q$410)</f>
        <v>0</v>
      </c>
      <c r="N46" s="162">
        <f>+_xlfn.XLOOKUP($C46,'FASE 2  '!$C$408:$Q$408,'FASE 2  '!$C$410:$Q$410)</f>
        <v>0</v>
      </c>
      <c r="O46" s="162">
        <f>+_xlfn.XLOOKUP($C46,'FASE 2  '!$C$408:$Q$408,'FASE 2  '!$C$410:$Q$410)</f>
        <v>0</v>
      </c>
      <c r="P46" s="155">
        <f>+AVERAGE(D46:O46)</f>
        <v>0</v>
      </c>
      <c r="Q46" s="196">
        <f t="shared" si="3"/>
        <v>0</v>
      </c>
      <c r="R46" s="197"/>
      <c r="S46" s="197"/>
      <c r="T46" s="197"/>
      <c r="U46" s="197"/>
      <c r="V46" s="224"/>
      <c r="W46" s="217"/>
      <c r="X46" s="158"/>
    </row>
    <row r="47" spans="1:24" s="1" customFormat="1" ht="21.75" thickBot="1">
      <c r="A47" s="4"/>
      <c r="B47" s="586"/>
      <c r="C47" s="164" t="s">
        <v>714</v>
      </c>
      <c r="D47" s="162">
        <f>+_xlfn.XLOOKUP($C47,'FASE 2  '!$C$408:$Q$408,'FASE 2  '!$C$410:$Q$410)</f>
        <v>4.1666666666666664E-2</v>
      </c>
      <c r="E47" s="162">
        <f>+_xlfn.XLOOKUP($C47,'FASE 2  '!$C$408:$Q$408,'FASE 2  '!$C$411:$Q$411)</f>
        <v>0</v>
      </c>
      <c r="F47" s="162">
        <f>+_xlfn.XLOOKUP($C47,'FASE 2  '!$C$408:$Q$408,'FASE 2  '!$C$412:$Q$412)</f>
        <v>0</v>
      </c>
      <c r="G47" s="162">
        <f>+_xlfn.XLOOKUP($C47,'FASE 2  '!$C$408:$Q$408,'FASE 2  '!$C$413:$Q$413)</f>
        <v>0</v>
      </c>
      <c r="H47" s="162">
        <f>+_xlfn.XLOOKUP($C47,'FASE 2  '!$C$408:$Q$408,'FASE 2  '!$C$414:$Q$414)</f>
        <v>0</v>
      </c>
      <c r="I47" s="162">
        <f>+_xlfn.XLOOKUP($C47,'FASE 2  '!$C$408:$Q$408,'FASE 2  '!$C$415:$Q$415)</f>
        <v>0</v>
      </c>
      <c r="J47" s="162">
        <f>+_xlfn.XLOOKUP($C47,'FASE 2  '!$C$408:$Q$408,'FASE 2  '!$C$416:$Q$416)</f>
        <v>0</v>
      </c>
      <c r="K47" s="162">
        <f>+_xlfn.XLOOKUP($C47,'FASE 2  '!$C$408:$Q$408,'FASE 2  '!$C$417:$Q$417)</f>
        <v>0</v>
      </c>
      <c r="L47" s="162">
        <f>+_xlfn.XLOOKUP($C47,'FASE 2  '!$C$408:$Q$408,'FASE 2  '!$C$418:$Q$418)</f>
        <v>0</v>
      </c>
      <c r="M47" s="162" t="e">
        <f>+_xlfn.XLOOKUP($C47,'FASE 2  '!$C$408:$Q$408,'FASE 2  '!#REF!)</f>
        <v>#REF!</v>
      </c>
      <c r="N47" s="162" t="e">
        <f>+_xlfn.XLOOKUP($C47,'FASE 2  '!$C$408:$Q$408,'FASE 2  '!#REF!)</f>
        <v>#REF!</v>
      </c>
      <c r="O47" s="162" t="e">
        <f>+_xlfn.XLOOKUP($C47,'FASE 2  '!$C$408:$Q$408,'FASE 2  '!#REF!)</f>
        <v>#REF!</v>
      </c>
      <c r="P47" s="155" t="e">
        <f t="shared" si="1"/>
        <v>#REF!</v>
      </c>
      <c r="Q47" s="196" t="e">
        <f t="shared" si="3"/>
        <v>#REF!</v>
      </c>
      <c r="R47" s="197"/>
      <c r="S47" s="197"/>
      <c r="T47" s="197"/>
      <c r="U47" s="197"/>
      <c r="V47" s="224"/>
      <c r="W47" s="217"/>
      <c r="X47" s="158"/>
    </row>
    <row r="48" spans="1:24" s="1" customFormat="1" ht="21.75" thickBot="1">
      <c r="A48" s="4"/>
      <c r="B48" s="587"/>
      <c r="C48" s="167" t="s">
        <v>723</v>
      </c>
      <c r="D48" s="188">
        <f>+_xlfn.XLOOKUP($C48,'FASE 2  '!$C$408:$Q$408,'FASE 2  '!$C$410:$Q$410)</f>
        <v>0.125</v>
      </c>
      <c r="E48" s="188">
        <f>+_xlfn.XLOOKUP($C48,'FASE 2  '!$C$408:$Q$408,'FASE 2  '!$C$411:$Q$411)</f>
        <v>0</v>
      </c>
      <c r="F48" s="188">
        <f>+_xlfn.XLOOKUP($C48,'FASE 2  '!$C$408:$Q$408,'FASE 2  '!$C$412:$Q$412)</f>
        <v>0</v>
      </c>
      <c r="G48" s="188">
        <f>+_xlfn.XLOOKUP($C48,'FASE 2  '!$C$408:$Q$408,'FASE 2  '!$C$413:$Q$413)</f>
        <v>0</v>
      </c>
      <c r="H48" s="188">
        <f>+_xlfn.XLOOKUP($C48,'FASE 2  '!$C$408:$Q$408,'FASE 2  '!$C$414:$Q$414)</f>
        <v>0</v>
      </c>
      <c r="I48" s="188">
        <f>+_xlfn.XLOOKUP($C48,'FASE 2  '!$C$408:$Q$408,'FASE 2  '!$C$415:$Q$415)</f>
        <v>0</v>
      </c>
      <c r="J48" s="188">
        <f>+_xlfn.XLOOKUP($C48,'FASE 2  '!$C$408:$Q$408,'FASE 2  '!$C$416:$Q$416)</f>
        <v>0</v>
      </c>
      <c r="K48" s="188">
        <f>+_xlfn.XLOOKUP($C48,'FASE 2  '!$C$408:$Q$408,'FASE 2  '!$C$417:$Q$417)</f>
        <v>0</v>
      </c>
      <c r="L48" s="188">
        <f>+_xlfn.XLOOKUP($C48,'FASE 2  '!$C$408:$Q$408,'FASE 2  '!$C$418:$Q$418)</f>
        <v>0</v>
      </c>
      <c r="M48" s="188" t="e">
        <f>+_xlfn.XLOOKUP($C48,'FASE 2  '!$C$408:$Q$408,'FASE 2  '!#REF!)</f>
        <v>#REF!</v>
      </c>
      <c r="N48" s="188" t="e">
        <f>+_xlfn.XLOOKUP($C48,'FASE 2  '!$C$408:$Q$408,'FASE 2  '!#REF!)</f>
        <v>#REF!</v>
      </c>
      <c r="O48" s="188" t="e">
        <f>+_xlfn.XLOOKUP($C48,'FASE 2  '!$C$408:$Q$408,'FASE 2  '!#REF!)</f>
        <v>#REF!</v>
      </c>
      <c r="P48" s="160" t="e">
        <f t="shared" si="1"/>
        <v>#REF!</v>
      </c>
      <c r="Q48" s="196" t="e">
        <f t="shared" si="3"/>
        <v>#REF!</v>
      </c>
      <c r="R48" s="198"/>
      <c r="S48" s="198"/>
      <c r="T48" s="198"/>
      <c r="U48" s="198"/>
      <c r="V48" s="225"/>
      <c r="W48" s="218"/>
      <c r="X48" s="161"/>
    </row>
    <row r="49" spans="1:24" s="185" customFormat="1" ht="13.5" thickBot="1">
      <c r="B49" s="585" t="s">
        <v>46</v>
      </c>
      <c r="C49" s="579"/>
      <c r="D49" s="580"/>
      <c r="E49" s="580"/>
      <c r="F49" s="580"/>
      <c r="G49" s="580"/>
      <c r="H49" s="580"/>
      <c r="I49" s="580"/>
      <c r="J49" s="580"/>
      <c r="K49" s="580"/>
      <c r="L49" s="580"/>
      <c r="M49" s="580"/>
      <c r="N49" s="580"/>
      <c r="O49" s="580"/>
      <c r="P49" s="581"/>
      <c r="Q49" s="201" t="s">
        <v>777</v>
      </c>
      <c r="R49" s="201" t="s">
        <v>778</v>
      </c>
      <c r="S49" s="201" t="s">
        <v>779</v>
      </c>
      <c r="T49" s="201" t="s">
        <v>780</v>
      </c>
      <c r="U49" s="201" t="s">
        <v>169</v>
      </c>
      <c r="V49" s="201" t="s">
        <v>49</v>
      </c>
    </row>
    <row r="50" spans="1:24" s="185" customFormat="1" ht="13.5" thickBot="1">
      <c r="B50" s="586"/>
      <c r="C50" s="582"/>
      <c r="D50" s="583"/>
      <c r="E50" s="583"/>
      <c r="F50" s="583"/>
      <c r="G50" s="583"/>
      <c r="H50" s="583"/>
      <c r="I50" s="583"/>
      <c r="J50" s="583"/>
      <c r="K50" s="583"/>
      <c r="L50" s="583"/>
      <c r="M50" s="583"/>
      <c r="N50" s="583"/>
      <c r="O50" s="583"/>
      <c r="P50" s="584"/>
      <c r="Q50" s="190">
        <f>+F9</f>
        <v>0.24999999999999989</v>
      </c>
      <c r="R50" s="190">
        <f>+H9</f>
        <v>0.41666666666666652</v>
      </c>
      <c r="S50" s="190">
        <f>+J9</f>
        <v>0.58333333333333315</v>
      </c>
      <c r="T50" s="190">
        <f>+L9</f>
        <v>0.74999999999999967</v>
      </c>
      <c r="U50" s="190">
        <f>+N9</f>
        <v>0.9166666666666663</v>
      </c>
      <c r="V50" s="190">
        <f>+O9</f>
        <v>0.99999999999999956</v>
      </c>
    </row>
    <row r="51" spans="1:24" s="1" customFormat="1" ht="21.75" customHeight="1" thickBot="1">
      <c r="A51" s="4"/>
      <c r="B51" s="586"/>
      <c r="C51" s="169" t="s">
        <v>715</v>
      </c>
      <c r="D51" s="162">
        <f>+_xlfn.XLOOKUP($C51,'FASE 3 '!$C$408:$W$408,'FASE 3 '!$C$410:$W$410)</f>
        <v>0</v>
      </c>
      <c r="E51" s="162">
        <f>+_xlfn.XLOOKUP($C51,'FASE 3 '!$C$408:$W$408,'FASE 3 '!$C$411:$W$411)</f>
        <v>0</v>
      </c>
      <c r="F51" s="162">
        <f>+_xlfn.XLOOKUP($C51,'FASE 3 '!$C$408:$W$408,'FASE 3 '!$C$412:$W$412)</f>
        <v>0</v>
      </c>
      <c r="G51" s="162">
        <f>+_xlfn.XLOOKUP($C51,'FASE 3 '!$C$408:$W$408,'FASE 3 '!$C$413:$W$413)</f>
        <v>0</v>
      </c>
      <c r="H51" s="162">
        <f>+_xlfn.XLOOKUP($C51,'FASE 3 '!$C$408:$W$408,'FASE 3 '!$C$414:$W$414)</f>
        <v>0</v>
      </c>
      <c r="I51" s="162">
        <f>+_xlfn.XLOOKUP($C51,'FASE 3 '!$C$408:$W$408,'FASE 3 '!$C$415:$W$415)</f>
        <v>0</v>
      </c>
      <c r="J51" s="162">
        <f>+_xlfn.XLOOKUP($C51,'FASE 3 '!$C$408:$W$408,'FASE 3 '!$C$416:$W$416)</f>
        <v>0</v>
      </c>
      <c r="K51" s="162">
        <f>+_xlfn.XLOOKUP($C51,'FASE 3 '!$C$408:$W$408,'FASE 3 '!$C$417:$W$417)</f>
        <v>0</v>
      </c>
      <c r="L51" s="162">
        <f>+_xlfn.XLOOKUP($C51,'FASE 3 '!$C$408:$W$408,'FASE 3 '!$C$418:$W$418)</f>
        <v>0</v>
      </c>
      <c r="M51" s="162" t="e">
        <f>+_xlfn.XLOOKUP($C51,'FASE 3 '!$C$408:$W$408,'FASE 3 '!#REF!)</f>
        <v>#REF!</v>
      </c>
      <c r="N51" s="162" t="e">
        <f>+_xlfn.XLOOKUP($C51,'FASE 3 '!$C$408:$W$408,'FASE 3 '!#REF!)</f>
        <v>#REF!</v>
      </c>
      <c r="O51" s="162" t="e">
        <f>+_xlfn.XLOOKUP($C51,'FASE 3 '!$C$408:$W$408,'FASE 3 '!#REF!)</f>
        <v>#REF!</v>
      </c>
      <c r="P51" s="156" t="e">
        <f t="shared" si="1"/>
        <v>#REF!</v>
      </c>
      <c r="Q51" s="196" t="e">
        <f>P51</f>
        <v>#REF!</v>
      </c>
      <c r="R51" s="200"/>
      <c r="S51" s="200"/>
      <c r="T51" s="200"/>
      <c r="U51" s="200"/>
      <c r="V51" s="226"/>
      <c r="W51" s="216"/>
      <c r="X51" s="157"/>
    </row>
    <row r="52" spans="1:24" s="1" customFormat="1" ht="21.75" thickBot="1">
      <c r="A52" s="4"/>
      <c r="B52" s="586"/>
      <c r="C52" s="170" t="s">
        <v>716</v>
      </c>
      <c r="D52" s="162">
        <f>+_xlfn.XLOOKUP($C52,'FASE 3 '!$C$408:$W$408,'FASE 3 '!$C$410:$W$410)</f>
        <v>8.3333333333333329E-2</v>
      </c>
      <c r="E52" s="162">
        <f>+_xlfn.XLOOKUP($C52,'FASE 3 '!$C$408:$W$408,'FASE 3 '!$C$411:$W$411)</f>
        <v>0</v>
      </c>
      <c r="F52" s="162">
        <f>+_xlfn.XLOOKUP($C52,'FASE 3 '!$C$408:$W$408,'FASE 3 '!$C$412:$W$412)</f>
        <v>0</v>
      </c>
      <c r="G52" s="162">
        <f>+_xlfn.XLOOKUP($C52,'FASE 3 '!$C$408:$W$408,'FASE 3 '!$C$413:$W$413)</f>
        <v>0</v>
      </c>
      <c r="H52" s="162">
        <f>+_xlfn.XLOOKUP($C52,'FASE 3 '!$C$408:$W$408,'FASE 3 '!$C$414:$W$414)</f>
        <v>0</v>
      </c>
      <c r="I52" s="162">
        <f>+_xlfn.XLOOKUP($C52,'FASE 3 '!$C$408:$W$408,'FASE 3 '!$C$415:$W$415)</f>
        <v>0</v>
      </c>
      <c r="J52" s="162">
        <f>+_xlfn.XLOOKUP($C52,'FASE 3 '!$C$408:$W$408,'FASE 3 '!$C$416:$W$416)</f>
        <v>0</v>
      </c>
      <c r="K52" s="162">
        <f>+_xlfn.XLOOKUP($C52,'FASE 3 '!$C$408:$W$408,'FASE 3 '!$C$417:$W$417)</f>
        <v>0</v>
      </c>
      <c r="L52" s="162">
        <f>+_xlfn.XLOOKUP($C52,'FASE 3 '!$C$408:$W$408,'FASE 3 '!$C$418:$W$418)</f>
        <v>0</v>
      </c>
      <c r="M52" s="162" t="e">
        <f>+_xlfn.XLOOKUP($C52,'FASE 3 '!$C$408:$W$408,'FASE 3 '!#REF!)</f>
        <v>#REF!</v>
      </c>
      <c r="N52" s="162" t="e">
        <f>+_xlfn.XLOOKUP($C52,'FASE 3 '!$C$408:$W$408,'FASE 3 '!#REF!)</f>
        <v>#REF!</v>
      </c>
      <c r="O52" s="162" t="e">
        <f>+_xlfn.XLOOKUP($C52,'FASE 3 '!$C$408:$W$408,'FASE 3 '!#REF!)</f>
        <v>#REF!</v>
      </c>
      <c r="P52" s="155" t="e">
        <f t="shared" si="1"/>
        <v>#REF!</v>
      </c>
      <c r="Q52" s="196" t="e">
        <f t="shared" ref="Q52:Q71" si="4">P52</f>
        <v>#REF!</v>
      </c>
      <c r="R52" s="197"/>
      <c r="S52" s="197"/>
      <c r="T52" s="197"/>
      <c r="U52" s="197"/>
      <c r="V52" s="224"/>
      <c r="W52" s="217"/>
      <c r="X52" s="158"/>
    </row>
    <row r="53" spans="1:24" s="1" customFormat="1" ht="21.75" thickBot="1">
      <c r="A53" s="4"/>
      <c r="B53" s="586"/>
      <c r="C53" s="170" t="s">
        <v>717</v>
      </c>
      <c r="D53" s="162">
        <f>+_xlfn.XLOOKUP($C53,'FASE 3 '!$C$408:$W$408,'FASE 3 '!$C$410:$W$410)</f>
        <v>0.33333333333333331</v>
      </c>
      <c r="E53" s="162">
        <f>+_xlfn.XLOOKUP($C53,'FASE 3 '!$C$408:$W$408,'FASE 3 '!$C$411:$W$411)</f>
        <v>0</v>
      </c>
      <c r="F53" s="162">
        <f>+_xlfn.XLOOKUP($C53,'FASE 3 '!$C$408:$W$408,'FASE 3 '!$C$412:$W$412)</f>
        <v>0</v>
      </c>
      <c r="G53" s="162">
        <f>+_xlfn.XLOOKUP($C53,'FASE 3 '!$C$408:$W$408,'FASE 3 '!$C$413:$W$413)</f>
        <v>0</v>
      </c>
      <c r="H53" s="162">
        <f>+_xlfn.XLOOKUP($C53,'FASE 3 '!$C$408:$W$408,'FASE 3 '!$C$414:$W$414)</f>
        <v>0</v>
      </c>
      <c r="I53" s="162">
        <f>+_xlfn.XLOOKUP($C53,'FASE 3 '!$C$408:$W$408,'FASE 3 '!$C$415:$W$415)</f>
        <v>0</v>
      </c>
      <c r="J53" s="162">
        <f>+_xlfn.XLOOKUP($C53,'FASE 3 '!$C$408:$W$408,'FASE 3 '!$C$416:$W$416)</f>
        <v>0</v>
      </c>
      <c r="K53" s="162">
        <f>+_xlfn.XLOOKUP($C53,'FASE 3 '!$C$408:$W$408,'FASE 3 '!$C$417:$W$417)</f>
        <v>0</v>
      </c>
      <c r="L53" s="162">
        <f>+_xlfn.XLOOKUP($C53,'FASE 3 '!$C$408:$W$408,'FASE 3 '!$C$418:$W$418)</f>
        <v>0</v>
      </c>
      <c r="M53" s="162" t="e">
        <f>+_xlfn.XLOOKUP($C53,'FASE 3 '!$C$408:$W$408,'FASE 3 '!#REF!)</f>
        <v>#REF!</v>
      </c>
      <c r="N53" s="162" t="e">
        <f>+_xlfn.XLOOKUP($C53,'FASE 3 '!$C$408:$W$408,'FASE 3 '!#REF!)</f>
        <v>#REF!</v>
      </c>
      <c r="O53" s="162" t="e">
        <f>+_xlfn.XLOOKUP($C53,'FASE 3 '!$C$408:$W$408,'FASE 3 '!#REF!)</f>
        <v>#REF!</v>
      </c>
      <c r="P53" s="155" t="e">
        <f t="shared" si="1"/>
        <v>#REF!</v>
      </c>
      <c r="Q53" s="196" t="e">
        <f t="shared" si="4"/>
        <v>#REF!</v>
      </c>
      <c r="R53" s="197"/>
      <c r="S53" s="197"/>
      <c r="T53" s="197"/>
      <c r="U53" s="197"/>
      <c r="V53" s="224"/>
      <c r="W53" s="217"/>
      <c r="X53" s="158"/>
    </row>
    <row r="54" spans="1:24" s="1" customFormat="1" ht="21.75" thickBot="1">
      <c r="A54" s="4"/>
      <c r="B54" s="586"/>
      <c r="C54" s="170" t="s">
        <v>718</v>
      </c>
      <c r="D54" s="162">
        <f>+_xlfn.XLOOKUP($C54,'FASE 3 '!$C$408:$W$408,'FASE 3 '!$C$410:$W$410)</f>
        <v>8.3333333333333329E-2</v>
      </c>
      <c r="E54" s="162">
        <f>+_xlfn.XLOOKUP($C54,'FASE 3 '!$C$408:$W$408,'FASE 3 '!$C$411:$W$411)</f>
        <v>0</v>
      </c>
      <c r="F54" s="162">
        <f>+_xlfn.XLOOKUP($C54,'FASE 3 '!$C$408:$W$408,'FASE 3 '!$C$412:$W$412)</f>
        <v>0</v>
      </c>
      <c r="G54" s="162">
        <f>+_xlfn.XLOOKUP($C54,'FASE 3 '!$C$408:$W$408,'FASE 3 '!$C$413:$W$413)</f>
        <v>0</v>
      </c>
      <c r="H54" s="162">
        <f>+_xlfn.XLOOKUP($C54,'FASE 3 '!$C$408:$W$408,'FASE 3 '!$C$414:$W$414)</f>
        <v>0</v>
      </c>
      <c r="I54" s="162">
        <f>+_xlfn.XLOOKUP($C54,'FASE 3 '!$C$408:$W$408,'FASE 3 '!$C$415:$W$415)</f>
        <v>0</v>
      </c>
      <c r="J54" s="162">
        <f>+_xlfn.XLOOKUP($C54,'FASE 3 '!$C$408:$W$408,'FASE 3 '!$C$416:$W$416)</f>
        <v>0</v>
      </c>
      <c r="K54" s="162">
        <f>+_xlfn.XLOOKUP($C54,'FASE 3 '!$C$408:$W$408,'FASE 3 '!$C$417:$W$417)</f>
        <v>0</v>
      </c>
      <c r="L54" s="162">
        <f>+_xlfn.XLOOKUP($C54,'FASE 3 '!$C$408:$W$408,'FASE 3 '!$C$418:$W$418)</f>
        <v>0</v>
      </c>
      <c r="M54" s="162" t="e">
        <f>+_xlfn.XLOOKUP($C54,'FASE 3 '!$C$408:$W$408,'FASE 3 '!#REF!)</f>
        <v>#REF!</v>
      </c>
      <c r="N54" s="162" t="e">
        <f>+_xlfn.XLOOKUP($C54,'FASE 3 '!$C$408:$W$408,'FASE 3 '!#REF!)</f>
        <v>#REF!</v>
      </c>
      <c r="O54" s="162" t="e">
        <f>+_xlfn.XLOOKUP($C54,'FASE 3 '!$C$408:$W$408,'FASE 3 '!#REF!)</f>
        <v>#REF!</v>
      </c>
      <c r="P54" s="155" t="e">
        <f t="shared" si="1"/>
        <v>#REF!</v>
      </c>
      <c r="Q54" s="196" t="e">
        <f t="shared" si="4"/>
        <v>#REF!</v>
      </c>
      <c r="R54" s="197"/>
      <c r="S54" s="197"/>
      <c r="T54" s="197"/>
      <c r="U54" s="197"/>
      <c r="V54" s="224"/>
      <c r="W54" s="217"/>
      <c r="X54" s="158"/>
    </row>
    <row r="55" spans="1:24" s="1" customFormat="1" ht="21.75" thickBot="1">
      <c r="A55" s="4"/>
      <c r="B55" s="586"/>
      <c r="C55" s="170" t="s">
        <v>719</v>
      </c>
      <c r="D55" s="162">
        <f>+_xlfn.XLOOKUP($C55,'FASE 3 '!$C$408:$W$408,'FASE 3 '!$C$410:$W$410)</f>
        <v>8.3333333333333329E-2</v>
      </c>
      <c r="E55" s="162">
        <f>+_xlfn.XLOOKUP($C55,'FASE 3 '!$C$408:$W$408,'FASE 3 '!$C$411:$W$411)</f>
        <v>0</v>
      </c>
      <c r="F55" s="162">
        <f>+_xlfn.XLOOKUP($C55,'FASE 3 '!$C$408:$W$408,'FASE 3 '!$C$412:$W$412)</f>
        <v>0</v>
      </c>
      <c r="G55" s="162">
        <f>+_xlfn.XLOOKUP($C55,'FASE 3 '!$C$408:$W$408,'FASE 3 '!$C$413:$W$413)</f>
        <v>0</v>
      </c>
      <c r="H55" s="162">
        <f>+_xlfn.XLOOKUP($C55,'FASE 3 '!$C$408:$W$408,'FASE 3 '!$C$414:$W$414)</f>
        <v>0</v>
      </c>
      <c r="I55" s="162">
        <f>+_xlfn.XLOOKUP($C55,'FASE 3 '!$C$408:$W$408,'FASE 3 '!$C$415:$W$415)</f>
        <v>0</v>
      </c>
      <c r="J55" s="162">
        <f>+_xlfn.XLOOKUP($C55,'FASE 3 '!$C$408:$W$408,'FASE 3 '!$C$416:$W$416)</f>
        <v>0</v>
      </c>
      <c r="K55" s="162">
        <f>+_xlfn.XLOOKUP($C55,'FASE 3 '!$C$408:$W$408,'FASE 3 '!$C$417:$W$417)</f>
        <v>0</v>
      </c>
      <c r="L55" s="162">
        <f>+_xlfn.XLOOKUP($C55,'FASE 3 '!$C$408:$W$408,'FASE 3 '!$C$418:$W$418)</f>
        <v>0</v>
      </c>
      <c r="M55" s="162" t="e">
        <f>+_xlfn.XLOOKUP($C55,'FASE 3 '!$C$408:$W$408,'FASE 3 '!#REF!)</f>
        <v>#REF!</v>
      </c>
      <c r="N55" s="162" t="e">
        <f>+_xlfn.XLOOKUP($C55,'FASE 3 '!$C$408:$W$408,'FASE 3 '!#REF!)</f>
        <v>#REF!</v>
      </c>
      <c r="O55" s="162" t="e">
        <f>+_xlfn.XLOOKUP($C55,'FASE 3 '!$C$408:$W$408,'FASE 3 '!#REF!)</f>
        <v>#REF!</v>
      </c>
      <c r="P55" s="155" t="e">
        <f t="shared" si="1"/>
        <v>#REF!</v>
      </c>
      <c r="Q55" s="196" t="e">
        <f t="shared" si="4"/>
        <v>#REF!</v>
      </c>
      <c r="R55" s="197"/>
      <c r="S55" s="197"/>
      <c r="T55" s="197"/>
      <c r="U55" s="197"/>
      <c r="V55" s="224"/>
      <c r="W55" s="217"/>
      <c r="X55" s="158"/>
    </row>
    <row r="56" spans="1:24" s="1" customFormat="1" ht="21.75" thickBot="1">
      <c r="A56" s="4"/>
      <c r="B56" s="586"/>
      <c r="C56" s="170" t="s">
        <v>720</v>
      </c>
      <c r="D56" s="162">
        <f>+_xlfn.XLOOKUP($C56,'FASE 3 '!$C$408:$W$408,'FASE 3 '!$C$410:$W$410)</f>
        <v>0</v>
      </c>
      <c r="E56" s="162">
        <f>+_xlfn.XLOOKUP($C56,'FASE 3 '!$C$408:$W$408,'FASE 3 '!$C$411:$W$411)</f>
        <v>0</v>
      </c>
      <c r="F56" s="162">
        <f>+_xlfn.XLOOKUP($C56,'FASE 3 '!$C$408:$W$408,'FASE 3 '!$C$412:$W$412)</f>
        <v>0</v>
      </c>
      <c r="G56" s="162">
        <f>+_xlfn.XLOOKUP($C56,'FASE 3 '!$C$408:$W$408,'FASE 3 '!$C$413:$W$413)</f>
        <v>0</v>
      </c>
      <c r="H56" s="162">
        <f>+_xlfn.XLOOKUP($C56,'FASE 3 '!$C$408:$W$408,'FASE 3 '!$C$414:$W$414)</f>
        <v>0</v>
      </c>
      <c r="I56" s="162">
        <f>+_xlfn.XLOOKUP($C56,'FASE 3 '!$C$408:$W$408,'FASE 3 '!$C$415:$W$415)</f>
        <v>0</v>
      </c>
      <c r="J56" s="162">
        <f>+_xlfn.XLOOKUP($C56,'FASE 3 '!$C$408:$W$408,'FASE 3 '!$C$416:$W$416)</f>
        <v>0</v>
      </c>
      <c r="K56" s="162">
        <f>+_xlfn.XLOOKUP($C56,'FASE 3 '!$C$408:$W$408,'FASE 3 '!$C$417:$W$417)</f>
        <v>0</v>
      </c>
      <c r="L56" s="162">
        <f>+_xlfn.XLOOKUP($C56,'FASE 3 '!$C$408:$W$408,'FASE 3 '!$C$418:$W$418)</f>
        <v>0</v>
      </c>
      <c r="M56" s="162" t="e">
        <f>+_xlfn.XLOOKUP($C56,'FASE 3 '!$C$408:$W$408,'FASE 3 '!#REF!)</f>
        <v>#REF!</v>
      </c>
      <c r="N56" s="162" t="e">
        <f>+_xlfn.XLOOKUP($C56,'FASE 3 '!$C$408:$W$408,'FASE 3 '!#REF!)</f>
        <v>#REF!</v>
      </c>
      <c r="O56" s="162" t="e">
        <f>+_xlfn.XLOOKUP($C56,'FASE 3 '!$C$408:$W$408,'FASE 3 '!#REF!)</f>
        <v>#REF!</v>
      </c>
      <c r="P56" s="155" t="e">
        <f t="shared" si="1"/>
        <v>#REF!</v>
      </c>
      <c r="Q56" s="196" t="e">
        <f t="shared" si="4"/>
        <v>#REF!</v>
      </c>
      <c r="R56" s="197"/>
      <c r="S56" s="197"/>
      <c r="T56" s="197"/>
      <c r="U56" s="197"/>
      <c r="V56" s="224"/>
      <c r="W56" s="217"/>
      <c r="X56" s="158"/>
    </row>
    <row r="57" spans="1:24" s="1" customFormat="1" ht="21.75" thickBot="1">
      <c r="A57" s="4"/>
      <c r="B57" s="586"/>
      <c r="C57" s="170" t="s">
        <v>721</v>
      </c>
      <c r="D57" s="162">
        <f>+_xlfn.XLOOKUP($C57,'FASE 3 '!$C$408:$W$408,'FASE 3 '!$C$410:$W$410)</f>
        <v>8.3333333333333329E-2</v>
      </c>
      <c r="E57" s="162">
        <f>+_xlfn.XLOOKUP($C57,'FASE 3 '!$C$408:$W$408,'FASE 3 '!$C$411:$W$411)</f>
        <v>0</v>
      </c>
      <c r="F57" s="162">
        <f>+_xlfn.XLOOKUP($C57,'FASE 3 '!$C$408:$W$408,'FASE 3 '!$C$412:$W$412)</f>
        <v>0</v>
      </c>
      <c r="G57" s="162">
        <f>+_xlfn.XLOOKUP($C57,'FASE 3 '!$C$408:$W$408,'FASE 3 '!$C$413:$W$413)</f>
        <v>0</v>
      </c>
      <c r="H57" s="162">
        <f>+_xlfn.XLOOKUP($C57,'FASE 3 '!$C$408:$W$408,'FASE 3 '!$C$414:$W$414)</f>
        <v>0</v>
      </c>
      <c r="I57" s="162">
        <f>+_xlfn.XLOOKUP($C57,'FASE 3 '!$C$408:$W$408,'FASE 3 '!$C$415:$W$415)</f>
        <v>0</v>
      </c>
      <c r="J57" s="162">
        <f>+_xlfn.XLOOKUP($C57,'FASE 3 '!$C$408:$W$408,'FASE 3 '!$C$416:$W$416)</f>
        <v>0</v>
      </c>
      <c r="K57" s="162">
        <f>+_xlfn.XLOOKUP($C57,'FASE 3 '!$C$408:$W$408,'FASE 3 '!$C$417:$W$417)</f>
        <v>0</v>
      </c>
      <c r="L57" s="162">
        <f>+_xlfn.XLOOKUP($C57,'FASE 3 '!$C$408:$W$408,'FASE 3 '!$C$418:$W$418)</f>
        <v>0</v>
      </c>
      <c r="M57" s="162" t="e">
        <f>+_xlfn.XLOOKUP($C57,'FASE 3 '!$C$408:$W$408,'FASE 3 '!#REF!)</f>
        <v>#REF!</v>
      </c>
      <c r="N57" s="162" t="e">
        <f>+_xlfn.XLOOKUP($C57,'FASE 3 '!$C$408:$W$408,'FASE 3 '!#REF!)</f>
        <v>#REF!</v>
      </c>
      <c r="O57" s="162" t="e">
        <f>+_xlfn.XLOOKUP($C57,'FASE 3 '!$C$408:$W$408,'FASE 3 '!#REF!)</f>
        <v>#REF!</v>
      </c>
      <c r="P57" s="155" t="e">
        <f t="shared" si="1"/>
        <v>#REF!</v>
      </c>
      <c r="Q57" s="196" t="e">
        <f t="shared" si="4"/>
        <v>#REF!</v>
      </c>
      <c r="R57" s="197"/>
      <c r="S57" s="197"/>
      <c r="T57" s="197"/>
      <c r="U57" s="197"/>
      <c r="V57" s="224"/>
      <c r="W57" s="217"/>
      <c r="X57" s="158"/>
    </row>
    <row r="58" spans="1:24" s="1" customFormat="1" ht="21.75" thickBot="1">
      <c r="A58" s="4"/>
      <c r="B58" s="586"/>
      <c r="C58" s="170" t="s">
        <v>722</v>
      </c>
      <c r="D58" s="162">
        <f>+_xlfn.XLOOKUP($C58,'FASE 3 '!$C$408:$W$408,'FASE 3 '!$C$410:$W$410)</f>
        <v>8.3333333333333329E-2</v>
      </c>
      <c r="E58" s="162">
        <f>+_xlfn.XLOOKUP($C58,'FASE 3 '!$C$408:$W$408,'FASE 3 '!$C$411:$W$411)</f>
        <v>0</v>
      </c>
      <c r="F58" s="162">
        <f>+_xlfn.XLOOKUP($C58,'FASE 3 '!$C$408:$W$408,'FASE 3 '!$C$412:$W$412)</f>
        <v>0</v>
      </c>
      <c r="G58" s="162">
        <f>+_xlfn.XLOOKUP($C58,'FASE 3 '!$C$408:$W$408,'FASE 3 '!$C$413:$W$413)</f>
        <v>0</v>
      </c>
      <c r="H58" s="162">
        <f>+_xlfn.XLOOKUP($C58,'FASE 3 '!$C$408:$W$408,'FASE 3 '!$C$414:$W$414)</f>
        <v>0</v>
      </c>
      <c r="I58" s="162">
        <f>+_xlfn.XLOOKUP($C58,'FASE 3 '!$C$408:$W$408,'FASE 3 '!$C$415:$W$415)</f>
        <v>0</v>
      </c>
      <c r="J58" s="162">
        <f>+_xlfn.XLOOKUP($C58,'FASE 3 '!$C$408:$W$408,'FASE 3 '!$C$416:$W$416)</f>
        <v>0</v>
      </c>
      <c r="K58" s="162">
        <f>+_xlfn.XLOOKUP($C58,'FASE 3 '!$C$408:$W$408,'FASE 3 '!$C$417:$W$417)</f>
        <v>0</v>
      </c>
      <c r="L58" s="162">
        <f>+_xlfn.XLOOKUP($C58,'FASE 3 '!$C$408:$W$408,'FASE 3 '!$C$418:$W$418)</f>
        <v>0</v>
      </c>
      <c r="M58" s="162" t="e">
        <f>+_xlfn.XLOOKUP($C58,'FASE 3 '!$C$408:$W$408,'FASE 3 '!#REF!)</f>
        <v>#REF!</v>
      </c>
      <c r="N58" s="162" t="e">
        <f>+_xlfn.XLOOKUP($C58,'FASE 3 '!$C$408:$W$408,'FASE 3 '!#REF!)</f>
        <v>#REF!</v>
      </c>
      <c r="O58" s="162" t="e">
        <f>+_xlfn.XLOOKUP($C58,'FASE 3 '!$C$408:$W$408,'FASE 3 '!#REF!)</f>
        <v>#REF!</v>
      </c>
      <c r="P58" s="155" t="e">
        <f t="shared" si="1"/>
        <v>#REF!</v>
      </c>
      <c r="Q58" s="196" t="e">
        <f t="shared" si="4"/>
        <v>#REF!</v>
      </c>
      <c r="R58" s="197"/>
      <c r="S58" s="197"/>
      <c r="T58" s="197"/>
      <c r="U58" s="197"/>
      <c r="V58" s="224"/>
      <c r="W58" s="217"/>
      <c r="X58" s="168"/>
    </row>
    <row r="59" spans="1:24" s="1" customFormat="1" ht="21.75" thickBot="1">
      <c r="A59" s="4"/>
      <c r="B59" s="586"/>
      <c r="C59" s="170" t="s">
        <v>724</v>
      </c>
      <c r="D59" s="162">
        <f>+_xlfn.XLOOKUP($C59,'FASE 3 '!$C$408:$W$408,'FASE 3 '!$C$410:$W$410)</f>
        <v>0</v>
      </c>
      <c r="E59" s="162">
        <f>+_xlfn.XLOOKUP($C59,'FASE 3 '!$C$408:$W$408,'FASE 3 '!$C$411:$W$411)</f>
        <v>0</v>
      </c>
      <c r="F59" s="162">
        <f>+_xlfn.XLOOKUP($C59,'FASE 3 '!$C$408:$W$408,'FASE 3 '!$C$412:$W$412)</f>
        <v>0</v>
      </c>
      <c r="G59" s="162">
        <f>+_xlfn.XLOOKUP($C59,'FASE 3 '!$C$408:$W$408,'FASE 3 '!$C$413:$W$413)</f>
        <v>0</v>
      </c>
      <c r="H59" s="162">
        <f>+_xlfn.XLOOKUP($C59,'FASE 3 '!$C$408:$W$408,'FASE 3 '!$C$414:$W$414)</f>
        <v>0</v>
      </c>
      <c r="I59" s="162">
        <f>+_xlfn.XLOOKUP($C59,'FASE 3 '!$C$408:$W$408,'FASE 3 '!$C$415:$W$415)</f>
        <v>0</v>
      </c>
      <c r="J59" s="162">
        <f>+_xlfn.XLOOKUP($C59,'FASE 3 '!$C$408:$W$408,'FASE 3 '!$C$416:$W$416)</f>
        <v>0</v>
      </c>
      <c r="K59" s="162">
        <f>+_xlfn.XLOOKUP($C59,'FASE 3 '!$C$408:$W$408,'FASE 3 '!$C$417:$W$417)</f>
        <v>0</v>
      </c>
      <c r="L59" s="162">
        <f>+_xlfn.XLOOKUP($C59,'FASE 3 '!$C$408:$W$408,'FASE 3 '!$C$418:$W$418)</f>
        <v>0</v>
      </c>
      <c r="M59" s="162" t="e">
        <f>+_xlfn.XLOOKUP($C59,'FASE 3 '!$C$408:$W$408,'FASE 3 '!#REF!)</f>
        <v>#REF!</v>
      </c>
      <c r="N59" s="162" t="e">
        <f>+_xlfn.XLOOKUP($C59,'FASE 3 '!$C$408:$W$408,'FASE 3 '!#REF!)</f>
        <v>#REF!</v>
      </c>
      <c r="O59" s="162" t="e">
        <f>+_xlfn.XLOOKUP($C59,'FASE 3 '!$C$408:$W$408,'FASE 3 '!#REF!)</f>
        <v>#REF!</v>
      </c>
      <c r="P59" s="155" t="e">
        <f t="shared" si="1"/>
        <v>#REF!</v>
      </c>
      <c r="Q59" s="196" t="e">
        <f t="shared" si="4"/>
        <v>#REF!</v>
      </c>
      <c r="R59" s="197"/>
      <c r="S59" s="197"/>
      <c r="T59" s="197"/>
      <c r="U59" s="197"/>
      <c r="V59" s="224"/>
      <c r="W59" s="217"/>
      <c r="X59" s="158"/>
    </row>
    <row r="60" spans="1:24" s="1" customFormat="1" ht="21.75" thickBot="1">
      <c r="A60" s="4"/>
      <c r="B60" s="586"/>
      <c r="C60" s="170" t="s">
        <v>725</v>
      </c>
      <c r="D60" s="162">
        <f>+_xlfn.XLOOKUP($C60,'FASE 3 '!$C$408:$W$408,'FASE 3 '!$C$410:$W$410)</f>
        <v>8.3333333333333329E-2</v>
      </c>
      <c r="E60" s="162">
        <f>+_xlfn.XLOOKUP($C60,'FASE 3 '!$C$408:$W$408,'FASE 3 '!$C$411:$W$411)</f>
        <v>0</v>
      </c>
      <c r="F60" s="162">
        <f>+_xlfn.XLOOKUP($C60,'FASE 3 '!$C$408:$W$408,'FASE 3 '!$C$412:$W$412)</f>
        <v>0</v>
      </c>
      <c r="G60" s="162">
        <f>+_xlfn.XLOOKUP($C60,'FASE 3 '!$C$408:$W$408,'FASE 3 '!$C$413:$W$413)</f>
        <v>0</v>
      </c>
      <c r="H60" s="162">
        <f>+_xlfn.XLOOKUP($C60,'FASE 3 '!$C$408:$W$408,'FASE 3 '!$C$414:$W$414)</f>
        <v>0</v>
      </c>
      <c r="I60" s="162">
        <f>+_xlfn.XLOOKUP($C60,'FASE 3 '!$C$408:$W$408,'FASE 3 '!$C$415:$W$415)</f>
        <v>0</v>
      </c>
      <c r="J60" s="162">
        <f>+_xlfn.XLOOKUP($C60,'FASE 3 '!$C$408:$W$408,'FASE 3 '!$C$416:$W$416)</f>
        <v>0</v>
      </c>
      <c r="K60" s="162">
        <f>+_xlfn.XLOOKUP($C60,'FASE 3 '!$C$408:$W$408,'FASE 3 '!$C$417:$W$417)</f>
        <v>0</v>
      </c>
      <c r="L60" s="162">
        <f>+_xlfn.XLOOKUP($C60,'FASE 3 '!$C$408:$W$408,'FASE 3 '!$C$418:$W$418)</f>
        <v>0</v>
      </c>
      <c r="M60" s="162" t="e">
        <f>+_xlfn.XLOOKUP($C60,'FASE 3 '!$C$408:$W$408,'FASE 3 '!#REF!)</f>
        <v>#REF!</v>
      </c>
      <c r="N60" s="162" t="e">
        <f>+_xlfn.XLOOKUP($C60,'FASE 3 '!$C$408:$W$408,'FASE 3 '!#REF!)</f>
        <v>#REF!</v>
      </c>
      <c r="O60" s="162" t="e">
        <f>+_xlfn.XLOOKUP($C60,'FASE 3 '!$C$408:$W$408,'FASE 3 '!#REF!)</f>
        <v>#REF!</v>
      </c>
      <c r="P60" s="155" t="e">
        <f t="shared" si="1"/>
        <v>#REF!</v>
      </c>
      <c r="Q60" s="196" t="e">
        <f t="shared" si="4"/>
        <v>#REF!</v>
      </c>
      <c r="R60" s="197"/>
      <c r="S60" s="197"/>
      <c r="T60" s="197"/>
      <c r="U60" s="197"/>
      <c r="V60" s="224"/>
      <c r="W60" s="217"/>
      <c r="X60" s="168"/>
    </row>
    <row r="61" spans="1:24" s="1" customFormat="1" ht="21.75" thickBot="1">
      <c r="A61" s="4"/>
      <c r="B61" s="586"/>
      <c r="C61" s="170" t="s">
        <v>726</v>
      </c>
      <c r="D61" s="162">
        <f>+_xlfn.XLOOKUP($C61,'FASE 3 '!$C$408:$W$408,'FASE 3 '!$C$410:$W$410)</f>
        <v>8.3333333333333329E-2</v>
      </c>
      <c r="E61" s="162">
        <f>+_xlfn.XLOOKUP($C61,'FASE 3 '!$C$408:$W$408,'FASE 3 '!$C$411:$W$411)</f>
        <v>0</v>
      </c>
      <c r="F61" s="162">
        <f>+_xlfn.XLOOKUP($C61,'FASE 3 '!$C$408:$W$408,'FASE 3 '!$C$412:$W$412)</f>
        <v>0</v>
      </c>
      <c r="G61" s="162">
        <f>+_xlfn.XLOOKUP($C61,'FASE 3 '!$C$408:$W$408,'FASE 3 '!$C$413:$W$413)</f>
        <v>0</v>
      </c>
      <c r="H61" s="162">
        <f>+_xlfn.XLOOKUP($C61,'FASE 3 '!$C$408:$W$408,'FASE 3 '!$C$414:$W$414)</f>
        <v>0</v>
      </c>
      <c r="I61" s="162">
        <f>+_xlfn.XLOOKUP($C61,'FASE 3 '!$C$408:$W$408,'FASE 3 '!$C$415:$W$415)</f>
        <v>0</v>
      </c>
      <c r="J61" s="162">
        <f>+_xlfn.XLOOKUP($C61,'FASE 3 '!$C$408:$W$408,'FASE 3 '!$C$416:$W$416)</f>
        <v>0</v>
      </c>
      <c r="K61" s="162">
        <f>+_xlfn.XLOOKUP($C61,'FASE 3 '!$C$408:$W$408,'FASE 3 '!$C$417:$W$417)</f>
        <v>0</v>
      </c>
      <c r="L61" s="162">
        <f>+_xlfn.XLOOKUP($C61,'FASE 3 '!$C$408:$W$408,'FASE 3 '!$C$418:$W$418)</f>
        <v>0</v>
      </c>
      <c r="M61" s="162" t="e">
        <f>+_xlfn.XLOOKUP($C61,'FASE 3 '!$C$408:$W$408,'FASE 3 '!#REF!)</f>
        <v>#REF!</v>
      </c>
      <c r="N61" s="162" t="e">
        <f>+_xlfn.XLOOKUP($C61,'FASE 3 '!$C$408:$W$408,'FASE 3 '!#REF!)</f>
        <v>#REF!</v>
      </c>
      <c r="O61" s="162" t="e">
        <f>+_xlfn.XLOOKUP($C61,'FASE 3 '!$C$408:$W$408,'FASE 3 '!#REF!)</f>
        <v>#REF!</v>
      </c>
      <c r="P61" s="155" t="e">
        <f t="shared" si="1"/>
        <v>#REF!</v>
      </c>
      <c r="Q61" s="196" t="e">
        <f t="shared" si="4"/>
        <v>#REF!</v>
      </c>
      <c r="R61" s="197"/>
      <c r="S61" s="197"/>
      <c r="T61" s="197"/>
      <c r="U61" s="197"/>
      <c r="V61" s="224"/>
      <c r="W61" s="217"/>
      <c r="X61" s="168"/>
    </row>
    <row r="62" spans="1:24" s="1" customFormat="1" ht="21.75" thickBot="1">
      <c r="A62" s="4"/>
      <c r="B62" s="586"/>
      <c r="C62" s="170" t="s">
        <v>751</v>
      </c>
      <c r="D62" s="162">
        <f>+_xlfn.XLOOKUP($C62,'FASE 3 '!$C$408:$W$408,'FASE 3 '!$C$410:$W$410)</f>
        <v>8.3333333333333329E-2</v>
      </c>
      <c r="E62" s="162">
        <f>+_xlfn.XLOOKUP($C62,'FASE 3 '!$C$408:$W$408,'FASE 3 '!$C$411:$W$411)</f>
        <v>0</v>
      </c>
      <c r="F62" s="162">
        <f>+_xlfn.XLOOKUP($C62,'FASE 3 '!$C$408:$W$408,'FASE 3 '!$C$412:$W$412)</f>
        <v>0</v>
      </c>
      <c r="G62" s="162">
        <f>+_xlfn.XLOOKUP($C62,'FASE 3 '!$C$408:$W$408,'FASE 3 '!$C$413:$W$413)</f>
        <v>0</v>
      </c>
      <c r="H62" s="162">
        <f>+_xlfn.XLOOKUP($C62,'FASE 3 '!$C$408:$W$408,'FASE 3 '!$C$414:$W$414)</f>
        <v>0</v>
      </c>
      <c r="I62" s="162">
        <f>+_xlfn.XLOOKUP($C62,'FASE 3 '!$C$408:$W$408,'FASE 3 '!$C$415:$W$415)</f>
        <v>0</v>
      </c>
      <c r="J62" s="162">
        <f>+_xlfn.XLOOKUP($C62,'FASE 3 '!$C$408:$W$408,'FASE 3 '!$C$416:$W$416)</f>
        <v>0</v>
      </c>
      <c r="K62" s="162">
        <f>+_xlfn.XLOOKUP($C62,'FASE 3 '!$C$408:$W$408,'FASE 3 '!$C$417:$W$417)</f>
        <v>0</v>
      </c>
      <c r="L62" s="162">
        <f>+_xlfn.XLOOKUP($C62,'FASE 3 '!$C$408:$W$408,'FASE 3 '!$C$418:$W$418)</f>
        <v>0</v>
      </c>
      <c r="M62" s="162" t="e">
        <f>+_xlfn.XLOOKUP($C62,'FASE 3 '!$C$408:$W$408,'FASE 3 '!#REF!)</f>
        <v>#REF!</v>
      </c>
      <c r="N62" s="162" t="e">
        <f>+_xlfn.XLOOKUP($C62,'FASE 3 '!$C$408:$W$408,'FASE 3 '!#REF!)</f>
        <v>#REF!</v>
      </c>
      <c r="O62" s="162" t="e">
        <f>+_xlfn.XLOOKUP($C62,'FASE 3 '!$C$408:$W$408,'FASE 3 '!#REF!)</f>
        <v>#REF!</v>
      </c>
      <c r="P62" s="155" t="e">
        <f t="shared" si="1"/>
        <v>#REF!</v>
      </c>
      <c r="Q62" s="196" t="e">
        <f t="shared" si="4"/>
        <v>#REF!</v>
      </c>
      <c r="R62" s="197"/>
      <c r="S62" s="197"/>
      <c r="T62" s="197"/>
      <c r="U62" s="197"/>
      <c r="V62" s="224"/>
      <c r="W62" s="217"/>
      <c r="X62" s="168"/>
    </row>
    <row r="63" spans="1:24" s="1" customFormat="1" ht="21.75" thickBot="1">
      <c r="A63" s="4"/>
      <c r="B63" s="586"/>
      <c r="C63" s="170" t="s">
        <v>727</v>
      </c>
      <c r="D63" s="162">
        <f>+_xlfn.XLOOKUP($C63,'FASE 3 '!$C$408:$W$408,'FASE 3 '!$C$410:$W$410)</f>
        <v>8.3333333333333329E-2</v>
      </c>
      <c r="E63" s="162">
        <f>+_xlfn.XLOOKUP($C63,'FASE 3 '!$C$408:$W$408,'FASE 3 '!$C$411:$W$411)</f>
        <v>0</v>
      </c>
      <c r="F63" s="162">
        <f>+_xlfn.XLOOKUP($C63,'FASE 3 '!$C$408:$W$408,'FASE 3 '!$C$412:$W$412)</f>
        <v>0</v>
      </c>
      <c r="G63" s="162">
        <f>+_xlfn.XLOOKUP($C63,'FASE 3 '!$C$408:$W$408,'FASE 3 '!$C$413:$W$413)</f>
        <v>0</v>
      </c>
      <c r="H63" s="162">
        <f>+_xlfn.XLOOKUP($C63,'FASE 3 '!$C$408:$W$408,'FASE 3 '!$C$414:$W$414)</f>
        <v>0</v>
      </c>
      <c r="I63" s="162">
        <f>+_xlfn.XLOOKUP($C63,'FASE 3 '!$C$408:$W$408,'FASE 3 '!$C$415:$W$415)</f>
        <v>0</v>
      </c>
      <c r="J63" s="162">
        <f>+_xlfn.XLOOKUP($C63,'FASE 3 '!$C$408:$W$408,'FASE 3 '!$C$416:$W$416)</f>
        <v>0</v>
      </c>
      <c r="K63" s="162">
        <f>+_xlfn.XLOOKUP($C63,'FASE 3 '!$C$408:$W$408,'FASE 3 '!$C$417:$W$417)</f>
        <v>0</v>
      </c>
      <c r="L63" s="162">
        <f>+_xlfn.XLOOKUP($C63,'FASE 3 '!$C$408:$W$408,'FASE 3 '!$C$418:$W$418)</f>
        <v>0</v>
      </c>
      <c r="M63" s="162" t="e">
        <f>+_xlfn.XLOOKUP($C63,'FASE 3 '!$C$408:$W$408,'FASE 3 '!#REF!)</f>
        <v>#REF!</v>
      </c>
      <c r="N63" s="162" t="e">
        <f>+_xlfn.XLOOKUP($C63,'FASE 3 '!$C$408:$W$408,'FASE 3 '!#REF!)</f>
        <v>#REF!</v>
      </c>
      <c r="O63" s="162" t="e">
        <f>+_xlfn.XLOOKUP($C63,'FASE 3 '!$C$408:$W$408,'FASE 3 '!#REF!)</f>
        <v>#REF!</v>
      </c>
      <c r="P63" s="155" t="e">
        <f t="shared" si="1"/>
        <v>#REF!</v>
      </c>
      <c r="Q63" s="196" t="e">
        <f t="shared" si="4"/>
        <v>#REF!</v>
      </c>
      <c r="R63" s="197"/>
      <c r="S63" s="197"/>
      <c r="T63" s="197"/>
      <c r="U63" s="197"/>
      <c r="V63" s="224"/>
      <c r="W63" s="217"/>
      <c r="X63" s="158"/>
    </row>
    <row r="64" spans="1:24" s="1" customFormat="1" ht="21.75" thickBot="1">
      <c r="A64" s="4"/>
      <c r="B64" s="586"/>
      <c r="C64" s="170" t="s">
        <v>728</v>
      </c>
      <c r="D64" s="162">
        <f>+_xlfn.XLOOKUP($C64,'FASE 3 '!$C$408:$W$408,'FASE 3 '!$C$410:$W$410)</f>
        <v>8.3333333333333329E-2</v>
      </c>
      <c r="E64" s="162">
        <f>+_xlfn.XLOOKUP($C64,'FASE 3 '!$C$408:$W$408,'FASE 3 '!$C$411:$W$411)</f>
        <v>0</v>
      </c>
      <c r="F64" s="162">
        <f>+_xlfn.XLOOKUP($C64,'FASE 3 '!$C$408:$W$408,'FASE 3 '!$C$412:$W$412)</f>
        <v>0</v>
      </c>
      <c r="G64" s="162">
        <f>+_xlfn.XLOOKUP($C64,'FASE 3 '!$C$408:$W$408,'FASE 3 '!$C$413:$W$413)</f>
        <v>0</v>
      </c>
      <c r="H64" s="162">
        <f>+_xlfn.XLOOKUP($C64,'FASE 3 '!$C$408:$W$408,'FASE 3 '!$C$414:$W$414)</f>
        <v>0</v>
      </c>
      <c r="I64" s="162">
        <f>+_xlfn.XLOOKUP($C64,'FASE 3 '!$C$408:$W$408,'FASE 3 '!$C$415:$W$415)</f>
        <v>0</v>
      </c>
      <c r="J64" s="162">
        <f>+_xlfn.XLOOKUP($C64,'FASE 3 '!$C$408:$W$408,'FASE 3 '!$C$416:$W$416)</f>
        <v>0</v>
      </c>
      <c r="K64" s="162">
        <f>+_xlfn.XLOOKUP($C64,'FASE 3 '!$C$408:$W$408,'FASE 3 '!$C$417:$W$417)</f>
        <v>0</v>
      </c>
      <c r="L64" s="162">
        <f>+_xlfn.XLOOKUP($C64,'FASE 3 '!$C$408:$W$408,'FASE 3 '!$C$418:$W$418)</f>
        <v>0</v>
      </c>
      <c r="M64" s="162" t="e">
        <f>+_xlfn.XLOOKUP($C64,'FASE 3 '!$C$408:$W$408,'FASE 3 '!#REF!)</f>
        <v>#REF!</v>
      </c>
      <c r="N64" s="162" t="e">
        <f>+_xlfn.XLOOKUP($C64,'FASE 3 '!$C$408:$W$408,'FASE 3 '!#REF!)</f>
        <v>#REF!</v>
      </c>
      <c r="O64" s="162" t="e">
        <f>+_xlfn.XLOOKUP($C64,'FASE 3 '!$C$408:$W$408,'FASE 3 '!#REF!)</f>
        <v>#REF!</v>
      </c>
      <c r="P64" s="155" t="e">
        <f t="shared" si="1"/>
        <v>#REF!</v>
      </c>
      <c r="Q64" s="196" t="e">
        <f t="shared" si="4"/>
        <v>#REF!</v>
      </c>
      <c r="R64" s="197"/>
      <c r="S64" s="197"/>
      <c r="T64" s="197"/>
      <c r="U64" s="197"/>
      <c r="V64" s="224"/>
      <c r="W64" s="217"/>
      <c r="X64" s="168"/>
    </row>
    <row r="65" spans="1:24" s="1" customFormat="1" ht="21.75" thickBot="1">
      <c r="A65" s="4"/>
      <c r="B65" s="586"/>
      <c r="C65" s="170" t="s">
        <v>729</v>
      </c>
      <c r="D65" s="162">
        <f>+_xlfn.XLOOKUP($C65,'FASE 3 '!$C$408:$W$408,'FASE 3 '!$C$410:$W$410)</f>
        <v>8.3333333333333329E-2</v>
      </c>
      <c r="E65" s="162">
        <f>+_xlfn.XLOOKUP($C65,'FASE 3 '!$C$408:$W$408,'FASE 3 '!$C$411:$W$411)</f>
        <v>0</v>
      </c>
      <c r="F65" s="162">
        <f>+_xlfn.XLOOKUP($C65,'FASE 3 '!$C$408:$W$408,'FASE 3 '!$C$412:$W$412)</f>
        <v>0</v>
      </c>
      <c r="G65" s="162">
        <f>+_xlfn.XLOOKUP($C65,'FASE 3 '!$C$408:$W$408,'FASE 3 '!$C$413:$W$413)</f>
        <v>0</v>
      </c>
      <c r="H65" s="162">
        <f>+_xlfn.XLOOKUP($C65,'FASE 3 '!$C$408:$W$408,'FASE 3 '!$C$414:$W$414)</f>
        <v>0</v>
      </c>
      <c r="I65" s="162">
        <f>+_xlfn.XLOOKUP($C65,'FASE 3 '!$C$408:$W$408,'FASE 3 '!$C$415:$W$415)</f>
        <v>0</v>
      </c>
      <c r="J65" s="162">
        <f>+_xlfn.XLOOKUP($C65,'FASE 3 '!$C$408:$W$408,'FASE 3 '!$C$416:$W$416)</f>
        <v>0</v>
      </c>
      <c r="K65" s="162">
        <f>+_xlfn.XLOOKUP($C65,'FASE 3 '!$C$408:$W$408,'FASE 3 '!$C$417:$W$417)</f>
        <v>0</v>
      </c>
      <c r="L65" s="162">
        <f>+_xlfn.XLOOKUP($C65,'FASE 3 '!$C$408:$W$408,'FASE 3 '!$C$418:$W$418)</f>
        <v>0</v>
      </c>
      <c r="M65" s="162" t="e">
        <f>+_xlfn.XLOOKUP($C65,'FASE 3 '!$C$408:$W$408,'FASE 3 '!#REF!)</f>
        <v>#REF!</v>
      </c>
      <c r="N65" s="162" t="e">
        <f>+_xlfn.XLOOKUP($C65,'FASE 3 '!$C$408:$W$408,'FASE 3 '!#REF!)</f>
        <v>#REF!</v>
      </c>
      <c r="O65" s="162" t="e">
        <f>+_xlfn.XLOOKUP($C65,'FASE 3 '!$C$408:$W$408,'FASE 3 '!#REF!)</f>
        <v>#REF!</v>
      </c>
      <c r="P65" s="155" t="e">
        <f t="shared" si="1"/>
        <v>#REF!</v>
      </c>
      <c r="Q65" s="196" t="e">
        <f t="shared" si="4"/>
        <v>#REF!</v>
      </c>
      <c r="R65" s="197"/>
      <c r="S65" s="197"/>
      <c r="T65" s="197"/>
      <c r="U65" s="197"/>
      <c r="V65" s="224"/>
      <c r="W65" s="217"/>
      <c r="X65" s="168"/>
    </row>
    <row r="66" spans="1:24" s="1" customFormat="1" ht="21.75" thickBot="1">
      <c r="A66" s="4"/>
      <c r="B66" s="586"/>
      <c r="C66" s="170" t="s">
        <v>730</v>
      </c>
      <c r="D66" s="162">
        <f>+_xlfn.XLOOKUP($C66,'FASE 3 '!$C$408:$W$408,'FASE 3 '!$C$410:$W$410)</f>
        <v>8.3333333333333329E-2</v>
      </c>
      <c r="E66" s="162">
        <f>+_xlfn.XLOOKUP($C66,'FASE 3 '!$C$408:$W$408,'FASE 3 '!$C$411:$W$411)</f>
        <v>0</v>
      </c>
      <c r="F66" s="162">
        <f>+_xlfn.XLOOKUP($C66,'FASE 3 '!$C$408:$W$408,'FASE 3 '!$C$412:$W$412)</f>
        <v>0</v>
      </c>
      <c r="G66" s="162">
        <f>+_xlfn.XLOOKUP($C66,'FASE 3 '!$C$408:$W$408,'FASE 3 '!$C$413:$W$413)</f>
        <v>0</v>
      </c>
      <c r="H66" s="162">
        <f>+_xlfn.XLOOKUP($C66,'FASE 3 '!$C$408:$W$408,'FASE 3 '!$C$414:$W$414)</f>
        <v>0</v>
      </c>
      <c r="I66" s="162">
        <f>+_xlfn.XLOOKUP($C66,'FASE 3 '!$C$408:$W$408,'FASE 3 '!$C$415:$W$415)</f>
        <v>0</v>
      </c>
      <c r="J66" s="162">
        <f>+_xlfn.XLOOKUP($C66,'FASE 3 '!$C$408:$W$408,'FASE 3 '!$C$416:$W$416)</f>
        <v>0</v>
      </c>
      <c r="K66" s="162">
        <f>+_xlfn.XLOOKUP($C66,'FASE 3 '!$C$408:$W$408,'FASE 3 '!$C$417:$W$417)</f>
        <v>0</v>
      </c>
      <c r="L66" s="162">
        <f>+_xlfn.XLOOKUP($C66,'FASE 3 '!$C$408:$W$408,'FASE 3 '!$C$418:$W$418)</f>
        <v>0</v>
      </c>
      <c r="M66" s="162" t="e">
        <f>+_xlfn.XLOOKUP($C66,'FASE 3 '!$C$408:$W$408,'FASE 3 '!#REF!)</f>
        <v>#REF!</v>
      </c>
      <c r="N66" s="162" t="e">
        <f>+_xlfn.XLOOKUP($C66,'FASE 3 '!$C$408:$W$408,'FASE 3 '!#REF!)</f>
        <v>#REF!</v>
      </c>
      <c r="O66" s="162" t="e">
        <f>+_xlfn.XLOOKUP($C66,'FASE 3 '!$C$408:$W$408,'FASE 3 '!#REF!)</f>
        <v>#REF!</v>
      </c>
      <c r="P66" s="155" t="e">
        <f t="shared" si="1"/>
        <v>#REF!</v>
      </c>
      <c r="Q66" s="196" t="e">
        <f t="shared" si="4"/>
        <v>#REF!</v>
      </c>
      <c r="R66" s="197"/>
      <c r="S66" s="197"/>
      <c r="T66" s="197"/>
      <c r="U66" s="197"/>
      <c r="V66" s="224"/>
      <c r="W66" s="217"/>
      <c r="X66" s="168"/>
    </row>
    <row r="67" spans="1:24" s="1" customFormat="1" ht="21.75" thickBot="1">
      <c r="A67" s="4"/>
      <c r="B67" s="586"/>
      <c r="C67" s="170" t="s">
        <v>733</v>
      </c>
      <c r="D67" s="162">
        <f>+_xlfn.XLOOKUP($C67,'FASE 3 '!$C$408:$W$408,'FASE 3 '!$C$410:$W$410)</f>
        <v>8.3333333333333329E-2</v>
      </c>
      <c r="E67" s="162">
        <f>+_xlfn.XLOOKUP($C67,'FASE 3 '!$C$408:$W$408,'FASE 3 '!$C$411:$W$411)</f>
        <v>0</v>
      </c>
      <c r="F67" s="162">
        <f>+_xlfn.XLOOKUP($C67,'FASE 3 '!$C$408:$W$408,'FASE 3 '!$C$412:$W$412)</f>
        <v>0</v>
      </c>
      <c r="G67" s="162">
        <f>+_xlfn.XLOOKUP($C67,'FASE 3 '!$C$408:$W$408,'FASE 3 '!$C$413:$W$413)</f>
        <v>0</v>
      </c>
      <c r="H67" s="162">
        <f>+_xlfn.XLOOKUP($C67,'FASE 3 '!$C$408:$W$408,'FASE 3 '!$C$414:$W$414)</f>
        <v>0</v>
      </c>
      <c r="I67" s="162">
        <f>+_xlfn.XLOOKUP($C67,'FASE 3 '!$C$408:$W$408,'FASE 3 '!$C$415:$W$415)</f>
        <v>0</v>
      </c>
      <c r="J67" s="162">
        <f>+_xlfn.XLOOKUP($C67,'FASE 3 '!$C$408:$W$408,'FASE 3 '!$C$416:$W$416)</f>
        <v>0</v>
      </c>
      <c r="K67" s="162">
        <f>+_xlfn.XLOOKUP($C67,'FASE 3 '!$C$408:$W$408,'FASE 3 '!$C$417:$W$417)</f>
        <v>0</v>
      </c>
      <c r="L67" s="162">
        <f>+_xlfn.XLOOKUP($C67,'FASE 3 '!$C$408:$W$408,'FASE 3 '!$C$418:$W$418)</f>
        <v>0</v>
      </c>
      <c r="M67" s="162" t="e">
        <f>+_xlfn.XLOOKUP($C67,'FASE 3 '!$C$408:$W$408,'FASE 3 '!#REF!)</f>
        <v>#REF!</v>
      </c>
      <c r="N67" s="162" t="e">
        <f>+_xlfn.XLOOKUP($C67,'FASE 3 '!$C$408:$W$408,'FASE 3 '!#REF!)</f>
        <v>#REF!</v>
      </c>
      <c r="O67" s="162" t="e">
        <f>+_xlfn.XLOOKUP($C67,'FASE 3 '!$C$408:$W$408,'FASE 3 '!#REF!)</f>
        <v>#REF!</v>
      </c>
      <c r="P67" s="155" t="e">
        <f t="shared" si="1"/>
        <v>#REF!</v>
      </c>
      <c r="Q67" s="196" t="e">
        <f t="shared" si="4"/>
        <v>#REF!</v>
      </c>
      <c r="R67" s="197"/>
      <c r="S67" s="197"/>
      <c r="T67" s="197"/>
      <c r="U67" s="197"/>
      <c r="V67" s="224"/>
      <c r="W67" s="217"/>
      <c r="X67" s="168"/>
    </row>
    <row r="68" spans="1:24" s="1" customFormat="1" ht="21.75" thickBot="1">
      <c r="A68" s="4"/>
      <c r="B68" s="586"/>
      <c r="C68" s="170" t="s">
        <v>734</v>
      </c>
      <c r="D68" s="162">
        <f>+_xlfn.XLOOKUP($C68,'FASE 3 '!$C$408:$W$408,'FASE 3 '!$C$410:$W$410)</f>
        <v>8.3333333333333329E-2</v>
      </c>
      <c r="E68" s="162">
        <f>+_xlfn.XLOOKUP($C68,'FASE 3 '!$C$408:$W$408,'FASE 3 '!$C$411:$W$411)</f>
        <v>0</v>
      </c>
      <c r="F68" s="162">
        <f>+_xlfn.XLOOKUP($C68,'FASE 3 '!$C$408:$W$408,'FASE 3 '!$C$412:$W$412)</f>
        <v>0</v>
      </c>
      <c r="G68" s="162">
        <f>+_xlfn.XLOOKUP($C68,'FASE 3 '!$C$408:$W$408,'FASE 3 '!$C$413:$W$413)</f>
        <v>0</v>
      </c>
      <c r="H68" s="162">
        <f>+_xlfn.XLOOKUP($C68,'FASE 3 '!$C$408:$W$408,'FASE 3 '!$C$414:$W$414)</f>
        <v>0</v>
      </c>
      <c r="I68" s="162">
        <f>+_xlfn.XLOOKUP($C68,'FASE 3 '!$C$408:$W$408,'FASE 3 '!$C$415:$W$415)</f>
        <v>0</v>
      </c>
      <c r="J68" s="162">
        <f>+_xlfn.XLOOKUP($C68,'FASE 3 '!$C$408:$W$408,'FASE 3 '!$C$416:$W$416)</f>
        <v>0</v>
      </c>
      <c r="K68" s="162">
        <f>+_xlfn.XLOOKUP($C68,'FASE 3 '!$C$408:$W$408,'FASE 3 '!$C$417:$W$417)</f>
        <v>0</v>
      </c>
      <c r="L68" s="162">
        <f>+_xlfn.XLOOKUP($C68,'FASE 3 '!$C$408:$W$408,'FASE 3 '!$C$418:$W$418)</f>
        <v>0</v>
      </c>
      <c r="M68" s="162" t="e">
        <f>+_xlfn.XLOOKUP($C68,'FASE 3 '!$C$408:$W$408,'FASE 3 '!#REF!)</f>
        <v>#REF!</v>
      </c>
      <c r="N68" s="162" t="e">
        <f>+_xlfn.XLOOKUP($C68,'FASE 3 '!$C$408:$W$408,'FASE 3 '!#REF!)</f>
        <v>#REF!</v>
      </c>
      <c r="O68" s="162" t="e">
        <f>+_xlfn.XLOOKUP($C68,'FASE 3 '!$C$408:$W$408,'FASE 3 '!#REF!)</f>
        <v>#REF!</v>
      </c>
      <c r="P68" s="155" t="e">
        <f t="shared" si="1"/>
        <v>#REF!</v>
      </c>
      <c r="Q68" s="196" t="e">
        <f t="shared" si="4"/>
        <v>#REF!</v>
      </c>
      <c r="R68" s="197"/>
      <c r="S68" s="197"/>
      <c r="T68" s="197"/>
      <c r="U68" s="197"/>
      <c r="V68" s="224"/>
      <c r="W68" s="217"/>
      <c r="X68" s="168"/>
    </row>
    <row r="69" spans="1:24" s="1" customFormat="1" ht="21.75" thickBot="1">
      <c r="A69" s="4"/>
      <c r="B69" s="586"/>
      <c r="C69" s="170" t="s">
        <v>735</v>
      </c>
      <c r="D69" s="162">
        <f>+_xlfn.XLOOKUP($C69,'FASE 3 '!$C$408:$W$408,'FASE 3 '!$C$410:$W$410)</f>
        <v>8.3333333333333329E-2</v>
      </c>
      <c r="E69" s="162">
        <f>+_xlfn.XLOOKUP($C69,'FASE 3 '!$C$408:$W$408,'FASE 3 '!$C$411:$W$411)</f>
        <v>0</v>
      </c>
      <c r="F69" s="162">
        <f>+_xlfn.XLOOKUP($C69,'FASE 3 '!$C$408:$W$408,'FASE 3 '!$C$412:$W$412)</f>
        <v>0</v>
      </c>
      <c r="G69" s="162">
        <f>+_xlfn.XLOOKUP($C69,'FASE 3 '!$C$408:$W$408,'FASE 3 '!$C$413:$W$413)</f>
        <v>0</v>
      </c>
      <c r="H69" s="162">
        <f>+_xlfn.XLOOKUP($C69,'FASE 3 '!$C$408:$W$408,'FASE 3 '!$C$414:$W$414)</f>
        <v>0</v>
      </c>
      <c r="I69" s="162">
        <f>+_xlfn.XLOOKUP($C69,'FASE 3 '!$C$408:$W$408,'FASE 3 '!$C$415:$W$415)</f>
        <v>0</v>
      </c>
      <c r="J69" s="162">
        <f>+_xlfn.XLOOKUP($C69,'FASE 3 '!$C$408:$W$408,'FASE 3 '!$C$416:$W$416)</f>
        <v>0</v>
      </c>
      <c r="K69" s="162">
        <f>+_xlfn.XLOOKUP($C69,'FASE 3 '!$C$408:$W$408,'FASE 3 '!$C$417:$W$417)</f>
        <v>0</v>
      </c>
      <c r="L69" s="162">
        <f>+_xlfn.XLOOKUP($C69,'FASE 3 '!$C$408:$W$408,'FASE 3 '!$C$418:$W$418)</f>
        <v>0</v>
      </c>
      <c r="M69" s="162" t="e">
        <f>+_xlfn.XLOOKUP($C69,'FASE 3 '!$C$408:$W$408,'FASE 3 '!#REF!)</f>
        <v>#REF!</v>
      </c>
      <c r="N69" s="162" t="e">
        <f>+_xlfn.XLOOKUP($C69,'FASE 3 '!$C$408:$W$408,'FASE 3 '!#REF!)</f>
        <v>#REF!</v>
      </c>
      <c r="O69" s="162" t="e">
        <f>+_xlfn.XLOOKUP($C69,'FASE 3 '!$C$408:$W$408,'FASE 3 '!#REF!)</f>
        <v>#REF!</v>
      </c>
      <c r="P69" s="155" t="e">
        <f t="shared" si="1"/>
        <v>#REF!</v>
      </c>
      <c r="Q69" s="196" t="e">
        <f t="shared" si="4"/>
        <v>#REF!</v>
      </c>
      <c r="R69" s="197"/>
      <c r="S69" s="197"/>
      <c r="T69" s="197"/>
      <c r="U69" s="197"/>
      <c r="V69" s="224"/>
      <c r="W69" s="217"/>
      <c r="X69" s="168"/>
    </row>
    <row r="70" spans="1:24" s="1" customFormat="1" ht="21.75" thickBot="1">
      <c r="A70" s="4"/>
      <c r="B70" s="586"/>
      <c r="C70" s="170" t="s">
        <v>736</v>
      </c>
      <c r="D70" s="162">
        <f>+_xlfn.XLOOKUP($C70,'FASE 3 '!$C$408:$W$408,'FASE 3 '!$C$410:$W$410)</f>
        <v>8.3333333333333329E-2</v>
      </c>
      <c r="E70" s="162">
        <f>+_xlfn.XLOOKUP($C70,'FASE 3 '!$C$408:$W$408,'FASE 3 '!$C$411:$W$411)</f>
        <v>0</v>
      </c>
      <c r="F70" s="162">
        <f>+_xlfn.XLOOKUP($C70,'FASE 3 '!$C$408:$W$408,'FASE 3 '!$C$412:$W$412)</f>
        <v>0</v>
      </c>
      <c r="G70" s="162">
        <f>+_xlfn.XLOOKUP($C70,'FASE 3 '!$C$408:$W$408,'FASE 3 '!$C$413:$W$413)</f>
        <v>0</v>
      </c>
      <c r="H70" s="162">
        <f>+_xlfn.XLOOKUP($C70,'FASE 3 '!$C$408:$W$408,'FASE 3 '!$C$414:$W$414)</f>
        <v>0</v>
      </c>
      <c r="I70" s="162">
        <f>+_xlfn.XLOOKUP($C70,'FASE 3 '!$C$408:$W$408,'FASE 3 '!$C$415:$W$415)</f>
        <v>0</v>
      </c>
      <c r="J70" s="162">
        <f>+_xlfn.XLOOKUP($C70,'FASE 3 '!$C$408:$W$408,'FASE 3 '!$C$416:$W$416)</f>
        <v>0</v>
      </c>
      <c r="K70" s="162">
        <f>+_xlfn.XLOOKUP($C70,'FASE 3 '!$C$408:$W$408,'FASE 3 '!$C$417:$W$417)</f>
        <v>0</v>
      </c>
      <c r="L70" s="162">
        <f>+_xlfn.XLOOKUP($C70,'FASE 3 '!$C$408:$W$408,'FASE 3 '!$C$418:$W$418)</f>
        <v>0</v>
      </c>
      <c r="M70" s="162" t="e">
        <f>+_xlfn.XLOOKUP($C70,'FASE 3 '!$C$408:$W$408,'FASE 3 '!#REF!)</f>
        <v>#REF!</v>
      </c>
      <c r="N70" s="162" t="e">
        <f>+_xlfn.XLOOKUP($C70,'FASE 3 '!$C$408:$W$408,'FASE 3 '!#REF!)</f>
        <v>#REF!</v>
      </c>
      <c r="O70" s="162" t="e">
        <f>+_xlfn.XLOOKUP($C70,'FASE 3 '!$C$408:$W$408,'FASE 3 '!#REF!)</f>
        <v>#REF!</v>
      </c>
      <c r="P70" s="155" t="e">
        <f t="shared" si="1"/>
        <v>#REF!</v>
      </c>
      <c r="Q70" s="196" t="e">
        <f t="shared" si="4"/>
        <v>#REF!</v>
      </c>
      <c r="R70" s="197"/>
      <c r="S70" s="197"/>
      <c r="T70" s="197"/>
      <c r="U70" s="197"/>
      <c r="V70" s="224"/>
      <c r="W70" s="217"/>
      <c r="X70" s="168"/>
    </row>
    <row r="71" spans="1:24" s="1" customFormat="1" ht="21.75" thickBot="1">
      <c r="A71" s="4"/>
      <c r="B71" s="587"/>
      <c r="C71" s="171" t="s">
        <v>738</v>
      </c>
      <c r="D71" s="188">
        <f>+_xlfn.XLOOKUP($C71,'FASE 3 '!$C$408:$W$408,'FASE 3 '!$C$410:$W$410)</f>
        <v>0</v>
      </c>
      <c r="E71" s="188">
        <f>+_xlfn.XLOOKUP($C71,'FASE 3 '!$C$408:$W$408,'FASE 3 '!$C$411:$W$411)</f>
        <v>0</v>
      </c>
      <c r="F71" s="188">
        <f>+_xlfn.XLOOKUP($C71,'FASE 3 '!$C$408:$W$408,'FASE 3 '!$C$412:$W$412)</f>
        <v>0</v>
      </c>
      <c r="G71" s="188">
        <f>+_xlfn.XLOOKUP($C71,'FASE 3 '!$C$408:$W$408,'FASE 3 '!$C$413:$W$413)</f>
        <v>0</v>
      </c>
      <c r="H71" s="188">
        <f>+_xlfn.XLOOKUP($C71,'FASE 3 '!$C$408:$W$408,'FASE 3 '!$C$414:$W$414)</f>
        <v>0</v>
      </c>
      <c r="I71" s="188">
        <f>+_xlfn.XLOOKUP($C71,'FASE 3 '!$C$408:$W$408,'FASE 3 '!$C$415:$W$415)</f>
        <v>0</v>
      </c>
      <c r="J71" s="188">
        <f>+_xlfn.XLOOKUP($C71,'FASE 3 '!$C$408:$W$408,'FASE 3 '!$C$416:$W$416)</f>
        <v>0</v>
      </c>
      <c r="K71" s="188">
        <f>+_xlfn.XLOOKUP($C71,'FASE 3 '!$C$408:$W$408,'FASE 3 '!$C$417:$W$417)</f>
        <v>0</v>
      </c>
      <c r="L71" s="188">
        <f>+_xlfn.XLOOKUP($C71,'FASE 3 '!$C$408:$W$408,'FASE 3 '!$C$418:$W$418)</f>
        <v>0</v>
      </c>
      <c r="M71" s="188" t="e">
        <f>+_xlfn.XLOOKUP($C71,'FASE 3 '!$C$408:$W$408,'FASE 3 '!#REF!)</f>
        <v>#REF!</v>
      </c>
      <c r="N71" s="188" t="e">
        <f>+_xlfn.XLOOKUP($C71,'FASE 3 '!$C$408:$W$408,'FASE 3 '!#REF!)</f>
        <v>#REF!</v>
      </c>
      <c r="O71" s="188" t="e">
        <f>+_xlfn.XLOOKUP($C71,'FASE 3 '!$C$408:$W$408,'FASE 3 '!#REF!)</f>
        <v>#REF!</v>
      </c>
      <c r="P71" s="160" t="e">
        <f t="shared" si="1"/>
        <v>#REF!</v>
      </c>
      <c r="Q71" s="196" t="e">
        <f t="shared" si="4"/>
        <v>#REF!</v>
      </c>
      <c r="R71" s="198"/>
      <c r="S71" s="198"/>
      <c r="T71" s="198"/>
      <c r="U71" s="198"/>
      <c r="V71" s="225"/>
      <c r="W71" s="218"/>
      <c r="X71" s="161"/>
    </row>
    <row r="72" spans="1:24" s="185" customFormat="1" ht="13.5" thickBot="1">
      <c r="B72" s="591" t="s">
        <v>47</v>
      </c>
      <c r="C72" s="579"/>
      <c r="D72" s="580"/>
      <c r="E72" s="580"/>
      <c r="F72" s="580"/>
      <c r="G72" s="580"/>
      <c r="H72" s="580"/>
      <c r="I72" s="580"/>
      <c r="J72" s="580"/>
      <c r="K72" s="580"/>
      <c r="L72" s="580"/>
      <c r="M72" s="580"/>
      <c r="N72" s="580"/>
      <c r="O72" s="580"/>
      <c r="P72" s="581"/>
      <c r="Q72" s="202" t="s">
        <v>778</v>
      </c>
      <c r="R72" s="202" t="s">
        <v>779</v>
      </c>
      <c r="S72" s="202" t="s">
        <v>780</v>
      </c>
      <c r="T72" s="202" t="s">
        <v>169</v>
      </c>
      <c r="U72" s="202" t="s">
        <v>49</v>
      </c>
      <c r="V72" s="202" t="s">
        <v>50</v>
      </c>
    </row>
    <row r="73" spans="1:24" s="185" customFormat="1" ht="13.5" thickBot="1">
      <c r="B73" s="592"/>
      <c r="C73" s="582"/>
      <c r="D73" s="583"/>
      <c r="E73" s="583"/>
      <c r="F73" s="583"/>
      <c r="G73" s="583"/>
      <c r="H73" s="583"/>
      <c r="I73" s="583"/>
      <c r="J73" s="583"/>
      <c r="K73" s="583"/>
      <c r="L73" s="583"/>
      <c r="M73" s="583"/>
      <c r="N73" s="583"/>
      <c r="O73" s="583"/>
      <c r="P73" s="584"/>
      <c r="Q73" s="190">
        <f>+F9</f>
        <v>0.24999999999999989</v>
      </c>
      <c r="R73" s="190">
        <f>+H9</f>
        <v>0.41666666666666652</v>
      </c>
      <c r="S73" s="190">
        <f>+J9</f>
        <v>0.58333333333333315</v>
      </c>
      <c r="T73" s="190">
        <f>+L9</f>
        <v>0.74999999999999967</v>
      </c>
      <c r="U73" s="190">
        <f>+N9</f>
        <v>0.9166666666666663</v>
      </c>
      <c r="V73" s="190">
        <f>+O9</f>
        <v>0.99999999999999956</v>
      </c>
    </row>
    <row r="74" spans="1:24" s="1" customFormat="1" ht="21.75" customHeight="1" thickBot="1">
      <c r="A74" s="4"/>
      <c r="B74" s="592"/>
      <c r="C74" s="227" t="s">
        <v>731</v>
      </c>
      <c r="D74" s="174">
        <f>_xlfn.XLOOKUP($C74,'FASE 4'!$C$407:$N$407,'FASE 4'!$C$409:$N$409)</f>
        <v>0</v>
      </c>
      <c r="E74" s="162">
        <f>_xlfn.XLOOKUP($C74,'FASE 4'!$C$407:$N$407,'FASE 4'!$C$410:$N$410)</f>
        <v>0</v>
      </c>
      <c r="F74" s="162">
        <f>_xlfn.XLOOKUP($C74,'FASE 4'!$C$407:$N$407,'FASE 4'!$C$411:$N$411)</f>
        <v>0</v>
      </c>
      <c r="G74" s="162">
        <f>_xlfn.XLOOKUP($C74,'FASE 4'!$C$407:$N$407,'FASE 4'!$C$412:$N$412)</f>
        <v>0</v>
      </c>
      <c r="H74" s="162">
        <f>_xlfn.XLOOKUP($C74,'FASE 4'!$C$407:$N$407,'FASE 4'!$C$413:$N$413)</f>
        <v>0</v>
      </c>
      <c r="I74" s="162">
        <f>_xlfn.XLOOKUP($C74,'FASE 4'!$C$407:$N$407,'FASE 4'!$C$414:$N$414)</f>
        <v>0</v>
      </c>
      <c r="J74" s="162">
        <f>_xlfn.XLOOKUP($C74,'FASE 4'!$C$407:$N$407,'FASE 4'!$C$415:$N$415)</f>
        <v>0</v>
      </c>
      <c r="K74" s="162">
        <f>_xlfn.XLOOKUP($C74,'FASE 4'!$C$407:$N$407,'FASE 4'!$C$416:$N$416)</f>
        <v>0</v>
      </c>
      <c r="L74" s="162">
        <f>_xlfn.XLOOKUP($C74,'FASE 4'!$C$407:$N$407,'FASE 4'!$C$417:$N$417)</f>
        <v>0</v>
      </c>
      <c r="M74" s="162" t="e">
        <f>_xlfn.XLOOKUP($C74,'FASE 4'!$C$407:$N$407,'FASE 4'!#REF!)</f>
        <v>#REF!</v>
      </c>
      <c r="N74" s="162" t="e">
        <f>_xlfn.XLOOKUP($C74,'FASE 4'!$C$407:$N$407,'FASE 4'!#REF!)</f>
        <v>#REF!</v>
      </c>
      <c r="O74" s="175" t="e">
        <f>_xlfn.XLOOKUP($C74,'FASE 4'!$C$407:$N$407,'FASE 4'!#REF!)</f>
        <v>#REF!</v>
      </c>
      <c r="P74" s="210" t="e">
        <f t="shared" si="1"/>
        <v>#REF!</v>
      </c>
      <c r="Q74" s="200" t="e">
        <f>P74</f>
        <v>#REF!</v>
      </c>
      <c r="R74" s="203"/>
      <c r="S74" s="203"/>
      <c r="T74" s="203"/>
      <c r="U74" s="200"/>
      <c r="V74" s="226"/>
      <c r="W74" s="216"/>
      <c r="X74" s="157"/>
    </row>
    <row r="75" spans="1:24" s="1" customFormat="1" ht="21.75" thickBot="1">
      <c r="A75" s="4"/>
      <c r="B75" s="592"/>
      <c r="C75" s="228" t="s">
        <v>732</v>
      </c>
      <c r="D75" s="174">
        <f>_xlfn.XLOOKUP($C75,'FASE 4'!$C$407:$N$407,'FASE 4'!$C$409:$N$409)</f>
        <v>0</v>
      </c>
      <c r="E75" s="162">
        <f>_xlfn.XLOOKUP($C75,'FASE 4'!$C$407:$N$407,'FASE 4'!$C$410:$N$410)</f>
        <v>0</v>
      </c>
      <c r="F75" s="162">
        <f>_xlfn.XLOOKUP($C75,'FASE 4'!$C$407:$N$407,'FASE 4'!$C$411:$N$411)</f>
        <v>0</v>
      </c>
      <c r="G75" s="162">
        <f>_xlfn.XLOOKUP($C75,'FASE 4'!$C$407:$N$407,'FASE 4'!$C$412:$N$412)</f>
        <v>0</v>
      </c>
      <c r="H75" s="162">
        <f>_xlfn.XLOOKUP($C75,'FASE 4'!$C$407:$N$407,'FASE 4'!$C$413:$N$413)</f>
        <v>0</v>
      </c>
      <c r="I75" s="162">
        <f>_xlfn.XLOOKUP($C75,'FASE 4'!$C$407:$N$407,'FASE 4'!$C$414:$N$414)</f>
        <v>0</v>
      </c>
      <c r="J75" s="162">
        <f>_xlfn.XLOOKUP($C75,'FASE 4'!$C$407:$N$407,'FASE 4'!$C$415:$N$415)</f>
        <v>0</v>
      </c>
      <c r="K75" s="162">
        <f>_xlfn.XLOOKUP($C75,'FASE 4'!$C$407:$N$407,'FASE 4'!$C$416:$N$416)</f>
        <v>0</v>
      </c>
      <c r="L75" s="162">
        <f>_xlfn.XLOOKUP($C75,'FASE 4'!$C$407:$N$407,'FASE 4'!$C$417:$N$417)</f>
        <v>0</v>
      </c>
      <c r="M75" s="162" t="e">
        <f>_xlfn.XLOOKUP($C75,'FASE 4'!$C$407:$N$407,'FASE 4'!#REF!)</f>
        <v>#REF!</v>
      </c>
      <c r="N75" s="162" t="e">
        <f>_xlfn.XLOOKUP($C75,'FASE 4'!$C$407:$N$407,'FASE 4'!#REF!)</f>
        <v>#REF!</v>
      </c>
      <c r="O75" s="175" t="e">
        <f>_xlfn.XLOOKUP($C75,'FASE 4'!$C$407:$N$407,'FASE 4'!#REF!)</f>
        <v>#REF!</v>
      </c>
      <c r="P75" s="211" t="e">
        <f t="shared" si="1"/>
        <v>#REF!</v>
      </c>
      <c r="Q75" s="196" t="e">
        <f t="shared" ref="Q75:Q86" si="5">P75</f>
        <v>#REF!</v>
      </c>
      <c r="R75" s="204"/>
      <c r="S75" s="204"/>
      <c r="T75" s="204"/>
      <c r="U75" s="197"/>
      <c r="V75" s="224"/>
      <c r="W75" s="217"/>
      <c r="X75" s="158"/>
    </row>
    <row r="76" spans="1:24" s="1" customFormat="1" ht="21.75" thickBot="1">
      <c r="A76" s="4"/>
      <c r="B76" s="592"/>
      <c r="C76" s="228" t="s">
        <v>737</v>
      </c>
      <c r="D76" s="174" t="e">
        <f>_xlfn.XLOOKUP($C76,'FASE 4'!$C$407:$N$407,'FASE 4'!$C$409:$N$409)</f>
        <v>#N/A</v>
      </c>
      <c r="E76" s="162" t="e">
        <f>_xlfn.XLOOKUP($C76,'FASE 4'!$C$407:$N$407,'FASE 4'!$C$410:$N$410)</f>
        <v>#N/A</v>
      </c>
      <c r="F76" s="162" t="e">
        <f>_xlfn.XLOOKUP($C76,'FASE 4'!$C$407:$N$407,'FASE 4'!$C$411:$N$411)</f>
        <v>#N/A</v>
      </c>
      <c r="G76" s="162" t="e">
        <f>_xlfn.XLOOKUP($C76,'FASE 4'!$C$407:$N$407,'FASE 4'!$C$412:$N$412)</f>
        <v>#N/A</v>
      </c>
      <c r="H76" s="162" t="e">
        <f>_xlfn.XLOOKUP($C76,'FASE 4'!$C$407:$N$407,'FASE 4'!$C$413:$N$413)</f>
        <v>#N/A</v>
      </c>
      <c r="I76" s="162" t="e">
        <f>_xlfn.XLOOKUP($C76,'FASE 4'!$C$407:$N$407,'FASE 4'!$C$414:$N$414)</f>
        <v>#N/A</v>
      </c>
      <c r="J76" s="162" t="e">
        <f>_xlfn.XLOOKUP($C76,'FASE 4'!$C$407:$N$407,'FASE 4'!$C$415:$N$415)</f>
        <v>#N/A</v>
      </c>
      <c r="K76" s="162" t="e">
        <f>_xlfn.XLOOKUP($C76,'FASE 4'!$C$407:$N$407,'FASE 4'!$C$416:$N$416)</f>
        <v>#N/A</v>
      </c>
      <c r="L76" s="162" t="e">
        <f>_xlfn.XLOOKUP($C76,'FASE 4'!$C$407:$N$407,'FASE 4'!$C$417:$N$417)</f>
        <v>#N/A</v>
      </c>
      <c r="M76" s="162" t="e">
        <f>_xlfn.XLOOKUP($C76,'FASE 4'!$C$407:$N$407,'FASE 4'!#REF!)</f>
        <v>#REF!</v>
      </c>
      <c r="N76" s="162" t="e">
        <f>_xlfn.XLOOKUP($C76,'FASE 4'!$C$407:$N$407,'FASE 4'!#REF!)</f>
        <v>#REF!</v>
      </c>
      <c r="O76" s="175" t="e">
        <f>_xlfn.XLOOKUP($C76,'FASE 4'!$C$407:$N$407,'FASE 4'!#REF!)</f>
        <v>#REF!</v>
      </c>
      <c r="P76" s="211" t="e">
        <f t="shared" si="1"/>
        <v>#N/A</v>
      </c>
      <c r="Q76" s="196" t="e">
        <f t="shared" si="5"/>
        <v>#N/A</v>
      </c>
      <c r="R76" s="204"/>
      <c r="S76" s="204"/>
      <c r="T76" s="204"/>
      <c r="U76" s="197"/>
      <c r="V76" s="224"/>
      <c r="W76" s="217"/>
      <c r="X76" s="158"/>
    </row>
    <row r="77" spans="1:24" s="1" customFormat="1" ht="21.75" thickBot="1">
      <c r="A77" s="4"/>
      <c r="B77" s="592"/>
      <c r="C77" s="228" t="s">
        <v>739</v>
      </c>
      <c r="D77" s="174" t="e">
        <f>_xlfn.XLOOKUP($C77,'FASE 4'!$C$407:$N$407,'FASE 4'!$C$409:$N$409)</f>
        <v>#N/A</v>
      </c>
      <c r="E77" s="162" t="e">
        <f>_xlfn.XLOOKUP($C77,'FASE 4'!$C$407:$N$407,'FASE 4'!$C$410:$N$410)</f>
        <v>#N/A</v>
      </c>
      <c r="F77" s="162" t="e">
        <f>_xlfn.XLOOKUP($C77,'FASE 4'!$C$407:$N$407,'FASE 4'!$C$411:$N$411)</f>
        <v>#N/A</v>
      </c>
      <c r="G77" s="162" t="e">
        <f>_xlfn.XLOOKUP($C77,'FASE 4'!$C$407:$N$407,'FASE 4'!$C$412:$N$412)</f>
        <v>#N/A</v>
      </c>
      <c r="H77" s="162" t="e">
        <f>_xlfn.XLOOKUP($C77,'FASE 4'!$C$407:$N$407,'FASE 4'!$C$413:$N$413)</f>
        <v>#N/A</v>
      </c>
      <c r="I77" s="162" t="e">
        <f>_xlfn.XLOOKUP($C77,'FASE 4'!$C$407:$N$407,'FASE 4'!$C$414:$N$414)</f>
        <v>#N/A</v>
      </c>
      <c r="J77" s="162" t="e">
        <f>_xlfn.XLOOKUP($C77,'FASE 4'!$C$407:$N$407,'FASE 4'!$C$415:$N$415)</f>
        <v>#N/A</v>
      </c>
      <c r="K77" s="162" t="e">
        <f>_xlfn.XLOOKUP($C77,'FASE 4'!$C$407:$N$407,'FASE 4'!$C$416:$N$416)</f>
        <v>#N/A</v>
      </c>
      <c r="L77" s="162" t="e">
        <f>_xlfn.XLOOKUP($C77,'FASE 4'!$C$407:$N$407,'FASE 4'!$C$417:$N$417)</f>
        <v>#N/A</v>
      </c>
      <c r="M77" s="162" t="e">
        <f>_xlfn.XLOOKUP($C77,'FASE 4'!$C$407:$N$407,'FASE 4'!#REF!)</f>
        <v>#REF!</v>
      </c>
      <c r="N77" s="162" t="e">
        <f>_xlfn.XLOOKUP($C77,'FASE 4'!$C$407:$N$407,'FASE 4'!#REF!)</f>
        <v>#REF!</v>
      </c>
      <c r="O77" s="175" t="e">
        <f>_xlfn.XLOOKUP($C77,'FASE 4'!$C$407:$N$407,'FASE 4'!#REF!)</f>
        <v>#REF!</v>
      </c>
      <c r="P77" s="211" t="e">
        <f t="shared" si="1"/>
        <v>#N/A</v>
      </c>
      <c r="Q77" s="196" t="e">
        <f t="shared" si="5"/>
        <v>#N/A</v>
      </c>
      <c r="R77" s="204"/>
      <c r="S77" s="204"/>
      <c r="T77" s="204"/>
      <c r="U77" s="197"/>
      <c r="V77" s="224"/>
      <c r="W77" s="217"/>
      <c r="X77" s="158"/>
    </row>
    <row r="78" spans="1:24" s="1" customFormat="1" ht="21.75" thickBot="1">
      <c r="A78" s="4"/>
      <c r="B78" s="592"/>
      <c r="C78" s="228" t="s">
        <v>740</v>
      </c>
      <c r="D78" s="174">
        <f>_xlfn.XLOOKUP($C78,'FASE 4'!$C$407:$N$407,'FASE 4'!$C$409:$N$409)</f>
        <v>0</v>
      </c>
      <c r="E78" s="162">
        <f>_xlfn.XLOOKUP($C78,'FASE 4'!$C$407:$N$407,'FASE 4'!$C$410:$N$410)</f>
        <v>0</v>
      </c>
      <c r="F78" s="162">
        <f>_xlfn.XLOOKUP($C78,'FASE 4'!$C$407:$N$407,'FASE 4'!$C$411:$N$411)</f>
        <v>0</v>
      </c>
      <c r="G78" s="162">
        <f>_xlfn.XLOOKUP($C78,'FASE 4'!$C$407:$N$407,'FASE 4'!$C$412:$N$412)</f>
        <v>0</v>
      </c>
      <c r="H78" s="162">
        <f>_xlfn.XLOOKUP($C78,'FASE 4'!$C$407:$N$407,'FASE 4'!$C$413:$N$413)</f>
        <v>0</v>
      </c>
      <c r="I78" s="162">
        <f>_xlfn.XLOOKUP($C78,'FASE 4'!$C$407:$N$407,'FASE 4'!$C$414:$N$414)</f>
        <v>0</v>
      </c>
      <c r="J78" s="162">
        <f>_xlfn.XLOOKUP($C78,'FASE 4'!$C$407:$N$407,'FASE 4'!$C$415:$N$415)</f>
        <v>0</v>
      </c>
      <c r="K78" s="162">
        <f>_xlfn.XLOOKUP($C78,'FASE 4'!$C$407:$N$407,'FASE 4'!$C$416:$N$416)</f>
        <v>0</v>
      </c>
      <c r="L78" s="162">
        <f>_xlfn.XLOOKUP($C78,'FASE 4'!$C$407:$N$407,'FASE 4'!$C$417:$N$417)</f>
        <v>0</v>
      </c>
      <c r="M78" s="162" t="e">
        <f>_xlfn.XLOOKUP($C78,'FASE 4'!$C$407:$N$407,'FASE 4'!#REF!)</f>
        <v>#REF!</v>
      </c>
      <c r="N78" s="162" t="e">
        <f>_xlfn.XLOOKUP($C78,'FASE 4'!$C$407:$N$407,'FASE 4'!#REF!)</f>
        <v>#REF!</v>
      </c>
      <c r="O78" s="175" t="e">
        <f>_xlfn.XLOOKUP($C78,'FASE 4'!$C$407:$N$407,'FASE 4'!#REF!)</f>
        <v>#REF!</v>
      </c>
      <c r="P78" s="211" t="e">
        <f t="shared" si="1"/>
        <v>#REF!</v>
      </c>
      <c r="Q78" s="196" t="e">
        <f t="shared" si="5"/>
        <v>#REF!</v>
      </c>
      <c r="R78" s="204"/>
      <c r="S78" s="204"/>
      <c r="T78" s="204"/>
      <c r="U78" s="197"/>
      <c r="V78" s="224"/>
      <c r="W78" s="217"/>
      <c r="X78" s="158"/>
    </row>
    <row r="79" spans="1:24" s="1" customFormat="1" ht="21.75" thickBot="1">
      <c r="A79" s="4"/>
      <c r="B79" s="592"/>
      <c r="C79" s="228" t="s">
        <v>741</v>
      </c>
      <c r="D79" s="174">
        <f>_xlfn.XLOOKUP($C79,'FASE 4'!$C$407:$N$407,'FASE 4'!$C$409:$N$409)</f>
        <v>0</v>
      </c>
      <c r="E79" s="162">
        <f>_xlfn.XLOOKUP($C79,'FASE 4'!$C$407:$N$407,'FASE 4'!$C$410:$N$410)</f>
        <v>0</v>
      </c>
      <c r="F79" s="162">
        <f>_xlfn.XLOOKUP($C79,'FASE 4'!$C$407:$N$407,'FASE 4'!$C$411:$N$411)</f>
        <v>0</v>
      </c>
      <c r="G79" s="162">
        <f>_xlfn.XLOOKUP($C79,'FASE 4'!$C$407:$N$407,'FASE 4'!$C$412:$N$412)</f>
        <v>0</v>
      </c>
      <c r="H79" s="162">
        <f>_xlfn.XLOOKUP($C79,'FASE 4'!$C$407:$N$407,'FASE 4'!$C$413:$N$413)</f>
        <v>0</v>
      </c>
      <c r="I79" s="162">
        <f>_xlfn.XLOOKUP($C79,'FASE 4'!$C$407:$N$407,'FASE 4'!$C$414:$N$414)</f>
        <v>0</v>
      </c>
      <c r="J79" s="162">
        <f>_xlfn.XLOOKUP($C79,'FASE 4'!$C$407:$N$407,'FASE 4'!$C$415:$N$415)</f>
        <v>0</v>
      </c>
      <c r="K79" s="162">
        <f>_xlfn.XLOOKUP($C79,'FASE 4'!$C$407:$N$407,'FASE 4'!$C$416:$N$416)</f>
        <v>0</v>
      </c>
      <c r="L79" s="162">
        <f>_xlfn.XLOOKUP($C79,'FASE 4'!$C$407:$N$407,'FASE 4'!$C$417:$N$417)</f>
        <v>0</v>
      </c>
      <c r="M79" s="162" t="e">
        <f>_xlfn.XLOOKUP($C79,'FASE 4'!$C$407:$N$407,'FASE 4'!#REF!)</f>
        <v>#REF!</v>
      </c>
      <c r="N79" s="162" t="e">
        <f>_xlfn.XLOOKUP($C79,'FASE 4'!$C$407:$N$407,'FASE 4'!#REF!)</f>
        <v>#REF!</v>
      </c>
      <c r="O79" s="175" t="e">
        <f>_xlfn.XLOOKUP($C79,'FASE 4'!$C$407:$N$407,'FASE 4'!#REF!)</f>
        <v>#REF!</v>
      </c>
      <c r="P79" s="211" t="e">
        <f t="shared" si="1"/>
        <v>#REF!</v>
      </c>
      <c r="Q79" s="196" t="e">
        <f t="shared" si="5"/>
        <v>#REF!</v>
      </c>
      <c r="R79" s="204"/>
      <c r="S79" s="204"/>
      <c r="T79" s="204"/>
      <c r="U79" s="197"/>
      <c r="V79" s="224"/>
      <c r="W79" s="217"/>
      <c r="X79" s="158"/>
    </row>
    <row r="80" spans="1:24" s="1" customFormat="1" ht="21.75" thickBot="1">
      <c r="A80" s="4"/>
      <c r="B80" s="592"/>
      <c r="C80" s="228" t="s">
        <v>742</v>
      </c>
      <c r="D80" s="174">
        <f>_xlfn.XLOOKUP($C80,'FASE 4'!$C$407:$N$407,'FASE 4'!$C$409:$N$409)</f>
        <v>0</v>
      </c>
      <c r="E80" s="162">
        <f>_xlfn.XLOOKUP($C80,'FASE 4'!$C$407:$N$407,'FASE 4'!$C$410:$N$410)</f>
        <v>0</v>
      </c>
      <c r="F80" s="162">
        <f>_xlfn.XLOOKUP($C80,'FASE 4'!$C$407:$N$407,'FASE 4'!$C$411:$N$411)</f>
        <v>0</v>
      </c>
      <c r="G80" s="162">
        <f>_xlfn.XLOOKUP($C80,'FASE 4'!$C$407:$N$407,'FASE 4'!$C$412:$N$412)</f>
        <v>0</v>
      </c>
      <c r="H80" s="162">
        <f>_xlfn.XLOOKUP($C80,'FASE 4'!$C$407:$N$407,'FASE 4'!$C$413:$N$413)</f>
        <v>0</v>
      </c>
      <c r="I80" s="162">
        <f>_xlfn.XLOOKUP($C80,'FASE 4'!$C$407:$N$407,'FASE 4'!$C$414:$N$414)</f>
        <v>0</v>
      </c>
      <c r="J80" s="162">
        <f>_xlfn.XLOOKUP($C80,'FASE 4'!$C$407:$N$407,'FASE 4'!$C$415:$N$415)</f>
        <v>0</v>
      </c>
      <c r="K80" s="162">
        <f>_xlfn.XLOOKUP($C80,'FASE 4'!$C$407:$N$407,'FASE 4'!$C$416:$N$416)</f>
        <v>0</v>
      </c>
      <c r="L80" s="162">
        <f>_xlfn.XLOOKUP($C80,'FASE 4'!$C$407:$N$407,'FASE 4'!$C$417:$N$417)</f>
        <v>0</v>
      </c>
      <c r="M80" s="162" t="e">
        <f>_xlfn.XLOOKUP($C80,'FASE 4'!$C$407:$N$407,'FASE 4'!#REF!)</f>
        <v>#REF!</v>
      </c>
      <c r="N80" s="162" t="e">
        <f>_xlfn.XLOOKUP($C80,'FASE 4'!$C$407:$N$407,'FASE 4'!#REF!)</f>
        <v>#REF!</v>
      </c>
      <c r="O80" s="175" t="e">
        <f>_xlfn.XLOOKUP($C80,'FASE 4'!$C$407:$N$407,'FASE 4'!#REF!)</f>
        <v>#REF!</v>
      </c>
      <c r="P80" s="211" t="e">
        <f t="shared" si="1"/>
        <v>#REF!</v>
      </c>
      <c r="Q80" s="196" t="e">
        <f t="shared" si="5"/>
        <v>#REF!</v>
      </c>
      <c r="R80" s="204"/>
      <c r="S80" s="204"/>
      <c r="T80" s="204"/>
      <c r="U80" s="197"/>
      <c r="V80" s="224"/>
      <c r="W80" s="217"/>
      <c r="X80" s="158"/>
    </row>
    <row r="81" spans="1:28" s="1" customFormat="1" ht="21.75" thickBot="1">
      <c r="A81" s="4"/>
      <c r="B81" s="592"/>
      <c r="C81" s="228" t="s">
        <v>743</v>
      </c>
      <c r="D81" s="174">
        <f>_xlfn.XLOOKUP($C81,'FASE 4'!$C$407:$N$407,'FASE 4'!$C$409:$N$409)</f>
        <v>0</v>
      </c>
      <c r="E81" s="162">
        <f>_xlfn.XLOOKUP($C81,'FASE 4'!$C$407:$N$407,'FASE 4'!$C$410:$N$410)</f>
        <v>0</v>
      </c>
      <c r="F81" s="162">
        <f>_xlfn.XLOOKUP($C81,'FASE 4'!$C$407:$N$407,'FASE 4'!$C$411:$N$411)</f>
        <v>0</v>
      </c>
      <c r="G81" s="162">
        <f>_xlfn.XLOOKUP($C81,'FASE 4'!$C$407:$N$407,'FASE 4'!$C$412:$N$412)</f>
        <v>0</v>
      </c>
      <c r="H81" s="162">
        <f>_xlfn.XLOOKUP($C81,'FASE 4'!$C$407:$N$407,'FASE 4'!$C$413:$N$413)</f>
        <v>0</v>
      </c>
      <c r="I81" s="162">
        <f>_xlfn.XLOOKUP($C81,'FASE 4'!$C$407:$N$407,'FASE 4'!$C$414:$N$414)</f>
        <v>0</v>
      </c>
      <c r="J81" s="162">
        <f>_xlfn.XLOOKUP($C81,'FASE 4'!$C$407:$N$407,'FASE 4'!$C$415:$N$415)</f>
        <v>0</v>
      </c>
      <c r="K81" s="162">
        <f>_xlfn.XLOOKUP($C81,'FASE 4'!$C$407:$N$407,'FASE 4'!$C$416:$N$416)</f>
        <v>0</v>
      </c>
      <c r="L81" s="162">
        <f>_xlfn.XLOOKUP($C81,'FASE 4'!$C$407:$N$407,'FASE 4'!$C$417:$N$417)</f>
        <v>0</v>
      </c>
      <c r="M81" s="162" t="e">
        <f>_xlfn.XLOOKUP($C81,'FASE 4'!$C$407:$N$407,'FASE 4'!#REF!)</f>
        <v>#REF!</v>
      </c>
      <c r="N81" s="162" t="e">
        <f>_xlfn.XLOOKUP($C81,'FASE 4'!$C$407:$N$407,'FASE 4'!#REF!)</f>
        <v>#REF!</v>
      </c>
      <c r="O81" s="175" t="e">
        <f>_xlfn.XLOOKUP($C81,'FASE 4'!$C$407:$N$407,'FASE 4'!#REF!)</f>
        <v>#REF!</v>
      </c>
      <c r="P81" s="211" t="e">
        <f t="shared" si="1"/>
        <v>#REF!</v>
      </c>
      <c r="Q81" s="196" t="e">
        <f t="shared" si="5"/>
        <v>#REF!</v>
      </c>
      <c r="R81" s="204"/>
      <c r="S81" s="204"/>
      <c r="T81" s="204"/>
      <c r="U81" s="197"/>
      <c r="V81" s="224"/>
      <c r="W81" s="217"/>
      <c r="X81" s="158"/>
    </row>
    <row r="82" spans="1:28" s="1" customFormat="1" ht="21.75" thickBot="1">
      <c r="A82" s="4"/>
      <c r="B82" s="592"/>
      <c r="C82" s="228" t="s">
        <v>744</v>
      </c>
      <c r="D82" s="174">
        <f>_xlfn.XLOOKUP($C82,'FASE 4'!$C$407:$N$407,'FASE 4'!$C$409:$N$409)</f>
        <v>0</v>
      </c>
      <c r="E82" s="162">
        <f>_xlfn.XLOOKUP($C82,'FASE 4'!$C$407:$N$407,'FASE 4'!$C$410:$N$410)</f>
        <v>0</v>
      </c>
      <c r="F82" s="162">
        <f>_xlfn.XLOOKUP($C82,'FASE 4'!$C$407:$N$407,'FASE 4'!$C$411:$N$411)</f>
        <v>0</v>
      </c>
      <c r="G82" s="162">
        <f>_xlfn.XLOOKUP($C82,'FASE 4'!$C$407:$N$407,'FASE 4'!$C$412:$N$412)</f>
        <v>0</v>
      </c>
      <c r="H82" s="162">
        <f>_xlfn.XLOOKUP($C82,'FASE 4'!$C$407:$N$407,'FASE 4'!$C$413:$N$413)</f>
        <v>0</v>
      </c>
      <c r="I82" s="162">
        <f>_xlfn.XLOOKUP($C82,'FASE 4'!$C$407:$N$407,'FASE 4'!$C$414:$N$414)</f>
        <v>0</v>
      </c>
      <c r="J82" s="162">
        <f>_xlfn.XLOOKUP($C82,'FASE 4'!$C$407:$N$407,'FASE 4'!$C$415:$N$415)</f>
        <v>0</v>
      </c>
      <c r="K82" s="162">
        <f>_xlfn.XLOOKUP($C82,'FASE 4'!$C$407:$N$407,'FASE 4'!$C$416:$N$416)</f>
        <v>0</v>
      </c>
      <c r="L82" s="162">
        <f>_xlfn.XLOOKUP($C82,'FASE 4'!$C$407:$N$407,'FASE 4'!$C$417:$N$417)</f>
        <v>0</v>
      </c>
      <c r="M82" s="162" t="e">
        <f>_xlfn.XLOOKUP($C82,'FASE 4'!$C$407:$N$407,'FASE 4'!#REF!)</f>
        <v>#REF!</v>
      </c>
      <c r="N82" s="162" t="e">
        <f>_xlfn.XLOOKUP($C82,'FASE 4'!$C$407:$N$407,'FASE 4'!#REF!)</f>
        <v>#REF!</v>
      </c>
      <c r="O82" s="175" t="e">
        <f>_xlfn.XLOOKUP($C82,'FASE 4'!$C$407:$N$407,'FASE 4'!#REF!)</f>
        <v>#REF!</v>
      </c>
      <c r="P82" s="211" t="e">
        <f t="shared" si="1"/>
        <v>#REF!</v>
      </c>
      <c r="Q82" s="196" t="e">
        <f t="shared" si="5"/>
        <v>#REF!</v>
      </c>
      <c r="R82" s="204"/>
      <c r="S82" s="204"/>
      <c r="T82" s="204"/>
      <c r="U82" s="197"/>
      <c r="V82" s="224"/>
      <c r="W82" s="217"/>
      <c r="X82" s="158"/>
    </row>
    <row r="83" spans="1:28" s="1" customFormat="1" ht="21.75" thickBot="1">
      <c r="A83" s="4"/>
      <c r="B83" s="592"/>
      <c r="C83" s="228" t="s">
        <v>745</v>
      </c>
      <c r="D83" s="174" t="e">
        <f>_xlfn.XLOOKUP($C83,'FASE 4'!$C$407:$N$407,'FASE 4'!$C$409:$N$409)</f>
        <v>#N/A</v>
      </c>
      <c r="E83" s="162" t="e">
        <f>_xlfn.XLOOKUP($C83,'FASE 4'!$C$407:$N$407,'FASE 4'!$C$410:$N$410)</f>
        <v>#N/A</v>
      </c>
      <c r="F83" s="162" t="e">
        <f>_xlfn.XLOOKUP($C83,'FASE 4'!$C$407:$N$407,'FASE 4'!$C$411:$N$411)</f>
        <v>#N/A</v>
      </c>
      <c r="G83" s="162" t="e">
        <f>_xlfn.XLOOKUP($C83,'FASE 4'!$C$407:$N$407,'FASE 4'!$C$412:$N$412)</f>
        <v>#N/A</v>
      </c>
      <c r="H83" s="162" t="e">
        <f>_xlfn.XLOOKUP($C83,'FASE 4'!$C$407:$N$407,'FASE 4'!$C$413:$N$413)</f>
        <v>#N/A</v>
      </c>
      <c r="I83" s="162" t="e">
        <f>_xlfn.XLOOKUP($C83,'FASE 4'!$C$407:$N$407,'FASE 4'!$C$414:$N$414)</f>
        <v>#N/A</v>
      </c>
      <c r="J83" s="162" t="e">
        <f>_xlfn.XLOOKUP($C83,'FASE 4'!$C$407:$N$407,'FASE 4'!$C$415:$N$415)</f>
        <v>#N/A</v>
      </c>
      <c r="K83" s="162" t="e">
        <f>_xlfn.XLOOKUP($C83,'FASE 4'!$C$407:$N$407,'FASE 4'!$C$416:$N$416)</f>
        <v>#N/A</v>
      </c>
      <c r="L83" s="162" t="e">
        <f>_xlfn.XLOOKUP($C83,'FASE 4'!$C$407:$N$407,'FASE 4'!$C$417:$N$417)</f>
        <v>#N/A</v>
      </c>
      <c r="M83" s="162" t="e">
        <f>_xlfn.XLOOKUP($C83,'FASE 4'!$C$407:$N$407,'FASE 4'!#REF!)</f>
        <v>#REF!</v>
      </c>
      <c r="N83" s="162" t="e">
        <f>_xlfn.XLOOKUP($C83,'FASE 4'!$C$407:$N$407,'FASE 4'!#REF!)</f>
        <v>#REF!</v>
      </c>
      <c r="O83" s="175" t="e">
        <f>_xlfn.XLOOKUP($C83,'FASE 4'!$C$407:$N$407,'FASE 4'!#REF!)</f>
        <v>#REF!</v>
      </c>
      <c r="P83" s="211" t="e">
        <f t="shared" si="1"/>
        <v>#N/A</v>
      </c>
      <c r="Q83" s="196" t="e">
        <f t="shared" si="5"/>
        <v>#N/A</v>
      </c>
      <c r="R83" s="204"/>
      <c r="S83" s="204"/>
      <c r="T83" s="204"/>
      <c r="U83" s="197"/>
      <c r="V83" s="224"/>
      <c r="W83" s="217"/>
      <c r="X83" s="158"/>
    </row>
    <row r="84" spans="1:28" s="1" customFormat="1" ht="21.75" thickBot="1">
      <c r="A84" s="4"/>
      <c r="B84" s="592"/>
      <c r="C84" s="228" t="s">
        <v>746</v>
      </c>
      <c r="D84" s="174" t="e">
        <f>_xlfn.XLOOKUP($C84,'FASE 4'!$C$407:$N$407,'FASE 4'!$C$409:$N$409)</f>
        <v>#N/A</v>
      </c>
      <c r="E84" s="162" t="e">
        <f>_xlfn.XLOOKUP($C84,'FASE 4'!$C$407:$N$407,'FASE 4'!$C$410:$N$410)</f>
        <v>#N/A</v>
      </c>
      <c r="F84" s="162" t="e">
        <f>_xlfn.XLOOKUP($C84,'FASE 4'!$C$407:$N$407,'FASE 4'!$C$411:$N$411)</f>
        <v>#N/A</v>
      </c>
      <c r="G84" s="162" t="e">
        <f>_xlfn.XLOOKUP($C84,'FASE 4'!$C$407:$N$407,'FASE 4'!$C$412:$N$412)</f>
        <v>#N/A</v>
      </c>
      <c r="H84" s="162" t="e">
        <f>_xlfn.XLOOKUP($C84,'FASE 4'!$C$407:$N$407,'FASE 4'!$C$413:$N$413)</f>
        <v>#N/A</v>
      </c>
      <c r="I84" s="162" t="e">
        <f>_xlfn.XLOOKUP($C84,'FASE 4'!$C$407:$N$407,'FASE 4'!$C$414:$N$414)</f>
        <v>#N/A</v>
      </c>
      <c r="J84" s="162" t="e">
        <f>_xlfn.XLOOKUP($C84,'FASE 4'!$C$407:$N$407,'FASE 4'!$C$415:$N$415)</f>
        <v>#N/A</v>
      </c>
      <c r="K84" s="162" t="e">
        <f>_xlfn.XLOOKUP($C84,'FASE 4'!$C$407:$N$407,'FASE 4'!$C$416:$N$416)</f>
        <v>#N/A</v>
      </c>
      <c r="L84" s="162" t="e">
        <f>_xlfn.XLOOKUP($C84,'FASE 4'!$C$407:$N$407,'FASE 4'!$C$417:$N$417)</f>
        <v>#N/A</v>
      </c>
      <c r="M84" s="162" t="e">
        <f>_xlfn.XLOOKUP($C84,'FASE 4'!$C$407:$N$407,'FASE 4'!#REF!)</f>
        <v>#REF!</v>
      </c>
      <c r="N84" s="162" t="e">
        <f>_xlfn.XLOOKUP($C84,'FASE 4'!$C$407:$N$407,'FASE 4'!#REF!)</f>
        <v>#REF!</v>
      </c>
      <c r="O84" s="175" t="e">
        <f>_xlfn.XLOOKUP($C84,'FASE 4'!$C$407:$N$407,'FASE 4'!#REF!)</f>
        <v>#REF!</v>
      </c>
      <c r="P84" s="211" t="e">
        <f t="shared" si="1"/>
        <v>#N/A</v>
      </c>
      <c r="Q84" s="196" t="e">
        <f t="shared" si="5"/>
        <v>#N/A</v>
      </c>
      <c r="R84" s="204"/>
      <c r="S84" s="204"/>
      <c r="T84" s="204"/>
      <c r="U84" s="197"/>
      <c r="V84" s="224"/>
      <c r="W84" s="217"/>
      <c r="X84" s="158"/>
    </row>
    <row r="85" spans="1:28" s="1" customFormat="1" ht="21.75" thickBot="1">
      <c r="A85" s="4"/>
      <c r="B85" s="592"/>
      <c r="C85" s="228" t="s">
        <v>747</v>
      </c>
      <c r="D85" s="174">
        <f>_xlfn.XLOOKUP($C85,'FASE 4'!$C$407:$N$407,'FASE 4'!$C$409:$N$409)</f>
        <v>0</v>
      </c>
      <c r="E85" s="162">
        <f>_xlfn.XLOOKUP($C85,'FASE 4'!$C$407:$N$407,'FASE 4'!$C$410:$N$410)</f>
        <v>0</v>
      </c>
      <c r="F85" s="162">
        <f>_xlfn.XLOOKUP($C85,'FASE 4'!$C$407:$N$407,'FASE 4'!$C$411:$N$411)</f>
        <v>0</v>
      </c>
      <c r="G85" s="162">
        <f>_xlfn.XLOOKUP($C85,'FASE 4'!$C$407:$N$407,'FASE 4'!$C$412:$N$412)</f>
        <v>0</v>
      </c>
      <c r="H85" s="162">
        <f>_xlfn.XLOOKUP($C85,'FASE 4'!$C$407:$N$407,'FASE 4'!$C$413:$N$413)</f>
        <v>0</v>
      </c>
      <c r="I85" s="162">
        <f>_xlfn.XLOOKUP($C85,'FASE 4'!$C$407:$N$407,'FASE 4'!$C$414:$N$414)</f>
        <v>0</v>
      </c>
      <c r="J85" s="162">
        <f>_xlfn.XLOOKUP($C85,'FASE 4'!$C$407:$N$407,'FASE 4'!$C$415:$N$415)</f>
        <v>0</v>
      </c>
      <c r="K85" s="162">
        <f>_xlfn.XLOOKUP($C85,'FASE 4'!$C$407:$N$407,'FASE 4'!$C$416:$N$416)</f>
        <v>0</v>
      </c>
      <c r="L85" s="162">
        <f>_xlfn.XLOOKUP($C85,'FASE 4'!$C$407:$N$407,'FASE 4'!$C$417:$N$417)</f>
        <v>0</v>
      </c>
      <c r="M85" s="162" t="e">
        <f>_xlfn.XLOOKUP($C85,'FASE 4'!$C$407:$N$407,'FASE 4'!#REF!)</f>
        <v>#REF!</v>
      </c>
      <c r="N85" s="162" t="e">
        <f>_xlfn.XLOOKUP($C85,'FASE 4'!$C$407:$N$407,'FASE 4'!#REF!)</f>
        <v>#REF!</v>
      </c>
      <c r="O85" s="175" t="e">
        <f>_xlfn.XLOOKUP($C85,'FASE 4'!$C$407:$N$407,'FASE 4'!#REF!)</f>
        <v>#REF!</v>
      </c>
      <c r="P85" s="211" t="e">
        <f t="shared" si="1"/>
        <v>#REF!</v>
      </c>
      <c r="Q85" s="196" t="e">
        <f t="shared" si="5"/>
        <v>#REF!</v>
      </c>
      <c r="R85" s="204"/>
      <c r="S85" s="204"/>
      <c r="T85" s="204"/>
      <c r="U85" s="197"/>
      <c r="V85" s="224"/>
      <c r="W85" s="217"/>
      <c r="X85" s="158"/>
    </row>
    <row r="86" spans="1:28" s="1" customFormat="1" ht="21.75" thickBot="1">
      <c r="A86" s="4"/>
      <c r="B86" s="592"/>
      <c r="C86" s="229" t="s">
        <v>750</v>
      </c>
      <c r="D86" s="176" t="e">
        <f>_xlfn.XLOOKUP($C86,'FASE 4'!$C$407:$N$407,'FASE 4'!$C$409:$N$409)</f>
        <v>#N/A</v>
      </c>
      <c r="E86" s="177" t="e">
        <f>_xlfn.XLOOKUP($C86,'FASE 4'!$C$407:$N$407,'FASE 4'!$C$410:$N$410)</f>
        <v>#N/A</v>
      </c>
      <c r="F86" s="177" t="e">
        <f>_xlfn.XLOOKUP($C86,'FASE 4'!$C$407:$N$407,'FASE 4'!$C$411:$N$411)</f>
        <v>#N/A</v>
      </c>
      <c r="G86" s="177" t="e">
        <f>_xlfn.XLOOKUP($C86,'FASE 4'!$C$407:$N$407,'FASE 4'!$C$412:$N$412)</f>
        <v>#N/A</v>
      </c>
      <c r="H86" s="177" t="e">
        <f>_xlfn.XLOOKUP($C86,'FASE 4'!$C$407:$N$407,'FASE 4'!$C$413:$N$413)</f>
        <v>#N/A</v>
      </c>
      <c r="I86" s="177" t="e">
        <f>_xlfn.XLOOKUP($C86,'FASE 4'!$C$407:$N$407,'FASE 4'!$C$414:$N$414)</f>
        <v>#N/A</v>
      </c>
      <c r="J86" s="177" t="e">
        <f>_xlfn.XLOOKUP($C86,'FASE 4'!$C$407:$N$407,'FASE 4'!$C$415:$N$415)</f>
        <v>#N/A</v>
      </c>
      <c r="K86" s="177" t="e">
        <f>_xlfn.XLOOKUP($C86,'FASE 4'!$C$407:$N$407,'FASE 4'!$C$416:$N$416)</f>
        <v>#N/A</v>
      </c>
      <c r="L86" s="177" t="e">
        <f>_xlfn.XLOOKUP($C86,'FASE 4'!$C$407:$N$407,'FASE 4'!$C$417:$N$417)</f>
        <v>#N/A</v>
      </c>
      <c r="M86" s="177" t="e">
        <f>_xlfn.XLOOKUP($C86,'FASE 4'!$C$407:$N$407,'FASE 4'!#REF!)</f>
        <v>#REF!</v>
      </c>
      <c r="N86" s="177" t="e">
        <f>_xlfn.XLOOKUP($C86,'FASE 4'!$C$407:$N$407,'FASE 4'!#REF!)</f>
        <v>#REF!</v>
      </c>
      <c r="O86" s="178" t="e">
        <f>_xlfn.XLOOKUP($C86,'FASE 4'!$C$407:$N$407,'FASE 4'!#REF!)</f>
        <v>#REF!</v>
      </c>
      <c r="P86" s="212" t="e">
        <f t="shared" si="1"/>
        <v>#N/A</v>
      </c>
      <c r="Q86" s="213" t="e">
        <f t="shared" si="5"/>
        <v>#N/A</v>
      </c>
      <c r="R86" s="205"/>
      <c r="S86" s="205"/>
      <c r="T86" s="205"/>
      <c r="U86" s="206"/>
      <c r="V86" s="230"/>
      <c r="W86" s="219"/>
      <c r="X86" s="159"/>
    </row>
    <row r="87" spans="1:28" ht="15">
      <c r="B87" s="592"/>
      <c r="E87" s="38"/>
      <c r="F87" s="38"/>
      <c r="G87" s="38"/>
      <c r="H87" s="38"/>
      <c r="I87" s="38"/>
      <c r="J87" s="38"/>
      <c r="K87" s="38"/>
      <c r="L87" s="38"/>
      <c r="M87" s="38"/>
      <c r="N87" s="38"/>
      <c r="O87" s="38"/>
    </row>
    <row r="88" spans="1:28" ht="15.75" thickBot="1">
      <c r="B88" s="592"/>
      <c r="E88" s="38"/>
      <c r="F88" s="38"/>
      <c r="G88" s="38"/>
      <c r="H88" s="38"/>
      <c r="I88" s="38"/>
      <c r="J88" s="38"/>
      <c r="K88" s="38"/>
      <c r="L88" s="38"/>
      <c r="M88" s="38"/>
      <c r="N88" s="38"/>
      <c r="O88" s="38"/>
    </row>
    <row r="89" spans="1:28" ht="24" thickBot="1">
      <c r="B89" s="592"/>
      <c r="C89" s="186" t="s">
        <v>48</v>
      </c>
      <c r="D89" s="39"/>
      <c r="E89" s="39"/>
      <c r="F89" s="40"/>
      <c r="G89" s="40"/>
      <c r="H89" s="40"/>
      <c r="I89" s="41"/>
      <c r="J89" s="42"/>
      <c r="K89" s="41"/>
      <c r="L89" s="45"/>
      <c r="M89" s="45"/>
      <c r="N89" s="45"/>
      <c r="O89" s="45"/>
      <c r="P89" s="43" t="e">
        <f>AVERAGE(P10:P86)</f>
        <v>#N/A</v>
      </c>
      <c r="Q89" s="208"/>
      <c r="R89" s="208"/>
      <c r="S89" s="208"/>
      <c r="T89" s="208"/>
      <c r="U89" s="209"/>
      <c r="V89" s="209"/>
    </row>
    <row r="90" spans="1:28" ht="24" thickBot="1">
      <c r="B90" s="592"/>
      <c r="F90" s="105"/>
      <c r="G90" s="105"/>
      <c r="H90" s="105"/>
      <c r="J90" s="38"/>
      <c r="K90" s="38"/>
      <c r="P90" s="44"/>
      <c r="Q90" s="208"/>
      <c r="R90" s="208"/>
      <c r="S90" s="208"/>
      <c r="T90" s="208"/>
      <c r="U90" s="209"/>
      <c r="V90" s="209"/>
    </row>
    <row r="91" spans="1:28" ht="24" thickBot="1">
      <c r="B91" s="592"/>
      <c r="C91" s="187" t="s">
        <v>51</v>
      </c>
      <c r="D91" s="41"/>
      <c r="E91" s="41"/>
      <c r="F91" s="41"/>
      <c r="G91" s="45"/>
      <c r="H91" s="45"/>
      <c r="I91" s="45"/>
      <c r="J91" s="107"/>
      <c r="K91" s="107"/>
      <c r="L91" s="107"/>
      <c r="M91" s="152"/>
      <c r="N91" s="152"/>
      <c r="O91" s="152"/>
      <c r="P91" s="3"/>
      <c r="Q91" s="209"/>
      <c r="R91" s="209"/>
      <c r="S91" s="209"/>
      <c r="T91" s="209"/>
    </row>
    <row r="92" spans="1:28" ht="15.75" thickBot="1">
      <c r="B92" s="593"/>
      <c r="F92" s="588"/>
      <c r="G92" s="588"/>
      <c r="H92" s="588"/>
    </row>
    <row r="96" spans="1:28">
      <c r="AB96"/>
    </row>
    <row r="106" spans="9:15">
      <c r="I106" s="1">
        <f>1.9*700</f>
        <v>1330</v>
      </c>
      <c r="J106" s="173">
        <f>+I106*36200</f>
        <v>48146000</v>
      </c>
    </row>
    <row r="111" spans="9:15">
      <c r="L111" s="16"/>
      <c r="M111" s="151"/>
      <c r="N111" s="151"/>
      <c r="O111" s="151"/>
    </row>
  </sheetData>
  <mergeCells count="15">
    <mergeCell ref="C49:P50"/>
    <mergeCell ref="B32:B48"/>
    <mergeCell ref="W6:W7"/>
    <mergeCell ref="F92:H92"/>
    <mergeCell ref="C6:C7"/>
    <mergeCell ref="B10:B31"/>
    <mergeCell ref="Q6:V7"/>
    <mergeCell ref="B72:B92"/>
    <mergeCell ref="C72:P73"/>
    <mergeCell ref="B49:B71"/>
    <mergeCell ref="X6:X7"/>
    <mergeCell ref="P6:P7"/>
    <mergeCell ref="D3:E3"/>
    <mergeCell ref="F3:H3"/>
    <mergeCell ref="I3:K3"/>
  </mergeCells>
  <phoneticPr fontId="49" type="noConversion"/>
  <conditionalFormatting sqref="D10:O31 D34:O48 D51:O71 D74:O86">
    <cfRule type="cellIs" dxfId="136" priority="2" operator="greaterThanOrEqual">
      <formula>1</formula>
    </cfRule>
    <cfRule type="cellIs" dxfId="135" priority="3" operator="equal">
      <formula>0</formula>
    </cfRule>
    <cfRule type="cellIs" dxfId="134" priority="4" operator="between">
      <formula>50%</formula>
      <formula>99%</formula>
    </cfRule>
    <cfRule type="cellIs" dxfId="133" priority="5" operator="between">
      <formula>1%</formula>
      <formula>50%</formula>
    </cfRule>
    <cfRule type="cellIs" dxfId="132" priority="6" operator="equal">
      <formula>100</formula>
    </cfRule>
  </conditionalFormatting>
  <conditionalFormatting sqref="L111:O111">
    <cfRule type="cellIs" dxfId="131" priority="240" operator="equal">
      <formula>0</formula>
    </cfRule>
    <cfRule type="cellIs" dxfId="130" priority="242" operator="between">
      <formula>50</formula>
      <formula>99</formula>
    </cfRule>
    <cfRule type="cellIs" dxfId="129" priority="243" operator="between">
      <formula>1</formula>
      <formula>50</formula>
    </cfRule>
    <cfRule type="cellIs" dxfId="128" priority="244" operator="equal">
      <formula>100</formula>
    </cfRule>
  </conditionalFormatting>
  <conditionalFormatting sqref="P10:P31 R10:T31 P34:P48 R34:T48 P51:P71 R51:T71 P74:P86 R74:T86">
    <cfRule type="iconSet" priority="265">
      <iconSet iconSet="3Symbols2">
        <cfvo type="percent" val="0"/>
        <cfvo type="percent" val="33"/>
        <cfvo type="percent" val="67"/>
      </iconSet>
    </cfRule>
    <cfRule type="dataBar" priority="266">
      <dataBar>
        <cfvo type="min"/>
        <cfvo type="max"/>
        <color rgb="FFFFB628"/>
      </dataBar>
      <extLst>
        <ext xmlns:x14="http://schemas.microsoft.com/office/spreadsheetml/2009/9/main" uri="{B025F937-C7B1-47D3-B67F-A62EFF666E3E}">
          <x14:id>{930B200A-C6A6-42B8-AD8B-2CB243949192}</x14:id>
        </ext>
      </extLst>
    </cfRule>
    <cfRule type="dataBar" priority="270">
      <dataBar>
        <cfvo type="min"/>
        <cfvo type="max"/>
        <color rgb="FFFFB628"/>
      </dataBar>
      <extLst>
        <ext xmlns:x14="http://schemas.microsoft.com/office/spreadsheetml/2009/9/main" uri="{B025F937-C7B1-47D3-B67F-A62EFF666E3E}">
          <x14:id>{8F270740-B5BA-42A7-B1B2-992CD7FAB353}</x14:id>
        </ext>
      </extLst>
    </cfRule>
  </conditionalFormatting>
  <conditionalFormatting sqref="R10:V10 P10:P31 R11:W31 P34:P48 R34:W48 P51:P71 R51:W71 P74:P86 R74:W86">
    <cfRule type="cellIs" dxfId="127" priority="267" stopIfTrue="1" operator="equal">
      <formula>1</formula>
    </cfRule>
  </conditionalFormatting>
  <conditionalFormatting sqref="U10:V10">
    <cfRule type="dataBar" priority="1">
      <dataBar>
        <cfvo type="min"/>
        <cfvo type="max"/>
        <color rgb="FF008AEF"/>
      </dataBar>
      <extLst>
        <ext xmlns:x14="http://schemas.microsoft.com/office/spreadsheetml/2009/9/main" uri="{B025F937-C7B1-47D3-B67F-A62EFF666E3E}">
          <x14:id>{DBAD4588-F3D5-4FF4-B633-0E199CF65E79}</x14:id>
        </ext>
      </extLst>
    </cfRule>
  </conditionalFormatting>
  <conditionalFormatting sqref="U11:V31 U34:V48 U51:V71 U74:V86">
    <cfRule type="dataBar" priority="550">
      <dataBar>
        <cfvo type="min"/>
        <cfvo type="max"/>
        <color rgb="FF008AEF"/>
      </dataBar>
      <extLst>
        <ext xmlns:x14="http://schemas.microsoft.com/office/spreadsheetml/2009/9/main" uri="{B025F937-C7B1-47D3-B67F-A62EFF666E3E}">
          <x14:id>{A66C39C8-6D6F-41FE-B085-105A8E2ECD46}</x14:id>
        </ext>
      </extLst>
    </cfRule>
  </conditionalFormatting>
  <conditionalFormatting sqref="U51:V51">
    <cfRule type="dataBar" priority="262">
      <dataBar>
        <cfvo type="min"/>
        <cfvo type="max"/>
        <color rgb="FF008AEF"/>
      </dataBar>
      <extLst>
        <ext xmlns:x14="http://schemas.microsoft.com/office/spreadsheetml/2009/9/main" uri="{B025F937-C7B1-47D3-B67F-A62EFF666E3E}">
          <x14:id>{81B39269-CDD5-406C-B456-85BA4A20D6CE}</x14:id>
        </ext>
      </extLst>
    </cfRule>
  </conditionalFormatting>
  <conditionalFormatting sqref="U51:V71 U74:V86">
    <cfRule type="dataBar" priority="263">
      <dataBar>
        <cfvo type="min"/>
        <cfvo type="max"/>
        <color rgb="FF008AEF"/>
      </dataBar>
      <extLst>
        <ext xmlns:x14="http://schemas.microsoft.com/office/spreadsheetml/2009/9/main" uri="{B025F937-C7B1-47D3-B67F-A62EFF666E3E}">
          <x14:id>{826FDEA2-0718-4C31-9333-746233A6EAA8}</x14:id>
        </ext>
      </extLst>
    </cfRule>
  </conditionalFormatting>
  <printOptions horizontalCentered="1"/>
  <pageMargins left="0.23622047244094491" right="0.23622047244094491" top="0.74803149606299213" bottom="0.74803149606299213" header="0.31496062992125984" footer="0.31496062992125984"/>
  <pageSetup paperSize="8" scale="45" orientation="portrait" r:id="rId1"/>
  <colBreaks count="1" manualBreakCount="1">
    <brk id="26" max="1048575" man="1"/>
  </colBreaks>
  <extLst>
    <ext xmlns:x14="http://schemas.microsoft.com/office/spreadsheetml/2009/9/main" uri="{78C0D931-6437-407d-A8EE-F0AAD7539E65}">
      <x14:conditionalFormattings>
        <x14:conditionalFormatting xmlns:xm="http://schemas.microsoft.com/office/excel/2006/main">
          <x14:cfRule type="dataBar" id="{930B200A-C6A6-42B8-AD8B-2CB243949192}">
            <x14:dataBar minLength="0" maxLength="100" negativeBarColorSameAsPositive="1" axisPosition="none">
              <x14:cfvo type="min"/>
              <x14:cfvo type="max"/>
            </x14:dataBar>
          </x14:cfRule>
          <x14:cfRule type="dataBar" id="{8F270740-B5BA-42A7-B1B2-992CD7FAB353}">
            <x14:dataBar minLength="0" maxLength="100" negativeBarColorSameAsPositive="1" axisPosition="none">
              <x14:cfvo type="min"/>
              <x14:cfvo type="max"/>
            </x14:dataBar>
          </x14:cfRule>
          <xm:sqref>P10:P31 R10:T31 P34:P48 R34:T48 P51:P71 R51:T71 P74:P86 R74:T86</xm:sqref>
        </x14:conditionalFormatting>
        <x14:conditionalFormatting xmlns:xm="http://schemas.microsoft.com/office/excel/2006/main">
          <x14:cfRule type="dataBar" id="{DBAD4588-F3D5-4FF4-B633-0E199CF65E79}">
            <x14:dataBar minLength="0" maxLength="100" negativeBarColorSameAsPositive="1" axisPosition="none">
              <x14:cfvo type="min"/>
              <x14:cfvo type="max"/>
            </x14:dataBar>
          </x14:cfRule>
          <xm:sqref>U10:V10</xm:sqref>
        </x14:conditionalFormatting>
        <x14:conditionalFormatting xmlns:xm="http://schemas.microsoft.com/office/excel/2006/main">
          <x14:cfRule type="dataBar" id="{A66C39C8-6D6F-41FE-B085-105A8E2ECD46}">
            <x14:dataBar minLength="0" maxLength="100" negativeBarColorSameAsPositive="1" axisPosition="none">
              <x14:cfvo type="min"/>
              <x14:cfvo type="max"/>
            </x14:dataBar>
          </x14:cfRule>
          <xm:sqref>U11:V31 U34:V48 U51:V71 U74:V86</xm:sqref>
        </x14:conditionalFormatting>
        <x14:conditionalFormatting xmlns:xm="http://schemas.microsoft.com/office/excel/2006/main">
          <x14:cfRule type="dataBar" id="{81B39269-CDD5-406C-B456-85BA4A20D6CE}">
            <x14:dataBar minLength="0" maxLength="100" negativeBarColorSameAsPositive="1" axisPosition="none">
              <x14:cfvo type="min"/>
              <x14:cfvo type="max"/>
            </x14:dataBar>
          </x14:cfRule>
          <xm:sqref>U51:V51</xm:sqref>
        </x14:conditionalFormatting>
        <x14:conditionalFormatting xmlns:xm="http://schemas.microsoft.com/office/excel/2006/main">
          <x14:cfRule type="dataBar" id="{826FDEA2-0718-4C31-9333-746233A6EAA8}">
            <x14:dataBar minLength="0" maxLength="100" negativeBarColorSameAsPositive="1" axisPosition="none">
              <x14:cfvo type="min"/>
              <x14:cfvo type="max"/>
            </x14:dataBar>
          </x14:cfRule>
          <xm:sqref>U51:V71 U74:V86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75868-1EE1-4131-8226-DADBB8559765}">
  <sheetPr codeName="Hoja6">
    <tabColor theme="4"/>
    <pageSetUpPr fitToPage="1"/>
  </sheetPr>
  <dimension ref="A1:AI552"/>
  <sheetViews>
    <sheetView tabSelected="1" view="pageBreakPreview" zoomScale="90" zoomScaleNormal="24" zoomScaleSheetLayoutView="90" workbookViewId="0">
      <pane xSplit="2" ySplit="6" topLeftCell="C37" activePane="bottomRight" state="frozen"/>
      <selection pane="topRight" activeCell="D1" sqref="D1"/>
      <selection pane="bottomLeft" activeCell="A7" sqref="A7"/>
      <selection pane="bottomRight" activeCell="D67" sqref="D67"/>
    </sheetView>
  </sheetViews>
  <sheetFormatPr baseColWidth="10" defaultColWidth="10.7109375" defaultRowHeight="12.75"/>
  <cols>
    <col min="1" max="1" width="16.28515625" style="148" bestFit="1" customWidth="1"/>
    <col min="2" max="2" width="20.7109375" style="275" customWidth="1"/>
    <col min="3" max="3" width="16" style="148" bestFit="1" customWidth="1"/>
    <col min="4" max="4" width="17.85546875" style="148" bestFit="1" customWidth="1"/>
    <col min="5" max="5" width="18.28515625" style="148" customWidth="1"/>
    <col min="6" max="6" width="20.85546875" style="148" bestFit="1" customWidth="1"/>
    <col min="7" max="7" width="17.28515625" style="148" bestFit="1" customWidth="1"/>
    <col min="8" max="8" width="19.140625" style="148" bestFit="1" customWidth="1"/>
    <col min="9" max="9" width="18.28515625" style="148" bestFit="1" customWidth="1"/>
    <col min="10" max="10" width="20.42578125" style="148" bestFit="1" customWidth="1"/>
    <col min="11" max="11" width="15.5703125" style="148" customWidth="1"/>
    <col min="12" max="12" width="20.85546875" style="148" bestFit="1" customWidth="1"/>
    <col min="13" max="13" width="24" style="148" bestFit="1" customWidth="1"/>
    <col min="14" max="14" width="30.28515625" style="148" bestFit="1" customWidth="1"/>
    <col min="15" max="15" width="29.42578125" style="148" bestFit="1" customWidth="1"/>
    <col min="16" max="16" width="16.85546875" style="148" customWidth="1"/>
    <col min="17" max="17" width="27.42578125" style="148" bestFit="1" customWidth="1"/>
    <col min="18" max="18" width="16.85546875" style="148" customWidth="1"/>
    <col min="19" max="19" width="27.42578125" style="148" customWidth="1"/>
    <col min="20" max="20" width="21.140625" style="148" customWidth="1"/>
    <col min="21" max="21" width="19.5703125" style="148" customWidth="1"/>
    <col min="22" max="22" width="24.5703125" style="148" customWidth="1"/>
    <col min="23" max="23" width="18.28515625" style="148" bestFit="1" customWidth="1"/>
    <col min="24" max="25" width="15.5703125" style="148" bestFit="1" customWidth="1"/>
    <col min="26" max="26" width="16.5703125" style="148" bestFit="1" customWidth="1"/>
    <col min="27" max="37" width="10.7109375" style="148"/>
    <col min="38" max="38" width="16.140625" style="148" bestFit="1" customWidth="1"/>
    <col min="39" max="16384" width="10.7109375" style="148"/>
  </cols>
  <sheetData>
    <row r="1" spans="1:23" ht="13.5" thickBot="1">
      <c r="A1" s="207"/>
      <c r="C1" s="207"/>
      <c r="D1" s="207"/>
      <c r="E1" s="207"/>
      <c r="W1" s="508" t="s">
        <v>0</v>
      </c>
    </row>
    <row r="2" spans="1:23" ht="16.5" customHeight="1" thickBot="1">
      <c r="A2" s="207"/>
      <c r="C2" s="611" t="s">
        <v>972</v>
      </c>
      <c r="D2" s="612"/>
      <c r="E2" s="612"/>
      <c r="F2" s="612"/>
      <c r="G2" s="612"/>
      <c r="H2" s="612"/>
      <c r="I2" s="612"/>
      <c r="J2" s="612"/>
      <c r="K2" s="612"/>
      <c r="L2" s="612"/>
      <c r="M2" s="612"/>
      <c r="N2" s="612"/>
      <c r="O2" s="612"/>
      <c r="P2" s="612"/>
      <c r="Q2" s="612"/>
      <c r="R2" s="612"/>
      <c r="S2" s="613"/>
      <c r="T2" s="312"/>
      <c r="W2" s="509"/>
    </row>
    <row r="3" spans="1:23" ht="12.75" customHeight="1" thickTop="1">
      <c r="A3" s="207"/>
      <c r="C3" s="614"/>
      <c r="D3" s="615"/>
      <c r="E3" s="615"/>
      <c r="F3" s="615"/>
      <c r="G3" s="615"/>
      <c r="H3" s="615"/>
      <c r="I3" s="615"/>
      <c r="J3" s="615"/>
      <c r="K3" s="615"/>
      <c r="L3" s="615"/>
      <c r="M3" s="615"/>
      <c r="N3" s="615"/>
      <c r="O3" s="615"/>
      <c r="P3" s="615"/>
      <c r="Q3" s="615"/>
      <c r="R3" s="615"/>
      <c r="S3" s="616"/>
      <c r="T3" s="312"/>
      <c r="U3" s="508" t="s">
        <v>1</v>
      </c>
      <c r="V3" s="530">
        <v>359</v>
      </c>
      <c r="W3" s="609">
        <f>+AVERAGE(C33,C79,C126,C173,C220,C267,C314,C361,C405)</f>
        <v>7.8333578028345466E-2</v>
      </c>
    </row>
    <row r="4" spans="1:23" ht="11.25" customHeight="1" thickBot="1">
      <c r="A4" s="207"/>
      <c r="C4" s="617"/>
      <c r="D4" s="618"/>
      <c r="E4" s="618"/>
      <c r="F4" s="618"/>
      <c r="G4" s="618"/>
      <c r="H4" s="618"/>
      <c r="I4" s="618"/>
      <c r="J4" s="618"/>
      <c r="K4" s="618"/>
      <c r="L4" s="618"/>
      <c r="M4" s="618"/>
      <c r="N4" s="618"/>
      <c r="O4" s="618"/>
      <c r="P4" s="618"/>
      <c r="Q4" s="618"/>
      <c r="R4" s="618"/>
      <c r="S4" s="619"/>
      <c r="T4" s="312"/>
      <c r="U4" s="573"/>
      <c r="V4" s="531"/>
      <c r="W4" s="610"/>
    </row>
    <row r="5" spans="1:23" ht="13.5" thickBot="1">
      <c r="A5" s="207"/>
      <c r="C5" s="395">
        <v>1</v>
      </c>
      <c r="D5" s="395">
        <v>2</v>
      </c>
      <c r="E5" s="395">
        <v>3</v>
      </c>
      <c r="F5" s="395">
        <v>4</v>
      </c>
      <c r="G5" s="395">
        <v>5</v>
      </c>
      <c r="H5" s="395">
        <v>6</v>
      </c>
      <c r="I5" s="395">
        <v>7</v>
      </c>
      <c r="J5" s="395">
        <v>8</v>
      </c>
      <c r="K5" s="395">
        <v>9</v>
      </c>
      <c r="L5" s="395">
        <v>10</v>
      </c>
      <c r="M5" s="395">
        <v>11</v>
      </c>
      <c r="N5" s="395">
        <v>12</v>
      </c>
      <c r="O5" s="395">
        <v>13</v>
      </c>
      <c r="P5" s="395">
        <v>14</v>
      </c>
      <c r="Q5" s="395">
        <v>15</v>
      </c>
      <c r="R5" s="395">
        <v>16</v>
      </c>
      <c r="S5" s="395">
        <v>17</v>
      </c>
      <c r="T5" s="395">
        <v>18</v>
      </c>
      <c r="U5" s="287">
        <v>19</v>
      </c>
      <c r="V5" s="287">
        <v>20</v>
      </c>
    </row>
    <row r="6" spans="1:23" ht="51.75" thickBot="1">
      <c r="A6" s="288"/>
      <c r="B6" s="314" t="s">
        <v>2</v>
      </c>
      <c r="C6" s="315" t="s">
        <v>685</v>
      </c>
      <c r="D6" s="315" t="s">
        <v>686</v>
      </c>
      <c r="E6" s="315" t="s">
        <v>687</v>
      </c>
      <c r="F6" s="315" t="s">
        <v>688</v>
      </c>
      <c r="G6" s="315" t="s">
        <v>689</v>
      </c>
      <c r="H6" s="315" t="s">
        <v>691</v>
      </c>
      <c r="I6" s="315" t="s">
        <v>774</v>
      </c>
      <c r="J6" s="315" t="s">
        <v>693</v>
      </c>
      <c r="K6" s="315" t="s">
        <v>694</v>
      </c>
      <c r="L6" s="315" t="s">
        <v>695</v>
      </c>
      <c r="M6" s="315" t="s">
        <v>954</v>
      </c>
      <c r="N6" s="315" t="s">
        <v>748</v>
      </c>
      <c r="O6" s="315" t="s">
        <v>696</v>
      </c>
      <c r="P6" s="315" t="s">
        <v>697</v>
      </c>
      <c r="Q6" s="315" t="s">
        <v>698</v>
      </c>
      <c r="R6" s="315" t="s">
        <v>773</v>
      </c>
      <c r="S6" s="315" t="s">
        <v>699</v>
      </c>
      <c r="T6" s="315" t="s">
        <v>700</v>
      </c>
      <c r="U6" s="315" t="s">
        <v>701</v>
      </c>
      <c r="V6" s="315" t="s">
        <v>702</v>
      </c>
      <c r="W6" s="314" t="s">
        <v>13</v>
      </c>
    </row>
    <row r="7" spans="1:23" ht="15" customHeight="1">
      <c r="A7" s="603" t="s">
        <v>682</v>
      </c>
      <c r="B7" s="316" t="s">
        <v>860</v>
      </c>
      <c r="C7" s="292">
        <v>1</v>
      </c>
      <c r="D7" s="292">
        <v>1</v>
      </c>
      <c r="E7" s="292">
        <v>1</v>
      </c>
      <c r="F7" s="292">
        <v>0.9</v>
      </c>
      <c r="G7" s="292">
        <v>1</v>
      </c>
      <c r="H7" s="292">
        <v>1</v>
      </c>
      <c r="I7" s="292">
        <v>1</v>
      </c>
      <c r="J7" s="292">
        <v>1</v>
      </c>
      <c r="K7" s="292">
        <v>1</v>
      </c>
      <c r="L7" s="292">
        <v>0.5</v>
      </c>
      <c r="M7" s="292">
        <v>0</v>
      </c>
      <c r="N7" s="292">
        <v>0.5</v>
      </c>
      <c r="O7" s="292">
        <v>0.8</v>
      </c>
      <c r="P7" s="292">
        <v>0.9</v>
      </c>
      <c r="Q7" s="292">
        <v>1</v>
      </c>
      <c r="R7" s="292">
        <v>0</v>
      </c>
      <c r="S7" s="292">
        <v>0.9</v>
      </c>
      <c r="T7" s="292">
        <v>0.9</v>
      </c>
      <c r="U7" s="292">
        <v>0.2</v>
      </c>
      <c r="V7" s="292">
        <v>0</v>
      </c>
      <c r="W7" s="293">
        <f t="shared" ref="W7:W30" si="0">+AVERAGE(C7:V7)</f>
        <v>0.73000000000000009</v>
      </c>
    </row>
    <row r="8" spans="1:23" ht="15" customHeight="1">
      <c r="A8" s="604"/>
      <c r="B8" s="317" t="s">
        <v>861</v>
      </c>
      <c r="C8" s="294">
        <v>1</v>
      </c>
      <c r="D8" s="294">
        <v>1</v>
      </c>
      <c r="E8" s="294">
        <v>1</v>
      </c>
      <c r="F8" s="294">
        <v>0.9</v>
      </c>
      <c r="G8" s="294">
        <v>1</v>
      </c>
      <c r="H8" s="294">
        <v>1</v>
      </c>
      <c r="I8" s="294">
        <v>1</v>
      </c>
      <c r="J8" s="294">
        <v>1</v>
      </c>
      <c r="K8" s="294">
        <v>1</v>
      </c>
      <c r="L8" s="294">
        <v>0.5</v>
      </c>
      <c r="M8" s="294">
        <v>0</v>
      </c>
      <c r="N8" s="294">
        <v>0.5</v>
      </c>
      <c r="O8" s="294">
        <v>0.8</v>
      </c>
      <c r="P8" s="294">
        <v>0.9</v>
      </c>
      <c r="Q8" s="294">
        <v>1</v>
      </c>
      <c r="R8" s="294">
        <v>0</v>
      </c>
      <c r="S8" s="294">
        <v>0.9</v>
      </c>
      <c r="T8" s="294">
        <v>0.9</v>
      </c>
      <c r="U8" s="294">
        <v>0.2</v>
      </c>
      <c r="V8" s="294">
        <v>0</v>
      </c>
      <c r="W8" s="295">
        <f t="shared" si="0"/>
        <v>0.73000000000000009</v>
      </c>
    </row>
    <row r="9" spans="1:23" ht="15" customHeight="1">
      <c r="A9" s="604"/>
      <c r="B9" s="317" t="s">
        <v>862</v>
      </c>
      <c r="C9" s="294">
        <v>1</v>
      </c>
      <c r="D9" s="294">
        <v>1</v>
      </c>
      <c r="E9" s="294">
        <v>1</v>
      </c>
      <c r="F9" s="294">
        <v>0.9</v>
      </c>
      <c r="G9" s="294">
        <v>1</v>
      </c>
      <c r="H9" s="294">
        <v>1</v>
      </c>
      <c r="I9" s="294">
        <v>1</v>
      </c>
      <c r="J9" s="294">
        <v>1</v>
      </c>
      <c r="K9" s="294">
        <v>1</v>
      </c>
      <c r="L9" s="294">
        <v>0.5</v>
      </c>
      <c r="M9" s="294">
        <v>0</v>
      </c>
      <c r="N9" s="294">
        <v>0.5</v>
      </c>
      <c r="O9" s="294">
        <v>0.8</v>
      </c>
      <c r="P9" s="294">
        <v>0.9</v>
      </c>
      <c r="Q9" s="294">
        <v>1</v>
      </c>
      <c r="R9" s="294">
        <v>0</v>
      </c>
      <c r="S9" s="294">
        <v>0.9</v>
      </c>
      <c r="T9" s="294">
        <v>0.9</v>
      </c>
      <c r="U9" s="294">
        <v>0.2</v>
      </c>
      <c r="V9" s="294">
        <v>0.4</v>
      </c>
      <c r="W9" s="295">
        <f t="shared" si="0"/>
        <v>0.75000000000000011</v>
      </c>
    </row>
    <row r="10" spans="1:23" ht="15" customHeight="1">
      <c r="A10" s="604"/>
      <c r="B10" s="317" t="s">
        <v>863</v>
      </c>
      <c r="C10" s="294">
        <v>1</v>
      </c>
      <c r="D10" s="294">
        <v>1</v>
      </c>
      <c r="E10" s="294">
        <v>1</v>
      </c>
      <c r="F10" s="294">
        <v>0.9</v>
      </c>
      <c r="G10" s="294">
        <v>1</v>
      </c>
      <c r="H10" s="294">
        <v>1</v>
      </c>
      <c r="I10" s="294">
        <v>1</v>
      </c>
      <c r="J10" s="294">
        <v>1</v>
      </c>
      <c r="K10" s="294">
        <v>1</v>
      </c>
      <c r="L10" s="294">
        <v>0.5</v>
      </c>
      <c r="M10" s="294">
        <v>0</v>
      </c>
      <c r="N10" s="294">
        <v>0.5</v>
      </c>
      <c r="O10" s="294">
        <v>0.8</v>
      </c>
      <c r="P10" s="294">
        <v>0.9</v>
      </c>
      <c r="Q10" s="294">
        <v>1</v>
      </c>
      <c r="R10" s="294">
        <v>0</v>
      </c>
      <c r="S10" s="294">
        <v>0.9</v>
      </c>
      <c r="T10" s="294">
        <v>0.9</v>
      </c>
      <c r="U10" s="294">
        <v>0.2</v>
      </c>
      <c r="V10" s="294">
        <v>0.4</v>
      </c>
      <c r="W10" s="295">
        <f t="shared" si="0"/>
        <v>0.75000000000000011</v>
      </c>
    </row>
    <row r="11" spans="1:23" ht="15" customHeight="1">
      <c r="A11" s="604"/>
      <c r="B11" s="317" t="s">
        <v>864</v>
      </c>
      <c r="C11" s="294">
        <v>1</v>
      </c>
      <c r="D11" s="294">
        <v>1</v>
      </c>
      <c r="E11" s="294">
        <v>1</v>
      </c>
      <c r="F11" s="294">
        <v>0.9</v>
      </c>
      <c r="G11" s="294">
        <v>1</v>
      </c>
      <c r="H11" s="294">
        <v>1</v>
      </c>
      <c r="I11" s="294">
        <v>1</v>
      </c>
      <c r="J11" s="294">
        <v>1</v>
      </c>
      <c r="K11" s="294">
        <v>1</v>
      </c>
      <c r="L11" s="294">
        <v>0.5</v>
      </c>
      <c r="M11" s="294">
        <v>0</v>
      </c>
      <c r="N11" s="294">
        <v>0.5</v>
      </c>
      <c r="O11" s="294">
        <v>0.8</v>
      </c>
      <c r="P11" s="294">
        <v>0.9</v>
      </c>
      <c r="Q11" s="294">
        <v>1</v>
      </c>
      <c r="R11" s="294">
        <v>0</v>
      </c>
      <c r="S11" s="294">
        <v>0.9</v>
      </c>
      <c r="T11" s="294">
        <v>0.9</v>
      </c>
      <c r="U11" s="294">
        <v>0.2</v>
      </c>
      <c r="V11" s="294">
        <v>0</v>
      </c>
      <c r="W11" s="295">
        <f t="shared" si="0"/>
        <v>0.73000000000000009</v>
      </c>
    </row>
    <row r="12" spans="1:23" ht="15" customHeight="1">
      <c r="A12" s="604"/>
      <c r="B12" s="317" t="s">
        <v>865</v>
      </c>
      <c r="C12" s="294">
        <v>1</v>
      </c>
      <c r="D12" s="294">
        <v>1</v>
      </c>
      <c r="E12" s="294">
        <v>1</v>
      </c>
      <c r="F12" s="294">
        <v>0.5</v>
      </c>
      <c r="G12" s="294">
        <v>1</v>
      </c>
      <c r="H12" s="294">
        <v>1</v>
      </c>
      <c r="I12" s="294">
        <v>1</v>
      </c>
      <c r="J12" s="294">
        <v>1</v>
      </c>
      <c r="K12" s="294">
        <v>1</v>
      </c>
      <c r="L12" s="294">
        <v>0.5</v>
      </c>
      <c r="M12" s="294">
        <v>0</v>
      </c>
      <c r="N12" s="294">
        <v>0.5</v>
      </c>
      <c r="O12" s="294">
        <v>0.8</v>
      </c>
      <c r="P12" s="294">
        <v>0.9</v>
      </c>
      <c r="Q12" s="294">
        <v>1</v>
      </c>
      <c r="R12" s="294">
        <v>0</v>
      </c>
      <c r="S12" s="294">
        <v>0.9</v>
      </c>
      <c r="T12" s="294">
        <v>0.9</v>
      </c>
      <c r="U12" s="294">
        <v>0.2</v>
      </c>
      <c r="V12" s="294">
        <v>0</v>
      </c>
      <c r="W12" s="295">
        <f t="shared" si="0"/>
        <v>0.71000000000000008</v>
      </c>
    </row>
    <row r="13" spans="1:23" ht="15" customHeight="1">
      <c r="A13" s="604"/>
      <c r="B13" s="317" t="s">
        <v>866</v>
      </c>
      <c r="C13" s="294">
        <v>1</v>
      </c>
      <c r="D13" s="294">
        <v>1</v>
      </c>
      <c r="E13" s="294">
        <v>1</v>
      </c>
      <c r="F13" s="294">
        <v>0.5</v>
      </c>
      <c r="G13" s="294">
        <v>1</v>
      </c>
      <c r="H13" s="294">
        <v>1</v>
      </c>
      <c r="I13" s="294">
        <v>1</v>
      </c>
      <c r="J13" s="294">
        <v>1</v>
      </c>
      <c r="K13" s="294">
        <v>1</v>
      </c>
      <c r="L13" s="294">
        <v>0.5</v>
      </c>
      <c r="M13" s="294">
        <v>0</v>
      </c>
      <c r="N13" s="294">
        <v>0.5</v>
      </c>
      <c r="O13" s="294">
        <v>0.8</v>
      </c>
      <c r="P13" s="294">
        <v>0.9</v>
      </c>
      <c r="Q13" s="294">
        <v>1</v>
      </c>
      <c r="R13" s="294">
        <v>0</v>
      </c>
      <c r="S13" s="294">
        <v>0.9</v>
      </c>
      <c r="T13" s="294">
        <v>0.5</v>
      </c>
      <c r="U13" s="294">
        <v>0</v>
      </c>
      <c r="V13" s="294">
        <v>0</v>
      </c>
      <c r="W13" s="295">
        <f t="shared" si="0"/>
        <v>0.68</v>
      </c>
    </row>
    <row r="14" spans="1:23" ht="15" customHeight="1">
      <c r="A14" s="604"/>
      <c r="B14" s="318" t="s">
        <v>867</v>
      </c>
      <c r="C14" s="294">
        <v>1</v>
      </c>
      <c r="D14" s="294">
        <v>1</v>
      </c>
      <c r="E14" s="294">
        <v>1</v>
      </c>
      <c r="F14" s="294">
        <v>0.8</v>
      </c>
      <c r="G14" s="294">
        <v>1</v>
      </c>
      <c r="H14" s="294">
        <v>1</v>
      </c>
      <c r="I14" s="294">
        <v>1</v>
      </c>
      <c r="J14" s="294">
        <v>1</v>
      </c>
      <c r="K14" s="294">
        <v>1</v>
      </c>
      <c r="L14" s="294">
        <v>0</v>
      </c>
      <c r="M14" s="294">
        <v>0</v>
      </c>
      <c r="N14" s="294">
        <v>0</v>
      </c>
      <c r="O14" s="294">
        <v>0</v>
      </c>
      <c r="P14" s="294">
        <v>0.9</v>
      </c>
      <c r="Q14" s="294">
        <v>1</v>
      </c>
      <c r="R14" s="294">
        <v>0</v>
      </c>
      <c r="S14" s="294">
        <v>0.5</v>
      </c>
      <c r="T14" s="294">
        <v>0</v>
      </c>
      <c r="U14" s="294">
        <v>0</v>
      </c>
      <c r="V14" s="294">
        <v>0</v>
      </c>
      <c r="W14" s="295">
        <f t="shared" si="0"/>
        <v>0.56000000000000005</v>
      </c>
    </row>
    <row r="15" spans="1:23" ht="15" customHeight="1">
      <c r="A15" s="604"/>
      <c r="B15" s="318" t="s">
        <v>868</v>
      </c>
      <c r="C15" s="294">
        <v>1</v>
      </c>
      <c r="D15" s="294">
        <v>1</v>
      </c>
      <c r="E15" s="294">
        <v>1</v>
      </c>
      <c r="F15" s="294">
        <v>0.9</v>
      </c>
      <c r="G15" s="294">
        <v>1</v>
      </c>
      <c r="H15" s="294">
        <v>0.8</v>
      </c>
      <c r="I15" s="294">
        <v>1</v>
      </c>
      <c r="J15" s="294">
        <v>1</v>
      </c>
      <c r="K15" s="294">
        <v>1</v>
      </c>
      <c r="L15" s="294">
        <v>0</v>
      </c>
      <c r="M15" s="294">
        <v>0</v>
      </c>
      <c r="N15" s="294">
        <v>0</v>
      </c>
      <c r="O15" s="294">
        <v>0</v>
      </c>
      <c r="P15" s="294">
        <v>0.9</v>
      </c>
      <c r="Q15" s="294">
        <v>1</v>
      </c>
      <c r="R15" s="294">
        <v>0</v>
      </c>
      <c r="S15" s="294">
        <v>0.5</v>
      </c>
      <c r="T15" s="294">
        <v>0</v>
      </c>
      <c r="U15" s="294">
        <v>0</v>
      </c>
      <c r="V15" s="294">
        <v>0</v>
      </c>
      <c r="W15" s="295">
        <f t="shared" si="0"/>
        <v>0.55499999999999994</v>
      </c>
    </row>
    <row r="16" spans="1:23" ht="15" customHeight="1">
      <c r="A16" s="604"/>
      <c r="B16" s="318" t="s">
        <v>869</v>
      </c>
      <c r="C16" s="294">
        <v>1</v>
      </c>
      <c r="D16" s="294">
        <v>1</v>
      </c>
      <c r="E16" s="294">
        <v>1</v>
      </c>
      <c r="F16" s="294">
        <v>1</v>
      </c>
      <c r="G16" s="294">
        <v>1</v>
      </c>
      <c r="H16" s="294">
        <v>1</v>
      </c>
      <c r="I16" s="294">
        <v>1</v>
      </c>
      <c r="J16" s="294">
        <v>1</v>
      </c>
      <c r="K16" s="294">
        <v>1</v>
      </c>
      <c r="L16" s="294">
        <v>1</v>
      </c>
      <c r="M16" s="294">
        <v>1</v>
      </c>
      <c r="N16" s="294">
        <v>1</v>
      </c>
      <c r="O16" s="294">
        <v>1</v>
      </c>
      <c r="P16" s="294">
        <v>1</v>
      </c>
      <c r="Q16" s="294">
        <v>1</v>
      </c>
      <c r="R16" s="294">
        <v>1</v>
      </c>
      <c r="S16" s="294">
        <v>1</v>
      </c>
      <c r="T16" s="294">
        <v>1</v>
      </c>
      <c r="U16" s="294">
        <v>1</v>
      </c>
      <c r="V16" s="294">
        <v>1</v>
      </c>
      <c r="W16" s="295">
        <f t="shared" si="0"/>
        <v>1</v>
      </c>
    </row>
    <row r="17" spans="1:23" ht="15" customHeight="1">
      <c r="A17" s="604"/>
      <c r="B17" s="318" t="s">
        <v>870</v>
      </c>
      <c r="C17" s="294">
        <v>1</v>
      </c>
      <c r="D17" s="294">
        <v>1</v>
      </c>
      <c r="E17" s="294">
        <v>1</v>
      </c>
      <c r="F17" s="294">
        <v>1</v>
      </c>
      <c r="G17" s="294">
        <v>1</v>
      </c>
      <c r="H17" s="294">
        <v>1</v>
      </c>
      <c r="I17" s="294">
        <v>1</v>
      </c>
      <c r="J17" s="294">
        <v>1</v>
      </c>
      <c r="K17" s="294">
        <v>1</v>
      </c>
      <c r="L17" s="294">
        <v>1</v>
      </c>
      <c r="M17" s="294">
        <v>1</v>
      </c>
      <c r="N17" s="294">
        <v>1</v>
      </c>
      <c r="O17" s="294">
        <v>1</v>
      </c>
      <c r="P17" s="294">
        <v>1</v>
      </c>
      <c r="Q17" s="294">
        <v>1</v>
      </c>
      <c r="R17" s="294">
        <v>1</v>
      </c>
      <c r="S17" s="294">
        <v>1</v>
      </c>
      <c r="T17" s="294">
        <v>1</v>
      </c>
      <c r="U17" s="294">
        <v>1</v>
      </c>
      <c r="V17" s="294">
        <v>1</v>
      </c>
      <c r="W17" s="295">
        <f t="shared" si="0"/>
        <v>1</v>
      </c>
    </row>
    <row r="18" spans="1:23" ht="15" customHeight="1">
      <c r="A18" s="604"/>
      <c r="B18" s="318" t="s">
        <v>871</v>
      </c>
      <c r="C18" s="294">
        <v>0</v>
      </c>
      <c r="D18" s="294">
        <v>0</v>
      </c>
      <c r="E18" s="294">
        <v>0</v>
      </c>
      <c r="F18" s="294">
        <v>0</v>
      </c>
      <c r="G18" s="294">
        <v>0</v>
      </c>
      <c r="H18" s="294">
        <v>0</v>
      </c>
      <c r="I18" s="294">
        <v>0</v>
      </c>
      <c r="J18" s="294">
        <v>0</v>
      </c>
      <c r="K18" s="294">
        <v>0</v>
      </c>
      <c r="L18" s="294">
        <v>0</v>
      </c>
      <c r="M18" s="294">
        <v>0</v>
      </c>
      <c r="N18" s="294">
        <v>0</v>
      </c>
      <c r="O18" s="294">
        <v>0</v>
      </c>
      <c r="P18" s="294">
        <v>0</v>
      </c>
      <c r="Q18" s="294">
        <v>0</v>
      </c>
      <c r="R18" s="294">
        <v>0</v>
      </c>
      <c r="S18" s="294">
        <v>0</v>
      </c>
      <c r="T18" s="294">
        <v>0</v>
      </c>
      <c r="U18" s="294">
        <v>0</v>
      </c>
      <c r="V18" s="294">
        <v>0</v>
      </c>
      <c r="W18" s="295">
        <f t="shared" si="0"/>
        <v>0</v>
      </c>
    </row>
    <row r="19" spans="1:23" ht="15" customHeight="1">
      <c r="A19" s="604"/>
      <c r="B19" s="318" t="s">
        <v>872</v>
      </c>
      <c r="C19" s="294">
        <v>0</v>
      </c>
      <c r="D19" s="294">
        <v>0</v>
      </c>
      <c r="E19" s="294">
        <v>0</v>
      </c>
      <c r="F19" s="294">
        <v>0</v>
      </c>
      <c r="G19" s="294">
        <v>0</v>
      </c>
      <c r="H19" s="294">
        <v>0</v>
      </c>
      <c r="I19" s="294">
        <v>0</v>
      </c>
      <c r="J19" s="294">
        <v>0</v>
      </c>
      <c r="K19" s="294">
        <v>0</v>
      </c>
      <c r="L19" s="294">
        <v>0</v>
      </c>
      <c r="M19" s="294">
        <v>0</v>
      </c>
      <c r="N19" s="294">
        <v>0</v>
      </c>
      <c r="O19" s="294">
        <v>0</v>
      </c>
      <c r="P19" s="294">
        <v>0</v>
      </c>
      <c r="Q19" s="294">
        <v>0</v>
      </c>
      <c r="R19" s="294">
        <v>0</v>
      </c>
      <c r="S19" s="294">
        <v>0</v>
      </c>
      <c r="T19" s="294">
        <v>0</v>
      </c>
      <c r="U19" s="294">
        <v>0</v>
      </c>
      <c r="V19" s="294">
        <v>0</v>
      </c>
      <c r="W19" s="295">
        <f t="shared" si="0"/>
        <v>0</v>
      </c>
    </row>
    <row r="20" spans="1:23" ht="15" customHeight="1">
      <c r="A20" s="604"/>
      <c r="B20" s="318" t="s">
        <v>873</v>
      </c>
      <c r="C20" s="294">
        <v>0</v>
      </c>
      <c r="D20" s="294">
        <v>0</v>
      </c>
      <c r="E20" s="294">
        <v>0</v>
      </c>
      <c r="F20" s="294">
        <v>0</v>
      </c>
      <c r="G20" s="294">
        <v>0</v>
      </c>
      <c r="H20" s="294">
        <v>0</v>
      </c>
      <c r="I20" s="294">
        <v>0</v>
      </c>
      <c r="J20" s="294">
        <v>0</v>
      </c>
      <c r="K20" s="294">
        <v>0</v>
      </c>
      <c r="L20" s="294">
        <v>0</v>
      </c>
      <c r="M20" s="294">
        <v>0</v>
      </c>
      <c r="N20" s="294">
        <v>0</v>
      </c>
      <c r="O20" s="294">
        <v>0</v>
      </c>
      <c r="P20" s="294">
        <v>0</v>
      </c>
      <c r="Q20" s="294">
        <v>0</v>
      </c>
      <c r="R20" s="294">
        <v>0</v>
      </c>
      <c r="S20" s="294">
        <v>0</v>
      </c>
      <c r="T20" s="294">
        <v>0</v>
      </c>
      <c r="U20" s="294">
        <v>0</v>
      </c>
      <c r="V20" s="294">
        <v>0</v>
      </c>
      <c r="W20" s="295">
        <f t="shared" si="0"/>
        <v>0</v>
      </c>
    </row>
    <row r="21" spans="1:23" ht="15" customHeight="1">
      <c r="A21" s="604"/>
      <c r="B21" s="318" t="s">
        <v>874</v>
      </c>
      <c r="C21" s="294">
        <v>0</v>
      </c>
      <c r="D21" s="294">
        <v>0</v>
      </c>
      <c r="E21" s="294">
        <v>0</v>
      </c>
      <c r="F21" s="294">
        <v>0</v>
      </c>
      <c r="G21" s="294">
        <v>0</v>
      </c>
      <c r="H21" s="294">
        <v>0</v>
      </c>
      <c r="I21" s="294">
        <v>0</v>
      </c>
      <c r="J21" s="294">
        <v>0</v>
      </c>
      <c r="K21" s="294">
        <v>0</v>
      </c>
      <c r="L21" s="294">
        <v>0</v>
      </c>
      <c r="M21" s="294">
        <v>0</v>
      </c>
      <c r="N21" s="294">
        <v>0</v>
      </c>
      <c r="O21" s="294">
        <v>0</v>
      </c>
      <c r="P21" s="294">
        <v>0</v>
      </c>
      <c r="Q21" s="294">
        <v>0</v>
      </c>
      <c r="R21" s="294">
        <v>0</v>
      </c>
      <c r="S21" s="294">
        <v>0</v>
      </c>
      <c r="T21" s="294">
        <v>0</v>
      </c>
      <c r="U21" s="294">
        <v>0</v>
      </c>
      <c r="V21" s="294">
        <v>0</v>
      </c>
      <c r="W21" s="295">
        <f t="shared" si="0"/>
        <v>0</v>
      </c>
    </row>
    <row r="22" spans="1:23" ht="15" customHeight="1">
      <c r="A22" s="604"/>
      <c r="B22" s="318" t="s">
        <v>875</v>
      </c>
      <c r="C22" s="294">
        <v>0</v>
      </c>
      <c r="D22" s="294">
        <v>0</v>
      </c>
      <c r="E22" s="294">
        <v>0</v>
      </c>
      <c r="F22" s="294">
        <v>0</v>
      </c>
      <c r="G22" s="294">
        <v>0</v>
      </c>
      <c r="H22" s="294">
        <v>0</v>
      </c>
      <c r="I22" s="294">
        <v>0</v>
      </c>
      <c r="J22" s="294">
        <v>0</v>
      </c>
      <c r="K22" s="294">
        <v>0</v>
      </c>
      <c r="L22" s="294">
        <v>0</v>
      </c>
      <c r="M22" s="294">
        <v>0</v>
      </c>
      <c r="N22" s="294">
        <v>0</v>
      </c>
      <c r="O22" s="294">
        <v>0</v>
      </c>
      <c r="P22" s="294">
        <v>0</v>
      </c>
      <c r="Q22" s="294">
        <v>0</v>
      </c>
      <c r="R22" s="294">
        <v>0</v>
      </c>
      <c r="S22" s="294">
        <v>0</v>
      </c>
      <c r="T22" s="294">
        <v>0</v>
      </c>
      <c r="U22" s="294">
        <v>0</v>
      </c>
      <c r="V22" s="294">
        <v>0</v>
      </c>
      <c r="W22" s="295">
        <f t="shared" si="0"/>
        <v>0</v>
      </c>
    </row>
    <row r="23" spans="1:23" ht="15" customHeight="1">
      <c r="A23" s="604"/>
      <c r="B23" s="318" t="s">
        <v>876</v>
      </c>
      <c r="C23" s="294">
        <v>0</v>
      </c>
      <c r="D23" s="294">
        <v>0</v>
      </c>
      <c r="E23" s="294">
        <v>0</v>
      </c>
      <c r="F23" s="294">
        <v>0</v>
      </c>
      <c r="G23" s="294">
        <v>0</v>
      </c>
      <c r="H23" s="294">
        <v>0</v>
      </c>
      <c r="I23" s="294">
        <v>0</v>
      </c>
      <c r="J23" s="294">
        <v>0</v>
      </c>
      <c r="K23" s="294">
        <v>0</v>
      </c>
      <c r="L23" s="294">
        <v>0</v>
      </c>
      <c r="M23" s="294">
        <v>0</v>
      </c>
      <c r="N23" s="294">
        <v>0</v>
      </c>
      <c r="O23" s="294">
        <v>0</v>
      </c>
      <c r="P23" s="294">
        <v>0</v>
      </c>
      <c r="Q23" s="294">
        <v>0</v>
      </c>
      <c r="R23" s="294">
        <v>0</v>
      </c>
      <c r="S23" s="294">
        <v>0</v>
      </c>
      <c r="T23" s="294">
        <v>0</v>
      </c>
      <c r="U23" s="294">
        <v>0</v>
      </c>
      <c r="V23" s="294">
        <v>0</v>
      </c>
      <c r="W23" s="295">
        <f t="shared" si="0"/>
        <v>0</v>
      </c>
    </row>
    <row r="24" spans="1:23" ht="15" customHeight="1">
      <c r="A24" s="604"/>
      <c r="B24" s="318" t="s">
        <v>877</v>
      </c>
      <c r="C24" s="294">
        <v>1</v>
      </c>
      <c r="D24" s="294">
        <v>1</v>
      </c>
      <c r="E24" s="294">
        <v>1</v>
      </c>
      <c r="F24" s="294">
        <v>0</v>
      </c>
      <c r="G24" s="294">
        <v>1</v>
      </c>
      <c r="H24" s="294">
        <v>1</v>
      </c>
      <c r="I24" s="294">
        <v>0.5</v>
      </c>
      <c r="J24" s="294">
        <v>1</v>
      </c>
      <c r="K24" s="294">
        <v>1</v>
      </c>
      <c r="L24" s="294">
        <v>0.7</v>
      </c>
      <c r="M24" s="294">
        <v>1</v>
      </c>
      <c r="N24" s="294">
        <v>0</v>
      </c>
      <c r="O24" s="294">
        <v>1</v>
      </c>
      <c r="P24" s="294">
        <v>0.85</v>
      </c>
      <c r="Q24" s="294">
        <v>0</v>
      </c>
      <c r="R24" s="294">
        <v>0</v>
      </c>
      <c r="S24" s="294">
        <v>0.5</v>
      </c>
      <c r="T24" s="294">
        <v>0.25</v>
      </c>
      <c r="U24" s="294">
        <v>0</v>
      </c>
      <c r="V24" s="294">
        <v>0</v>
      </c>
      <c r="W24" s="295">
        <f t="shared" si="0"/>
        <v>0.59</v>
      </c>
    </row>
    <row r="25" spans="1:23" ht="15" customHeight="1">
      <c r="A25" s="604"/>
      <c r="B25" s="318" t="s">
        <v>878</v>
      </c>
      <c r="C25" s="294">
        <v>1</v>
      </c>
      <c r="D25" s="294">
        <v>1</v>
      </c>
      <c r="E25" s="294">
        <v>1</v>
      </c>
      <c r="F25" s="294">
        <v>0</v>
      </c>
      <c r="G25" s="294">
        <v>1</v>
      </c>
      <c r="H25" s="294">
        <v>1</v>
      </c>
      <c r="I25" s="294">
        <v>0.5</v>
      </c>
      <c r="J25" s="294">
        <v>1</v>
      </c>
      <c r="K25" s="294">
        <v>1</v>
      </c>
      <c r="L25" s="294">
        <v>0.7</v>
      </c>
      <c r="M25" s="294">
        <v>1</v>
      </c>
      <c r="N25" s="294">
        <v>0</v>
      </c>
      <c r="O25" s="294">
        <v>1</v>
      </c>
      <c r="P25" s="294">
        <v>0.85</v>
      </c>
      <c r="Q25" s="294">
        <v>0</v>
      </c>
      <c r="R25" s="294">
        <v>0</v>
      </c>
      <c r="S25" s="294">
        <v>0.5</v>
      </c>
      <c r="T25" s="294">
        <v>0.25</v>
      </c>
      <c r="U25" s="294">
        <v>0</v>
      </c>
      <c r="V25" s="294">
        <v>0</v>
      </c>
      <c r="W25" s="295">
        <f t="shared" si="0"/>
        <v>0.59</v>
      </c>
    </row>
    <row r="26" spans="1:23" ht="15" customHeight="1">
      <c r="A26" s="604"/>
      <c r="B26" s="318" t="s">
        <v>879</v>
      </c>
      <c r="C26" s="294">
        <v>1</v>
      </c>
      <c r="D26" s="294">
        <v>1</v>
      </c>
      <c r="E26" s="294">
        <v>1</v>
      </c>
      <c r="F26" s="294">
        <v>0</v>
      </c>
      <c r="G26" s="294">
        <v>1</v>
      </c>
      <c r="H26" s="294">
        <v>1</v>
      </c>
      <c r="I26" s="294">
        <v>0.5</v>
      </c>
      <c r="J26" s="294">
        <v>1</v>
      </c>
      <c r="K26" s="294">
        <v>1</v>
      </c>
      <c r="L26" s="294">
        <v>0.7</v>
      </c>
      <c r="M26" s="294">
        <v>1</v>
      </c>
      <c r="N26" s="294">
        <v>0</v>
      </c>
      <c r="O26" s="294">
        <v>1</v>
      </c>
      <c r="P26" s="294">
        <v>0.85</v>
      </c>
      <c r="Q26" s="294">
        <v>0</v>
      </c>
      <c r="R26" s="294">
        <v>0</v>
      </c>
      <c r="S26" s="294">
        <v>0.5</v>
      </c>
      <c r="T26" s="294">
        <v>0.25</v>
      </c>
      <c r="U26" s="294">
        <v>0</v>
      </c>
      <c r="V26" s="294">
        <v>0</v>
      </c>
      <c r="W26" s="295">
        <f t="shared" si="0"/>
        <v>0.59</v>
      </c>
    </row>
    <row r="27" spans="1:23" ht="15" customHeight="1">
      <c r="A27" s="604"/>
      <c r="B27" s="318" t="s">
        <v>880</v>
      </c>
      <c r="C27" s="294">
        <v>0</v>
      </c>
      <c r="D27" s="294">
        <v>0</v>
      </c>
      <c r="E27" s="294">
        <v>0</v>
      </c>
      <c r="F27" s="294">
        <v>0</v>
      </c>
      <c r="G27" s="294">
        <v>0</v>
      </c>
      <c r="H27" s="294">
        <v>0</v>
      </c>
      <c r="I27" s="294">
        <v>0</v>
      </c>
      <c r="J27" s="294">
        <v>0</v>
      </c>
      <c r="K27" s="294">
        <v>0</v>
      </c>
      <c r="L27" s="294">
        <v>0</v>
      </c>
      <c r="M27" s="294">
        <v>0</v>
      </c>
      <c r="N27" s="294">
        <v>0</v>
      </c>
      <c r="O27" s="294">
        <v>0</v>
      </c>
      <c r="P27" s="294">
        <v>0</v>
      </c>
      <c r="Q27" s="294">
        <v>0</v>
      </c>
      <c r="R27" s="294">
        <v>0</v>
      </c>
      <c r="S27" s="294">
        <v>0</v>
      </c>
      <c r="T27" s="294">
        <v>0</v>
      </c>
      <c r="U27" s="294">
        <v>0</v>
      </c>
      <c r="V27" s="294">
        <v>0</v>
      </c>
      <c r="W27" s="295">
        <f t="shared" si="0"/>
        <v>0</v>
      </c>
    </row>
    <row r="28" spans="1:23" ht="15" customHeight="1">
      <c r="A28" s="604"/>
      <c r="B28" s="319" t="s">
        <v>881</v>
      </c>
      <c r="C28" s="294">
        <v>0</v>
      </c>
      <c r="D28" s="294">
        <v>0</v>
      </c>
      <c r="E28" s="294">
        <v>0</v>
      </c>
      <c r="F28" s="294">
        <v>0</v>
      </c>
      <c r="G28" s="294">
        <v>0</v>
      </c>
      <c r="H28" s="294">
        <v>0</v>
      </c>
      <c r="I28" s="294">
        <v>0</v>
      </c>
      <c r="J28" s="294">
        <v>0</v>
      </c>
      <c r="K28" s="294">
        <v>0</v>
      </c>
      <c r="L28" s="294">
        <v>0</v>
      </c>
      <c r="M28" s="294">
        <v>0</v>
      </c>
      <c r="N28" s="294">
        <v>0</v>
      </c>
      <c r="O28" s="294">
        <v>0</v>
      </c>
      <c r="P28" s="294">
        <v>0</v>
      </c>
      <c r="Q28" s="294">
        <v>0</v>
      </c>
      <c r="R28" s="294">
        <v>0</v>
      </c>
      <c r="S28" s="294">
        <v>0</v>
      </c>
      <c r="T28" s="294">
        <v>0</v>
      </c>
      <c r="U28" s="294">
        <v>0</v>
      </c>
      <c r="V28" s="294">
        <v>0</v>
      </c>
      <c r="W28" s="295">
        <f t="shared" si="0"/>
        <v>0</v>
      </c>
    </row>
    <row r="29" spans="1:23" ht="15" customHeight="1">
      <c r="A29" s="604"/>
      <c r="B29" s="319" t="s">
        <v>882</v>
      </c>
      <c r="C29" s="294">
        <v>0</v>
      </c>
      <c r="D29" s="294">
        <v>0</v>
      </c>
      <c r="E29" s="294">
        <v>0</v>
      </c>
      <c r="F29" s="294">
        <v>0</v>
      </c>
      <c r="G29" s="294">
        <v>0</v>
      </c>
      <c r="H29" s="294">
        <v>0</v>
      </c>
      <c r="I29" s="294">
        <v>0</v>
      </c>
      <c r="J29" s="294">
        <v>0</v>
      </c>
      <c r="K29" s="294">
        <v>0</v>
      </c>
      <c r="L29" s="294">
        <v>0</v>
      </c>
      <c r="M29" s="294">
        <v>0</v>
      </c>
      <c r="N29" s="294">
        <v>0</v>
      </c>
      <c r="O29" s="294">
        <v>0</v>
      </c>
      <c r="P29" s="294">
        <v>0</v>
      </c>
      <c r="Q29" s="294">
        <v>0</v>
      </c>
      <c r="R29" s="294">
        <v>0</v>
      </c>
      <c r="S29" s="294">
        <v>0</v>
      </c>
      <c r="T29" s="294">
        <v>0</v>
      </c>
      <c r="U29" s="294">
        <v>0</v>
      </c>
      <c r="V29" s="294">
        <v>0</v>
      </c>
      <c r="W29" s="295">
        <f t="shared" si="0"/>
        <v>0</v>
      </c>
    </row>
    <row r="30" spans="1:23" ht="15" customHeight="1" thickBot="1">
      <c r="A30" s="604"/>
      <c r="B30" s="319" t="s">
        <v>883</v>
      </c>
      <c r="C30" s="294">
        <v>0</v>
      </c>
      <c r="D30" s="294">
        <v>0</v>
      </c>
      <c r="E30" s="294">
        <v>0</v>
      </c>
      <c r="F30" s="294">
        <v>0</v>
      </c>
      <c r="G30" s="294">
        <v>0</v>
      </c>
      <c r="H30" s="294">
        <v>0</v>
      </c>
      <c r="I30" s="294">
        <v>0</v>
      </c>
      <c r="J30" s="294">
        <v>0</v>
      </c>
      <c r="K30" s="294">
        <v>0</v>
      </c>
      <c r="L30" s="294">
        <v>0</v>
      </c>
      <c r="M30" s="294">
        <v>0</v>
      </c>
      <c r="N30" s="294">
        <v>0</v>
      </c>
      <c r="O30" s="294">
        <v>0</v>
      </c>
      <c r="P30" s="294">
        <v>0</v>
      </c>
      <c r="Q30" s="294">
        <v>0</v>
      </c>
      <c r="R30" s="294">
        <v>0</v>
      </c>
      <c r="S30" s="294">
        <v>0</v>
      </c>
      <c r="T30" s="294">
        <v>0</v>
      </c>
      <c r="U30" s="294">
        <v>0</v>
      </c>
      <c r="V30" s="294">
        <v>0</v>
      </c>
      <c r="W30" s="295">
        <f t="shared" si="0"/>
        <v>0</v>
      </c>
    </row>
    <row r="31" spans="1:23" ht="20.100000000000001" customHeight="1" thickBot="1">
      <c r="A31" s="600" t="s">
        <v>755</v>
      </c>
      <c r="B31" s="601"/>
      <c r="C31" s="296"/>
      <c r="D31" s="296"/>
      <c r="E31" s="296"/>
      <c r="F31" s="296"/>
      <c r="G31" s="296"/>
      <c r="H31" s="296"/>
      <c r="I31" s="296"/>
      <c r="J31" s="296"/>
      <c r="K31" s="296"/>
      <c r="L31" s="296"/>
      <c r="M31" s="296"/>
      <c r="N31" s="296"/>
      <c r="O31" s="296"/>
      <c r="P31" s="296"/>
      <c r="Q31" s="296"/>
      <c r="R31" s="296"/>
      <c r="S31" s="296"/>
      <c r="T31" s="296"/>
      <c r="U31" s="296"/>
      <c r="V31" s="297"/>
      <c r="W31" s="560"/>
    </row>
    <row r="32" spans="1:23" ht="20.100000000000001" customHeight="1" thickBot="1">
      <c r="A32" s="600" t="s">
        <v>754</v>
      </c>
      <c r="B32" s="601"/>
      <c r="C32" s="296">
        <f t="shared" ref="C32:V32" si="1">+AVERAGE(C7:C30)</f>
        <v>0.58333333333333337</v>
      </c>
      <c r="D32" s="296">
        <f t="shared" si="1"/>
        <v>0.58333333333333337</v>
      </c>
      <c r="E32" s="296">
        <f t="shared" si="1"/>
        <v>0.58333333333333337</v>
      </c>
      <c r="F32" s="296">
        <f t="shared" si="1"/>
        <v>0.3833333333333333</v>
      </c>
      <c r="G32" s="296">
        <f t="shared" si="1"/>
        <v>0.58333333333333337</v>
      </c>
      <c r="H32" s="296">
        <f t="shared" si="1"/>
        <v>0.57500000000000007</v>
      </c>
      <c r="I32" s="296">
        <f t="shared" si="1"/>
        <v>0.52083333333333337</v>
      </c>
      <c r="J32" s="296">
        <f t="shared" si="1"/>
        <v>0.58333333333333337</v>
      </c>
      <c r="K32" s="296">
        <f t="shared" si="1"/>
        <v>0.58333333333333337</v>
      </c>
      <c r="L32" s="296">
        <f t="shared" si="1"/>
        <v>0.31666666666666671</v>
      </c>
      <c r="M32" s="296">
        <f t="shared" si="1"/>
        <v>0.20833333333333334</v>
      </c>
      <c r="N32" s="296">
        <f t="shared" si="1"/>
        <v>0.22916666666666666</v>
      </c>
      <c r="O32" s="296">
        <f t="shared" si="1"/>
        <v>0.44166666666666665</v>
      </c>
      <c r="P32" s="296">
        <f t="shared" si="1"/>
        <v>0.52708333333333335</v>
      </c>
      <c r="Q32" s="296">
        <f t="shared" si="1"/>
        <v>0.45833333333333331</v>
      </c>
      <c r="R32" s="296">
        <f t="shared" si="1"/>
        <v>8.3333333333333329E-2</v>
      </c>
      <c r="S32" s="296">
        <f t="shared" si="1"/>
        <v>0.45</v>
      </c>
      <c r="T32" s="296">
        <f t="shared" si="1"/>
        <v>0.36041666666666666</v>
      </c>
      <c r="U32" s="296">
        <f t="shared" si="1"/>
        <v>0.13333333333333333</v>
      </c>
      <c r="V32" s="296">
        <f t="shared" si="1"/>
        <v>0.11666666666666665</v>
      </c>
      <c r="W32" s="561"/>
    </row>
    <row r="33" spans="1:23" ht="20.100000000000001" customHeight="1" thickBot="1">
      <c r="A33" s="600" t="s">
        <v>753</v>
      </c>
      <c r="B33" s="602"/>
      <c r="C33" s="516">
        <f>AVERAGE(C32:V32)</f>
        <v>0.41520833333333335</v>
      </c>
      <c r="D33" s="517"/>
      <c r="E33" s="517"/>
      <c r="F33" s="517"/>
      <c r="G33" s="517"/>
      <c r="H33" s="517"/>
      <c r="I33" s="517"/>
      <c r="J33" s="517"/>
      <c r="K33" s="517"/>
      <c r="L33" s="517"/>
      <c r="M33" s="517"/>
      <c r="N33" s="517"/>
      <c r="O33" s="517"/>
      <c r="P33" s="517"/>
      <c r="Q33" s="517"/>
      <c r="R33" s="516"/>
      <c r="S33" s="517"/>
      <c r="T33" s="517"/>
      <c r="U33" s="517"/>
      <c r="V33" s="517"/>
      <c r="W33" s="562"/>
    </row>
    <row r="34" spans="1:23" ht="15" customHeight="1">
      <c r="A34" s="603" t="s">
        <v>900</v>
      </c>
      <c r="B34" s="320" t="s">
        <v>1027</v>
      </c>
      <c r="C34" s="298">
        <v>1</v>
      </c>
      <c r="D34" s="298">
        <v>1</v>
      </c>
      <c r="E34" s="298">
        <v>0</v>
      </c>
      <c r="F34" s="298">
        <v>0</v>
      </c>
      <c r="G34" s="298">
        <v>0</v>
      </c>
      <c r="H34" s="298">
        <v>0</v>
      </c>
      <c r="I34" s="298">
        <v>0</v>
      </c>
      <c r="J34" s="298">
        <v>0</v>
      </c>
      <c r="K34" s="298">
        <v>0</v>
      </c>
      <c r="L34" s="298">
        <v>0</v>
      </c>
      <c r="M34" s="298">
        <v>0</v>
      </c>
      <c r="N34" s="298">
        <v>0</v>
      </c>
      <c r="O34" s="298">
        <v>0</v>
      </c>
      <c r="P34" s="298">
        <v>0</v>
      </c>
      <c r="Q34" s="298">
        <v>0</v>
      </c>
      <c r="R34" s="298">
        <v>0</v>
      </c>
      <c r="S34" s="298">
        <v>0</v>
      </c>
      <c r="T34" s="298">
        <v>0</v>
      </c>
      <c r="U34" s="298">
        <v>0</v>
      </c>
      <c r="V34" s="298">
        <v>0</v>
      </c>
      <c r="W34" s="293">
        <f t="shared" ref="W34:W76" si="2">+AVERAGE(C34:V34)</f>
        <v>0.1</v>
      </c>
    </row>
    <row r="35" spans="1:23" ht="15" customHeight="1">
      <c r="A35" s="604"/>
      <c r="B35" s="318" t="s">
        <v>552</v>
      </c>
      <c r="C35" s="298">
        <v>1</v>
      </c>
      <c r="D35" s="298">
        <v>1</v>
      </c>
      <c r="E35" s="298">
        <v>0</v>
      </c>
      <c r="F35" s="298">
        <v>0</v>
      </c>
      <c r="G35" s="298">
        <v>0</v>
      </c>
      <c r="H35" s="298">
        <v>0</v>
      </c>
      <c r="I35" s="298">
        <v>0</v>
      </c>
      <c r="J35" s="298">
        <v>0</v>
      </c>
      <c r="K35" s="298">
        <v>0</v>
      </c>
      <c r="L35" s="298">
        <v>0</v>
      </c>
      <c r="M35" s="298">
        <v>0</v>
      </c>
      <c r="N35" s="298">
        <v>0</v>
      </c>
      <c r="O35" s="298">
        <v>0</v>
      </c>
      <c r="P35" s="298">
        <v>0</v>
      </c>
      <c r="Q35" s="298">
        <v>0</v>
      </c>
      <c r="R35" s="298">
        <v>0</v>
      </c>
      <c r="S35" s="298">
        <v>0</v>
      </c>
      <c r="T35" s="298">
        <v>0</v>
      </c>
      <c r="U35" s="298">
        <v>0</v>
      </c>
      <c r="V35" s="298">
        <v>0</v>
      </c>
      <c r="W35" s="295">
        <f t="shared" si="2"/>
        <v>0.1</v>
      </c>
    </row>
    <row r="36" spans="1:23" ht="15" customHeight="1">
      <c r="A36" s="604"/>
      <c r="B36" s="318" t="s">
        <v>553</v>
      </c>
      <c r="C36" s="298">
        <v>1</v>
      </c>
      <c r="D36" s="298">
        <v>1</v>
      </c>
      <c r="E36" s="298">
        <v>0</v>
      </c>
      <c r="F36" s="298">
        <v>0</v>
      </c>
      <c r="G36" s="298">
        <v>0</v>
      </c>
      <c r="H36" s="298">
        <v>0</v>
      </c>
      <c r="I36" s="298">
        <v>0</v>
      </c>
      <c r="J36" s="298">
        <v>0</v>
      </c>
      <c r="K36" s="298">
        <v>0</v>
      </c>
      <c r="L36" s="298">
        <v>0</v>
      </c>
      <c r="M36" s="298">
        <v>0</v>
      </c>
      <c r="N36" s="298">
        <v>0</v>
      </c>
      <c r="O36" s="298">
        <v>0</v>
      </c>
      <c r="P36" s="298">
        <v>0</v>
      </c>
      <c r="Q36" s="298">
        <v>0</v>
      </c>
      <c r="R36" s="298">
        <v>0</v>
      </c>
      <c r="S36" s="298">
        <v>0</v>
      </c>
      <c r="T36" s="298">
        <v>0</v>
      </c>
      <c r="U36" s="298">
        <v>0</v>
      </c>
      <c r="V36" s="298">
        <v>0</v>
      </c>
      <c r="W36" s="295">
        <f t="shared" si="2"/>
        <v>0.1</v>
      </c>
    </row>
    <row r="37" spans="1:23" ht="15" customHeight="1">
      <c r="A37" s="604"/>
      <c r="B37" s="318" t="s">
        <v>554</v>
      </c>
      <c r="C37" s="298">
        <v>1</v>
      </c>
      <c r="D37" s="298">
        <v>1</v>
      </c>
      <c r="E37" s="298">
        <v>0</v>
      </c>
      <c r="F37" s="298">
        <v>0</v>
      </c>
      <c r="G37" s="298">
        <v>0</v>
      </c>
      <c r="H37" s="298">
        <v>0</v>
      </c>
      <c r="I37" s="298">
        <v>0</v>
      </c>
      <c r="J37" s="298">
        <v>0</v>
      </c>
      <c r="K37" s="298">
        <v>0</v>
      </c>
      <c r="L37" s="298">
        <v>0</v>
      </c>
      <c r="M37" s="298">
        <v>0</v>
      </c>
      <c r="N37" s="298">
        <v>0</v>
      </c>
      <c r="O37" s="298">
        <v>0</v>
      </c>
      <c r="P37" s="298">
        <v>0</v>
      </c>
      <c r="Q37" s="298">
        <v>0</v>
      </c>
      <c r="R37" s="298">
        <v>0</v>
      </c>
      <c r="S37" s="298">
        <v>0</v>
      </c>
      <c r="T37" s="298">
        <v>0</v>
      </c>
      <c r="U37" s="298">
        <v>0</v>
      </c>
      <c r="V37" s="298">
        <v>0</v>
      </c>
      <c r="W37" s="295">
        <f t="shared" si="2"/>
        <v>0.1</v>
      </c>
    </row>
    <row r="38" spans="1:23" ht="15" customHeight="1">
      <c r="A38" s="604"/>
      <c r="B38" s="318" t="s">
        <v>555</v>
      </c>
      <c r="C38" s="298">
        <v>1</v>
      </c>
      <c r="D38" s="298">
        <v>1</v>
      </c>
      <c r="E38" s="298">
        <v>0</v>
      </c>
      <c r="F38" s="298">
        <v>0</v>
      </c>
      <c r="G38" s="298">
        <v>0</v>
      </c>
      <c r="H38" s="298">
        <v>0</v>
      </c>
      <c r="I38" s="298">
        <v>0</v>
      </c>
      <c r="J38" s="298">
        <v>0</v>
      </c>
      <c r="K38" s="298">
        <v>0</v>
      </c>
      <c r="L38" s="298">
        <v>0</v>
      </c>
      <c r="M38" s="298">
        <v>0</v>
      </c>
      <c r="N38" s="298">
        <v>0</v>
      </c>
      <c r="O38" s="298">
        <v>0</v>
      </c>
      <c r="P38" s="298">
        <v>0</v>
      </c>
      <c r="Q38" s="298">
        <v>0</v>
      </c>
      <c r="R38" s="298">
        <v>0</v>
      </c>
      <c r="S38" s="298">
        <v>0</v>
      </c>
      <c r="T38" s="298">
        <v>0</v>
      </c>
      <c r="U38" s="298">
        <v>0</v>
      </c>
      <c r="V38" s="298">
        <v>0</v>
      </c>
      <c r="W38" s="295">
        <f t="shared" si="2"/>
        <v>0.1</v>
      </c>
    </row>
    <row r="39" spans="1:23" ht="15" customHeight="1">
      <c r="A39" s="604"/>
      <c r="B39" s="318" t="s">
        <v>556</v>
      </c>
      <c r="C39" s="298">
        <v>1</v>
      </c>
      <c r="D39" s="298">
        <v>1</v>
      </c>
      <c r="E39" s="298">
        <v>0</v>
      </c>
      <c r="F39" s="298">
        <v>0</v>
      </c>
      <c r="G39" s="298">
        <v>0</v>
      </c>
      <c r="H39" s="298">
        <v>0</v>
      </c>
      <c r="I39" s="298">
        <v>0</v>
      </c>
      <c r="J39" s="298">
        <v>0</v>
      </c>
      <c r="K39" s="298">
        <v>0</v>
      </c>
      <c r="L39" s="298">
        <v>0</v>
      </c>
      <c r="M39" s="298">
        <v>0</v>
      </c>
      <c r="N39" s="298">
        <v>0</v>
      </c>
      <c r="O39" s="298">
        <v>0</v>
      </c>
      <c r="P39" s="298">
        <v>0</v>
      </c>
      <c r="Q39" s="298">
        <v>0</v>
      </c>
      <c r="R39" s="298">
        <v>0</v>
      </c>
      <c r="S39" s="298">
        <v>0</v>
      </c>
      <c r="T39" s="298">
        <v>0</v>
      </c>
      <c r="U39" s="298">
        <v>0</v>
      </c>
      <c r="V39" s="298">
        <v>0</v>
      </c>
      <c r="W39" s="295">
        <f t="shared" si="2"/>
        <v>0.1</v>
      </c>
    </row>
    <row r="40" spans="1:23" ht="15" customHeight="1">
      <c r="A40" s="604"/>
      <c r="B40" s="318" t="s">
        <v>557</v>
      </c>
      <c r="C40" s="298">
        <v>1</v>
      </c>
      <c r="D40" s="298">
        <v>1</v>
      </c>
      <c r="E40" s="298">
        <v>0</v>
      </c>
      <c r="F40" s="298">
        <v>0</v>
      </c>
      <c r="G40" s="298">
        <v>0</v>
      </c>
      <c r="H40" s="298">
        <v>0</v>
      </c>
      <c r="I40" s="298">
        <v>0</v>
      </c>
      <c r="J40" s="298">
        <v>0</v>
      </c>
      <c r="K40" s="298">
        <v>0</v>
      </c>
      <c r="L40" s="298">
        <v>0</v>
      </c>
      <c r="M40" s="298">
        <v>0</v>
      </c>
      <c r="N40" s="298">
        <v>0</v>
      </c>
      <c r="O40" s="298">
        <v>0</v>
      </c>
      <c r="P40" s="298">
        <v>0</v>
      </c>
      <c r="Q40" s="298">
        <v>0</v>
      </c>
      <c r="R40" s="298">
        <v>0</v>
      </c>
      <c r="S40" s="298">
        <v>0</v>
      </c>
      <c r="T40" s="298">
        <v>0</v>
      </c>
      <c r="U40" s="298">
        <v>0</v>
      </c>
      <c r="V40" s="298">
        <v>0</v>
      </c>
      <c r="W40" s="295">
        <f t="shared" si="2"/>
        <v>0.1</v>
      </c>
    </row>
    <row r="41" spans="1:23" ht="15" customHeight="1">
      <c r="A41" s="604"/>
      <c r="B41" s="318" t="s">
        <v>558</v>
      </c>
      <c r="C41" s="298">
        <v>1</v>
      </c>
      <c r="D41" s="298">
        <v>1</v>
      </c>
      <c r="E41" s="298">
        <v>0</v>
      </c>
      <c r="F41" s="298">
        <v>0</v>
      </c>
      <c r="G41" s="298">
        <v>0</v>
      </c>
      <c r="H41" s="298">
        <v>0</v>
      </c>
      <c r="I41" s="298">
        <v>0</v>
      </c>
      <c r="J41" s="298">
        <v>0.5</v>
      </c>
      <c r="K41" s="298">
        <v>0</v>
      </c>
      <c r="L41" s="298">
        <v>0</v>
      </c>
      <c r="M41" s="298">
        <v>0</v>
      </c>
      <c r="N41" s="298">
        <v>0</v>
      </c>
      <c r="O41" s="298">
        <v>0</v>
      </c>
      <c r="P41" s="298">
        <v>0</v>
      </c>
      <c r="Q41" s="298">
        <v>0</v>
      </c>
      <c r="R41" s="298">
        <v>0</v>
      </c>
      <c r="S41" s="298">
        <v>0</v>
      </c>
      <c r="T41" s="298">
        <v>0</v>
      </c>
      <c r="U41" s="298">
        <v>0</v>
      </c>
      <c r="V41" s="298">
        <v>0</v>
      </c>
      <c r="W41" s="295">
        <f t="shared" si="2"/>
        <v>0.125</v>
      </c>
    </row>
    <row r="42" spans="1:23" ht="15" customHeight="1">
      <c r="A42" s="604"/>
      <c r="B42" s="318" t="s">
        <v>559</v>
      </c>
      <c r="C42" s="298">
        <v>1</v>
      </c>
      <c r="D42" s="298">
        <v>0</v>
      </c>
      <c r="E42" s="298">
        <v>0</v>
      </c>
      <c r="F42" s="298">
        <v>0</v>
      </c>
      <c r="G42" s="298">
        <v>0</v>
      </c>
      <c r="H42" s="298">
        <v>0</v>
      </c>
      <c r="I42" s="298">
        <v>0</v>
      </c>
      <c r="J42" s="298">
        <v>0</v>
      </c>
      <c r="K42" s="298">
        <v>0</v>
      </c>
      <c r="L42" s="298">
        <v>0</v>
      </c>
      <c r="M42" s="298">
        <v>0</v>
      </c>
      <c r="N42" s="298">
        <v>0</v>
      </c>
      <c r="O42" s="298">
        <v>0</v>
      </c>
      <c r="P42" s="298">
        <v>0</v>
      </c>
      <c r="Q42" s="298">
        <v>0</v>
      </c>
      <c r="R42" s="298">
        <v>0</v>
      </c>
      <c r="S42" s="298">
        <v>0</v>
      </c>
      <c r="T42" s="298">
        <v>0</v>
      </c>
      <c r="U42" s="298">
        <v>0</v>
      </c>
      <c r="V42" s="298">
        <v>0</v>
      </c>
      <c r="W42" s="295">
        <f t="shared" si="2"/>
        <v>0.05</v>
      </c>
    </row>
    <row r="43" spans="1:23" ht="15" customHeight="1">
      <c r="A43" s="604"/>
      <c r="B43" s="318" t="s">
        <v>764</v>
      </c>
      <c r="C43" s="298">
        <v>1</v>
      </c>
      <c r="D43" s="298">
        <v>0</v>
      </c>
      <c r="E43" s="298">
        <v>0</v>
      </c>
      <c r="F43" s="298">
        <v>0</v>
      </c>
      <c r="G43" s="298">
        <v>0</v>
      </c>
      <c r="H43" s="298">
        <v>0</v>
      </c>
      <c r="I43" s="298">
        <v>0</v>
      </c>
      <c r="J43" s="298">
        <v>0</v>
      </c>
      <c r="K43" s="298">
        <v>0</v>
      </c>
      <c r="L43" s="298">
        <v>0</v>
      </c>
      <c r="M43" s="298">
        <v>0</v>
      </c>
      <c r="N43" s="298">
        <v>0</v>
      </c>
      <c r="O43" s="298">
        <v>0</v>
      </c>
      <c r="P43" s="298">
        <v>0</v>
      </c>
      <c r="Q43" s="298">
        <v>0</v>
      </c>
      <c r="R43" s="298">
        <v>0</v>
      </c>
      <c r="S43" s="298">
        <v>0</v>
      </c>
      <c r="T43" s="298">
        <v>0</v>
      </c>
      <c r="U43" s="298">
        <v>0</v>
      </c>
      <c r="V43" s="298">
        <v>0</v>
      </c>
      <c r="W43" s="295">
        <f t="shared" si="2"/>
        <v>0.05</v>
      </c>
    </row>
    <row r="44" spans="1:23" ht="15" customHeight="1">
      <c r="A44" s="604"/>
      <c r="B44" s="318" t="s">
        <v>765</v>
      </c>
      <c r="C44" s="298">
        <v>1</v>
      </c>
      <c r="D44" s="298">
        <v>1</v>
      </c>
      <c r="E44" s="298">
        <v>0</v>
      </c>
      <c r="F44" s="298">
        <v>0</v>
      </c>
      <c r="G44" s="298">
        <v>0</v>
      </c>
      <c r="H44" s="298">
        <v>0</v>
      </c>
      <c r="I44" s="298">
        <v>0</v>
      </c>
      <c r="J44" s="298">
        <v>0</v>
      </c>
      <c r="K44" s="298">
        <v>0</v>
      </c>
      <c r="L44" s="298">
        <v>0</v>
      </c>
      <c r="M44" s="298">
        <v>0</v>
      </c>
      <c r="N44" s="298">
        <v>0</v>
      </c>
      <c r="O44" s="298">
        <v>0</v>
      </c>
      <c r="P44" s="298">
        <v>0</v>
      </c>
      <c r="Q44" s="298">
        <v>0</v>
      </c>
      <c r="R44" s="298">
        <v>0</v>
      </c>
      <c r="S44" s="298">
        <v>0</v>
      </c>
      <c r="T44" s="298">
        <v>0</v>
      </c>
      <c r="U44" s="298">
        <v>0</v>
      </c>
      <c r="V44" s="298">
        <v>0</v>
      </c>
      <c r="W44" s="295">
        <f t="shared" si="2"/>
        <v>0.1</v>
      </c>
    </row>
    <row r="45" spans="1:23" ht="15" customHeight="1">
      <c r="A45" s="604"/>
      <c r="B45" s="318" t="s">
        <v>560</v>
      </c>
      <c r="C45" s="298">
        <v>1</v>
      </c>
      <c r="D45" s="298">
        <v>1</v>
      </c>
      <c r="E45" s="298">
        <v>0</v>
      </c>
      <c r="F45" s="298">
        <v>0</v>
      </c>
      <c r="G45" s="298">
        <v>0</v>
      </c>
      <c r="H45" s="298">
        <v>0</v>
      </c>
      <c r="I45" s="298">
        <v>0</v>
      </c>
      <c r="J45" s="298">
        <v>0</v>
      </c>
      <c r="K45" s="298">
        <v>0</v>
      </c>
      <c r="L45" s="298">
        <v>0</v>
      </c>
      <c r="M45" s="298">
        <v>0</v>
      </c>
      <c r="N45" s="298">
        <v>0</v>
      </c>
      <c r="O45" s="298">
        <v>0</v>
      </c>
      <c r="P45" s="298">
        <v>0</v>
      </c>
      <c r="Q45" s="298">
        <v>0</v>
      </c>
      <c r="R45" s="298">
        <v>0</v>
      </c>
      <c r="S45" s="298">
        <v>0</v>
      </c>
      <c r="T45" s="298">
        <v>0</v>
      </c>
      <c r="U45" s="298">
        <v>0</v>
      </c>
      <c r="V45" s="298">
        <v>0</v>
      </c>
      <c r="W45" s="295">
        <f t="shared" si="2"/>
        <v>0.1</v>
      </c>
    </row>
    <row r="46" spans="1:23" ht="15" customHeight="1">
      <c r="A46" s="604"/>
      <c r="B46" s="318" t="s">
        <v>561</v>
      </c>
      <c r="C46" s="298">
        <v>0</v>
      </c>
      <c r="D46" s="298">
        <v>1</v>
      </c>
      <c r="E46" s="298">
        <v>0</v>
      </c>
      <c r="F46" s="298">
        <v>0</v>
      </c>
      <c r="G46" s="298">
        <v>0</v>
      </c>
      <c r="H46" s="298">
        <v>0</v>
      </c>
      <c r="I46" s="298">
        <v>0</v>
      </c>
      <c r="J46" s="298">
        <v>0</v>
      </c>
      <c r="K46" s="298">
        <v>0</v>
      </c>
      <c r="L46" s="298">
        <v>0</v>
      </c>
      <c r="M46" s="298">
        <v>0</v>
      </c>
      <c r="N46" s="298">
        <v>0</v>
      </c>
      <c r="O46" s="298">
        <v>0</v>
      </c>
      <c r="P46" s="298">
        <v>0</v>
      </c>
      <c r="Q46" s="298">
        <v>0</v>
      </c>
      <c r="R46" s="298">
        <v>0</v>
      </c>
      <c r="S46" s="298">
        <v>0</v>
      </c>
      <c r="T46" s="298">
        <v>0</v>
      </c>
      <c r="U46" s="298">
        <v>0</v>
      </c>
      <c r="V46" s="298">
        <v>0</v>
      </c>
      <c r="W46" s="295">
        <f t="shared" si="2"/>
        <v>0.05</v>
      </c>
    </row>
    <row r="47" spans="1:23" ht="15" customHeight="1">
      <c r="A47" s="604"/>
      <c r="B47" s="318" t="s">
        <v>562</v>
      </c>
      <c r="C47" s="298">
        <v>1</v>
      </c>
      <c r="D47" s="298">
        <v>1</v>
      </c>
      <c r="E47" s="298">
        <v>0</v>
      </c>
      <c r="F47" s="298">
        <v>0</v>
      </c>
      <c r="G47" s="298">
        <v>0</v>
      </c>
      <c r="H47" s="298">
        <v>0</v>
      </c>
      <c r="I47" s="298">
        <v>0</v>
      </c>
      <c r="J47" s="298">
        <v>0</v>
      </c>
      <c r="K47" s="298">
        <v>0</v>
      </c>
      <c r="L47" s="298">
        <v>0</v>
      </c>
      <c r="M47" s="298">
        <v>0</v>
      </c>
      <c r="N47" s="298">
        <v>0</v>
      </c>
      <c r="O47" s="298">
        <v>0</v>
      </c>
      <c r="P47" s="298">
        <v>0</v>
      </c>
      <c r="Q47" s="298">
        <v>0</v>
      </c>
      <c r="R47" s="298">
        <v>0</v>
      </c>
      <c r="S47" s="298">
        <v>0</v>
      </c>
      <c r="T47" s="298">
        <v>0</v>
      </c>
      <c r="U47" s="298">
        <v>0</v>
      </c>
      <c r="V47" s="298">
        <v>0</v>
      </c>
      <c r="W47" s="295">
        <f t="shared" si="2"/>
        <v>0.1</v>
      </c>
    </row>
    <row r="48" spans="1:23" ht="15" customHeight="1">
      <c r="A48" s="604"/>
      <c r="B48" s="318" t="s">
        <v>563</v>
      </c>
      <c r="C48" s="298">
        <v>1</v>
      </c>
      <c r="D48" s="298">
        <v>1</v>
      </c>
      <c r="E48" s="298">
        <v>0</v>
      </c>
      <c r="F48" s="298">
        <v>0</v>
      </c>
      <c r="G48" s="298">
        <v>0</v>
      </c>
      <c r="H48" s="298">
        <v>0</v>
      </c>
      <c r="I48" s="298">
        <v>0</v>
      </c>
      <c r="J48" s="298">
        <v>0</v>
      </c>
      <c r="K48" s="298">
        <v>0</v>
      </c>
      <c r="L48" s="298">
        <v>0</v>
      </c>
      <c r="M48" s="298">
        <v>0</v>
      </c>
      <c r="N48" s="298">
        <v>0</v>
      </c>
      <c r="O48" s="298">
        <v>0</v>
      </c>
      <c r="P48" s="298">
        <v>0</v>
      </c>
      <c r="Q48" s="298">
        <v>0</v>
      </c>
      <c r="R48" s="298">
        <v>0</v>
      </c>
      <c r="S48" s="298">
        <v>0</v>
      </c>
      <c r="T48" s="298">
        <v>0</v>
      </c>
      <c r="U48" s="298">
        <v>0</v>
      </c>
      <c r="V48" s="298">
        <v>0</v>
      </c>
      <c r="W48" s="295">
        <f t="shared" si="2"/>
        <v>0.1</v>
      </c>
    </row>
    <row r="49" spans="1:23" ht="15" customHeight="1">
      <c r="A49" s="604"/>
      <c r="B49" s="318" t="s">
        <v>564</v>
      </c>
      <c r="C49" s="298">
        <v>1</v>
      </c>
      <c r="D49" s="298">
        <v>1</v>
      </c>
      <c r="E49" s="298">
        <v>0</v>
      </c>
      <c r="F49" s="298">
        <v>0</v>
      </c>
      <c r="G49" s="298">
        <v>0</v>
      </c>
      <c r="H49" s="298">
        <v>0</v>
      </c>
      <c r="I49" s="298">
        <v>0</v>
      </c>
      <c r="J49" s="298">
        <v>0</v>
      </c>
      <c r="K49" s="298">
        <v>0</v>
      </c>
      <c r="L49" s="298">
        <v>0</v>
      </c>
      <c r="M49" s="298">
        <v>0</v>
      </c>
      <c r="N49" s="298">
        <v>0</v>
      </c>
      <c r="O49" s="298">
        <v>0</v>
      </c>
      <c r="P49" s="298">
        <v>0</v>
      </c>
      <c r="Q49" s="298">
        <v>0</v>
      </c>
      <c r="R49" s="298">
        <v>0</v>
      </c>
      <c r="S49" s="298">
        <v>0</v>
      </c>
      <c r="T49" s="298">
        <v>0</v>
      </c>
      <c r="U49" s="298">
        <v>0</v>
      </c>
      <c r="V49" s="298">
        <v>0</v>
      </c>
      <c r="W49" s="295">
        <f t="shared" si="2"/>
        <v>0.1</v>
      </c>
    </row>
    <row r="50" spans="1:23" ht="15" customHeight="1">
      <c r="A50" s="604"/>
      <c r="B50" s="318" t="s">
        <v>894</v>
      </c>
      <c r="C50" s="298">
        <v>1</v>
      </c>
      <c r="D50" s="298">
        <v>1</v>
      </c>
      <c r="E50" s="298">
        <v>0</v>
      </c>
      <c r="F50" s="298">
        <v>0</v>
      </c>
      <c r="G50" s="298">
        <v>0</v>
      </c>
      <c r="H50" s="298">
        <v>0</v>
      </c>
      <c r="I50" s="298">
        <v>0</v>
      </c>
      <c r="J50" s="298">
        <v>0</v>
      </c>
      <c r="K50" s="298">
        <v>0</v>
      </c>
      <c r="L50" s="298">
        <v>0</v>
      </c>
      <c r="M50" s="298">
        <v>0</v>
      </c>
      <c r="N50" s="298">
        <v>0</v>
      </c>
      <c r="O50" s="298">
        <v>0</v>
      </c>
      <c r="P50" s="298">
        <v>0</v>
      </c>
      <c r="Q50" s="298">
        <v>0</v>
      </c>
      <c r="R50" s="298">
        <v>0</v>
      </c>
      <c r="S50" s="298">
        <v>0</v>
      </c>
      <c r="T50" s="298">
        <v>0</v>
      </c>
      <c r="U50" s="298">
        <v>0</v>
      </c>
      <c r="V50" s="298">
        <v>0</v>
      </c>
      <c r="W50" s="295">
        <f t="shared" si="2"/>
        <v>0.1</v>
      </c>
    </row>
    <row r="51" spans="1:23" ht="15" customHeight="1">
      <c r="A51" s="604"/>
      <c r="B51" s="318" t="s">
        <v>895</v>
      </c>
      <c r="C51" s="298">
        <v>1</v>
      </c>
      <c r="D51" s="298">
        <v>1</v>
      </c>
      <c r="E51" s="298">
        <v>0</v>
      </c>
      <c r="F51" s="298">
        <v>0</v>
      </c>
      <c r="G51" s="298">
        <v>0</v>
      </c>
      <c r="H51" s="298">
        <v>0</v>
      </c>
      <c r="I51" s="298">
        <v>0</v>
      </c>
      <c r="J51" s="298">
        <v>0</v>
      </c>
      <c r="K51" s="298">
        <v>0</v>
      </c>
      <c r="L51" s="298">
        <v>0</v>
      </c>
      <c r="M51" s="298">
        <v>0</v>
      </c>
      <c r="N51" s="298">
        <v>0</v>
      </c>
      <c r="O51" s="298">
        <v>0</v>
      </c>
      <c r="P51" s="298">
        <v>0</v>
      </c>
      <c r="Q51" s="298">
        <v>0</v>
      </c>
      <c r="R51" s="298">
        <v>0</v>
      </c>
      <c r="S51" s="298">
        <v>0</v>
      </c>
      <c r="T51" s="298">
        <v>0</v>
      </c>
      <c r="U51" s="298">
        <v>0</v>
      </c>
      <c r="V51" s="298">
        <v>0</v>
      </c>
      <c r="W51" s="295">
        <f t="shared" si="2"/>
        <v>0.1</v>
      </c>
    </row>
    <row r="52" spans="1:23" ht="15" customHeight="1">
      <c r="A52" s="604"/>
      <c r="B52" s="318" t="s">
        <v>896</v>
      </c>
      <c r="C52" s="298">
        <v>1</v>
      </c>
      <c r="D52" s="298">
        <v>1</v>
      </c>
      <c r="E52" s="298">
        <v>0</v>
      </c>
      <c r="F52" s="298">
        <v>0</v>
      </c>
      <c r="G52" s="298">
        <v>0</v>
      </c>
      <c r="H52" s="298">
        <v>0</v>
      </c>
      <c r="I52" s="298">
        <v>0</v>
      </c>
      <c r="J52" s="298">
        <v>0</v>
      </c>
      <c r="K52" s="298">
        <v>0</v>
      </c>
      <c r="L52" s="298">
        <v>0</v>
      </c>
      <c r="M52" s="298">
        <v>0</v>
      </c>
      <c r="N52" s="298">
        <v>0</v>
      </c>
      <c r="O52" s="298">
        <v>0</v>
      </c>
      <c r="P52" s="298">
        <v>0</v>
      </c>
      <c r="Q52" s="298">
        <v>0</v>
      </c>
      <c r="R52" s="298">
        <v>0</v>
      </c>
      <c r="S52" s="298">
        <v>0</v>
      </c>
      <c r="T52" s="298">
        <v>0</v>
      </c>
      <c r="U52" s="298">
        <v>0</v>
      </c>
      <c r="V52" s="298">
        <v>0</v>
      </c>
      <c r="W52" s="295">
        <f t="shared" si="2"/>
        <v>0.1</v>
      </c>
    </row>
    <row r="53" spans="1:23" ht="15" customHeight="1">
      <c r="A53" s="604"/>
      <c r="B53" s="318" t="s">
        <v>897</v>
      </c>
      <c r="C53" s="298">
        <v>1</v>
      </c>
      <c r="D53" s="298">
        <v>1</v>
      </c>
      <c r="E53" s="298">
        <v>0</v>
      </c>
      <c r="F53" s="298">
        <v>0</v>
      </c>
      <c r="G53" s="298">
        <v>0</v>
      </c>
      <c r="H53" s="298">
        <v>0</v>
      </c>
      <c r="I53" s="298">
        <v>0</v>
      </c>
      <c r="J53" s="298">
        <v>0</v>
      </c>
      <c r="K53" s="298">
        <v>0</v>
      </c>
      <c r="L53" s="298">
        <v>0</v>
      </c>
      <c r="M53" s="298">
        <v>0</v>
      </c>
      <c r="N53" s="298">
        <v>0</v>
      </c>
      <c r="O53" s="298">
        <v>0</v>
      </c>
      <c r="P53" s="298">
        <v>0</v>
      </c>
      <c r="Q53" s="298">
        <v>0</v>
      </c>
      <c r="R53" s="298">
        <v>0</v>
      </c>
      <c r="S53" s="298">
        <v>0</v>
      </c>
      <c r="T53" s="298">
        <v>0</v>
      </c>
      <c r="U53" s="298">
        <v>0</v>
      </c>
      <c r="V53" s="298">
        <v>0</v>
      </c>
      <c r="W53" s="295">
        <f t="shared" si="2"/>
        <v>0.1</v>
      </c>
    </row>
    <row r="54" spans="1:23" ht="15" customHeight="1">
      <c r="A54" s="604"/>
      <c r="B54" s="318" t="s">
        <v>898</v>
      </c>
      <c r="C54" s="298">
        <v>1</v>
      </c>
      <c r="D54" s="298">
        <v>1</v>
      </c>
      <c r="E54" s="298">
        <v>0</v>
      </c>
      <c r="F54" s="298">
        <v>0</v>
      </c>
      <c r="G54" s="298">
        <v>0</v>
      </c>
      <c r="H54" s="298">
        <v>0</v>
      </c>
      <c r="I54" s="298">
        <v>0</v>
      </c>
      <c r="J54" s="298">
        <v>0</v>
      </c>
      <c r="K54" s="298">
        <v>0</v>
      </c>
      <c r="L54" s="298">
        <v>0</v>
      </c>
      <c r="M54" s="298">
        <v>0</v>
      </c>
      <c r="N54" s="298">
        <v>0</v>
      </c>
      <c r="O54" s="298">
        <v>0</v>
      </c>
      <c r="P54" s="298">
        <v>0</v>
      </c>
      <c r="Q54" s="298">
        <v>0</v>
      </c>
      <c r="R54" s="298">
        <v>0</v>
      </c>
      <c r="S54" s="298">
        <v>0</v>
      </c>
      <c r="T54" s="298">
        <v>0</v>
      </c>
      <c r="U54" s="298">
        <v>0</v>
      </c>
      <c r="V54" s="298">
        <v>0</v>
      </c>
      <c r="W54" s="295">
        <f t="shared" si="2"/>
        <v>0.1</v>
      </c>
    </row>
    <row r="55" spans="1:23" ht="15" customHeight="1" thickBot="1">
      <c r="A55" s="605"/>
      <c r="B55" s="318" t="s">
        <v>899</v>
      </c>
      <c r="C55" s="298">
        <v>1</v>
      </c>
      <c r="D55" s="298">
        <v>1</v>
      </c>
      <c r="E55" s="298">
        <v>0</v>
      </c>
      <c r="F55" s="298">
        <v>0</v>
      </c>
      <c r="G55" s="298">
        <v>0</v>
      </c>
      <c r="H55" s="298">
        <v>0</v>
      </c>
      <c r="I55" s="298">
        <v>0</v>
      </c>
      <c r="J55" s="298">
        <v>0</v>
      </c>
      <c r="K55" s="298">
        <v>0</v>
      </c>
      <c r="L55" s="298">
        <v>0</v>
      </c>
      <c r="M55" s="298">
        <v>0</v>
      </c>
      <c r="N55" s="298">
        <v>0</v>
      </c>
      <c r="O55" s="298">
        <v>0</v>
      </c>
      <c r="P55" s="298">
        <v>0</v>
      </c>
      <c r="Q55" s="298">
        <v>0</v>
      </c>
      <c r="R55" s="298">
        <v>0</v>
      </c>
      <c r="S55" s="298">
        <v>0</v>
      </c>
      <c r="T55" s="298">
        <v>0</v>
      </c>
      <c r="U55" s="298">
        <v>0</v>
      </c>
      <c r="V55" s="298">
        <v>0</v>
      </c>
      <c r="W55" s="295">
        <f t="shared" si="2"/>
        <v>0.1</v>
      </c>
    </row>
    <row r="56" spans="1:23" ht="15" customHeight="1">
      <c r="A56" s="604" t="s">
        <v>901</v>
      </c>
      <c r="B56" s="318" t="s">
        <v>550</v>
      </c>
      <c r="C56" s="298">
        <v>1</v>
      </c>
      <c r="D56" s="298">
        <v>1</v>
      </c>
      <c r="E56" s="298">
        <v>1</v>
      </c>
      <c r="F56" s="298">
        <v>0.9</v>
      </c>
      <c r="G56" s="298">
        <v>1</v>
      </c>
      <c r="H56" s="298">
        <v>0.95</v>
      </c>
      <c r="I56" s="298">
        <v>1</v>
      </c>
      <c r="J56" s="298">
        <v>1</v>
      </c>
      <c r="K56" s="298">
        <v>1</v>
      </c>
      <c r="L56" s="298">
        <v>0</v>
      </c>
      <c r="M56" s="298">
        <v>0</v>
      </c>
      <c r="N56" s="298">
        <v>0.2</v>
      </c>
      <c r="O56" s="298">
        <v>0.9</v>
      </c>
      <c r="P56" s="298">
        <v>0</v>
      </c>
      <c r="Q56" s="298">
        <v>0</v>
      </c>
      <c r="R56" s="298">
        <v>0</v>
      </c>
      <c r="S56" s="298">
        <v>0</v>
      </c>
      <c r="T56" s="298">
        <v>0</v>
      </c>
      <c r="U56" s="298">
        <v>0</v>
      </c>
      <c r="V56" s="298">
        <v>0</v>
      </c>
      <c r="W56" s="295">
        <f t="shared" si="2"/>
        <v>0.49750000000000005</v>
      </c>
    </row>
    <row r="57" spans="1:23" ht="15" customHeight="1">
      <c r="A57" s="604"/>
      <c r="B57" s="318" t="s">
        <v>551</v>
      </c>
      <c r="C57" s="298">
        <v>1</v>
      </c>
      <c r="D57" s="298">
        <v>1</v>
      </c>
      <c r="E57" s="298">
        <v>1</v>
      </c>
      <c r="F57" s="298">
        <v>0.9</v>
      </c>
      <c r="G57" s="298">
        <v>1</v>
      </c>
      <c r="H57" s="298">
        <v>0.95</v>
      </c>
      <c r="I57" s="298">
        <v>1</v>
      </c>
      <c r="J57" s="298">
        <v>0.9</v>
      </c>
      <c r="K57" s="298">
        <v>1</v>
      </c>
      <c r="L57" s="298">
        <v>0</v>
      </c>
      <c r="M57" s="298">
        <v>0</v>
      </c>
      <c r="N57" s="298">
        <v>0.2</v>
      </c>
      <c r="O57" s="298">
        <v>0.9</v>
      </c>
      <c r="P57" s="298">
        <v>0</v>
      </c>
      <c r="Q57" s="298">
        <v>0</v>
      </c>
      <c r="R57" s="298">
        <v>0</v>
      </c>
      <c r="S57" s="298">
        <v>0</v>
      </c>
      <c r="T57" s="298">
        <v>0</v>
      </c>
      <c r="U57" s="298">
        <v>0</v>
      </c>
      <c r="V57" s="298">
        <v>0</v>
      </c>
      <c r="W57" s="295">
        <f t="shared" si="2"/>
        <v>0.49249999999999999</v>
      </c>
    </row>
    <row r="58" spans="1:23" ht="15" customHeight="1">
      <c r="A58" s="604"/>
      <c r="B58" s="318" t="s">
        <v>552</v>
      </c>
      <c r="C58" s="298">
        <v>1</v>
      </c>
      <c r="D58" s="298">
        <v>1</v>
      </c>
      <c r="E58" s="298">
        <v>1</v>
      </c>
      <c r="F58" s="298">
        <v>0.9</v>
      </c>
      <c r="G58" s="298">
        <v>1</v>
      </c>
      <c r="H58" s="298">
        <v>0.95</v>
      </c>
      <c r="I58" s="298">
        <v>1</v>
      </c>
      <c r="J58" s="298">
        <v>0.9</v>
      </c>
      <c r="K58" s="298">
        <v>1</v>
      </c>
      <c r="L58" s="298">
        <v>0</v>
      </c>
      <c r="M58" s="298">
        <v>0</v>
      </c>
      <c r="N58" s="298">
        <v>0.2</v>
      </c>
      <c r="O58" s="298">
        <v>0.9</v>
      </c>
      <c r="P58" s="298">
        <v>0</v>
      </c>
      <c r="Q58" s="298">
        <v>0</v>
      </c>
      <c r="R58" s="298">
        <v>0</v>
      </c>
      <c r="S58" s="298">
        <v>0</v>
      </c>
      <c r="T58" s="298">
        <v>0</v>
      </c>
      <c r="U58" s="298">
        <v>0</v>
      </c>
      <c r="V58" s="298">
        <v>0</v>
      </c>
      <c r="W58" s="295">
        <f t="shared" si="2"/>
        <v>0.49249999999999999</v>
      </c>
    </row>
    <row r="59" spans="1:23" ht="15" customHeight="1">
      <c r="A59" s="604"/>
      <c r="B59" s="318" t="s">
        <v>553</v>
      </c>
      <c r="C59" s="298">
        <v>1</v>
      </c>
      <c r="D59" s="298">
        <v>1</v>
      </c>
      <c r="E59" s="298">
        <v>1</v>
      </c>
      <c r="F59" s="298">
        <v>0.5</v>
      </c>
      <c r="G59" s="298">
        <v>1</v>
      </c>
      <c r="H59" s="298">
        <v>0.95</v>
      </c>
      <c r="I59" s="298">
        <v>1</v>
      </c>
      <c r="J59" s="298">
        <v>0.9</v>
      </c>
      <c r="K59" s="298">
        <v>1</v>
      </c>
      <c r="L59" s="298">
        <v>0</v>
      </c>
      <c r="M59" s="298">
        <v>0</v>
      </c>
      <c r="N59" s="298">
        <v>0.2</v>
      </c>
      <c r="O59" s="298">
        <v>0.9</v>
      </c>
      <c r="P59" s="298">
        <v>0</v>
      </c>
      <c r="Q59" s="298">
        <v>0</v>
      </c>
      <c r="R59" s="298">
        <v>0</v>
      </c>
      <c r="S59" s="298">
        <v>0</v>
      </c>
      <c r="T59" s="298">
        <v>0</v>
      </c>
      <c r="U59" s="298">
        <v>0</v>
      </c>
      <c r="V59" s="298">
        <v>0</v>
      </c>
      <c r="W59" s="295">
        <f t="shared" si="2"/>
        <v>0.47250000000000003</v>
      </c>
    </row>
    <row r="60" spans="1:23" ht="15" customHeight="1">
      <c r="A60" s="604"/>
      <c r="B60" s="318" t="s">
        <v>554</v>
      </c>
      <c r="C60" s="298">
        <v>1</v>
      </c>
      <c r="D60" s="298">
        <v>1</v>
      </c>
      <c r="E60" s="298">
        <v>1</v>
      </c>
      <c r="F60" s="298">
        <v>0.5</v>
      </c>
      <c r="G60" s="298">
        <v>1</v>
      </c>
      <c r="H60" s="298">
        <v>0.95</v>
      </c>
      <c r="I60" s="298">
        <v>1</v>
      </c>
      <c r="J60" s="298">
        <v>0.9</v>
      </c>
      <c r="K60" s="298">
        <v>1</v>
      </c>
      <c r="L60" s="298">
        <v>0</v>
      </c>
      <c r="M60" s="298">
        <v>0</v>
      </c>
      <c r="N60" s="298">
        <v>0.2</v>
      </c>
      <c r="O60" s="298">
        <v>0.9</v>
      </c>
      <c r="P60" s="298">
        <v>0</v>
      </c>
      <c r="Q60" s="298">
        <v>0</v>
      </c>
      <c r="R60" s="298">
        <v>0</v>
      </c>
      <c r="S60" s="298">
        <v>0</v>
      </c>
      <c r="T60" s="298">
        <v>0</v>
      </c>
      <c r="U60" s="298">
        <v>0</v>
      </c>
      <c r="V60" s="298">
        <v>0</v>
      </c>
      <c r="W60" s="295">
        <f t="shared" si="2"/>
        <v>0.47250000000000003</v>
      </c>
    </row>
    <row r="61" spans="1:23" ht="15" customHeight="1">
      <c r="A61" s="604"/>
      <c r="B61" s="318" t="s">
        <v>555</v>
      </c>
      <c r="C61" s="298">
        <v>1</v>
      </c>
      <c r="D61" s="298">
        <v>1</v>
      </c>
      <c r="E61" s="298">
        <v>1</v>
      </c>
      <c r="F61" s="298">
        <v>0.8</v>
      </c>
      <c r="G61" s="298">
        <v>1</v>
      </c>
      <c r="H61" s="298">
        <v>0.95</v>
      </c>
      <c r="I61" s="298">
        <v>1</v>
      </c>
      <c r="J61" s="298">
        <v>0.9</v>
      </c>
      <c r="K61" s="298">
        <v>1</v>
      </c>
      <c r="L61" s="298">
        <v>0</v>
      </c>
      <c r="M61" s="298">
        <v>0</v>
      </c>
      <c r="N61" s="298">
        <v>0.2</v>
      </c>
      <c r="O61" s="298">
        <v>0.9</v>
      </c>
      <c r="P61" s="298">
        <v>0</v>
      </c>
      <c r="Q61" s="298">
        <v>0</v>
      </c>
      <c r="R61" s="298">
        <v>0</v>
      </c>
      <c r="S61" s="298">
        <v>0</v>
      </c>
      <c r="T61" s="298">
        <v>0</v>
      </c>
      <c r="U61" s="298">
        <v>0</v>
      </c>
      <c r="V61" s="298">
        <v>0</v>
      </c>
      <c r="W61" s="295">
        <f t="shared" si="2"/>
        <v>0.48749999999999999</v>
      </c>
    </row>
    <row r="62" spans="1:23" ht="15" customHeight="1">
      <c r="A62" s="604"/>
      <c r="B62" s="318" t="s">
        <v>556</v>
      </c>
      <c r="C62" s="298">
        <v>1</v>
      </c>
      <c r="D62" s="298">
        <v>1</v>
      </c>
      <c r="E62" s="298">
        <v>1</v>
      </c>
      <c r="F62" s="298">
        <v>0.9</v>
      </c>
      <c r="G62" s="298">
        <v>1</v>
      </c>
      <c r="H62" s="298">
        <v>0.95</v>
      </c>
      <c r="I62" s="298">
        <v>1</v>
      </c>
      <c r="J62" s="298">
        <v>0.9</v>
      </c>
      <c r="K62" s="298">
        <v>1</v>
      </c>
      <c r="L62" s="298">
        <v>0</v>
      </c>
      <c r="M62" s="298">
        <v>0</v>
      </c>
      <c r="N62" s="298">
        <v>0.2</v>
      </c>
      <c r="O62" s="298">
        <v>0.9</v>
      </c>
      <c r="P62" s="298">
        <v>0</v>
      </c>
      <c r="Q62" s="298">
        <v>0</v>
      </c>
      <c r="R62" s="298">
        <v>0</v>
      </c>
      <c r="S62" s="298">
        <v>0</v>
      </c>
      <c r="T62" s="298">
        <v>0</v>
      </c>
      <c r="U62" s="298">
        <v>0</v>
      </c>
      <c r="V62" s="298">
        <v>0</v>
      </c>
      <c r="W62" s="295">
        <f t="shared" si="2"/>
        <v>0.49249999999999999</v>
      </c>
    </row>
    <row r="63" spans="1:23" ht="15" customHeight="1">
      <c r="A63" s="604"/>
      <c r="B63" s="318" t="s">
        <v>557</v>
      </c>
      <c r="C63" s="298">
        <v>1</v>
      </c>
      <c r="D63" s="298">
        <v>1</v>
      </c>
      <c r="E63" s="298">
        <v>1</v>
      </c>
      <c r="F63" s="298">
        <v>0.9</v>
      </c>
      <c r="G63" s="298">
        <v>1</v>
      </c>
      <c r="H63" s="298">
        <v>0.95</v>
      </c>
      <c r="I63" s="298">
        <v>1</v>
      </c>
      <c r="J63" s="298">
        <v>0.9</v>
      </c>
      <c r="K63" s="298">
        <v>1</v>
      </c>
      <c r="L63" s="298">
        <v>0</v>
      </c>
      <c r="M63" s="298">
        <v>0</v>
      </c>
      <c r="N63" s="298">
        <v>0.2</v>
      </c>
      <c r="O63" s="298">
        <v>0</v>
      </c>
      <c r="P63" s="298">
        <v>0</v>
      </c>
      <c r="Q63" s="298">
        <v>0</v>
      </c>
      <c r="R63" s="298">
        <v>0</v>
      </c>
      <c r="S63" s="298">
        <v>0</v>
      </c>
      <c r="T63" s="298">
        <v>0</v>
      </c>
      <c r="U63" s="298">
        <v>0</v>
      </c>
      <c r="V63" s="298">
        <v>0</v>
      </c>
      <c r="W63" s="295">
        <f t="shared" si="2"/>
        <v>0.44749999999999995</v>
      </c>
    </row>
    <row r="64" spans="1:23" ht="15" customHeight="1">
      <c r="A64" s="604"/>
      <c r="B64" s="318" t="s">
        <v>558</v>
      </c>
      <c r="C64" s="298">
        <v>1</v>
      </c>
      <c r="D64" s="298">
        <v>1</v>
      </c>
      <c r="E64" s="298">
        <v>1</v>
      </c>
      <c r="F64" s="298">
        <v>0.5</v>
      </c>
      <c r="G64" s="298">
        <v>1</v>
      </c>
      <c r="H64" s="298">
        <v>0.95</v>
      </c>
      <c r="I64" s="298">
        <v>1</v>
      </c>
      <c r="J64" s="298">
        <v>0.9</v>
      </c>
      <c r="K64" s="298">
        <v>0</v>
      </c>
      <c r="L64" s="298">
        <v>0</v>
      </c>
      <c r="M64" s="298">
        <v>0</v>
      </c>
      <c r="N64" s="298">
        <v>0</v>
      </c>
      <c r="O64" s="298">
        <v>0</v>
      </c>
      <c r="P64" s="298">
        <v>0</v>
      </c>
      <c r="Q64" s="298">
        <v>0</v>
      </c>
      <c r="R64" s="298">
        <v>0</v>
      </c>
      <c r="S64" s="298">
        <v>0</v>
      </c>
      <c r="T64" s="298">
        <v>0</v>
      </c>
      <c r="U64" s="298">
        <v>0</v>
      </c>
      <c r="V64" s="298">
        <v>0</v>
      </c>
      <c r="W64" s="295">
        <f t="shared" si="2"/>
        <v>0.36750000000000005</v>
      </c>
    </row>
    <row r="65" spans="1:23" ht="15" customHeight="1">
      <c r="A65" s="604"/>
      <c r="B65" s="318" t="s">
        <v>559</v>
      </c>
      <c r="C65" s="298">
        <v>1</v>
      </c>
      <c r="D65" s="298">
        <v>1</v>
      </c>
      <c r="E65" s="298">
        <v>0.2</v>
      </c>
      <c r="F65" s="298">
        <v>0.5</v>
      </c>
      <c r="G65" s="298">
        <v>1</v>
      </c>
      <c r="H65" s="298">
        <v>0</v>
      </c>
      <c r="I65" s="298">
        <v>1</v>
      </c>
      <c r="J65" s="298">
        <v>0.9</v>
      </c>
      <c r="K65" s="298">
        <v>0</v>
      </c>
      <c r="L65" s="298">
        <v>0</v>
      </c>
      <c r="M65" s="298">
        <v>0</v>
      </c>
      <c r="N65" s="298">
        <v>0</v>
      </c>
      <c r="O65" s="298">
        <v>0</v>
      </c>
      <c r="P65" s="298">
        <v>0</v>
      </c>
      <c r="Q65" s="298">
        <v>0</v>
      </c>
      <c r="R65" s="298">
        <v>0</v>
      </c>
      <c r="S65" s="298">
        <v>0</v>
      </c>
      <c r="T65" s="298">
        <v>0</v>
      </c>
      <c r="U65" s="298">
        <v>0</v>
      </c>
      <c r="V65" s="298">
        <v>0</v>
      </c>
      <c r="W65" s="295">
        <f t="shared" si="2"/>
        <v>0.28000000000000003</v>
      </c>
    </row>
    <row r="66" spans="1:23" ht="15" customHeight="1">
      <c r="A66" s="604"/>
      <c r="B66" s="318" t="s">
        <v>764</v>
      </c>
      <c r="C66" s="298">
        <v>1</v>
      </c>
      <c r="D66" s="298">
        <v>1</v>
      </c>
      <c r="E66" s="298">
        <v>0.2</v>
      </c>
      <c r="F66" s="298">
        <v>0.5</v>
      </c>
      <c r="G66" s="298">
        <v>1</v>
      </c>
      <c r="H66" s="298">
        <v>0</v>
      </c>
      <c r="I66" s="298">
        <v>1</v>
      </c>
      <c r="J66" s="298">
        <v>0.9</v>
      </c>
      <c r="K66" s="298">
        <v>0</v>
      </c>
      <c r="L66" s="298">
        <v>0</v>
      </c>
      <c r="M66" s="298">
        <v>0</v>
      </c>
      <c r="N66" s="298">
        <v>0</v>
      </c>
      <c r="O66" s="298">
        <v>0</v>
      </c>
      <c r="P66" s="298">
        <v>0</v>
      </c>
      <c r="Q66" s="298">
        <v>0</v>
      </c>
      <c r="R66" s="298">
        <v>0</v>
      </c>
      <c r="S66" s="298">
        <v>0</v>
      </c>
      <c r="T66" s="298">
        <v>0</v>
      </c>
      <c r="U66" s="298">
        <v>0</v>
      </c>
      <c r="V66" s="298">
        <v>0</v>
      </c>
      <c r="W66" s="295">
        <f t="shared" si="2"/>
        <v>0.28000000000000003</v>
      </c>
    </row>
    <row r="67" spans="1:23" ht="15" customHeight="1">
      <c r="A67" s="604"/>
      <c r="B67" s="318" t="s">
        <v>765</v>
      </c>
      <c r="C67" s="298">
        <v>1</v>
      </c>
      <c r="D67" s="298">
        <v>1</v>
      </c>
      <c r="E67" s="298">
        <v>0.2</v>
      </c>
      <c r="F67" s="298">
        <v>0.5</v>
      </c>
      <c r="G67" s="298">
        <v>1</v>
      </c>
      <c r="H67" s="298">
        <v>0</v>
      </c>
      <c r="I67" s="298">
        <v>1</v>
      </c>
      <c r="J67" s="298">
        <v>0.9</v>
      </c>
      <c r="K67" s="298">
        <v>0</v>
      </c>
      <c r="L67" s="298">
        <v>0</v>
      </c>
      <c r="M67" s="298">
        <v>0</v>
      </c>
      <c r="N67" s="298">
        <v>0</v>
      </c>
      <c r="O67" s="298">
        <v>0</v>
      </c>
      <c r="P67" s="298">
        <v>0</v>
      </c>
      <c r="Q67" s="298">
        <v>0</v>
      </c>
      <c r="R67" s="298">
        <v>0</v>
      </c>
      <c r="S67" s="298">
        <v>0</v>
      </c>
      <c r="T67" s="298">
        <v>0</v>
      </c>
      <c r="U67" s="298">
        <v>0</v>
      </c>
      <c r="V67" s="298">
        <v>0</v>
      </c>
      <c r="W67" s="295">
        <f t="shared" si="2"/>
        <v>0.28000000000000003</v>
      </c>
    </row>
    <row r="68" spans="1:23" ht="15" customHeight="1">
      <c r="A68" s="604"/>
      <c r="B68" s="318" t="s">
        <v>560</v>
      </c>
      <c r="C68" s="298">
        <v>1</v>
      </c>
      <c r="D68" s="298">
        <v>1</v>
      </c>
      <c r="E68" s="298">
        <v>0.2</v>
      </c>
      <c r="F68" s="298">
        <v>0.5</v>
      </c>
      <c r="G68" s="298">
        <v>1</v>
      </c>
      <c r="H68" s="298">
        <v>0</v>
      </c>
      <c r="I68" s="298">
        <v>1</v>
      </c>
      <c r="J68" s="298">
        <v>0.9</v>
      </c>
      <c r="K68" s="298">
        <v>0</v>
      </c>
      <c r="L68" s="298">
        <v>0</v>
      </c>
      <c r="M68" s="298">
        <v>0</v>
      </c>
      <c r="N68" s="298">
        <v>0</v>
      </c>
      <c r="O68" s="298">
        <v>0</v>
      </c>
      <c r="P68" s="298">
        <v>0</v>
      </c>
      <c r="Q68" s="298">
        <v>0</v>
      </c>
      <c r="R68" s="298">
        <v>0</v>
      </c>
      <c r="S68" s="298">
        <v>0</v>
      </c>
      <c r="T68" s="298">
        <v>0</v>
      </c>
      <c r="U68" s="298">
        <v>0</v>
      </c>
      <c r="V68" s="298">
        <v>0</v>
      </c>
      <c r="W68" s="295">
        <f t="shared" si="2"/>
        <v>0.28000000000000003</v>
      </c>
    </row>
    <row r="69" spans="1:23" ht="15" customHeight="1">
      <c r="A69" s="604"/>
      <c r="B69" s="318" t="s">
        <v>561</v>
      </c>
      <c r="C69" s="298">
        <v>1</v>
      </c>
      <c r="D69" s="298">
        <v>1</v>
      </c>
      <c r="E69" s="298">
        <v>0.2</v>
      </c>
      <c r="F69" s="298">
        <v>0.5</v>
      </c>
      <c r="G69" s="298">
        <v>0</v>
      </c>
      <c r="H69" s="298">
        <v>0</v>
      </c>
      <c r="I69" s="298">
        <v>1</v>
      </c>
      <c r="J69" s="298">
        <v>0.9</v>
      </c>
      <c r="K69" s="298">
        <v>0</v>
      </c>
      <c r="L69" s="298">
        <v>0</v>
      </c>
      <c r="M69" s="298">
        <v>0</v>
      </c>
      <c r="N69" s="298">
        <v>0</v>
      </c>
      <c r="O69" s="298">
        <v>0</v>
      </c>
      <c r="P69" s="298">
        <v>0</v>
      </c>
      <c r="Q69" s="298">
        <v>0</v>
      </c>
      <c r="R69" s="298">
        <v>0</v>
      </c>
      <c r="S69" s="298">
        <v>0</v>
      </c>
      <c r="T69" s="298">
        <v>0</v>
      </c>
      <c r="U69" s="298">
        <v>0</v>
      </c>
      <c r="V69" s="298">
        <v>0</v>
      </c>
      <c r="W69" s="295">
        <f t="shared" si="2"/>
        <v>0.23000000000000004</v>
      </c>
    </row>
    <row r="70" spans="1:23" ht="15" customHeight="1">
      <c r="A70" s="604"/>
      <c r="B70" s="318" t="s">
        <v>562</v>
      </c>
      <c r="C70" s="298">
        <v>1</v>
      </c>
      <c r="D70" s="298">
        <v>1</v>
      </c>
      <c r="E70" s="298">
        <v>0.2</v>
      </c>
      <c r="F70" s="298">
        <v>0.5</v>
      </c>
      <c r="G70" s="298">
        <v>1</v>
      </c>
      <c r="H70" s="298">
        <v>0</v>
      </c>
      <c r="I70" s="298">
        <v>1</v>
      </c>
      <c r="J70" s="298">
        <v>0.9</v>
      </c>
      <c r="K70" s="298">
        <v>0</v>
      </c>
      <c r="L70" s="298">
        <v>0</v>
      </c>
      <c r="M70" s="298">
        <v>0</v>
      </c>
      <c r="N70" s="298">
        <v>0</v>
      </c>
      <c r="O70" s="298">
        <v>0</v>
      </c>
      <c r="P70" s="298">
        <v>0</v>
      </c>
      <c r="Q70" s="298">
        <v>0</v>
      </c>
      <c r="R70" s="298">
        <v>0</v>
      </c>
      <c r="S70" s="298">
        <v>0</v>
      </c>
      <c r="T70" s="298">
        <v>0</v>
      </c>
      <c r="U70" s="298">
        <v>0</v>
      </c>
      <c r="V70" s="298">
        <v>0</v>
      </c>
      <c r="W70" s="295">
        <f t="shared" si="2"/>
        <v>0.28000000000000003</v>
      </c>
    </row>
    <row r="71" spans="1:23" ht="15" customHeight="1">
      <c r="A71" s="604"/>
      <c r="B71" s="318" t="s">
        <v>563</v>
      </c>
      <c r="C71" s="298">
        <v>1</v>
      </c>
      <c r="D71" s="298">
        <v>1</v>
      </c>
      <c r="E71" s="298">
        <v>0.2</v>
      </c>
      <c r="F71" s="298">
        <v>0.5</v>
      </c>
      <c r="G71" s="298">
        <v>1</v>
      </c>
      <c r="H71" s="298">
        <v>0</v>
      </c>
      <c r="I71" s="298">
        <v>1</v>
      </c>
      <c r="J71" s="298">
        <v>0.9</v>
      </c>
      <c r="K71" s="298">
        <v>0</v>
      </c>
      <c r="L71" s="298">
        <v>0</v>
      </c>
      <c r="M71" s="298">
        <v>0</v>
      </c>
      <c r="N71" s="298">
        <v>0</v>
      </c>
      <c r="O71" s="298">
        <v>0</v>
      </c>
      <c r="P71" s="298">
        <v>0</v>
      </c>
      <c r="Q71" s="298">
        <v>0</v>
      </c>
      <c r="R71" s="298">
        <v>0</v>
      </c>
      <c r="S71" s="298">
        <v>0</v>
      </c>
      <c r="T71" s="298">
        <v>0</v>
      </c>
      <c r="U71" s="298">
        <v>0</v>
      </c>
      <c r="V71" s="298">
        <v>0</v>
      </c>
      <c r="W71" s="295">
        <f t="shared" si="2"/>
        <v>0.28000000000000003</v>
      </c>
    </row>
    <row r="72" spans="1:23" ht="15" customHeight="1">
      <c r="A72" s="604"/>
      <c r="B72" s="318" t="s">
        <v>564</v>
      </c>
      <c r="C72" s="298">
        <v>1</v>
      </c>
      <c r="D72" s="298">
        <v>1</v>
      </c>
      <c r="E72" s="298">
        <v>0.2</v>
      </c>
      <c r="F72" s="298">
        <v>0.5</v>
      </c>
      <c r="G72" s="298">
        <v>1</v>
      </c>
      <c r="H72" s="298">
        <v>0</v>
      </c>
      <c r="I72" s="298">
        <v>1</v>
      </c>
      <c r="J72" s="298">
        <v>0.9</v>
      </c>
      <c r="K72" s="298">
        <v>0</v>
      </c>
      <c r="L72" s="298">
        <v>0</v>
      </c>
      <c r="M72" s="298">
        <v>0</v>
      </c>
      <c r="N72" s="298">
        <v>0</v>
      </c>
      <c r="O72" s="298">
        <v>0</v>
      </c>
      <c r="P72" s="298">
        <v>0</v>
      </c>
      <c r="Q72" s="298">
        <v>0</v>
      </c>
      <c r="R72" s="298">
        <v>0</v>
      </c>
      <c r="S72" s="298">
        <v>0</v>
      </c>
      <c r="T72" s="298">
        <v>0</v>
      </c>
      <c r="U72" s="298">
        <v>0</v>
      </c>
      <c r="V72" s="298">
        <v>0</v>
      </c>
      <c r="W72" s="295">
        <f t="shared" si="2"/>
        <v>0.28000000000000003</v>
      </c>
    </row>
    <row r="73" spans="1:23" ht="15" customHeight="1">
      <c r="A73" s="604"/>
      <c r="B73" s="318" t="s">
        <v>894</v>
      </c>
      <c r="C73" s="298">
        <v>1</v>
      </c>
      <c r="D73" s="298">
        <v>1</v>
      </c>
      <c r="E73" s="298">
        <v>0.2</v>
      </c>
      <c r="F73" s="298">
        <v>0.5</v>
      </c>
      <c r="G73" s="298">
        <v>1</v>
      </c>
      <c r="H73" s="298">
        <v>0</v>
      </c>
      <c r="I73" s="298">
        <v>1</v>
      </c>
      <c r="J73" s="298">
        <v>0.9</v>
      </c>
      <c r="K73" s="298">
        <v>0</v>
      </c>
      <c r="L73" s="298">
        <v>0</v>
      </c>
      <c r="M73" s="298">
        <v>0</v>
      </c>
      <c r="N73" s="298">
        <v>0</v>
      </c>
      <c r="O73" s="298">
        <v>0</v>
      </c>
      <c r="P73" s="298">
        <v>0</v>
      </c>
      <c r="Q73" s="298">
        <v>0</v>
      </c>
      <c r="R73" s="298">
        <v>0</v>
      </c>
      <c r="S73" s="298">
        <v>0</v>
      </c>
      <c r="T73" s="298">
        <v>0</v>
      </c>
      <c r="U73" s="298">
        <v>0</v>
      </c>
      <c r="V73" s="298">
        <v>0</v>
      </c>
      <c r="W73" s="295">
        <f t="shared" si="2"/>
        <v>0.28000000000000003</v>
      </c>
    </row>
    <row r="74" spans="1:23" ht="15" customHeight="1">
      <c r="A74" s="604"/>
      <c r="B74" s="318" t="s">
        <v>895</v>
      </c>
      <c r="C74" s="298">
        <v>1</v>
      </c>
      <c r="D74" s="298">
        <v>1</v>
      </c>
      <c r="E74" s="298">
        <v>0.2</v>
      </c>
      <c r="F74" s="298">
        <v>0.5</v>
      </c>
      <c r="G74" s="298">
        <v>1</v>
      </c>
      <c r="H74" s="298">
        <v>0</v>
      </c>
      <c r="I74" s="298">
        <v>1</v>
      </c>
      <c r="J74" s="298">
        <v>0.9</v>
      </c>
      <c r="K74" s="298">
        <v>0</v>
      </c>
      <c r="L74" s="298">
        <v>0</v>
      </c>
      <c r="M74" s="298">
        <v>0</v>
      </c>
      <c r="N74" s="298">
        <v>0</v>
      </c>
      <c r="O74" s="298">
        <v>0</v>
      </c>
      <c r="P74" s="298">
        <v>0</v>
      </c>
      <c r="Q74" s="298">
        <v>0</v>
      </c>
      <c r="R74" s="298">
        <v>0</v>
      </c>
      <c r="S74" s="298">
        <v>0</v>
      </c>
      <c r="T74" s="298">
        <v>0</v>
      </c>
      <c r="U74" s="298">
        <v>0</v>
      </c>
      <c r="V74" s="298">
        <v>0</v>
      </c>
      <c r="W74" s="295">
        <f t="shared" si="2"/>
        <v>0.28000000000000003</v>
      </c>
    </row>
    <row r="75" spans="1:23" ht="15" customHeight="1">
      <c r="A75" s="604"/>
      <c r="B75" s="318" t="s">
        <v>896</v>
      </c>
      <c r="C75" s="298">
        <v>1</v>
      </c>
      <c r="D75" s="298">
        <v>1</v>
      </c>
      <c r="E75" s="298">
        <v>0.2</v>
      </c>
      <c r="F75" s="298">
        <v>0.5</v>
      </c>
      <c r="G75" s="298">
        <v>1</v>
      </c>
      <c r="H75" s="298">
        <v>0</v>
      </c>
      <c r="I75" s="298">
        <v>1</v>
      </c>
      <c r="J75" s="298">
        <v>0.9</v>
      </c>
      <c r="K75" s="298">
        <v>0</v>
      </c>
      <c r="L75" s="298">
        <v>0</v>
      </c>
      <c r="M75" s="298">
        <v>0</v>
      </c>
      <c r="N75" s="298">
        <v>0</v>
      </c>
      <c r="O75" s="298">
        <v>0</v>
      </c>
      <c r="P75" s="298">
        <v>0</v>
      </c>
      <c r="Q75" s="298">
        <v>0</v>
      </c>
      <c r="R75" s="298">
        <v>0</v>
      </c>
      <c r="S75" s="298">
        <v>0</v>
      </c>
      <c r="T75" s="298">
        <v>0</v>
      </c>
      <c r="U75" s="298">
        <v>0</v>
      </c>
      <c r="V75" s="298">
        <v>0</v>
      </c>
      <c r="W75" s="295">
        <f t="shared" si="2"/>
        <v>0.28000000000000003</v>
      </c>
    </row>
    <row r="76" spans="1:23" ht="15" customHeight="1" thickBot="1">
      <c r="A76" s="605"/>
      <c r="B76" s="318" t="s">
        <v>897</v>
      </c>
      <c r="C76" s="298">
        <v>1</v>
      </c>
      <c r="D76" s="298">
        <v>1</v>
      </c>
      <c r="E76" s="298">
        <v>0.2</v>
      </c>
      <c r="F76" s="298">
        <v>0.5</v>
      </c>
      <c r="G76" s="298">
        <v>1</v>
      </c>
      <c r="H76" s="298">
        <v>0</v>
      </c>
      <c r="I76" s="298">
        <v>1</v>
      </c>
      <c r="J76" s="298">
        <v>0.9</v>
      </c>
      <c r="K76" s="298">
        <v>0</v>
      </c>
      <c r="L76" s="298">
        <v>0</v>
      </c>
      <c r="M76" s="298">
        <v>0</v>
      </c>
      <c r="N76" s="298">
        <v>0</v>
      </c>
      <c r="O76" s="298">
        <v>0</v>
      </c>
      <c r="P76" s="298">
        <v>0</v>
      </c>
      <c r="Q76" s="298">
        <v>0</v>
      </c>
      <c r="R76" s="298">
        <v>0</v>
      </c>
      <c r="S76" s="298">
        <v>0</v>
      </c>
      <c r="T76" s="298">
        <v>0</v>
      </c>
      <c r="U76" s="298">
        <v>0</v>
      </c>
      <c r="V76" s="298">
        <v>0</v>
      </c>
      <c r="W76" s="295">
        <f t="shared" si="2"/>
        <v>0.28000000000000003</v>
      </c>
    </row>
    <row r="77" spans="1:23" ht="20.100000000000001" customHeight="1" thickBot="1">
      <c r="A77" s="600" t="s">
        <v>755</v>
      </c>
      <c r="B77" s="601"/>
      <c r="C77" s="296"/>
      <c r="D77" s="296"/>
      <c r="E77" s="296"/>
      <c r="F77" s="296"/>
      <c r="G77" s="296"/>
      <c r="H77" s="296"/>
      <c r="I77" s="296"/>
      <c r="J77" s="296"/>
      <c r="K77" s="296"/>
      <c r="L77" s="296"/>
      <c r="M77" s="296"/>
      <c r="N77" s="296"/>
      <c r="O77" s="296"/>
      <c r="P77" s="296"/>
      <c r="Q77" s="296"/>
      <c r="R77" s="296"/>
      <c r="S77" s="296"/>
      <c r="T77" s="296"/>
      <c r="U77" s="296"/>
      <c r="V77" s="297"/>
      <c r="W77" s="560"/>
    </row>
    <row r="78" spans="1:23" ht="20.100000000000001" customHeight="1" thickBot="1">
      <c r="A78" s="600" t="s">
        <v>754</v>
      </c>
      <c r="B78" s="601"/>
      <c r="C78" s="296">
        <f t="shared" ref="C78:V78" si="3">+AVERAGE(C34:C76)</f>
        <v>0.97674418604651159</v>
      </c>
      <c r="D78" s="296">
        <f t="shared" si="3"/>
        <v>0.95348837209302328</v>
      </c>
      <c r="E78" s="296">
        <f t="shared" si="3"/>
        <v>0.26511627906976726</v>
      </c>
      <c r="F78" s="296">
        <f t="shared" si="3"/>
        <v>0.29767441860465116</v>
      </c>
      <c r="G78" s="296">
        <f t="shared" si="3"/>
        <v>0.46511627906976744</v>
      </c>
      <c r="H78" s="296">
        <f t="shared" si="3"/>
        <v>0.1988372093023256</v>
      </c>
      <c r="I78" s="296">
        <f t="shared" si="3"/>
        <v>0.48837209302325579</v>
      </c>
      <c r="J78" s="296">
        <f t="shared" si="3"/>
        <v>0.45348837209302323</v>
      </c>
      <c r="K78" s="296">
        <f t="shared" si="3"/>
        <v>0.18604651162790697</v>
      </c>
      <c r="L78" s="296">
        <f t="shared" si="3"/>
        <v>0</v>
      </c>
      <c r="M78" s="296">
        <f t="shared" si="3"/>
        <v>0</v>
      </c>
      <c r="N78" s="296">
        <f t="shared" si="3"/>
        <v>3.7209302325581395E-2</v>
      </c>
      <c r="O78" s="296">
        <f t="shared" si="3"/>
        <v>0.14651162790697675</v>
      </c>
      <c r="P78" s="296">
        <f t="shared" si="3"/>
        <v>0</v>
      </c>
      <c r="Q78" s="296">
        <f t="shared" si="3"/>
        <v>0</v>
      </c>
      <c r="R78" s="296">
        <f t="shared" si="3"/>
        <v>0</v>
      </c>
      <c r="S78" s="296">
        <f t="shared" si="3"/>
        <v>0</v>
      </c>
      <c r="T78" s="296">
        <f t="shared" si="3"/>
        <v>0</v>
      </c>
      <c r="U78" s="296">
        <f t="shared" si="3"/>
        <v>0</v>
      </c>
      <c r="V78" s="296">
        <f t="shared" si="3"/>
        <v>0</v>
      </c>
      <c r="W78" s="561"/>
    </row>
    <row r="79" spans="1:23" ht="20.100000000000001" customHeight="1" thickBot="1">
      <c r="A79" s="600" t="s">
        <v>756</v>
      </c>
      <c r="B79" s="602"/>
      <c r="C79" s="516">
        <f>AVERAGE(C78:V78)</f>
        <v>0.22343023255813951</v>
      </c>
      <c r="D79" s="517"/>
      <c r="E79" s="517"/>
      <c r="F79" s="517"/>
      <c r="G79" s="517"/>
      <c r="H79" s="517"/>
      <c r="I79" s="517"/>
      <c r="J79" s="517"/>
      <c r="K79" s="517"/>
      <c r="L79" s="517"/>
      <c r="M79" s="517"/>
      <c r="N79" s="517"/>
      <c r="O79" s="517"/>
      <c r="P79" s="517"/>
      <c r="Q79" s="517"/>
      <c r="R79" s="516"/>
      <c r="S79" s="517"/>
      <c r="T79" s="517"/>
      <c r="U79" s="517"/>
      <c r="V79" s="517"/>
      <c r="W79" s="562"/>
    </row>
    <row r="80" spans="1:23" ht="15" customHeight="1">
      <c r="A80" s="603" t="s">
        <v>892</v>
      </c>
      <c r="B80" s="320" t="s">
        <v>890</v>
      </c>
      <c r="C80" s="299">
        <v>1</v>
      </c>
      <c r="D80" s="299">
        <v>0</v>
      </c>
      <c r="E80" s="299">
        <v>0</v>
      </c>
      <c r="F80" s="299">
        <v>0</v>
      </c>
      <c r="G80" s="299">
        <v>0</v>
      </c>
      <c r="H80" s="299">
        <v>0</v>
      </c>
      <c r="I80" s="299">
        <v>0</v>
      </c>
      <c r="J80" s="299">
        <v>0</v>
      </c>
      <c r="K80" s="299">
        <v>0</v>
      </c>
      <c r="L80" s="299">
        <v>0</v>
      </c>
      <c r="M80" s="299">
        <v>0</v>
      </c>
      <c r="N80" s="299">
        <v>0</v>
      </c>
      <c r="O80" s="299">
        <v>0</v>
      </c>
      <c r="P80" s="299">
        <v>0</v>
      </c>
      <c r="Q80" s="299">
        <v>0</v>
      </c>
      <c r="R80" s="299">
        <v>0</v>
      </c>
      <c r="S80" s="299">
        <v>0</v>
      </c>
      <c r="T80" s="299">
        <v>0</v>
      </c>
      <c r="U80" s="299">
        <v>0</v>
      </c>
      <c r="V80" s="299">
        <v>0</v>
      </c>
      <c r="W80" s="293">
        <f t="shared" ref="W80:W123" si="4">+AVERAGE(C80:V80)</f>
        <v>0.05</v>
      </c>
    </row>
    <row r="81" spans="1:23" ht="15" customHeight="1">
      <c r="A81" s="604"/>
      <c r="B81" s="318" t="s">
        <v>891</v>
      </c>
      <c r="C81" s="299">
        <v>0</v>
      </c>
      <c r="D81" s="299">
        <v>0</v>
      </c>
      <c r="E81" s="299">
        <v>0</v>
      </c>
      <c r="F81" s="299">
        <v>0</v>
      </c>
      <c r="G81" s="299">
        <v>0</v>
      </c>
      <c r="H81" s="299">
        <v>0</v>
      </c>
      <c r="I81" s="299">
        <v>0</v>
      </c>
      <c r="J81" s="299">
        <v>0</v>
      </c>
      <c r="K81" s="299">
        <v>0</v>
      </c>
      <c r="L81" s="299">
        <v>0</v>
      </c>
      <c r="M81" s="299">
        <v>0</v>
      </c>
      <c r="N81" s="299">
        <v>0</v>
      </c>
      <c r="O81" s="299">
        <v>0</v>
      </c>
      <c r="P81" s="299">
        <v>0</v>
      </c>
      <c r="Q81" s="299">
        <v>0</v>
      </c>
      <c r="R81" s="299">
        <v>0</v>
      </c>
      <c r="S81" s="299">
        <v>0</v>
      </c>
      <c r="T81" s="299">
        <v>0</v>
      </c>
      <c r="U81" s="299">
        <v>0</v>
      </c>
      <c r="V81" s="299">
        <v>0</v>
      </c>
      <c r="W81" s="295">
        <f t="shared" si="4"/>
        <v>0</v>
      </c>
    </row>
    <row r="82" spans="1:23" ht="15" customHeight="1">
      <c r="A82" s="604"/>
      <c r="B82" s="318" t="s">
        <v>565</v>
      </c>
      <c r="C82" s="299">
        <v>1</v>
      </c>
      <c r="D82" s="299">
        <v>0</v>
      </c>
      <c r="E82" s="299">
        <v>0</v>
      </c>
      <c r="F82" s="299">
        <v>0</v>
      </c>
      <c r="G82" s="299">
        <v>0</v>
      </c>
      <c r="H82" s="299">
        <v>0</v>
      </c>
      <c r="I82" s="299">
        <v>0</v>
      </c>
      <c r="J82" s="299">
        <v>0</v>
      </c>
      <c r="K82" s="299">
        <v>0</v>
      </c>
      <c r="L82" s="299">
        <v>0</v>
      </c>
      <c r="M82" s="299">
        <v>0</v>
      </c>
      <c r="N82" s="299">
        <v>0</v>
      </c>
      <c r="O82" s="299">
        <v>0</v>
      </c>
      <c r="P82" s="299">
        <v>0</v>
      </c>
      <c r="Q82" s="299">
        <v>0</v>
      </c>
      <c r="R82" s="299">
        <v>0</v>
      </c>
      <c r="S82" s="299">
        <v>0</v>
      </c>
      <c r="T82" s="299">
        <v>0</v>
      </c>
      <c r="U82" s="299">
        <v>0</v>
      </c>
      <c r="V82" s="299">
        <v>0</v>
      </c>
      <c r="W82" s="295">
        <f t="shared" si="4"/>
        <v>0.05</v>
      </c>
    </row>
    <row r="83" spans="1:23" ht="15" customHeight="1">
      <c r="A83" s="604"/>
      <c r="B83" s="318" t="s">
        <v>566</v>
      </c>
      <c r="C83" s="299">
        <v>1</v>
      </c>
      <c r="D83" s="299">
        <v>0</v>
      </c>
      <c r="E83" s="299">
        <v>0</v>
      </c>
      <c r="F83" s="299">
        <v>0</v>
      </c>
      <c r="G83" s="299">
        <v>0</v>
      </c>
      <c r="H83" s="299">
        <v>0</v>
      </c>
      <c r="I83" s="299">
        <v>0</v>
      </c>
      <c r="J83" s="299">
        <v>0</v>
      </c>
      <c r="K83" s="299">
        <v>0</v>
      </c>
      <c r="L83" s="299">
        <v>0</v>
      </c>
      <c r="M83" s="299">
        <v>0</v>
      </c>
      <c r="N83" s="299">
        <v>0</v>
      </c>
      <c r="O83" s="299">
        <v>0</v>
      </c>
      <c r="P83" s="299">
        <v>0</v>
      </c>
      <c r="Q83" s="299">
        <v>0</v>
      </c>
      <c r="R83" s="299">
        <v>0</v>
      </c>
      <c r="S83" s="299">
        <v>0</v>
      </c>
      <c r="T83" s="299">
        <v>0</v>
      </c>
      <c r="U83" s="299">
        <v>0</v>
      </c>
      <c r="V83" s="299">
        <v>0</v>
      </c>
      <c r="W83" s="295">
        <f t="shared" si="4"/>
        <v>0.05</v>
      </c>
    </row>
    <row r="84" spans="1:23" ht="15" customHeight="1">
      <c r="A84" s="604"/>
      <c r="B84" s="318" t="s">
        <v>567</v>
      </c>
      <c r="C84" s="299">
        <v>1</v>
      </c>
      <c r="D84" s="299">
        <v>0</v>
      </c>
      <c r="E84" s="299">
        <v>0</v>
      </c>
      <c r="F84" s="299">
        <v>0</v>
      </c>
      <c r="G84" s="299">
        <v>0</v>
      </c>
      <c r="H84" s="299">
        <v>0</v>
      </c>
      <c r="I84" s="299">
        <v>0</v>
      </c>
      <c r="J84" s="299">
        <v>0</v>
      </c>
      <c r="K84" s="299">
        <v>0</v>
      </c>
      <c r="L84" s="299">
        <v>0</v>
      </c>
      <c r="M84" s="299">
        <v>0</v>
      </c>
      <c r="N84" s="299">
        <v>0</v>
      </c>
      <c r="O84" s="299">
        <v>0</v>
      </c>
      <c r="P84" s="299">
        <v>0</v>
      </c>
      <c r="Q84" s="299">
        <v>0</v>
      </c>
      <c r="R84" s="299">
        <v>0</v>
      </c>
      <c r="S84" s="299">
        <v>0</v>
      </c>
      <c r="T84" s="299">
        <v>0</v>
      </c>
      <c r="U84" s="299">
        <v>0</v>
      </c>
      <c r="V84" s="299">
        <v>0</v>
      </c>
      <c r="W84" s="295">
        <f t="shared" si="4"/>
        <v>0.05</v>
      </c>
    </row>
    <row r="85" spans="1:23" ht="15" customHeight="1">
      <c r="A85" s="604"/>
      <c r="B85" s="318" t="s">
        <v>568</v>
      </c>
      <c r="C85" s="299">
        <v>1</v>
      </c>
      <c r="D85" s="299">
        <v>0</v>
      </c>
      <c r="E85" s="299">
        <v>0</v>
      </c>
      <c r="F85" s="299">
        <v>0</v>
      </c>
      <c r="G85" s="299">
        <v>0</v>
      </c>
      <c r="H85" s="299">
        <v>0</v>
      </c>
      <c r="I85" s="299">
        <v>0</v>
      </c>
      <c r="J85" s="299">
        <v>0</v>
      </c>
      <c r="K85" s="299">
        <v>0</v>
      </c>
      <c r="L85" s="299">
        <v>0</v>
      </c>
      <c r="M85" s="299">
        <v>0</v>
      </c>
      <c r="N85" s="299">
        <v>0</v>
      </c>
      <c r="O85" s="299">
        <v>0</v>
      </c>
      <c r="P85" s="299">
        <v>0</v>
      </c>
      <c r="Q85" s="299">
        <v>0</v>
      </c>
      <c r="R85" s="299">
        <v>0</v>
      </c>
      <c r="S85" s="299">
        <v>0</v>
      </c>
      <c r="T85" s="299">
        <v>0</v>
      </c>
      <c r="U85" s="299">
        <v>0</v>
      </c>
      <c r="V85" s="299">
        <v>0</v>
      </c>
      <c r="W85" s="295">
        <f t="shared" si="4"/>
        <v>0.05</v>
      </c>
    </row>
    <row r="86" spans="1:23" ht="15" customHeight="1">
      <c r="A86" s="604"/>
      <c r="B86" s="318" t="s">
        <v>569</v>
      </c>
      <c r="C86" s="299">
        <v>1</v>
      </c>
      <c r="D86" s="299">
        <v>0</v>
      </c>
      <c r="E86" s="299">
        <v>0</v>
      </c>
      <c r="F86" s="299">
        <v>0</v>
      </c>
      <c r="G86" s="299">
        <v>0</v>
      </c>
      <c r="H86" s="299">
        <v>0</v>
      </c>
      <c r="I86" s="299">
        <v>0</v>
      </c>
      <c r="J86" s="299">
        <v>0</v>
      </c>
      <c r="K86" s="299">
        <v>0</v>
      </c>
      <c r="L86" s="299">
        <v>0</v>
      </c>
      <c r="M86" s="299">
        <v>0</v>
      </c>
      <c r="N86" s="299">
        <v>0</v>
      </c>
      <c r="O86" s="299">
        <v>0</v>
      </c>
      <c r="P86" s="299">
        <v>0</v>
      </c>
      <c r="Q86" s="299">
        <v>0</v>
      </c>
      <c r="R86" s="299">
        <v>0</v>
      </c>
      <c r="S86" s="299">
        <v>0</v>
      </c>
      <c r="T86" s="299">
        <v>0</v>
      </c>
      <c r="U86" s="299">
        <v>0</v>
      </c>
      <c r="V86" s="299">
        <v>0</v>
      </c>
      <c r="W86" s="295">
        <f t="shared" si="4"/>
        <v>0.05</v>
      </c>
    </row>
    <row r="87" spans="1:23" ht="15" customHeight="1">
      <c r="A87" s="604"/>
      <c r="B87" s="318" t="s">
        <v>570</v>
      </c>
      <c r="C87" s="299">
        <v>1</v>
      </c>
      <c r="D87" s="299">
        <v>0</v>
      </c>
      <c r="E87" s="299">
        <v>0</v>
      </c>
      <c r="F87" s="299">
        <v>0</v>
      </c>
      <c r="G87" s="299">
        <v>0</v>
      </c>
      <c r="H87" s="299">
        <v>0</v>
      </c>
      <c r="I87" s="299">
        <v>0</v>
      </c>
      <c r="J87" s="299">
        <v>0</v>
      </c>
      <c r="K87" s="299">
        <v>0</v>
      </c>
      <c r="L87" s="299">
        <v>0</v>
      </c>
      <c r="M87" s="299">
        <v>0</v>
      </c>
      <c r="N87" s="299">
        <v>0</v>
      </c>
      <c r="O87" s="299">
        <v>0</v>
      </c>
      <c r="P87" s="299">
        <v>0</v>
      </c>
      <c r="Q87" s="299">
        <v>0</v>
      </c>
      <c r="R87" s="299">
        <v>0</v>
      </c>
      <c r="S87" s="299">
        <v>0</v>
      </c>
      <c r="T87" s="299">
        <v>0</v>
      </c>
      <c r="U87" s="299">
        <v>0</v>
      </c>
      <c r="V87" s="299">
        <v>0</v>
      </c>
      <c r="W87" s="295">
        <f t="shared" si="4"/>
        <v>0.05</v>
      </c>
    </row>
    <row r="88" spans="1:23" ht="15" customHeight="1">
      <c r="A88" s="604"/>
      <c r="B88" s="318" t="s">
        <v>571</v>
      </c>
      <c r="C88" s="299">
        <v>1</v>
      </c>
      <c r="D88" s="299">
        <v>0</v>
      </c>
      <c r="E88" s="299">
        <v>0</v>
      </c>
      <c r="F88" s="299">
        <v>0</v>
      </c>
      <c r="G88" s="299">
        <v>0</v>
      </c>
      <c r="H88" s="299">
        <v>0</v>
      </c>
      <c r="I88" s="299">
        <v>0</v>
      </c>
      <c r="J88" s="299">
        <v>0</v>
      </c>
      <c r="K88" s="299">
        <v>0</v>
      </c>
      <c r="L88" s="299">
        <v>0</v>
      </c>
      <c r="M88" s="299">
        <v>0</v>
      </c>
      <c r="N88" s="299">
        <v>0</v>
      </c>
      <c r="O88" s="299">
        <v>0</v>
      </c>
      <c r="P88" s="299">
        <v>0</v>
      </c>
      <c r="Q88" s="299">
        <v>0</v>
      </c>
      <c r="R88" s="299">
        <v>0</v>
      </c>
      <c r="S88" s="299">
        <v>0</v>
      </c>
      <c r="T88" s="299">
        <v>0</v>
      </c>
      <c r="U88" s="299">
        <v>0</v>
      </c>
      <c r="V88" s="299">
        <v>0</v>
      </c>
      <c r="W88" s="295">
        <f t="shared" si="4"/>
        <v>0.05</v>
      </c>
    </row>
    <row r="89" spans="1:23" ht="15" customHeight="1">
      <c r="A89" s="604"/>
      <c r="B89" s="318" t="s">
        <v>572</v>
      </c>
      <c r="C89" s="299">
        <v>1</v>
      </c>
      <c r="D89" s="299">
        <v>0</v>
      </c>
      <c r="E89" s="299">
        <v>0</v>
      </c>
      <c r="F89" s="299">
        <v>0</v>
      </c>
      <c r="G89" s="299">
        <v>0</v>
      </c>
      <c r="H89" s="299">
        <v>0</v>
      </c>
      <c r="I89" s="299">
        <v>0</v>
      </c>
      <c r="J89" s="299">
        <v>0</v>
      </c>
      <c r="K89" s="299">
        <v>0</v>
      </c>
      <c r="L89" s="299">
        <v>0</v>
      </c>
      <c r="M89" s="299">
        <v>0</v>
      </c>
      <c r="N89" s="299">
        <v>0</v>
      </c>
      <c r="O89" s="299">
        <v>0</v>
      </c>
      <c r="P89" s="299">
        <v>0</v>
      </c>
      <c r="Q89" s="299">
        <v>0</v>
      </c>
      <c r="R89" s="299">
        <v>0</v>
      </c>
      <c r="S89" s="299">
        <v>0</v>
      </c>
      <c r="T89" s="299">
        <v>0</v>
      </c>
      <c r="U89" s="299">
        <v>0</v>
      </c>
      <c r="V89" s="299">
        <v>0</v>
      </c>
      <c r="W89" s="295">
        <f t="shared" si="4"/>
        <v>0.05</v>
      </c>
    </row>
    <row r="90" spans="1:23" ht="15" customHeight="1">
      <c r="A90" s="604"/>
      <c r="B90" s="318" t="s">
        <v>573</v>
      </c>
      <c r="C90" s="299">
        <v>1</v>
      </c>
      <c r="D90" s="299">
        <v>0</v>
      </c>
      <c r="E90" s="299">
        <v>0</v>
      </c>
      <c r="F90" s="299">
        <v>0</v>
      </c>
      <c r="G90" s="299">
        <v>0</v>
      </c>
      <c r="H90" s="299">
        <v>0</v>
      </c>
      <c r="I90" s="299">
        <v>0</v>
      </c>
      <c r="J90" s="299">
        <v>0</v>
      </c>
      <c r="K90" s="299">
        <v>0</v>
      </c>
      <c r="L90" s="299">
        <v>0</v>
      </c>
      <c r="M90" s="299">
        <v>0</v>
      </c>
      <c r="N90" s="299">
        <v>0</v>
      </c>
      <c r="O90" s="299">
        <v>0</v>
      </c>
      <c r="P90" s="299">
        <v>0</v>
      </c>
      <c r="Q90" s="299">
        <v>0</v>
      </c>
      <c r="R90" s="299">
        <v>0</v>
      </c>
      <c r="S90" s="299">
        <v>0</v>
      </c>
      <c r="T90" s="299">
        <v>0</v>
      </c>
      <c r="U90" s="299">
        <v>0</v>
      </c>
      <c r="V90" s="299">
        <v>0</v>
      </c>
      <c r="W90" s="295">
        <f t="shared" si="4"/>
        <v>0.05</v>
      </c>
    </row>
    <row r="91" spans="1:23" ht="15" customHeight="1">
      <c r="A91" s="604"/>
      <c r="B91" s="318" t="s">
        <v>574</v>
      </c>
      <c r="C91" s="299">
        <v>1</v>
      </c>
      <c r="D91" s="299">
        <v>0</v>
      </c>
      <c r="E91" s="299">
        <v>0</v>
      </c>
      <c r="F91" s="299">
        <v>0</v>
      </c>
      <c r="G91" s="299">
        <v>0</v>
      </c>
      <c r="H91" s="299">
        <v>0</v>
      </c>
      <c r="I91" s="299">
        <v>0</v>
      </c>
      <c r="J91" s="299">
        <v>0</v>
      </c>
      <c r="K91" s="299">
        <v>0</v>
      </c>
      <c r="L91" s="299">
        <v>0</v>
      </c>
      <c r="M91" s="299">
        <v>0</v>
      </c>
      <c r="N91" s="299">
        <v>0</v>
      </c>
      <c r="O91" s="299">
        <v>0</v>
      </c>
      <c r="P91" s="299">
        <v>0</v>
      </c>
      <c r="Q91" s="299">
        <v>0</v>
      </c>
      <c r="R91" s="299">
        <v>0</v>
      </c>
      <c r="S91" s="299">
        <v>0</v>
      </c>
      <c r="T91" s="299">
        <v>0</v>
      </c>
      <c r="U91" s="299">
        <v>0</v>
      </c>
      <c r="V91" s="299">
        <v>0</v>
      </c>
      <c r="W91" s="295">
        <f t="shared" si="4"/>
        <v>0.05</v>
      </c>
    </row>
    <row r="92" spans="1:23" ht="15" customHeight="1">
      <c r="A92" s="604"/>
      <c r="B92" s="318" t="s">
        <v>575</v>
      </c>
      <c r="C92" s="299">
        <v>1</v>
      </c>
      <c r="D92" s="299">
        <v>0</v>
      </c>
      <c r="E92" s="299">
        <v>0</v>
      </c>
      <c r="F92" s="299">
        <v>0</v>
      </c>
      <c r="G92" s="299">
        <v>0</v>
      </c>
      <c r="H92" s="299">
        <v>0</v>
      </c>
      <c r="I92" s="299">
        <v>0</v>
      </c>
      <c r="J92" s="299">
        <v>0</v>
      </c>
      <c r="K92" s="299">
        <v>0</v>
      </c>
      <c r="L92" s="299">
        <v>0</v>
      </c>
      <c r="M92" s="299">
        <v>0</v>
      </c>
      <c r="N92" s="299">
        <v>0</v>
      </c>
      <c r="O92" s="299">
        <v>0</v>
      </c>
      <c r="P92" s="299">
        <v>0</v>
      </c>
      <c r="Q92" s="299">
        <v>0</v>
      </c>
      <c r="R92" s="299">
        <v>0</v>
      </c>
      <c r="S92" s="299">
        <v>0</v>
      </c>
      <c r="T92" s="299">
        <v>0</v>
      </c>
      <c r="U92" s="299">
        <v>0</v>
      </c>
      <c r="V92" s="299">
        <v>0</v>
      </c>
      <c r="W92" s="295">
        <f t="shared" si="4"/>
        <v>0.05</v>
      </c>
    </row>
    <row r="93" spans="1:23" ht="15" customHeight="1">
      <c r="A93" s="604"/>
      <c r="B93" s="318" t="s">
        <v>576</v>
      </c>
      <c r="C93" s="299">
        <v>1</v>
      </c>
      <c r="D93" s="299">
        <v>0</v>
      </c>
      <c r="E93" s="299">
        <v>0</v>
      </c>
      <c r="F93" s="299">
        <v>0</v>
      </c>
      <c r="G93" s="299">
        <v>0</v>
      </c>
      <c r="H93" s="299">
        <v>0</v>
      </c>
      <c r="I93" s="299">
        <v>0</v>
      </c>
      <c r="J93" s="299">
        <v>0</v>
      </c>
      <c r="K93" s="299">
        <v>0</v>
      </c>
      <c r="L93" s="299">
        <v>0</v>
      </c>
      <c r="M93" s="299">
        <v>0</v>
      </c>
      <c r="N93" s="299">
        <v>0</v>
      </c>
      <c r="O93" s="299">
        <v>0</v>
      </c>
      <c r="P93" s="299">
        <v>0</v>
      </c>
      <c r="Q93" s="299">
        <v>0</v>
      </c>
      <c r="R93" s="299">
        <v>0</v>
      </c>
      <c r="S93" s="299">
        <v>0</v>
      </c>
      <c r="T93" s="299">
        <v>0</v>
      </c>
      <c r="U93" s="299">
        <v>0</v>
      </c>
      <c r="V93" s="299">
        <v>0</v>
      </c>
      <c r="W93" s="295">
        <f t="shared" si="4"/>
        <v>0.05</v>
      </c>
    </row>
    <row r="94" spans="1:23" ht="15" customHeight="1">
      <c r="A94" s="604"/>
      <c r="B94" s="318" t="s">
        <v>577</v>
      </c>
      <c r="C94" s="299">
        <v>0</v>
      </c>
      <c r="D94" s="299">
        <v>0</v>
      </c>
      <c r="E94" s="299">
        <v>0</v>
      </c>
      <c r="F94" s="299">
        <v>0</v>
      </c>
      <c r="G94" s="299">
        <v>0</v>
      </c>
      <c r="H94" s="299">
        <v>0</v>
      </c>
      <c r="I94" s="299">
        <v>0</v>
      </c>
      <c r="J94" s="299">
        <v>0</v>
      </c>
      <c r="K94" s="299">
        <v>0</v>
      </c>
      <c r="L94" s="299">
        <v>0</v>
      </c>
      <c r="M94" s="299">
        <v>0</v>
      </c>
      <c r="N94" s="299">
        <v>0</v>
      </c>
      <c r="O94" s="299">
        <v>0</v>
      </c>
      <c r="P94" s="299">
        <v>0</v>
      </c>
      <c r="Q94" s="299">
        <v>0</v>
      </c>
      <c r="R94" s="299">
        <v>0</v>
      </c>
      <c r="S94" s="299">
        <v>0</v>
      </c>
      <c r="T94" s="299">
        <v>0</v>
      </c>
      <c r="U94" s="299">
        <v>0</v>
      </c>
      <c r="V94" s="299">
        <v>0</v>
      </c>
      <c r="W94" s="295">
        <f t="shared" si="4"/>
        <v>0</v>
      </c>
    </row>
    <row r="95" spans="1:23" ht="15" customHeight="1">
      <c r="A95" s="604"/>
      <c r="B95" s="318" t="s">
        <v>578</v>
      </c>
      <c r="C95" s="299">
        <v>0</v>
      </c>
      <c r="D95" s="299">
        <v>0</v>
      </c>
      <c r="E95" s="299">
        <v>0</v>
      </c>
      <c r="F95" s="299">
        <v>0</v>
      </c>
      <c r="G95" s="299">
        <v>0</v>
      </c>
      <c r="H95" s="299">
        <v>0</v>
      </c>
      <c r="I95" s="299">
        <v>0</v>
      </c>
      <c r="J95" s="299">
        <v>0</v>
      </c>
      <c r="K95" s="299">
        <v>0</v>
      </c>
      <c r="L95" s="299">
        <v>0</v>
      </c>
      <c r="M95" s="299">
        <v>0</v>
      </c>
      <c r="N95" s="299">
        <v>0</v>
      </c>
      <c r="O95" s="299">
        <v>0</v>
      </c>
      <c r="P95" s="299">
        <v>0</v>
      </c>
      <c r="Q95" s="299">
        <v>0</v>
      </c>
      <c r="R95" s="299">
        <v>0</v>
      </c>
      <c r="S95" s="299">
        <v>0</v>
      </c>
      <c r="T95" s="299">
        <v>0</v>
      </c>
      <c r="U95" s="299">
        <v>0</v>
      </c>
      <c r="V95" s="299">
        <v>0</v>
      </c>
      <c r="W95" s="295">
        <f t="shared" si="4"/>
        <v>0</v>
      </c>
    </row>
    <row r="96" spans="1:23" ht="15" customHeight="1">
      <c r="A96" s="604"/>
      <c r="B96" s="318" t="s">
        <v>579</v>
      </c>
      <c r="C96" s="299">
        <v>0</v>
      </c>
      <c r="D96" s="299">
        <v>0</v>
      </c>
      <c r="E96" s="299">
        <v>0</v>
      </c>
      <c r="F96" s="299">
        <v>0</v>
      </c>
      <c r="G96" s="299">
        <v>0</v>
      </c>
      <c r="H96" s="299">
        <v>0</v>
      </c>
      <c r="I96" s="299">
        <v>0</v>
      </c>
      <c r="J96" s="299">
        <v>0</v>
      </c>
      <c r="K96" s="299">
        <v>0</v>
      </c>
      <c r="L96" s="299">
        <v>0</v>
      </c>
      <c r="M96" s="299">
        <v>0</v>
      </c>
      <c r="N96" s="299">
        <v>0</v>
      </c>
      <c r="O96" s="299">
        <v>0</v>
      </c>
      <c r="P96" s="299">
        <v>0</v>
      </c>
      <c r="Q96" s="299">
        <v>0</v>
      </c>
      <c r="R96" s="299">
        <v>0</v>
      </c>
      <c r="S96" s="299">
        <v>0</v>
      </c>
      <c r="T96" s="299">
        <v>0</v>
      </c>
      <c r="U96" s="299">
        <v>0</v>
      </c>
      <c r="V96" s="299">
        <v>0</v>
      </c>
      <c r="W96" s="295">
        <f t="shared" si="4"/>
        <v>0</v>
      </c>
    </row>
    <row r="97" spans="1:23" ht="15" customHeight="1">
      <c r="A97" s="604"/>
      <c r="B97" s="318" t="s">
        <v>884</v>
      </c>
      <c r="C97" s="299">
        <v>0</v>
      </c>
      <c r="D97" s="299">
        <v>0</v>
      </c>
      <c r="E97" s="299">
        <v>0</v>
      </c>
      <c r="F97" s="299">
        <v>0</v>
      </c>
      <c r="G97" s="299">
        <v>0</v>
      </c>
      <c r="H97" s="299">
        <v>0</v>
      </c>
      <c r="I97" s="299">
        <v>0</v>
      </c>
      <c r="J97" s="299">
        <v>0</v>
      </c>
      <c r="K97" s="299">
        <v>0</v>
      </c>
      <c r="L97" s="299">
        <v>0</v>
      </c>
      <c r="M97" s="299">
        <v>0</v>
      </c>
      <c r="N97" s="299">
        <v>0</v>
      </c>
      <c r="O97" s="299">
        <v>0</v>
      </c>
      <c r="P97" s="299">
        <v>0</v>
      </c>
      <c r="Q97" s="299">
        <v>0</v>
      </c>
      <c r="R97" s="299">
        <v>0</v>
      </c>
      <c r="S97" s="299">
        <v>0</v>
      </c>
      <c r="T97" s="299">
        <v>0</v>
      </c>
      <c r="U97" s="299">
        <v>0</v>
      </c>
      <c r="V97" s="299">
        <v>0</v>
      </c>
      <c r="W97" s="295">
        <f t="shared" si="4"/>
        <v>0</v>
      </c>
    </row>
    <row r="98" spans="1:23" ht="15" customHeight="1">
      <c r="A98" s="604"/>
      <c r="B98" s="318" t="s">
        <v>885</v>
      </c>
      <c r="C98" s="299">
        <v>0</v>
      </c>
      <c r="D98" s="299">
        <v>0</v>
      </c>
      <c r="E98" s="299">
        <v>0</v>
      </c>
      <c r="F98" s="299">
        <v>0</v>
      </c>
      <c r="G98" s="299">
        <v>0</v>
      </c>
      <c r="H98" s="299">
        <v>0</v>
      </c>
      <c r="I98" s="299">
        <v>0</v>
      </c>
      <c r="J98" s="299">
        <v>0</v>
      </c>
      <c r="K98" s="299">
        <v>0</v>
      </c>
      <c r="L98" s="299">
        <v>0</v>
      </c>
      <c r="M98" s="299">
        <v>0</v>
      </c>
      <c r="N98" s="299">
        <v>0</v>
      </c>
      <c r="O98" s="299">
        <v>0</v>
      </c>
      <c r="P98" s="299">
        <v>0</v>
      </c>
      <c r="Q98" s="299">
        <v>0</v>
      </c>
      <c r="R98" s="299">
        <v>0</v>
      </c>
      <c r="S98" s="299">
        <v>0</v>
      </c>
      <c r="T98" s="299">
        <v>0</v>
      </c>
      <c r="U98" s="299">
        <v>0</v>
      </c>
      <c r="V98" s="299">
        <v>0</v>
      </c>
      <c r="W98" s="295">
        <f t="shared" si="4"/>
        <v>0</v>
      </c>
    </row>
    <row r="99" spans="1:23" ht="15" customHeight="1">
      <c r="A99" s="604"/>
      <c r="B99" s="318" t="s">
        <v>886</v>
      </c>
      <c r="C99" s="299">
        <v>0</v>
      </c>
      <c r="D99" s="299">
        <v>0</v>
      </c>
      <c r="E99" s="299">
        <v>0</v>
      </c>
      <c r="F99" s="299">
        <v>0</v>
      </c>
      <c r="G99" s="299">
        <v>0</v>
      </c>
      <c r="H99" s="299">
        <v>0</v>
      </c>
      <c r="I99" s="299">
        <v>0</v>
      </c>
      <c r="J99" s="299">
        <v>0</v>
      </c>
      <c r="K99" s="299">
        <v>0</v>
      </c>
      <c r="L99" s="299">
        <v>0</v>
      </c>
      <c r="M99" s="299">
        <v>0</v>
      </c>
      <c r="N99" s="299">
        <v>0</v>
      </c>
      <c r="O99" s="299">
        <v>0</v>
      </c>
      <c r="P99" s="299">
        <v>0</v>
      </c>
      <c r="Q99" s="299">
        <v>0</v>
      </c>
      <c r="R99" s="299">
        <v>0</v>
      </c>
      <c r="S99" s="299">
        <v>0</v>
      </c>
      <c r="T99" s="299">
        <v>0</v>
      </c>
      <c r="U99" s="299">
        <v>0</v>
      </c>
      <c r="V99" s="299">
        <v>0</v>
      </c>
      <c r="W99" s="295">
        <f t="shared" si="4"/>
        <v>0</v>
      </c>
    </row>
    <row r="100" spans="1:23" ht="15" customHeight="1">
      <c r="A100" s="604"/>
      <c r="B100" s="318" t="s">
        <v>887</v>
      </c>
      <c r="C100" s="299">
        <v>0</v>
      </c>
      <c r="D100" s="299">
        <v>0</v>
      </c>
      <c r="E100" s="299">
        <v>0</v>
      </c>
      <c r="F100" s="299">
        <v>0</v>
      </c>
      <c r="G100" s="299">
        <v>0</v>
      </c>
      <c r="H100" s="299">
        <v>0</v>
      </c>
      <c r="I100" s="299">
        <v>0</v>
      </c>
      <c r="J100" s="299">
        <v>0</v>
      </c>
      <c r="K100" s="299">
        <v>0</v>
      </c>
      <c r="L100" s="299">
        <v>0</v>
      </c>
      <c r="M100" s="299">
        <v>0</v>
      </c>
      <c r="N100" s="299">
        <v>0</v>
      </c>
      <c r="O100" s="299">
        <v>0</v>
      </c>
      <c r="P100" s="299">
        <v>0</v>
      </c>
      <c r="Q100" s="299">
        <v>0</v>
      </c>
      <c r="R100" s="299">
        <v>0</v>
      </c>
      <c r="S100" s="299">
        <v>0</v>
      </c>
      <c r="T100" s="299">
        <v>0</v>
      </c>
      <c r="U100" s="299">
        <v>0</v>
      </c>
      <c r="V100" s="299">
        <v>0</v>
      </c>
      <c r="W100" s="295">
        <f t="shared" si="4"/>
        <v>0</v>
      </c>
    </row>
    <row r="101" spans="1:23" ht="15" customHeight="1">
      <c r="A101" s="604"/>
      <c r="B101" s="318" t="s">
        <v>888</v>
      </c>
      <c r="C101" s="299">
        <v>0</v>
      </c>
      <c r="D101" s="299">
        <v>0</v>
      </c>
      <c r="E101" s="299">
        <v>0</v>
      </c>
      <c r="F101" s="299">
        <v>0</v>
      </c>
      <c r="G101" s="299">
        <v>0</v>
      </c>
      <c r="H101" s="299">
        <v>0</v>
      </c>
      <c r="I101" s="299">
        <v>0</v>
      </c>
      <c r="J101" s="299">
        <v>0</v>
      </c>
      <c r="K101" s="299">
        <v>0</v>
      </c>
      <c r="L101" s="299">
        <v>0</v>
      </c>
      <c r="M101" s="299">
        <v>0</v>
      </c>
      <c r="N101" s="299">
        <v>0</v>
      </c>
      <c r="O101" s="299">
        <v>0</v>
      </c>
      <c r="P101" s="299">
        <v>0</v>
      </c>
      <c r="Q101" s="299">
        <v>0</v>
      </c>
      <c r="R101" s="299">
        <v>0</v>
      </c>
      <c r="S101" s="299">
        <v>0</v>
      </c>
      <c r="T101" s="299">
        <v>0</v>
      </c>
      <c r="U101" s="299">
        <v>0</v>
      </c>
      <c r="V101" s="299">
        <v>0</v>
      </c>
      <c r="W101" s="295">
        <f t="shared" si="4"/>
        <v>0</v>
      </c>
    </row>
    <row r="102" spans="1:23" ht="15" customHeight="1" thickBot="1">
      <c r="A102" s="604"/>
      <c r="B102" s="318" t="s">
        <v>889</v>
      </c>
      <c r="C102" s="299">
        <v>0</v>
      </c>
      <c r="D102" s="299">
        <v>0</v>
      </c>
      <c r="E102" s="299">
        <v>0</v>
      </c>
      <c r="F102" s="299">
        <v>0</v>
      </c>
      <c r="G102" s="299">
        <v>0</v>
      </c>
      <c r="H102" s="299">
        <v>0</v>
      </c>
      <c r="I102" s="299">
        <v>0</v>
      </c>
      <c r="J102" s="299">
        <v>0</v>
      </c>
      <c r="K102" s="299">
        <v>0</v>
      </c>
      <c r="L102" s="299">
        <v>0</v>
      </c>
      <c r="M102" s="299">
        <v>0</v>
      </c>
      <c r="N102" s="299">
        <v>0</v>
      </c>
      <c r="O102" s="299">
        <v>0</v>
      </c>
      <c r="P102" s="299">
        <v>0</v>
      </c>
      <c r="Q102" s="299">
        <v>0</v>
      </c>
      <c r="R102" s="299">
        <v>0</v>
      </c>
      <c r="S102" s="299">
        <v>0</v>
      </c>
      <c r="T102" s="299">
        <v>0</v>
      </c>
      <c r="U102" s="299">
        <v>0</v>
      </c>
      <c r="V102" s="299">
        <v>0</v>
      </c>
      <c r="W102" s="295">
        <f t="shared" si="4"/>
        <v>0</v>
      </c>
    </row>
    <row r="103" spans="1:23" ht="15" customHeight="1">
      <c r="A103" s="603" t="s">
        <v>893</v>
      </c>
      <c r="B103" s="318" t="s">
        <v>890</v>
      </c>
      <c r="C103" s="299">
        <v>1</v>
      </c>
      <c r="D103" s="299">
        <v>1</v>
      </c>
      <c r="E103" s="299">
        <v>1</v>
      </c>
      <c r="F103" s="299">
        <v>1</v>
      </c>
      <c r="G103" s="299">
        <v>0</v>
      </c>
      <c r="H103" s="299">
        <v>0</v>
      </c>
      <c r="I103" s="299">
        <v>0</v>
      </c>
      <c r="J103" s="299">
        <v>1</v>
      </c>
      <c r="K103" s="299">
        <v>0</v>
      </c>
      <c r="L103" s="299">
        <v>0</v>
      </c>
      <c r="M103" s="299">
        <v>0</v>
      </c>
      <c r="N103" s="299">
        <v>0</v>
      </c>
      <c r="O103" s="299">
        <v>0</v>
      </c>
      <c r="P103" s="299">
        <v>0</v>
      </c>
      <c r="Q103" s="299">
        <v>0</v>
      </c>
      <c r="R103" s="299">
        <v>0</v>
      </c>
      <c r="S103" s="299">
        <v>0</v>
      </c>
      <c r="T103" s="299">
        <v>0</v>
      </c>
      <c r="U103" s="299">
        <v>0</v>
      </c>
      <c r="V103" s="299">
        <v>0</v>
      </c>
      <c r="W103" s="295">
        <f t="shared" si="4"/>
        <v>0.25</v>
      </c>
    </row>
    <row r="104" spans="1:23" ht="15" customHeight="1">
      <c r="A104" s="604"/>
      <c r="B104" s="318" t="s">
        <v>891</v>
      </c>
      <c r="C104" s="299">
        <v>1</v>
      </c>
      <c r="D104" s="299">
        <v>1</v>
      </c>
      <c r="E104" s="299">
        <v>1</v>
      </c>
      <c r="F104" s="299">
        <v>1</v>
      </c>
      <c r="G104" s="299">
        <v>0</v>
      </c>
      <c r="H104" s="299">
        <v>0</v>
      </c>
      <c r="I104" s="299">
        <v>0</v>
      </c>
      <c r="J104" s="299">
        <v>1</v>
      </c>
      <c r="K104" s="299">
        <v>0</v>
      </c>
      <c r="L104" s="299">
        <v>0</v>
      </c>
      <c r="M104" s="299">
        <v>0</v>
      </c>
      <c r="N104" s="299">
        <v>0</v>
      </c>
      <c r="O104" s="299">
        <v>0</v>
      </c>
      <c r="P104" s="299">
        <v>0</v>
      </c>
      <c r="Q104" s="299">
        <v>0</v>
      </c>
      <c r="R104" s="299">
        <v>0</v>
      </c>
      <c r="S104" s="299">
        <v>0</v>
      </c>
      <c r="T104" s="299">
        <v>0</v>
      </c>
      <c r="U104" s="299">
        <v>0</v>
      </c>
      <c r="V104" s="299">
        <v>0</v>
      </c>
      <c r="W104" s="295">
        <f t="shared" si="4"/>
        <v>0.25</v>
      </c>
    </row>
    <row r="105" spans="1:23" ht="15" customHeight="1">
      <c r="A105" s="604"/>
      <c r="B105" s="318" t="s">
        <v>565</v>
      </c>
      <c r="C105" s="299">
        <v>1</v>
      </c>
      <c r="D105" s="299">
        <v>1</v>
      </c>
      <c r="E105" s="299">
        <v>1</v>
      </c>
      <c r="F105" s="299">
        <v>1</v>
      </c>
      <c r="G105" s="299">
        <v>0</v>
      </c>
      <c r="H105" s="299">
        <v>0</v>
      </c>
      <c r="I105" s="299">
        <v>0.9</v>
      </c>
      <c r="J105" s="299">
        <v>1</v>
      </c>
      <c r="K105" s="299">
        <v>0</v>
      </c>
      <c r="L105" s="299">
        <v>0</v>
      </c>
      <c r="M105" s="299">
        <v>0</v>
      </c>
      <c r="N105" s="299">
        <v>0</v>
      </c>
      <c r="O105" s="299">
        <v>0</v>
      </c>
      <c r="P105" s="299">
        <v>0</v>
      </c>
      <c r="Q105" s="299">
        <v>0</v>
      </c>
      <c r="R105" s="299">
        <v>0</v>
      </c>
      <c r="S105" s="299">
        <v>0</v>
      </c>
      <c r="T105" s="299">
        <v>0</v>
      </c>
      <c r="U105" s="299">
        <v>0</v>
      </c>
      <c r="V105" s="299">
        <v>0</v>
      </c>
      <c r="W105" s="295">
        <f t="shared" si="4"/>
        <v>0.29500000000000004</v>
      </c>
    </row>
    <row r="106" spans="1:23" ht="15" customHeight="1">
      <c r="A106" s="604"/>
      <c r="B106" s="318" t="s">
        <v>566</v>
      </c>
      <c r="C106" s="299">
        <v>1</v>
      </c>
      <c r="D106" s="299">
        <v>1</v>
      </c>
      <c r="E106" s="299">
        <v>1</v>
      </c>
      <c r="F106" s="299">
        <v>1</v>
      </c>
      <c r="G106" s="299">
        <v>0</v>
      </c>
      <c r="H106" s="299">
        <v>0</v>
      </c>
      <c r="I106" s="299">
        <v>0.9</v>
      </c>
      <c r="J106" s="299">
        <v>1</v>
      </c>
      <c r="K106" s="299">
        <v>0</v>
      </c>
      <c r="L106" s="299">
        <v>0</v>
      </c>
      <c r="M106" s="299">
        <v>0</v>
      </c>
      <c r="N106" s="299">
        <v>0</v>
      </c>
      <c r="O106" s="299">
        <v>0</v>
      </c>
      <c r="P106" s="299">
        <v>0</v>
      </c>
      <c r="Q106" s="299">
        <v>0</v>
      </c>
      <c r="R106" s="299">
        <v>0</v>
      </c>
      <c r="S106" s="299">
        <v>0</v>
      </c>
      <c r="T106" s="299">
        <v>0</v>
      </c>
      <c r="U106" s="299">
        <v>0</v>
      </c>
      <c r="V106" s="299">
        <v>0</v>
      </c>
      <c r="W106" s="295">
        <f t="shared" si="4"/>
        <v>0.29500000000000004</v>
      </c>
    </row>
    <row r="107" spans="1:23" ht="15" customHeight="1">
      <c r="A107" s="604"/>
      <c r="B107" s="318" t="s">
        <v>567</v>
      </c>
      <c r="C107" s="299">
        <v>1</v>
      </c>
      <c r="D107" s="299">
        <v>1</v>
      </c>
      <c r="E107" s="299">
        <v>1</v>
      </c>
      <c r="F107" s="299">
        <v>1</v>
      </c>
      <c r="G107" s="299">
        <v>0</v>
      </c>
      <c r="H107" s="299">
        <v>0</v>
      </c>
      <c r="I107" s="299">
        <v>0.9</v>
      </c>
      <c r="J107" s="299">
        <v>1</v>
      </c>
      <c r="K107" s="299">
        <v>0</v>
      </c>
      <c r="L107" s="299">
        <v>0</v>
      </c>
      <c r="M107" s="299">
        <v>0</v>
      </c>
      <c r="N107" s="299">
        <v>0</v>
      </c>
      <c r="O107" s="299">
        <v>0</v>
      </c>
      <c r="P107" s="299">
        <v>0</v>
      </c>
      <c r="Q107" s="299">
        <v>0</v>
      </c>
      <c r="R107" s="299">
        <v>0</v>
      </c>
      <c r="S107" s="299">
        <v>0</v>
      </c>
      <c r="T107" s="299">
        <v>0</v>
      </c>
      <c r="U107" s="299">
        <v>0</v>
      </c>
      <c r="V107" s="299">
        <v>0</v>
      </c>
      <c r="W107" s="295">
        <f t="shared" si="4"/>
        <v>0.29500000000000004</v>
      </c>
    </row>
    <row r="108" spans="1:23" ht="15" customHeight="1">
      <c r="A108" s="604"/>
      <c r="B108" s="318" t="s">
        <v>568</v>
      </c>
      <c r="C108" s="299">
        <v>1</v>
      </c>
      <c r="D108" s="299">
        <v>1</v>
      </c>
      <c r="E108" s="299">
        <v>1</v>
      </c>
      <c r="F108" s="299">
        <v>1</v>
      </c>
      <c r="G108" s="299">
        <v>0</v>
      </c>
      <c r="H108" s="299">
        <v>0</v>
      </c>
      <c r="I108" s="299">
        <v>0.9</v>
      </c>
      <c r="J108" s="299">
        <v>1</v>
      </c>
      <c r="K108" s="299">
        <v>0</v>
      </c>
      <c r="L108" s="299">
        <v>0</v>
      </c>
      <c r="M108" s="299">
        <v>0</v>
      </c>
      <c r="N108" s="299">
        <v>0</v>
      </c>
      <c r="O108" s="299">
        <v>0</v>
      </c>
      <c r="P108" s="299">
        <v>0</v>
      </c>
      <c r="Q108" s="299">
        <v>0</v>
      </c>
      <c r="R108" s="299">
        <v>0</v>
      </c>
      <c r="S108" s="299">
        <v>0</v>
      </c>
      <c r="T108" s="299">
        <v>0</v>
      </c>
      <c r="U108" s="299">
        <v>0</v>
      </c>
      <c r="V108" s="299">
        <v>0</v>
      </c>
      <c r="W108" s="295">
        <f t="shared" si="4"/>
        <v>0.29500000000000004</v>
      </c>
    </row>
    <row r="109" spans="1:23" ht="15" customHeight="1">
      <c r="A109" s="604"/>
      <c r="B109" s="318" t="s">
        <v>569</v>
      </c>
      <c r="C109" s="299">
        <v>1</v>
      </c>
      <c r="D109" s="299">
        <v>1</v>
      </c>
      <c r="E109" s="299">
        <v>1</v>
      </c>
      <c r="F109" s="299">
        <v>1</v>
      </c>
      <c r="G109" s="299">
        <v>0</v>
      </c>
      <c r="H109" s="299">
        <v>0</v>
      </c>
      <c r="I109" s="299">
        <v>0.9</v>
      </c>
      <c r="J109" s="299">
        <v>1</v>
      </c>
      <c r="K109" s="299">
        <v>0</v>
      </c>
      <c r="L109" s="299">
        <v>0</v>
      </c>
      <c r="M109" s="299">
        <v>0</v>
      </c>
      <c r="N109" s="299">
        <v>0</v>
      </c>
      <c r="O109" s="299">
        <v>0</v>
      </c>
      <c r="P109" s="299">
        <v>0</v>
      </c>
      <c r="Q109" s="299">
        <v>0</v>
      </c>
      <c r="R109" s="299">
        <v>0</v>
      </c>
      <c r="S109" s="299">
        <v>0</v>
      </c>
      <c r="T109" s="299">
        <v>0</v>
      </c>
      <c r="U109" s="299">
        <v>0</v>
      </c>
      <c r="V109" s="299">
        <v>0</v>
      </c>
      <c r="W109" s="295">
        <f t="shared" si="4"/>
        <v>0.29500000000000004</v>
      </c>
    </row>
    <row r="110" spans="1:23" ht="15" customHeight="1">
      <c r="A110" s="604"/>
      <c r="B110" s="318" t="s">
        <v>570</v>
      </c>
      <c r="C110" s="299">
        <v>1</v>
      </c>
      <c r="D110" s="299">
        <v>1</v>
      </c>
      <c r="E110" s="299">
        <v>1</v>
      </c>
      <c r="F110" s="299">
        <v>1</v>
      </c>
      <c r="G110" s="299">
        <v>0</v>
      </c>
      <c r="H110" s="299">
        <v>0</v>
      </c>
      <c r="I110" s="299">
        <v>0.9</v>
      </c>
      <c r="J110" s="299">
        <v>1</v>
      </c>
      <c r="K110" s="299">
        <v>0</v>
      </c>
      <c r="L110" s="299">
        <v>0</v>
      </c>
      <c r="M110" s="299">
        <v>0</v>
      </c>
      <c r="N110" s="299">
        <v>0</v>
      </c>
      <c r="O110" s="299">
        <v>0</v>
      </c>
      <c r="P110" s="299">
        <v>0</v>
      </c>
      <c r="Q110" s="299">
        <v>0</v>
      </c>
      <c r="R110" s="299">
        <v>0</v>
      </c>
      <c r="S110" s="299">
        <v>0</v>
      </c>
      <c r="T110" s="299">
        <v>0</v>
      </c>
      <c r="U110" s="299">
        <v>0</v>
      </c>
      <c r="V110" s="299">
        <v>0</v>
      </c>
      <c r="W110" s="295">
        <f t="shared" si="4"/>
        <v>0.29500000000000004</v>
      </c>
    </row>
    <row r="111" spans="1:23" ht="15" customHeight="1">
      <c r="A111" s="604"/>
      <c r="B111" s="318" t="s">
        <v>571</v>
      </c>
      <c r="C111" s="299">
        <v>0</v>
      </c>
      <c r="D111" s="299">
        <v>0</v>
      </c>
      <c r="E111" s="299">
        <v>0</v>
      </c>
      <c r="F111" s="299">
        <v>0</v>
      </c>
      <c r="G111" s="299">
        <v>0</v>
      </c>
      <c r="H111" s="299">
        <v>0</v>
      </c>
      <c r="I111" s="299">
        <v>0</v>
      </c>
      <c r="J111" s="299">
        <v>0</v>
      </c>
      <c r="K111" s="299">
        <v>0</v>
      </c>
      <c r="L111" s="299">
        <v>0</v>
      </c>
      <c r="M111" s="299">
        <v>0</v>
      </c>
      <c r="N111" s="299">
        <v>0</v>
      </c>
      <c r="O111" s="299">
        <v>0</v>
      </c>
      <c r="P111" s="299">
        <v>0</v>
      </c>
      <c r="Q111" s="299">
        <v>0</v>
      </c>
      <c r="R111" s="299">
        <v>0</v>
      </c>
      <c r="S111" s="299">
        <v>0</v>
      </c>
      <c r="T111" s="299">
        <v>0</v>
      </c>
      <c r="U111" s="299">
        <v>0</v>
      </c>
      <c r="V111" s="299">
        <v>0</v>
      </c>
      <c r="W111" s="295">
        <f t="shared" si="4"/>
        <v>0</v>
      </c>
    </row>
    <row r="112" spans="1:23" ht="15" customHeight="1">
      <c r="A112" s="604"/>
      <c r="B112" s="318" t="s">
        <v>572</v>
      </c>
      <c r="C112" s="299">
        <v>0</v>
      </c>
      <c r="D112" s="299">
        <v>0</v>
      </c>
      <c r="E112" s="299">
        <v>0</v>
      </c>
      <c r="F112" s="299">
        <v>0</v>
      </c>
      <c r="G112" s="299">
        <v>0</v>
      </c>
      <c r="H112" s="299">
        <v>0</v>
      </c>
      <c r="I112" s="299">
        <v>0</v>
      </c>
      <c r="J112" s="299">
        <v>0</v>
      </c>
      <c r="K112" s="299">
        <v>0</v>
      </c>
      <c r="L112" s="299">
        <v>0</v>
      </c>
      <c r="M112" s="299">
        <v>0</v>
      </c>
      <c r="N112" s="299">
        <v>0</v>
      </c>
      <c r="O112" s="299">
        <v>0</v>
      </c>
      <c r="P112" s="299">
        <v>0</v>
      </c>
      <c r="Q112" s="299">
        <v>0</v>
      </c>
      <c r="R112" s="299">
        <v>0</v>
      </c>
      <c r="S112" s="299">
        <v>0</v>
      </c>
      <c r="T112" s="299">
        <v>0</v>
      </c>
      <c r="U112" s="299">
        <v>0</v>
      </c>
      <c r="V112" s="299">
        <v>0</v>
      </c>
      <c r="W112" s="295">
        <f t="shared" si="4"/>
        <v>0</v>
      </c>
    </row>
    <row r="113" spans="1:35" ht="15" customHeight="1">
      <c r="A113" s="604"/>
      <c r="B113" s="318" t="s">
        <v>573</v>
      </c>
      <c r="C113" s="299">
        <v>0</v>
      </c>
      <c r="D113" s="299">
        <v>0</v>
      </c>
      <c r="E113" s="299">
        <v>0</v>
      </c>
      <c r="F113" s="299">
        <v>0</v>
      </c>
      <c r="G113" s="299">
        <v>0</v>
      </c>
      <c r="H113" s="299">
        <v>0</v>
      </c>
      <c r="I113" s="299">
        <v>0</v>
      </c>
      <c r="J113" s="299">
        <v>0</v>
      </c>
      <c r="K113" s="299">
        <v>0</v>
      </c>
      <c r="L113" s="299">
        <v>0</v>
      </c>
      <c r="M113" s="299">
        <v>0</v>
      </c>
      <c r="N113" s="299">
        <v>0</v>
      </c>
      <c r="O113" s="299">
        <v>0</v>
      </c>
      <c r="P113" s="299">
        <v>0</v>
      </c>
      <c r="Q113" s="299">
        <v>0</v>
      </c>
      <c r="R113" s="299">
        <v>0</v>
      </c>
      <c r="S113" s="299">
        <v>0</v>
      </c>
      <c r="T113" s="299">
        <v>0</v>
      </c>
      <c r="U113" s="299">
        <v>0</v>
      </c>
      <c r="V113" s="299">
        <v>0</v>
      </c>
      <c r="W113" s="295">
        <f t="shared" si="4"/>
        <v>0</v>
      </c>
    </row>
    <row r="114" spans="1:35" ht="15" customHeight="1">
      <c r="A114" s="604"/>
      <c r="B114" s="318" t="s">
        <v>574</v>
      </c>
      <c r="C114" s="299">
        <v>0</v>
      </c>
      <c r="D114" s="299">
        <v>0</v>
      </c>
      <c r="E114" s="299">
        <v>0</v>
      </c>
      <c r="F114" s="299">
        <v>0</v>
      </c>
      <c r="G114" s="299">
        <v>0</v>
      </c>
      <c r="H114" s="299">
        <v>0</v>
      </c>
      <c r="I114" s="299">
        <v>0</v>
      </c>
      <c r="J114" s="299">
        <v>0</v>
      </c>
      <c r="K114" s="299">
        <v>0</v>
      </c>
      <c r="L114" s="299">
        <v>0</v>
      </c>
      <c r="M114" s="299">
        <v>0</v>
      </c>
      <c r="N114" s="299">
        <v>0</v>
      </c>
      <c r="O114" s="299">
        <v>0</v>
      </c>
      <c r="P114" s="299">
        <v>0</v>
      </c>
      <c r="Q114" s="299">
        <v>0</v>
      </c>
      <c r="R114" s="299">
        <v>0</v>
      </c>
      <c r="S114" s="299">
        <v>0</v>
      </c>
      <c r="T114" s="299">
        <v>0</v>
      </c>
      <c r="U114" s="299">
        <v>0</v>
      </c>
      <c r="V114" s="299">
        <v>0</v>
      </c>
      <c r="W114" s="295">
        <f t="shared" si="4"/>
        <v>0</v>
      </c>
    </row>
    <row r="115" spans="1:35" ht="15" customHeight="1">
      <c r="A115" s="604"/>
      <c r="B115" s="318" t="s">
        <v>575</v>
      </c>
      <c r="C115" s="299">
        <v>0</v>
      </c>
      <c r="D115" s="299">
        <v>0</v>
      </c>
      <c r="E115" s="299">
        <v>0</v>
      </c>
      <c r="F115" s="299">
        <v>0</v>
      </c>
      <c r="G115" s="299">
        <v>0</v>
      </c>
      <c r="H115" s="299">
        <v>0</v>
      </c>
      <c r="I115" s="299">
        <v>0</v>
      </c>
      <c r="J115" s="299">
        <v>0</v>
      </c>
      <c r="K115" s="299">
        <v>0</v>
      </c>
      <c r="L115" s="299">
        <v>0</v>
      </c>
      <c r="M115" s="299">
        <v>0</v>
      </c>
      <c r="N115" s="299">
        <v>0</v>
      </c>
      <c r="O115" s="299">
        <v>0</v>
      </c>
      <c r="P115" s="299">
        <v>0</v>
      </c>
      <c r="Q115" s="299">
        <v>0</v>
      </c>
      <c r="R115" s="299">
        <v>0</v>
      </c>
      <c r="S115" s="299">
        <v>0</v>
      </c>
      <c r="T115" s="299">
        <v>0</v>
      </c>
      <c r="U115" s="299">
        <v>0</v>
      </c>
      <c r="V115" s="299">
        <v>0</v>
      </c>
      <c r="W115" s="295">
        <f t="shared" si="4"/>
        <v>0</v>
      </c>
    </row>
    <row r="116" spans="1:35" ht="15" customHeight="1">
      <c r="A116" s="604"/>
      <c r="B116" s="318" t="s">
        <v>576</v>
      </c>
      <c r="C116" s="299">
        <v>0</v>
      </c>
      <c r="D116" s="299">
        <v>0</v>
      </c>
      <c r="E116" s="299">
        <v>0</v>
      </c>
      <c r="F116" s="299">
        <v>0</v>
      </c>
      <c r="G116" s="299">
        <v>0</v>
      </c>
      <c r="H116" s="299">
        <v>0</v>
      </c>
      <c r="I116" s="299">
        <v>0</v>
      </c>
      <c r="J116" s="299">
        <v>0</v>
      </c>
      <c r="K116" s="299">
        <v>0</v>
      </c>
      <c r="L116" s="299">
        <v>0</v>
      </c>
      <c r="M116" s="299">
        <v>0</v>
      </c>
      <c r="N116" s="299">
        <v>0</v>
      </c>
      <c r="O116" s="299">
        <v>0</v>
      </c>
      <c r="P116" s="299">
        <v>0</v>
      </c>
      <c r="Q116" s="299">
        <v>0</v>
      </c>
      <c r="R116" s="299">
        <v>0</v>
      </c>
      <c r="S116" s="299">
        <v>0</v>
      </c>
      <c r="T116" s="299">
        <v>0</v>
      </c>
      <c r="U116" s="299">
        <v>0</v>
      </c>
      <c r="V116" s="299">
        <v>0</v>
      </c>
      <c r="W116" s="295">
        <f t="shared" si="4"/>
        <v>0</v>
      </c>
    </row>
    <row r="117" spans="1:35" ht="15" customHeight="1">
      <c r="A117" s="604"/>
      <c r="B117" s="318" t="s">
        <v>577</v>
      </c>
      <c r="C117" s="299">
        <v>0</v>
      </c>
      <c r="D117" s="299">
        <v>0</v>
      </c>
      <c r="E117" s="299">
        <v>0</v>
      </c>
      <c r="F117" s="299">
        <v>0</v>
      </c>
      <c r="G117" s="299">
        <v>0</v>
      </c>
      <c r="H117" s="299">
        <v>0</v>
      </c>
      <c r="I117" s="299">
        <v>0</v>
      </c>
      <c r="J117" s="299">
        <v>0</v>
      </c>
      <c r="K117" s="299">
        <v>0</v>
      </c>
      <c r="L117" s="299">
        <v>0</v>
      </c>
      <c r="M117" s="299">
        <v>0</v>
      </c>
      <c r="N117" s="299">
        <v>0</v>
      </c>
      <c r="O117" s="299">
        <v>0</v>
      </c>
      <c r="P117" s="299">
        <v>0</v>
      </c>
      <c r="Q117" s="299">
        <v>0</v>
      </c>
      <c r="R117" s="299">
        <v>0</v>
      </c>
      <c r="S117" s="299">
        <v>0</v>
      </c>
      <c r="T117" s="299">
        <v>0</v>
      </c>
      <c r="U117" s="299">
        <v>0</v>
      </c>
      <c r="V117" s="299">
        <v>0</v>
      </c>
      <c r="W117" s="295">
        <f t="shared" si="4"/>
        <v>0</v>
      </c>
    </row>
    <row r="118" spans="1:35" ht="15" customHeight="1">
      <c r="A118" s="604"/>
      <c r="B118" s="318" t="s">
        <v>578</v>
      </c>
      <c r="C118" s="299">
        <v>0</v>
      </c>
      <c r="D118" s="299">
        <v>0</v>
      </c>
      <c r="E118" s="299">
        <v>0</v>
      </c>
      <c r="F118" s="299">
        <v>0</v>
      </c>
      <c r="G118" s="299">
        <v>0</v>
      </c>
      <c r="H118" s="299">
        <v>0</v>
      </c>
      <c r="I118" s="299">
        <v>0</v>
      </c>
      <c r="J118" s="299">
        <v>0</v>
      </c>
      <c r="K118" s="299">
        <v>0</v>
      </c>
      <c r="L118" s="299">
        <v>0</v>
      </c>
      <c r="M118" s="299">
        <v>0</v>
      </c>
      <c r="N118" s="299">
        <v>0</v>
      </c>
      <c r="O118" s="299">
        <v>0</v>
      </c>
      <c r="P118" s="299">
        <v>0</v>
      </c>
      <c r="Q118" s="299">
        <v>0</v>
      </c>
      <c r="R118" s="299">
        <v>0</v>
      </c>
      <c r="S118" s="299">
        <v>0</v>
      </c>
      <c r="T118" s="299">
        <v>0</v>
      </c>
      <c r="U118" s="299">
        <v>0</v>
      </c>
      <c r="V118" s="299">
        <v>0</v>
      </c>
      <c r="W118" s="295">
        <f t="shared" si="4"/>
        <v>0</v>
      </c>
    </row>
    <row r="119" spans="1:35" ht="15" customHeight="1">
      <c r="A119" s="604"/>
      <c r="B119" s="318" t="s">
        <v>579</v>
      </c>
      <c r="C119" s="299">
        <v>0</v>
      </c>
      <c r="D119" s="299">
        <v>0</v>
      </c>
      <c r="E119" s="299">
        <v>0</v>
      </c>
      <c r="F119" s="299">
        <v>0</v>
      </c>
      <c r="G119" s="299">
        <v>0</v>
      </c>
      <c r="H119" s="299">
        <v>0</v>
      </c>
      <c r="I119" s="299">
        <v>0</v>
      </c>
      <c r="J119" s="299">
        <v>0</v>
      </c>
      <c r="K119" s="299">
        <v>0</v>
      </c>
      <c r="L119" s="299">
        <v>0</v>
      </c>
      <c r="M119" s="299">
        <v>0</v>
      </c>
      <c r="N119" s="299">
        <v>0</v>
      </c>
      <c r="O119" s="299">
        <v>0</v>
      </c>
      <c r="P119" s="299">
        <v>0</v>
      </c>
      <c r="Q119" s="299">
        <v>0</v>
      </c>
      <c r="R119" s="299">
        <v>0</v>
      </c>
      <c r="S119" s="299">
        <v>0</v>
      </c>
      <c r="T119" s="299">
        <v>0</v>
      </c>
      <c r="U119" s="299">
        <v>0</v>
      </c>
      <c r="V119" s="299">
        <v>0</v>
      </c>
      <c r="W119" s="295">
        <f t="shared" si="4"/>
        <v>0</v>
      </c>
    </row>
    <row r="120" spans="1:35" ht="15" customHeight="1">
      <c r="A120" s="604"/>
      <c r="B120" s="318" t="s">
        <v>884</v>
      </c>
      <c r="C120" s="299">
        <v>0</v>
      </c>
      <c r="D120" s="299">
        <v>0</v>
      </c>
      <c r="E120" s="299">
        <v>0</v>
      </c>
      <c r="F120" s="299">
        <v>0</v>
      </c>
      <c r="G120" s="299">
        <v>0</v>
      </c>
      <c r="H120" s="299">
        <v>0</v>
      </c>
      <c r="I120" s="299">
        <v>0</v>
      </c>
      <c r="J120" s="299">
        <v>0</v>
      </c>
      <c r="K120" s="299">
        <v>0</v>
      </c>
      <c r="L120" s="299">
        <v>0</v>
      </c>
      <c r="M120" s="299">
        <v>0</v>
      </c>
      <c r="N120" s="299">
        <v>0</v>
      </c>
      <c r="O120" s="299">
        <v>0</v>
      </c>
      <c r="P120" s="299">
        <v>0</v>
      </c>
      <c r="Q120" s="299">
        <v>0</v>
      </c>
      <c r="R120" s="299">
        <v>0</v>
      </c>
      <c r="S120" s="299">
        <v>0</v>
      </c>
      <c r="T120" s="299">
        <v>0</v>
      </c>
      <c r="U120" s="299">
        <v>0</v>
      </c>
      <c r="V120" s="299">
        <v>0</v>
      </c>
      <c r="W120" s="295">
        <f t="shared" si="4"/>
        <v>0</v>
      </c>
    </row>
    <row r="121" spans="1:35" ht="15" customHeight="1">
      <c r="A121" s="604"/>
      <c r="B121" s="318" t="s">
        <v>885</v>
      </c>
      <c r="C121" s="299">
        <v>0</v>
      </c>
      <c r="D121" s="299">
        <v>0</v>
      </c>
      <c r="E121" s="299">
        <v>0</v>
      </c>
      <c r="F121" s="299">
        <v>0</v>
      </c>
      <c r="G121" s="299">
        <v>0</v>
      </c>
      <c r="H121" s="299">
        <v>0</v>
      </c>
      <c r="I121" s="299">
        <v>0</v>
      </c>
      <c r="J121" s="299">
        <v>0</v>
      </c>
      <c r="K121" s="299">
        <v>0</v>
      </c>
      <c r="L121" s="299">
        <v>0</v>
      </c>
      <c r="M121" s="299">
        <v>0</v>
      </c>
      <c r="N121" s="299">
        <v>0</v>
      </c>
      <c r="O121" s="299">
        <v>0</v>
      </c>
      <c r="P121" s="299">
        <v>0</v>
      </c>
      <c r="Q121" s="299">
        <v>0</v>
      </c>
      <c r="R121" s="299">
        <v>0</v>
      </c>
      <c r="S121" s="299">
        <v>0</v>
      </c>
      <c r="T121" s="299">
        <v>0</v>
      </c>
      <c r="U121" s="299">
        <v>0</v>
      </c>
      <c r="V121" s="299">
        <v>0</v>
      </c>
      <c r="W121" s="295">
        <f t="shared" si="4"/>
        <v>0</v>
      </c>
    </row>
    <row r="122" spans="1:35" ht="15" customHeight="1">
      <c r="A122" s="604"/>
      <c r="B122" s="318" t="s">
        <v>886</v>
      </c>
      <c r="C122" s="299">
        <v>0</v>
      </c>
      <c r="D122" s="299">
        <v>0</v>
      </c>
      <c r="E122" s="299">
        <v>0</v>
      </c>
      <c r="F122" s="299">
        <v>0</v>
      </c>
      <c r="G122" s="299">
        <v>0</v>
      </c>
      <c r="H122" s="299">
        <v>0</v>
      </c>
      <c r="I122" s="299">
        <v>0</v>
      </c>
      <c r="J122" s="299">
        <v>0</v>
      </c>
      <c r="K122" s="299">
        <v>0</v>
      </c>
      <c r="L122" s="299">
        <v>0</v>
      </c>
      <c r="M122" s="299">
        <v>0</v>
      </c>
      <c r="N122" s="299">
        <v>0</v>
      </c>
      <c r="O122" s="299">
        <v>0</v>
      </c>
      <c r="P122" s="299">
        <v>0</v>
      </c>
      <c r="Q122" s="299">
        <v>0</v>
      </c>
      <c r="R122" s="299">
        <v>0</v>
      </c>
      <c r="S122" s="299">
        <v>0</v>
      </c>
      <c r="T122" s="299">
        <v>0</v>
      </c>
      <c r="U122" s="299">
        <v>0</v>
      </c>
      <c r="V122" s="299">
        <v>0</v>
      </c>
      <c r="W122" s="295">
        <f t="shared" si="4"/>
        <v>0</v>
      </c>
    </row>
    <row r="123" spans="1:35" ht="15" customHeight="1" thickBot="1">
      <c r="A123" s="605"/>
      <c r="B123" s="318" t="s">
        <v>887</v>
      </c>
      <c r="C123" s="299">
        <v>0</v>
      </c>
      <c r="D123" s="299">
        <v>0</v>
      </c>
      <c r="E123" s="299">
        <v>0</v>
      </c>
      <c r="F123" s="299">
        <v>0</v>
      </c>
      <c r="G123" s="299">
        <v>0</v>
      </c>
      <c r="H123" s="299">
        <v>0</v>
      </c>
      <c r="I123" s="299">
        <v>0</v>
      </c>
      <c r="J123" s="299">
        <v>0</v>
      </c>
      <c r="K123" s="299">
        <v>0</v>
      </c>
      <c r="L123" s="299">
        <v>0</v>
      </c>
      <c r="M123" s="299">
        <v>0</v>
      </c>
      <c r="N123" s="299">
        <v>0</v>
      </c>
      <c r="O123" s="299">
        <v>0</v>
      </c>
      <c r="P123" s="299">
        <v>0</v>
      </c>
      <c r="Q123" s="299">
        <v>0</v>
      </c>
      <c r="R123" s="299">
        <v>0</v>
      </c>
      <c r="S123" s="299">
        <v>0</v>
      </c>
      <c r="T123" s="299">
        <v>0</v>
      </c>
      <c r="U123" s="299">
        <v>0</v>
      </c>
      <c r="V123" s="299">
        <v>0</v>
      </c>
      <c r="W123" s="300">
        <f t="shared" si="4"/>
        <v>0</v>
      </c>
    </row>
    <row r="124" spans="1:35" ht="20.100000000000001" customHeight="1" thickBot="1">
      <c r="A124" s="600" t="s">
        <v>755</v>
      </c>
      <c r="B124" s="601"/>
      <c r="C124" s="296"/>
      <c r="D124" s="296"/>
      <c r="E124" s="296"/>
      <c r="F124" s="296"/>
      <c r="G124" s="296"/>
      <c r="H124" s="296"/>
      <c r="I124" s="296"/>
      <c r="J124" s="296"/>
      <c r="K124" s="296"/>
      <c r="L124" s="296"/>
      <c r="M124" s="296"/>
      <c r="N124" s="296"/>
      <c r="O124" s="296"/>
      <c r="P124" s="296"/>
      <c r="Q124" s="296"/>
      <c r="R124" s="296"/>
      <c r="S124" s="296"/>
      <c r="T124" s="296"/>
      <c r="U124" s="296"/>
      <c r="V124" s="297"/>
      <c r="W124" s="560"/>
    </row>
    <row r="125" spans="1:35" ht="20.100000000000001" customHeight="1" thickBot="1">
      <c r="A125" s="600" t="s">
        <v>754</v>
      </c>
      <c r="B125" s="601"/>
      <c r="C125" s="296">
        <f t="shared" ref="C125:V125" si="5">+AVERAGE(C80:C123)</f>
        <v>0.47727272727272729</v>
      </c>
      <c r="D125" s="296">
        <f>+AVERAGE(D80:D123)</f>
        <v>0.18181818181818182</v>
      </c>
      <c r="E125" s="296">
        <f t="shared" si="5"/>
        <v>0.18181818181818182</v>
      </c>
      <c r="F125" s="296">
        <f t="shared" si="5"/>
        <v>0.18181818181818182</v>
      </c>
      <c r="G125" s="296">
        <f t="shared" si="5"/>
        <v>0</v>
      </c>
      <c r="H125" s="296">
        <f t="shared" si="5"/>
        <v>0</v>
      </c>
      <c r="I125" s="296">
        <f t="shared" si="5"/>
        <v>0.12272727272727274</v>
      </c>
      <c r="J125" s="296">
        <f t="shared" si="5"/>
        <v>0.18181818181818182</v>
      </c>
      <c r="K125" s="296">
        <f t="shared" si="5"/>
        <v>0</v>
      </c>
      <c r="L125" s="296">
        <f t="shared" si="5"/>
        <v>0</v>
      </c>
      <c r="M125" s="296">
        <f t="shared" si="5"/>
        <v>0</v>
      </c>
      <c r="N125" s="296">
        <f t="shared" si="5"/>
        <v>0</v>
      </c>
      <c r="O125" s="296">
        <f t="shared" si="5"/>
        <v>0</v>
      </c>
      <c r="P125" s="296">
        <f t="shared" si="5"/>
        <v>0</v>
      </c>
      <c r="Q125" s="296">
        <f t="shared" si="5"/>
        <v>0</v>
      </c>
      <c r="R125" s="296">
        <f t="shared" si="5"/>
        <v>0</v>
      </c>
      <c r="S125" s="296">
        <f t="shared" si="5"/>
        <v>0</v>
      </c>
      <c r="T125" s="296">
        <f t="shared" si="5"/>
        <v>0</v>
      </c>
      <c r="U125" s="296">
        <f t="shared" si="5"/>
        <v>0</v>
      </c>
      <c r="V125" s="296">
        <f t="shared" si="5"/>
        <v>0</v>
      </c>
      <c r="W125" s="561"/>
    </row>
    <row r="126" spans="1:35" ht="20.100000000000001" customHeight="1" thickBot="1">
      <c r="A126" s="600" t="s">
        <v>757</v>
      </c>
      <c r="B126" s="602"/>
      <c r="C126" s="516">
        <f>AVERAGE(C125:V125)</f>
        <v>6.6363636363636375E-2</v>
      </c>
      <c r="D126" s="517"/>
      <c r="E126" s="517"/>
      <c r="F126" s="517"/>
      <c r="G126" s="517"/>
      <c r="H126" s="517"/>
      <c r="I126" s="517"/>
      <c r="J126" s="517"/>
      <c r="K126" s="517"/>
      <c r="L126" s="517"/>
      <c r="M126" s="517"/>
      <c r="N126" s="517"/>
      <c r="O126" s="517"/>
      <c r="P126" s="517"/>
      <c r="Q126" s="517"/>
      <c r="R126" s="516"/>
      <c r="S126" s="517"/>
      <c r="T126" s="517"/>
      <c r="U126" s="517"/>
      <c r="V126" s="517"/>
      <c r="W126" s="562"/>
    </row>
    <row r="127" spans="1:35" ht="15" customHeight="1">
      <c r="A127" s="603" t="s">
        <v>908</v>
      </c>
      <c r="B127" s="320" t="s">
        <v>580</v>
      </c>
      <c r="C127" s="294">
        <v>0</v>
      </c>
      <c r="D127" s="294">
        <v>0</v>
      </c>
      <c r="E127" s="294">
        <v>0</v>
      </c>
      <c r="F127" s="294">
        <v>0</v>
      </c>
      <c r="G127" s="294">
        <v>0</v>
      </c>
      <c r="H127" s="294">
        <v>0</v>
      </c>
      <c r="I127" s="294">
        <v>0</v>
      </c>
      <c r="J127" s="294">
        <v>0</v>
      </c>
      <c r="K127" s="294">
        <v>0</v>
      </c>
      <c r="L127" s="294">
        <v>0</v>
      </c>
      <c r="M127" s="294">
        <v>0</v>
      </c>
      <c r="N127" s="294">
        <v>0</v>
      </c>
      <c r="O127" s="294">
        <v>0</v>
      </c>
      <c r="P127" s="294">
        <v>0</v>
      </c>
      <c r="Q127" s="294">
        <v>0</v>
      </c>
      <c r="R127" s="294">
        <v>0</v>
      </c>
      <c r="S127" s="294">
        <v>0</v>
      </c>
      <c r="T127" s="294">
        <v>0</v>
      </c>
      <c r="U127" s="294">
        <v>0</v>
      </c>
      <c r="V127" s="294">
        <v>0</v>
      </c>
      <c r="W127" s="295">
        <f t="shared" ref="W127:W170" si="6">+AVERAGE(C127:V127)</f>
        <v>0</v>
      </c>
      <c r="AI127" s="276"/>
    </row>
    <row r="128" spans="1:35" ht="15" customHeight="1">
      <c r="A128" s="604"/>
      <c r="B128" s="318" t="s">
        <v>581</v>
      </c>
      <c r="C128" s="294">
        <v>0</v>
      </c>
      <c r="D128" s="294">
        <v>0</v>
      </c>
      <c r="E128" s="294">
        <v>0</v>
      </c>
      <c r="F128" s="294">
        <v>0</v>
      </c>
      <c r="G128" s="294">
        <v>0</v>
      </c>
      <c r="H128" s="294">
        <v>0</v>
      </c>
      <c r="I128" s="294">
        <v>0</v>
      </c>
      <c r="J128" s="294">
        <v>0</v>
      </c>
      <c r="K128" s="294">
        <v>0</v>
      </c>
      <c r="L128" s="294">
        <v>0</v>
      </c>
      <c r="M128" s="294">
        <v>0</v>
      </c>
      <c r="N128" s="294">
        <v>0</v>
      </c>
      <c r="O128" s="294">
        <v>0</v>
      </c>
      <c r="P128" s="294">
        <v>0</v>
      </c>
      <c r="Q128" s="294">
        <v>0</v>
      </c>
      <c r="R128" s="294">
        <v>0</v>
      </c>
      <c r="S128" s="294">
        <v>0</v>
      </c>
      <c r="T128" s="294">
        <v>0</v>
      </c>
      <c r="U128" s="294">
        <v>0</v>
      </c>
      <c r="V128" s="294">
        <v>0</v>
      </c>
      <c r="W128" s="295">
        <f t="shared" si="6"/>
        <v>0</v>
      </c>
      <c r="AI128" s="276"/>
    </row>
    <row r="129" spans="1:35" ht="15" customHeight="1">
      <c r="A129" s="604"/>
      <c r="B129" s="318" t="s">
        <v>582</v>
      </c>
      <c r="C129" s="294">
        <v>0</v>
      </c>
      <c r="D129" s="294">
        <v>0</v>
      </c>
      <c r="E129" s="294">
        <v>0</v>
      </c>
      <c r="F129" s="294">
        <v>0</v>
      </c>
      <c r="G129" s="294">
        <v>0</v>
      </c>
      <c r="H129" s="294">
        <v>0</v>
      </c>
      <c r="I129" s="294">
        <v>0</v>
      </c>
      <c r="J129" s="294">
        <v>0</v>
      </c>
      <c r="K129" s="294">
        <v>0</v>
      </c>
      <c r="L129" s="294">
        <v>0</v>
      </c>
      <c r="M129" s="294">
        <v>0</v>
      </c>
      <c r="N129" s="294">
        <v>0</v>
      </c>
      <c r="O129" s="294">
        <v>0</v>
      </c>
      <c r="P129" s="294">
        <v>0</v>
      </c>
      <c r="Q129" s="294">
        <v>0</v>
      </c>
      <c r="R129" s="294">
        <v>0</v>
      </c>
      <c r="S129" s="294">
        <v>0</v>
      </c>
      <c r="T129" s="294">
        <v>0</v>
      </c>
      <c r="U129" s="294">
        <v>0</v>
      </c>
      <c r="V129" s="294">
        <v>0</v>
      </c>
      <c r="W129" s="295">
        <f t="shared" si="6"/>
        <v>0</v>
      </c>
      <c r="AI129" s="276"/>
    </row>
    <row r="130" spans="1:35" ht="15" customHeight="1">
      <c r="A130" s="604"/>
      <c r="B130" s="318" t="s">
        <v>583</v>
      </c>
      <c r="C130" s="294">
        <v>0</v>
      </c>
      <c r="D130" s="294">
        <v>0</v>
      </c>
      <c r="E130" s="294">
        <v>0</v>
      </c>
      <c r="F130" s="294">
        <v>0</v>
      </c>
      <c r="G130" s="294">
        <v>0</v>
      </c>
      <c r="H130" s="294">
        <v>0</v>
      </c>
      <c r="I130" s="294">
        <v>0</v>
      </c>
      <c r="J130" s="294">
        <v>0</v>
      </c>
      <c r="K130" s="294">
        <v>0</v>
      </c>
      <c r="L130" s="294">
        <v>0</v>
      </c>
      <c r="M130" s="294">
        <v>0</v>
      </c>
      <c r="N130" s="294">
        <v>0</v>
      </c>
      <c r="O130" s="294">
        <v>0</v>
      </c>
      <c r="P130" s="294">
        <v>0</v>
      </c>
      <c r="Q130" s="294">
        <v>0</v>
      </c>
      <c r="R130" s="294">
        <v>0</v>
      </c>
      <c r="S130" s="294">
        <v>0</v>
      </c>
      <c r="T130" s="294">
        <v>0</v>
      </c>
      <c r="U130" s="294">
        <v>0</v>
      </c>
      <c r="V130" s="294">
        <v>0</v>
      </c>
      <c r="W130" s="295">
        <f t="shared" si="6"/>
        <v>0</v>
      </c>
      <c r="AI130" s="276"/>
    </row>
    <row r="131" spans="1:35" ht="15" customHeight="1">
      <c r="A131" s="604"/>
      <c r="B131" s="318" t="s">
        <v>584</v>
      </c>
      <c r="C131" s="294">
        <v>0</v>
      </c>
      <c r="D131" s="294">
        <v>0</v>
      </c>
      <c r="E131" s="294">
        <v>0</v>
      </c>
      <c r="F131" s="294">
        <v>0</v>
      </c>
      <c r="G131" s="294">
        <v>0</v>
      </c>
      <c r="H131" s="294">
        <v>0</v>
      </c>
      <c r="I131" s="294">
        <v>0</v>
      </c>
      <c r="J131" s="294">
        <v>0</v>
      </c>
      <c r="K131" s="294">
        <v>0</v>
      </c>
      <c r="L131" s="294">
        <v>0</v>
      </c>
      <c r="M131" s="294">
        <v>0</v>
      </c>
      <c r="N131" s="294">
        <v>0</v>
      </c>
      <c r="O131" s="294">
        <v>0</v>
      </c>
      <c r="P131" s="294">
        <v>0</v>
      </c>
      <c r="Q131" s="294">
        <v>0</v>
      </c>
      <c r="R131" s="294">
        <v>0</v>
      </c>
      <c r="S131" s="294">
        <v>0</v>
      </c>
      <c r="T131" s="294">
        <v>0</v>
      </c>
      <c r="U131" s="294">
        <v>0</v>
      </c>
      <c r="V131" s="294">
        <v>0</v>
      </c>
      <c r="W131" s="295">
        <f t="shared" si="6"/>
        <v>0</v>
      </c>
      <c r="AI131" s="276"/>
    </row>
    <row r="132" spans="1:35" ht="15" customHeight="1">
      <c r="A132" s="604"/>
      <c r="B132" s="318" t="s">
        <v>585</v>
      </c>
      <c r="C132" s="294">
        <v>0</v>
      </c>
      <c r="D132" s="294">
        <v>0</v>
      </c>
      <c r="E132" s="294">
        <v>0</v>
      </c>
      <c r="F132" s="294">
        <v>0</v>
      </c>
      <c r="G132" s="294">
        <v>0</v>
      </c>
      <c r="H132" s="294">
        <v>0</v>
      </c>
      <c r="I132" s="294">
        <v>0</v>
      </c>
      <c r="J132" s="294">
        <v>0</v>
      </c>
      <c r="K132" s="294">
        <v>0</v>
      </c>
      <c r="L132" s="294">
        <v>0</v>
      </c>
      <c r="M132" s="294">
        <v>0</v>
      </c>
      <c r="N132" s="294">
        <v>0</v>
      </c>
      <c r="O132" s="294">
        <v>0</v>
      </c>
      <c r="P132" s="294">
        <v>0</v>
      </c>
      <c r="Q132" s="294">
        <v>0</v>
      </c>
      <c r="R132" s="294">
        <v>0</v>
      </c>
      <c r="S132" s="294">
        <v>0</v>
      </c>
      <c r="T132" s="294">
        <v>0</v>
      </c>
      <c r="U132" s="294">
        <v>0</v>
      </c>
      <c r="V132" s="294">
        <v>0</v>
      </c>
      <c r="W132" s="295">
        <f t="shared" si="6"/>
        <v>0</v>
      </c>
      <c r="AI132" s="276"/>
    </row>
    <row r="133" spans="1:35" ht="15" customHeight="1">
      <c r="A133" s="604"/>
      <c r="B133" s="318" t="s">
        <v>586</v>
      </c>
      <c r="C133" s="294">
        <v>0</v>
      </c>
      <c r="D133" s="294">
        <v>0</v>
      </c>
      <c r="E133" s="294">
        <v>0</v>
      </c>
      <c r="F133" s="294">
        <v>0</v>
      </c>
      <c r="G133" s="294">
        <v>0</v>
      </c>
      <c r="H133" s="294">
        <v>0</v>
      </c>
      <c r="I133" s="294">
        <v>0</v>
      </c>
      <c r="J133" s="294">
        <v>0</v>
      </c>
      <c r="K133" s="294">
        <v>0</v>
      </c>
      <c r="L133" s="294">
        <v>0</v>
      </c>
      <c r="M133" s="294">
        <v>0</v>
      </c>
      <c r="N133" s="294">
        <v>0</v>
      </c>
      <c r="O133" s="294">
        <v>0</v>
      </c>
      <c r="P133" s="294">
        <v>0</v>
      </c>
      <c r="Q133" s="294">
        <v>0</v>
      </c>
      <c r="R133" s="294">
        <v>0</v>
      </c>
      <c r="S133" s="294">
        <v>0</v>
      </c>
      <c r="T133" s="294">
        <v>0</v>
      </c>
      <c r="U133" s="294">
        <v>0</v>
      </c>
      <c r="V133" s="294">
        <v>0</v>
      </c>
      <c r="W133" s="295">
        <f t="shared" si="6"/>
        <v>0</v>
      </c>
      <c r="AI133" s="276"/>
    </row>
    <row r="134" spans="1:35" ht="15" customHeight="1">
      <c r="A134" s="604"/>
      <c r="B134" s="318" t="s">
        <v>587</v>
      </c>
      <c r="C134" s="294">
        <v>0</v>
      </c>
      <c r="D134" s="294">
        <v>0</v>
      </c>
      <c r="E134" s="294">
        <v>0</v>
      </c>
      <c r="F134" s="294">
        <v>0</v>
      </c>
      <c r="G134" s="294">
        <v>0</v>
      </c>
      <c r="H134" s="294">
        <v>0</v>
      </c>
      <c r="I134" s="294">
        <v>0</v>
      </c>
      <c r="J134" s="294">
        <v>0</v>
      </c>
      <c r="K134" s="294">
        <v>0</v>
      </c>
      <c r="L134" s="294">
        <v>0</v>
      </c>
      <c r="M134" s="294">
        <v>0</v>
      </c>
      <c r="N134" s="294">
        <v>0</v>
      </c>
      <c r="O134" s="294">
        <v>0</v>
      </c>
      <c r="P134" s="294">
        <v>0</v>
      </c>
      <c r="Q134" s="294">
        <v>0</v>
      </c>
      <c r="R134" s="294">
        <v>0</v>
      </c>
      <c r="S134" s="294">
        <v>0</v>
      </c>
      <c r="T134" s="294">
        <v>0</v>
      </c>
      <c r="U134" s="294">
        <v>0</v>
      </c>
      <c r="V134" s="294">
        <v>0</v>
      </c>
      <c r="W134" s="295">
        <f t="shared" si="6"/>
        <v>0</v>
      </c>
      <c r="AI134" s="276"/>
    </row>
    <row r="135" spans="1:35" ht="15" customHeight="1">
      <c r="A135" s="604"/>
      <c r="B135" s="318" t="s">
        <v>588</v>
      </c>
      <c r="C135" s="294">
        <v>0</v>
      </c>
      <c r="D135" s="294">
        <v>0</v>
      </c>
      <c r="E135" s="294">
        <v>0</v>
      </c>
      <c r="F135" s="294">
        <v>0</v>
      </c>
      <c r="G135" s="294">
        <v>0</v>
      </c>
      <c r="H135" s="294">
        <v>0</v>
      </c>
      <c r="I135" s="294">
        <v>0</v>
      </c>
      <c r="J135" s="294">
        <v>0</v>
      </c>
      <c r="K135" s="294">
        <v>0</v>
      </c>
      <c r="L135" s="294">
        <v>0</v>
      </c>
      <c r="M135" s="294">
        <v>0</v>
      </c>
      <c r="N135" s="294">
        <v>0</v>
      </c>
      <c r="O135" s="294">
        <v>0</v>
      </c>
      <c r="P135" s="294">
        <v>0</v>
      </c>
      <c r="Q135" s="294">
        <v>0</v>
      </c>
      <c r="R135" s="294">
        <v>0</v>
      </c>
      <c r="S135" s="294">
        <v>0</v>
      </c>
      <c r="T135" s="294">
        <v>0</v>
      </c>
      <c r="U135" s="294">
        <v>0</v>
      </c>
      <c r="V135" s="294">
        <v>0</v>
      </c>
      <c r="W135" s="295">
        <f t="shared" si="6"/>
        <v>0</v>
      </c>
      <c r="AI135" s="276"/>
    </row>
    <row r="136" spans="1:35" ht="15" customHeight="1">
      <c r="A136" s="604"/>
      <c r="B136" s="318" t="s">
        <v>589</v>
      </c>
      <c r="C136" s="294">
        <v>0</v>
      </c>
      <c r="D136" s="294">
        <v>0</v>
      </c>
      <c r="E136" s="294">
        <v>0</v>
      </c>
      <c r="F136" s="294">
        <v>0</v>
      </c>
      <c r="G136" s="294">
        <v>0</v>
      </c>
      <c r="H136" s="294">
        <v>0</v>
      </c>
      <c r="I136" s="294">
        <v>0</v>
      </c>
      <c r="J136" s="294">
        <v>0</v>
      </c>
      <c r="K136" s="294">
        <v>0</v>
      </c>
      <c r="L136" s="294">
        <v>0</v>
      </c>
      <c r="M136" s="294">
        <v>0</v>
      </c>
      <c r="N136" s="294">
        <v>0</v>
      </c>
      <c r="O136" s="294">
        <v>0</v>
      </c>
      <c r="P136" s="294">
        <v>0</v>
      </c>
      <c r="Q136" s="294">
        <v>0</v>
      </c>
      <c r="R136" s="294">
        <v>0</v>
      </c>
      <c r="S136" s="294">
        <v>0</v>
      </c>
      <c r="T136" s="294">
        <v>0</v>
      </c>
      <c r="U136" s="294">
        <v>0</v>
      </c>
      <c r="V136" s="294">
        <v>0</v>
      </c>
      <c r="W136" s="295">
        <f t="shared" si="6"/>
        <v>0</v>
      </c>
      <c r="AI136" s="276"/>
    </row>
    <row r="137" spans="1:35" ht="15" customHeight="1">
      <c r="A137" s="604"/>
      <c r="B137" s="318" t="s">
        <v>590</v>
      </c>
      <c r="C137" s="294">
        <v>0</v>
      </c>
      <c r="D137" s="294">
        <v>0</v>
      </c>
      <c r="E137" s="294">
        <v>0</v>
      </c>
      <c r="F137" s="294">
        <v>0</v>
      </c>
      <c r="G137" s="294">
        <v>0</v>
      </c>
      <c r="H137" s="294">
        <v>0</v>
      </c>
      <c r="I137" s="294">
        <v>0</v>
      </c>
      <c r="J137" s="294">
        <v>0</v>
      </c>
      <c r="K137" s="294">
        <v>0</v>
      </c>
      <c r="L137" s="294">
        <v>0</v>
      </c>
      <c r="M137" s="294">
        <v>0</v>
      </c>
      <c r="N137" s="294">
        <v>0</v>
      </c>
      <c r="O137" s="294">
        <v>0</v>
      </c>
      <c r="P137" s="294">
        <v>0</v>
      </c>
      <c r="Q137" s="294">
        <v>0</v>
      </c>
      <c r="R137" s="294">
        <v>0</v>
      </c>
      <c r="S137" s="294">
        <v>0</v>
      </c>
      <c r="T137" s="294">
        <v>0</v>
      </c>
      <c r="U137" s="294">
        <v>0</v>
      </c>
      <c r="V137" s="294">
        <v>0</v>
      </c>
      <c r="W137" s="295">
        <f t="shared" si="6"/>
        <v>0</v>
      </c>
      <c r="AI137" s="276"/>
    </row>
    <row r="138" spans="1:35" ht="15" customHeight="1">
      <c r="A138" s="604"/>
      <c r="B138" s="318" t="s">
        <v>591</v>
      </c>
      <c r="C138" s="294">
        <v>0</v>
      </c>
      <c r="D138" s="294">
        <v>0</v>
      </c>
      <c r="E138" s="294">
        <v>0</v>
      </c>
      <c r="F138" s="294">
        <v>0</v>
      </c>
      <c r="G138" s="294">
        <v>0</v>
      </c>
      <c r="H138" s="294">
        <v>0</v>
      </c>
      <c r="I138" s="294">
        <v>0</v>
      </c>
      <c r="J138" s="294">
        <v>0</v>
      </c>
      <c r="K138" s="294">
        <v>0</v>
      </c>
      <c r="L138" s="294">
        <v>0</v>
      </c>
      <c r="M138" s="294">
        <v>0</v>
      </c>
      <c r="N138" s="294">
        <v>0</v>
      </c>
      <c r="O138" s="294">
        <v>0</v>
      </c>
      <c r="P138" s="294">
        <v>0</v>
      </c>
      <c r="Q138" s="294">
        <v>0</v>
      </c>
      <c r="R138" s="294">
        <v>0</v>
      </c>
      <c r="S138" s="294">
        <v>0</v>
      </c>
      <c r="T138" s="294">
        <v>0</v>
      </c>
      <c r="U138" s="294">
        <v>0</v>
      </c>
      <c r="V138" s="294">
        <v>0</v>
      </c>
      <c r="W138" s="295">
        <f t="shared" si="6"/>
        <v>0</v>
      </c>
      <c r="AI138" s="276"/>
    </row>
    <row r="139" spans="1:35" ht="15" customHeight="1">
      <c r="A139" s="604"/>
      <c r="B139" s="318" t="s">
        <v>592</v>
      </c>
      <c r="C139" s="294">
        <v>0</v>
      </c>
      <c r="D139" s="294">
        <v>0</v>
      </c>
      <c r="E139" s="294">
        <v>0</v>
      </c>
      <c r="F139" s="294">
        <v>0</v>
      </c>
      <c r="G139" s="294">
        <v>0</v>
      </c>
      <c r="H139" s="294">
        <v>0</v>
      </c>
      <c r="I139" s="294">
        <v>0</v>
      </c>
      <c r="J139" s="294">
        <v>0</v>
      </c>
      <c r="K139" s="294">
        <v>0</v>
      </c>
      <c r="L139" s="294">
        <v>0</v>
      </c>
      <c r="M139" s="294">
        <v>0</v>
      </c>
      <c r="N139" s="294">
        <v>0</v>
      </c>
      <c r="O139" s="294">
        <v>0</v>
      </c>
      <c r="P139" s="294">
        <v>0</v>
      </c>
      <c r="Q139" s="294">
        <v>0</v>
      </c>
      <c r="R139" s="294">
        <v>0</v>
      </c>
      <c r="S139" s="294">
        <v>0</v>
      </c>
      <c r="T139" s="294">
        <v>0</v>
      </c>
      <c r="U139" s="294">
        <v>0</v>
      </c>
      <c r="V139" s="294">
        <v>0</v>
      </c>
      <c r="W139" s="295">
        <f t="shared" si="6"/>
        <v>0</v>
      </c>
      <c r="AI139" s="276"/>
    </row>
    <row r="140" spans="1:35" ht="15" customHeight="1">
      <c r="A140" s="604"/>
      <c r="B140" s="318" t="s">
        <v>593</v>
      </c>
      <c r="C140" s="294">
        <v>0</v>
      </c>
      <c r="D140" s="294">
        <v>0</v>
      </c>
      <c r="E140" s="294">
        <v>0</v>
      </c>
      <c r="F140" s="294">
        <v>0</v>
      </c>
      <c r="G140" s="294">
        <v>0</v>
      </c>
      <c r="H140" s="294">
        <v>0</v>
      </c>
      <c r="I140" s="294">
        <v>0</v>
      </c>
      <c r="J140" s="294">
        <v>0</v>
      </c>
      <c r="K140" s="294">
        <v>0</v>
      </c>
      <c r="L140" s="294">
        <v>0</v>
      </c>
      <c r="M140" s="294">
        <v>0</v>
      </c>
      <c r="N140" s="294">
        <v>0</v>
      </c>
      <c r="O140" s="294">
        <v>0</v>
      </c>
      <c r="P140" s="294">
        <v>0</v>
      </c>
      <c r="Q140" s="294">
        <v>0</v>
      </c>
      <c r="R140" s="294">
        <v>0</v>
      </c>
      <c r="S140" s="294">
        <v>0</v>
      </c>
      <c r="T140" s="294">
        <v>0</v>
      </c>
      <c r="U140" s="294">
        <v>0</v>
      </c>
      <c r="V140" s="294">
        <v>0</v>
      </c>
      <c r="W140" s="295">
        <f t="shared" si="6"/>
        <v>0</v>
      </c>
      <c r="AI140" s="276"/>
    </row>
    <row r="141" spans="1:35" ht="15" customHeight="1">
      <c r="A141" s="604"/>
      <c r="B141" s="318" t="s">
        <v>594</v>
      </c>
      <c r="C141" s="294">
        <v>0</v>
      </c>
      <c r="D141" s="294">
        <v>0</v>
      </c>
      <c r="E141" s="294">
        <v>0</v>
      </c>
      <c r="F141" s="294">
        <v>0</v>
      </c>
      <c r="G141" s="294">
        <v>0</v>
      </c>
      <c r="H141" s="294">
        <v>0</v>
      </c>
      <c r="I141" s="294">
        <v>0</v>
      </c>
      <c r="J141" s="294">
        <v>0</v>
      </c>
      <c r="K141" s="294">
        <v>0</v>
      </c>
      <c r="L141" s="294">
        <v>0</v>
      </c>
      <c r="M141" s="294">
        <v>0</v>
      </c>
      <c r="N141" s="294">
        <v>0</v>
      </c>
      <c r="O141" s="294">
        <v>0</v>
      </c>
      <c r="P141" s="294">
        <v>0</v>
      </c>
      <c r="Q141" s="294">
        <v>0</v>
      </c>
      <c r="R141" s="294">
        <v>0</v>
      </c>
      <c r="S141" s="294">
        <v>0</v>
      </c>
      <c r="T141" s="294">
        <v>0</v>
      </c>
      <c r="U141" s="294">
        <v>0</v>
      </c>
      <c r="V141" s="294">
        <v>0</v>
      </c>
      <c r="W141" s="295">
        <f t="shared" si="6"/>
        <v>0</v>
      </c>
      <c r="AI141" s="276"/>
    </row>
    <row r="142" spans="1:35" ht="15" customHeight="1">
      <c r="A142" s="604"/>
      <c r="B142" s="318" t="s">
        <v>595</v>
      </c>
      <c r="C142" s="294">
        <v>0</v>
      </c>
      <c r="D142" s="294">
        <v>0</v>
      </c>
      <c r="E142" s="294">
        <v>0</v>
      </c>
      <c r="F142" s="294">
        <v>0</v>
      </c>
      <c r="G142" s="294">
        <v>0</v>
      </c>
      <c r="H142" s="294">
        <v>0</v>
      </c>
      <c r="I142" s="294">
        <v>0</v>
      </c>
      <c r="J142" s="294">
        <v>0</v>
      </c>
      <c r="K142" s="294">
        <v>0</v>
      </c>
      <c r="L142" s="294">
        <v>0</v>
      </c>
      <c r="M142" s="294">
        <v>0</v>
      </c>
      <c r="N142" s="294">
        <v>0</v>
      </c>
      <c r="O142" s="294">
        <v>0</v>
      </c>
      <c r="P142" s="294">
        <v>0</v>
      </c>
      <c r="Q142" s="294">
        <v>0</v>
      </c>
      <c r="R142" s="294">
        <v>0</v>
      </c>
      <c r="S142" s="294">
        <v>0</v>
      </c>
      <c r="T142" s="294">
        <v>0</v>
      </c>
      <c r="U142" s="294">
        <v>0</v>
      </c>
      <c r="V142" s="294">
        <v>0</v>
      </c>
      <c r="W142" s="295">
        <f t="shared" si="6"/>
        <v>0</v>
      </c>
      <c r="AI142" s="276"/>
    </row>
    <row r="143" spans="1:35" ht="15" customHeight="1">
      <c r="A143" s="604"/>
      <c r="B143" s="318" t="s">
        <v>596</v>
      </c>
      <c r="C143" s="294">
        <v>0</v>
      </c>
      <c r="D143" s="294">
        <v>0</v>
      </c>
      <c r="E143" s="294">
        <v>0</v>
      </c>
      <c r="F143" s="294">
        <v>0</v>
      </c>
      <c r="G143" s="294">
        <v>0</v>
      </c>
      <c r="H143" s="294">
        <v>0</v>
      </c>
      <c r="I143" s="294">
        <v>0</v>
      </c>
      <c r="J143" s="294">
        <v>0</v>
      </c>
      <c r="K143" s="294">
        <v>0</v>
      </c>
      <c r="L143" s="294">
        <v>0</v>
      </c>
      <c r="M143" s="294">
        <v>0</v>
      </c>
      <c r="N143" s="294">
        <v>0</v>
      </c>
      <c r="O143" s="294">
        <v>0</v>
      </c>
      <c r="P143" s="294">
        <v>0</v>
      </c>
      <c r="Q143" s="294">
        <v>0</v>
      </c>
      <c r="R143" s="294">
        <v>0</v>
      </c>
      <c r="S143" s="294">
        <v>0</v>
      </c>
      <c r="T143" s="294">
        <v>0</v>
      </c>
      <c r="U143" s="294">
        <v>0</v>
      </c>
      <c r="V143" s="294">
        <v>0</v>
      </c>
      <c r="W143" s="295">
        <f t="shared" si="6"/>
        <v>0</v>
      </c>
      <c r="AI143" s="276"/>
    </row>
    <row r="144" spans="1:35" ht="15" customHeight="1">
      <c r="A144" s="604"/>
      <c r="B144" s="318" t="s">
        <v>902</v>
      </c>
      <c r="C144" s="294">
        <v>0</v>
      </c>
      <c r="D144" s="294">
        <v>0</v>
      </c>
      <c r="E144" s="294">
        <v>0</v>
      </c>
      <c r="F144" s="294">
        <v>0</v>
      </c>
      <c r="G144" s="294">
        <v>0</v>
      </c>
      <c r="H144" s="294">
        <v>0</v>
      </c>
      <c r="I144" s="294">
        <v>0</v>
      </c>
      <c r="J144" s="294">
        <v>0</v>
      </c>
      <c r="K144" s="294">
        <v>0</v>
      </c>
      <c r="L144" s="294">
        <v>0</v>
      </c>
      <c r="M144" s="294">
        <v>0</v>
      </c>
      <c r="N144" s="294">
        <v>0</v>
      </c>
      <c r="O144" s="294">
        <v>0</v>
      </c>
      <c r="P144" s="294">
        <v>0</v>
      </c>
      <c r="Q144" s="294">
        <v>0</v>
      </c>
      <c r="R144" s="294">
        <v>0</v>
      </c>
      <c r="S144" s="294">
        <v>0</v>
      </c>
      <c r="T144" s="294">
        <v>0</v>
      </c>
      <c r="U144" s="294">
        <v>0</v>
      </c>
      <c r="V144" s="294">
        <v>0</v>
      </c>
      <c r="W144" s="295">
        <f t="shared" si="6"/>
        <v>0</v>
      </c>
      <c r="AI144" s="276"/>
    </row>
    <row r="145" spans="1:35" ht="15" customHeight="1">
      <c r="A145" s="604"/>
      <c r="B145" s="318" t="s">
        <v>903</v>
      </c>
      <c r="C145" s="294">
        <v>0</v>
      </c>
      <c r="D145" s="294">
        <v>0</v>
      </c>
      <c r="E145" s="294">
        <v>0</v>
      </c>
      <c r="F145" s="294">
        <v>0</v>
      </c>
      <c r="G145" s="294">
        <v>0</v>
      </c>
      <c r="H145" s="294">
        <v>0</v>
      </c>
      <c r="I145" s="294">
        <v>0</v>
      </c>
      <c r="J145" s="294">
        <v>0</v>
      </c>
      <c r="K145" s="294">
        <v>0</v>
      </c>
      <c r="L145" s="294">
        <v>0</v>
      </c>
      <c r="M145" s="294">
        <v>0</v>
      </c>
      <c r="N145" s="294">
        <v>0</v>
      </c>
      <c r="O145" s="294">
        <v>0</v>
      </c>
      <c r="P145" s="294">
        <v>0</v>
      </c>
      <c r="Q145" s="294">
        <v>0</v>
      </c>
      <c r="R145" s="294">
        <v>0</v>
      </c>
      <c r="S145" s="294">
        <v>0</v>
      </c>
      <c r="T145" s="294">
        <v>0</v>
      </c>
      <c r="U145" s="294">
        <v>0</v>
      </c>
      <c r="V145" s="294">
        <v>0</v>
      </c>
      <c r="W145" s="295">
        <f t="shared" si="6"/>
        <v>0</v>
      </c>
      <c r="AI145" s="276"/>
    </row>
    <row r="146" spans="1:35" ht="15" customHeight="1">
      <c r="A146" s="604"/>
      <c r="B146" s="318" t="s">
        <v>904</v>
      </c>
      <c r="C146" s="294">
        <v>0</v>
      </c>
      <c r="D146" s="294">
        <v>0</v>
      </c>
      <c r="E146" s="294">
        <v>0</v>
      </c>
      <c r="F146" s="294">
        <v>0</v>
      </c>
      <c r="G146" s="294">
        <v>0</v>
      </c>
      <c r="H146" s="294">
        <v>0</v>
      </c>
      <c r="I146" s="294">
        <v>0</v>
      </c>
      <c r="J146" s="294">
        <v>0</v>
      </c>
      <c r="K146" s="294">
        <v>0</v>
      </c>
      <c r="L146" s="294">
        <v>0</v>
      </c>
      <c r="M146" s="294">
        <v>0</v>
      </c>
      <c r="N146" s="294">
        <v>0</v>
      </c>
      <c r="O146" s="294">
        <v>0</v>
      </c>
      <c r="P146" s="294">
        <v>0</v>
      </c>
      <c r="Q146" s="294">
        <v>0</v>
      </c>
      <c r="R146" s="294">
        <v>0</v>
      </c>
      <c r="S146" s="294">
        <v>0</v>
      </c>
      <c r="T146" s="294">
        <v>0</v>
      </c>
      <c r="U146" s="294">
        <v>0</v>
      </c>
      <c r="V146" s="294">
        <v>0</v>
      </c>
      <c r="W146" s="295">
        <f t="shared" si="6"/>
        <v>0</v>
      </c>
      <c r="AI146" s="276"/>
    </row>
    <row r="147" spans="1:35" ht="15" customHeight="1">
      <c r="A147" s="604"/>
      <c r="B147" s="318" t="s">
        <v>905</v>
      </c>
      <c r="C147" s="294">
        <v>0</v>
      </c>
      <c r="D147" s="294">
        <v>0</v>
      </c>
      <c r="E147" s="294">
        <v>0</v>
      </c>
      <c r="F147" s="294">
        <v>0</v>
      </c>
      <c r="G147" s="294">
        <v>0</v>
      </c>
      <c r="H147" s="294">
        <v>0</v>
      </c>
      <c r="I147" s="294">
        <v>0</v>
      </c>
      <c r="J147" s="294">
        <v>0</v>
      </c>
      <c r="K147" s="294">
        <v>0</v>
      </c>
      <c r="L147" s="294">
        <v>0</v>
      </c>
      <c r="M147" s="294">
        <v>0</v>
      </c>
      <c r="N147" s="294">
        <v>0</v>
      </c>
      <c r="O147" s="294">
        <v>0</v>
      </c>
      <c r="P147" s="294">
        <v>0</v>
      </c>
      <c r="Q147" s="294">
        <v>0</v>
      </c>
      <c r="R147" s="294">
        <v>0</v>
      </c>
      <c r="S147" s="294">
        <v>0</v>
      </c>
      <c r="T147" s="294">
        <v>0</v>
      </c>
      <c r="U147" s="294">
        <v>0</v>
      </c>
      <c r="V147" s="294">
        <v>0</v>
      </c>
      <c r="W147" s="295">
        <f t="shared" si="6"/>
        <v>0</v>
      </c>
      <c r="AI147" s="276"/>
    </row>
    <row r="148" spans="1:35" ht="15" customHeight="1">
      <c r="A148" s="604"/>
      <c r="B148" s="318" t="s">
        <v>906</v>
      </c>
      <c r="C148" s="294">
        <v>0</v>
      </c>
      <c r="D148" s="294">
        <v>0</v>
      </c>
      <c r="E148" s="294">
        <v>0</v>
      </c>
      <c r="F148" s="294">
        <v>0</v>
      </c>
      <c r="G148" s="294">
        <v>0</v>
      </c>
      <c r="H148" s="294">
        <v>0</v>
      </c>
      <c r="I148" s="294">
        <v>0</v>
      </c>
      <c r="J148" s="294">
        <v>0</v>
      </c>
      <c r="K148" s="294">
        <v>0</v>
      </c>
      <c r="L148" s="294">
        <v>0</v>
      </c>
      <c r="M148" s="294">
        <v>0</v>
      </c>
      <c r="N148" s="294">
        <v>0</v>
      </c>
      <c r="O148" s="294">
        <v>0</v>
      </c>
      <c r="P148" s="294">
        <v>0</v>
      </c>
      <c r="Q148" s="294">
        <v>0</v>
      </c>
      <c r="R148" s="294">
        <v>0</v>
      </c>
      <c r="S148" s="294">
        <v>0</v>
      </c>
      <c r="T148" s="294">
        <v>0</v>
      </c>
      <c r="U148" s="294">
        <v>0</v>
      </c>
      <c r="V148" s="294">
        <v>0</v>
      </c>
      <c r="W148" s="295">
        <f t="shared" si="6"/>
        <v>0</v>
      </c>
      <c r="AI148" s="276"/>
    </row>
    <row r="149" spans="1:35" ht="15" customHeight="1" thickBot="1">
      <c r="A149" s="604"/>
      <c r="B149" s="318" t="s">
        <v>907</v>
      </c>
      <c r="C149" s="294">
        <v>0</v>
      </c>
      <c r="D149" s="294">
        <v>0</v>
      </c>
      <c r="E149" s="294">
        <v>0</v>
      </c>
      <c r="F149" s="294">
        <v>0</v>
      </c>
      <c r="G149" s="294">
        <v>0</v>
      </c>
      <c r="H149" s="294">
        <v>0</v>
      </c>
      <c r="I149" s="294">
        <v>0</v>
      </c>
      <c r="J149" s="294">
        <v>0</v>
      </c>
      <c r="K149" s="294">
        <v>0</v>
      </c>
      <c r="L149" s="294">
        <v>0</v>
      </c>
      <c r="M149" s="294">
        <v>0</v>
      </c>
      <c r="N149" s="294">
        <v>0</v>
      </c>
      <c r="O149" s="294">
        <v>0</v>
      </c>
      <c r="P149" s="294">
        <v>0</v>
      </c>
      <c r="Q149" s="294">
        <v>0</v>
      </c>
      <c r="R149" s="294">
        <v>0</v>
      </c>
      <c r="S149" s="294">
        <v>0</v>
      </c>
      <c r="T149" s="294">
        <v>0</v>
      </c>
      <c r="U149" s="294">
        <v>0</v>
      </c>
      <c r="V149" s="294">
        <v>0</v>
      </c>
      <c r="W149" s="295">
        <f t="shared" si="6"/>
        <v>0</v>
      </c>
      <c r="AI149" s="276"/>
    </row>
    <row r="150" spans="1:35" ht="15" customHeight="1">
      <c r="A150" s="603" t="s">
        <v>909</v>
      </c>
      <c r="B150" s="318" t="s">
        <v>580</v>
      </c>
      <c r="C150" s="294">
        <v>0</v>
      </c>
      <c r="D150" s="294">
        <v>0</v>
      </c>
      <c r="E150" s="294">
        <v>0</v>
      </c>
      <c r="F150" s="294">
        <v>0</v>
      </c>
      <c r="G150" s="294">
        <v>0</v>
      </c>
      <c r="H150" s="294">
        <v>0</v>
      </c>
      <c r="I150" s="294">
        <v>0</v>
      </c>
      <c r="J150" s="294">
        <v>0</v>
      </c>
      <c r="K150" s="294">
        <v>0</v>
      </c>
      <c r="L150" s="294">
        <v>0</v>
      </c>
      <c r="M150" s="294">
        <v>0</v>
      </c>
      <c r="N150" s="294">
        <v>0</v>
      </c>
      <c r="O150" s="294">
        <v>0</v>
      </c>
      <c r="P150" s="294">
        <v>0</v>
      </c>
      <c r="Q150" s="294">
        <v>0</v>
      </c>
      <c r="R150" s="294">
        <v>0</v>
      </c>
      <c r="S150" s="294">
        <v>0</v>
      </c>
      <c r="T150" s="294">
        <v>0</v>
      </c>
      <c r="U150" s="294">
        <v>0</v>
      </c>
      <c r="V150" s="294">
        <v>0</v>
      </c>
      <c r="W150" s="295">
        <f t="shared" si="6"/>
        <v>0</v>
      </c>
      <c r="AI150" s="276"/>
    </row>
    <row r="151" spans="1:35" ht="15" customHeight="1">
      <c r="A151" s="604"/>
      <c r="B151" s="318" t="s">
        <v>581</v>
      </c>
      <c r="C151" s="294">
        <v>0</v>
      </c>
      <c r="D151" s="294">
        <v>0</v>
      </c>
      <c r="E151" s="294">
        <v>0</v>
      </c>
      <c r="F151" s="294">
        <v>0</v>
      </c>
      <c r="G151" s="294">
        <v>0</v>
      </c>
      <c r="H151" s="294">
        <v>0</v>
      </c>
      <c r="I151" s="294">
        <v>0</v>
      </c>
      <c r="J151" s="294">
        <v>0</v>
      </c>
      <c r="K151" s="294">
        <v>0</v>
      </c>
      <c r="L151" s="294">
        <v>0</v>
      </c>
      <c r="M151" s="294">
        <v>0</v>
      </c>
      <c r="N151" s="294">
        <v>0</v>
      </c>
      <c r="O151" s="294">
        <v>0</v>
      </c>
      <c r="P151" s="294">
        <v>0</v>
      </c>
      <c r="Q151" s="294">
        <v>0</v>
      </c>
      <c r="R151" s="294">
        <v>0</v>
      </c>
      <c r="S151" s="294">
        <v>0</v>
      </c>
      <c r="T151" s="294">
        <v>0</v>
      </c>
      <c r="U151" s="294">
        <v>0</v>
      </c>
      <c r="V151" s="294">
        <v>0</v>
      </c>
      <c r="W151" s="295">
        <f t="shared" si="6"/>
        <v>0</v>
      </c>
      <c r="AI151" s="276"/>
    </row>
    <row r="152" spans="1:35" ht="15" customHeight="1">
      <c r="A152" s="604"/>
      <c r="B152" s="318" t="s">
        <v>582</v>
      </c>
      <c r="C152" s="294">
        <v>0</v>
      </c>
      <c r="D152" s="294">
        <v>0</v>
      </c>
      <c r="E152" s="294">
        <v>0</v>
      </c>
      <c r="F152" s="294">
        <v>0</v>
      </c>
      <c r="G152" s="294">
        <v>0</v>
      </c>
      <c r="H152" s="294">
        <v>0</v>
      </c>
      <c r="I152" s="294">
        <v>0</v>
      </c>
      <c r="J152" s="294">
        <v>0</v>
      </c>
      <c r="K152" s="294">
        <v>0</v>
      </c>
      <c r="L152" s="294">
        <v>0</v>
      </c>
      <c r="M152" s="294">
        <v>0</v>
      </c>
      <c r="N152" s="294">
        <v>0</v>
      </c>
      <c r="O152" s="294">
        <v>0</v>
      </c>
      <c r="P152" s="294">
        <v>0</v>
      </c>
      <c r="Q152" s="294">
        <v>0</v>
      </c>
      <c r="R152" s="294">
        <v>0</v>
      </c>
      <c r="S152" s="294">
        <v>0</v>
      </c>
      <c r="T152" s="294">
        <v>0</v>
      </c>
      <c r="U152" s="294">
        <v>0</v>
      </c>
      <c r="V152" s="294">
        <v>0</v>
      </c>
      <c r="W152" s="295">
        <f t="shared" si="6"/>
        <v>0</v>
      </c>
      <c r="AI152" s="276"/>
    </row>
    <row r="153" spans="1:35" ht="15" customHeight="1">
      <c r="A153" s="604"/>
      <c r="B153" s="318" t="s">
        <v>583</v>
      </c>
      <c r="C153" s="294">
        <v>0</v>
      </c>
      <c r="D153" s="294">
        <v>0</v>
      </c>
      <c r="E153" s="294">
        <v>0</v>
      </c>
      <c r="F153" s="294">
        <v>0</v>
      </c>
      <c r="G153" s="294">
        <v>0</v>
      </c>
      <c r="H153" s="294">
        <v>0</v>
      </c>
      <c r="I153" s="294">
        <v>0</v>
      </c>
      <c r="J153" s="294">
        <v>0</v>
      </c>
      <c r="K153" s="294">
        <v>0</v>
      </c>
      <c r="L153" s="294">
        <v>0</v>
      </c>
      <c r="M153" s="294">
        <v>0</v>
      </c>
      <c r="N153" s="294">
        <v>0</v>
      </c>
      <c r="O153" s="294">
        <v>0</v>
      </c>
      <c r="P153" s="294">
        <v>0</v>
      </c>
      <c r="Q153" s="294">
        <v>0</v>
      </c>
      <c r="R153" s="294">
        <v>0</v>
      </c>
      <c r="S153" s="294">
        <v>0</v>
      </c>
      <c r="T153" s="294">
        <v>0</v>
      </c>
      <c r="U153" s="294">
        <v>0</v>
      </c>
      <c r="V153" s="294">
        <v>0</v>
      </c>
      <c r="W153" s="295">
        <f t="shared" si="6"/>
        <v>0</v>
      </c>
      <c r="AI153" s="276"/>
    </row>
    <row r="154" spans="1:35" ht="15" customHeight="1">
      <c r="A154" s="604"/>
      <c r="B154" s="318" t="s">
        <v>584</v>
      </c>
      <c r="C154" s="294">
        <v>0</v>
      </c>
      <c r="D154" s="294">
        <v>0</v>
      </c>
      <c r="E154" s="294">
        <v>0</v>
      </c>
      <c r="F154" s="294">
        <v>0</v>
      </c>
      <c r="G154" s="294">
        <v>0</v>
      </c>
      <c r="H154" s="294">
        <v>0</v>
      </c>
      <c r="I154" s="294">
        <v>0</v>
      </c>
      <c r="J154" s="294">
        <v>0</v>
      </c>
      <c r="K154" s="294">
        <v>0</v>
      </c>
      <c r="L154" s="294">
        <v>0</v>
      </c>
      <c r="M154" s="294">
        <v>0</v>
      </c>
      <c r="N154" s="294">
        <v>0</v>
      </c>
      <c r="O154" s="294">
        <v>0</v>
      </c>
      <c r="P154" s="294">
        <v>0</v>
      </c>
      <c r="Q154" s="294">
        <v>0</v>
      </c>
      <c r="R154" s="294">
        <v>0</v>
      </c>
      <c r="S154" s="294">
        <v>0</v>
      </c>
      <c r="T154" s="294">
        <v>0</v>
      </c>
      <c r="U154" s="294">
        <v>0</v>
      </c>
      <c r="V154" s="294">
        <v>0</v>
      </c>
      <c r="W154" s="295">
        <f t="shared" si="6"/>
        <v>0</v>
      </c>
      <c r="AI154" s="276"/>
    </row>
    <row r="155" spans="1:35" ht="15" customHeight="1">
      <c r="A155" s="604"/>
      <c r="B155" s="318" t="s">
        <v>585</v>
      </c>
      <c r="C155" s="294">
        <v>0</v>
      </c>
      <c r="D155" s="294">
        <v>0</v>
      </c>
      <c r="E155" s="294">
        <v>0</v>
      </c>
      <c r="F155" s="294">
        <v>0</v>
      </c>
      <c r="G155" s="294">
        <v>0</v>
      </c>
      <c r="H155" s="294">
        <v>0</v>
      </c>
      <c r="I155" s="294">
        <v>0</v>
      </c>
      <c r="J155" s="294">
        <v>0</v>
      </c>
      <c r="K155" s="294">
        <v>0</v>
      </c>
      <c r="L155" s="294">
        <v>0</v>
      </c>
      <c r="M155" s="294">
        <v>0</v>
      </c>
      <c r="N155" s="294">
        <v>0</v>
      </c>
      <c r="O155" s="294">
        <v>0</v>
      </c>
      <c r="P155" s="294">
        <v>0</v>
      </c>
      <c r="Q155" s="294">
        <v>0</v>
      </c>
      <c r="R155" s="294">
        <v>0</v>
      </c>
      <c r="S155" s="294">
        <v>0</v>
      </c>
      <c r="T155" s="294">
        <v>0</v>
      </c>
      <c r="U155" s="294">
        <v>0</v>
      </c>
      <c r="V155" s="294">
        <v>0</v>
      </c>
      <c r="W155" s="295">
        <f t="shared" si="6"/>
        <v>0</v>
      </c>
      <c r="AI155" s="276"/>
    </row>
    <row r="156" spans="1:35" ht="15" customHeight="1">
      <c r="A156" s="604"/>
      <c r="B156" s="318" t="s">
        <v>586</v>
      </c>
      <c r="C156" s="294">
        <v>0</v>
      </c>
      <c r="D156" s="294">
        <v>0</v>
      </c>
      <c r="E156" s="294">
        <v>0</v>
      </c>
      <c r="F156" s="294">
        <v>0</v>
      </c>
      <c r="G156" s="294">
        <v>0</v>
      </c>
      <c r="H156" s="294">
        <v>0</v>
      </c>
      <c r="I156" s="294">
        <v>0</v>
      </c>
      <c r="J156" s="294">
        <v>0</v>
      </c>
      <c r="K156" s="294">
        <v>0</v>
      </c>
      <c r="L156" s="294">
        <v>0</v>
      </c>
      <c r="M156" s="294">
        <v>0</v>
      </c>
      <c r="N156" s="294">
        <v>0</v>
      </c>
      <c r="O156" s="294">
        <v>0</v>
      </c>
      <c r="P156" s="294">
        <v>0</v>
      </c>
      <c r="Q156" s="294">
        <v>0</v>
      </c>
      <c r="R156" s="294">
        <v>0</v>
      </c>
      <c r="S156" s="294">
        <v>0</v>
      </c>
      <c r="T156" s="294">
        <v>0</v>
      </c>
      <c r="U156" s="294">
        <v>0</v>
      </c>
      <c r="V156" s="294">
        <v>0</v>
      </c>
      <c r="W156" s="295">
        <f t="shared" si="6"/>
        <v>0</v>
      </c>
      <c r="AI156" s="276"/>
    </row>
    <row r="157" spans="1:35" ht="15" customHeight="1">
      <c r="A157" s="604"/>
      <c r="B157" s="318" t="s">
        <v>587</v>
      </c>
      <c r="C157" s="294">
        <v>0</v>
      </c>
      <c r="D157" s="294">
        <v>0</v>
      </c>
      <c r="E157" s="294">
        <v>0</v>
      </c>
      <c r="F157" s="294">
        <v>0</v>
      </c>
      <c r="G157" s="294">
        <v>0</v>
      </c>
      <c r="H157" s="294">
        <v>0</v>
      </c>
      <c r="I157" s="294">
        <v>0</v>
      </c>
      <c r="J157" s="294">
        <v>0</v>
      </c>
      <c r="K157" s="294">
        <v>0</v>
      </c>
      <c r="L157" s="294">
        <v>0</v>
      </c>
      <c r="M157" s="294">
        <v>0</v>
      </c>
      <c r="N157" s="294">
        <v>0</v>
      </c>
      <c r="O157" s="294">
        <v>0</v>
      </c>
      <c r="P157" s="294">
        <v>0</v>
      </c>
      <c r="Q157" s="294">
        <v>0</v>
      </c>
      <c r="R157" s="294">
        <v>0</v>
      </c>
      <c r="S157" s="294">
        <v>0</v>
      </c>
      <c r="T157" s="294">
        <v>0</v>
      </c>
      <c r="U157" s="294">
        <v>0</v>
      </c>
      <c r="V157" s="294">
        <v>0</v>
      </c>
      <c r="W157" s="295">
        <f t="shared" si="6"/>
        <v>0</v>
      </c>
      <c r="AI157" s="276"/>
    </row>
    <row r="158" spans="1:35" ht="15" customHeight="1">
      <c r="A158" s="604"/>
      <c r="B158" s="318" t="s">
        <v>588</v>
      </c>
      <c r="C158" s="294">
        <v>0</v>
      </c>
      <c r="D158" s="294">
        <v>0</v>
      </c>
      <c r="E158" s="294">
        <v>0</v>
      </c>
      <c r="F158" s="294">
        <v>0</v>
      </c>
      <c r="G158" s="294">
        <v>0</v>
      </c>
      <c r="H158" s="294">
        <v>0</v>
      </c>
      <c r="I158" s="294">
        <v>0</v>
      </c>
      <c r="J158" s="294">
        <v>0</v>
      </c>
      <c r="K158" s="294">
        <v>0</v>
      </c>
      <c r="L158" s="294">
        <v>0</v>
      </c>
      <c r="M158" s="294">
        <v>0</v>
      </c>
      <c r="N158" s="294">
        <v>0</v>
      </c>
      <c r="O158" s="294">
        <v>0</v>
      </c>
      <c r="P158" s="294">
        <v>0</v>
      </c>
      <c r="Q158" s="294">
        <v>0</v>
      </c>
      <c r="R158" s="294">
        <v>0</v>
      </c>
      <c r="S158" s="294">
        <v>0</v>
      </c>
      <c r="T158" s="294">
        <v>0</v>
      </c>
      <c r="U158" s="294">
        <v>0</v>
      </c>
      <c r="V158" s="294">
        <v>0</v>
      </c>
      <c r="W158" s="295">
        <f t="shared" si="6"/>
        <v>0</v>
      </c>
      <c r="AI158" s="276"/>
    </row>
    <row r="159" spans="1:35" ht="15" customHeight="1">
      <c r="A159" s="604"/>
      <c r="B159" s="318" t="s">
        <v>589</v>
      </c>
      <c r="C159" s="294">
        <v>0</v>
      </c>
      <c r="D159" s="294">
        <v>0</v>
      </c>
      <c r="E159" s="294">
        <v>0</v>
      </c>
      <c r="F159" s="294">
        <v>0</v>
      </c>
      <c r="G159" s="294">
        <v>0</v>
      </c>
      <c r="H159" s="294">
        <v>0</v>
      </c>
      <c r="I159" s="294">
        <v>0</v>
      </c>
      <c r="J159" s="294">
        <v>0</v>
      </c>
      <c r="K159" s="294">
        <v>0</v>
      </c>
      <c r="L159" s="294">
        <v>0</v>
      </c>
      <c r="M159" s="294">
        <v>0</v>
      </c>
      <c r="N159" s="294">
        <v>0</v>
      </c>
      <c r="O159" s="294">
        <v>0</v>
      </c>
      <c r="P159" s="294">
        <v>0</v>
      </c>
      <c r="Q159" s="294">
        <v>0</v>
      </c>
      <c r="R159" s="294">
        <v>0</v>
      </c>
      <c r="S159" s="294">
        <v>0</v>
      </c>
      <c r="T159" s="294">
        <v>0</v>
      </c>
      <c r="U159" s="294">
        <v>0</v>
      </c>
      <c r="V159" s="294">
        <v>0</v>
      </c>
      <c r="W159" s="295">
        <f t="shared" si="6"/>
        <v>0</v>
      </c>
      <c r="AI159" s="276"/>
    </row>
    <row r="160" spans="1:35" ht="15" customHeight="1">
      <c r="A160" s="604"/>
      <c r="B160" s="318" t="s">
        <v>590</v>
      </c>
      <c r="C160" s="294">
        <v>0</v>
      </c>
      <c r="D160" s="294">
        <v>0</v>
      </c>
      <c r="E160" s="294">
        <v>0</v>
      </c>
      <c r="F160" s="294">
        <v>0</v>
      </c>
      <c r="G160" s="294">
        <v>0</v>
      </c>
      <c r="H160" s="294">
        <v>0</v>
      </c>
      <c r="I160" s="294">
        <v>0</v>
      </c>
      <c r="J160" s="294">
        <v>0</v>
      </c>
      <c r="K160" s="294">
        <v>0</v>
      </c>
      <c r="L160" s="294">
        <v>0</v>
      </c>
      <c r="M160" s="294">
        <v>0</v>
      </c>
      <c r="N160" s="294">
        <v>0</v>
      </c>
      <c r="O160" s="294">
        <v>0</v>
      </c>
      <c r="P160" s="294">
        <v>0</v>
      </c>
      <c r="Q160" s="294">
        <v>0</v>
      </c>
      <c r="R160" s="294">
        <v>0</v>
      </c>
      <c r="S160" s="294">
        <v>0</v>
      </c>
      <c r="T160" s="294">
        <v>0</v>
      </c>
      <c r="U160" s="294">
        <v>0</v>
      </c>
      <c r="V160" s="294">
        <v>0</v>
      </c>
      <c r="W160" s="295">
        <f t="shared" si="6"/>
        <v>0</v>
      </c>
      <c r="AI160" s="276"/>
    </row>
    <row r="161" spans="1:35" ht="15" customHeight="1">
      <c r="A161" s="604"/>
      <c r="B161" s="318" t="s">
        <v>591</v>
      </c>
      <c r="C161" s="294">
        <v>0</v>
      </c>
      <c r="D161" s="294">
        <v>0</v>
      </c>
      <c r="E161" s="294">
        <v>0</v>
      </c>
      <c r="F161" s="294">
        <v>0</v>
      </c>
      <c r="G161" s="294">
        <v>0</v>
      </c>
      <c r="H161" s="294">
        <v>0</v>
      </c>
      <c r="I161" s="294">
        <v>0</v>
      </c>
      <c r="J161" s="294">
        <v>0</v>
      </c>
      <c r="K161" s="294">
        <v>0</v>
      </c>
      <c r="L161" s="294">
        <v>0</v>
      </c>
      <c r="M161" s="294">
        <v>0</v>
      </c>
      <c r="N161" s="294">
        <v>0</v>
      </c>
      <c r="O161" s="294">
        <v>0</v>
      </c>
      <c r="P161" s="294">
        <v>0</v>
      </c>
      <c r="Q161" s="294">
        <v>0</v>
      </c>
      <c r="R161" s="294">
        <v>0</v>
      </c>
      <c r="S161" s="294">
        <v>0</v>
      </c>
      <c r="T161" s="294">
        <v>0</v>
      </c>
      <c r="U161" s="294">
        <v>0</v>
      </c>
      <c r="V161" s="294">
        <v>0</v>
      </c>
      <c r="W161" s="295">
        <f t="shared" si="6"/>
        <v>0</v>
      </c>
      <c r="AI161" s="276"/>
    </row>
    <row r="162" spans="1:35" ht="15" customHeight="1">
      <c r="A162" s="604"/>
      <c r="B162" s="318" t="s">
        <v>592</v>
      </c>
      <c r="C162" s="294">
        <v>0</v>
      </c>
      <c r="D162" s="294">
        <v>0</v>
      </c>
      <c r="E162" s="294">
        <v>0</v>
      </c>
      <c r="F162" s="294">
        <v>0</v>
      </c>
      <c r="G162" s="294">
        <v>0</v>
      </c>
      <c r="H162" s="294">
        <v>0</v>
      </c>
      <c r="I162" s="294">
        <v>0</v>
      </c>
      <c r="J162" s="294">
        <v>0</v>
      </c>
      <c r="K162" s="294">
        <v>0</v>
      </c>
      <c r="L162" s="294">
        <v>0</v>
      </c>
      <c r="M162" s="294">
        <v>0</v>
      </c>
      <c r="N162" s="294">
        <v>0</v>
      </c>
      <c r="O162" s="294">
        <v>0</v>
      </c>
      <c r="P162" s="294">
        <v>0</v>
      </c>
      <c r="Q162" s="294">
        <v>0</v>
      </c>
      <c r="R162" s="294">
        <v>0</v>
      </c>
      <c r="S162" s="294">
        <v>0</v>
      </c>
      <c r="T162" s="294">
        <v>0</v>
      </c>
      <c r="U162" s="294">
        <v>0</v>
      </c>
      <c r="V162" s="294">
        <v>0</v>
      </c>
      <c r="W162" s="295">
        <f t="shared" si="6"/>
        <v>0</v>
      </c>
      <c r="AI162" s="276"/>
    </row>
    <row r="163" spans="1:35" ht="15" customHeight="1">
      <c r="A163" s="604"/>
      <c r="B163" s="318" t="s">
        <v>593</v>
      </c>
      <c r="C163" s="294">
        <v>0</v>
      </c>
      <c r="D163" s="294">
        <v>0</v>
      </c>
      <c r="E163" s="294">
        <v>0</v>
      </c>
      <c r="F163" s="294">
        <v>0</v>
      </c>
      <c r="G163" s="294">
        <v>0</v>
      </c>
      <c r="H163" s="294">
        <v>0</v>
      </c>
      <c r="I163" s="294">
        <v>0</v>
      </c>
      <c r="J163" s="294">
        <v>0</v>
      </c>
      <c r="K163" s="294">
        <v>0</v>
      </c>
      <c r="L163" s="294">
        <v>0</v>
      </c>
      <c r="M163" s="294">
        <v>0</v>
      </c>
      <c r="N163" s="294">
        <v>0</v>
      </c>
      <c r="O163" s="294">
        <v>0</v>
      </c>
      <c r="P163" s="294">
        <v>0</v>
      </c>
      <c r="Q163" s="294">
        <v>0</v>
      </c>
      <c r="R163" s="294">
        <v>0</v>
      </c>
      <c r="S163" s="294">
        <v>0</v>
      </c>
      <c r="T163" s="294">
        <v>0</v>
      </c>
      <c r="U163" s="294">
        <v>0</v>
      </c>
      <c r="V163" s="294">
        <v>0</v>
      </c>
      <c r="W163" s="295">
        <f t="shared" si="6"/>
        <v>0</v>
      </c>
      <c r="AI163" s="276"/>
    </row>
    <row r="164" spans="1:35" ht="15" customHeight="1">
      <c r="A164" s="604"/>
      <c r="B164" s="318" t="s">
        <v>594</v>
      </c>
      <c r="C164" s="294">
        <v>0</v>
      </c>
      <c r="D164" s="294">
        <v>0</v>
      </c>
      <c r="E164" s="294">
        <v>0</v>
      </c>
      <c r="F164" s="294">
        <v>0</v>
      </c>
      <c r="G164" s="294">
        <v>0</v>
      </c>
      <c r="H164" s="294">
        <v>0</v>
      </c>
      <c r="I164" s="294">
        <v>0</v>
      </c>
      <c r="J164" s="294">
        <v>0</v>
      </c>
      <c r="K164" s="294">
        <v>0</v>
      </c>
      <c r="L164" s="294">
        <v>0</v>
      </c>
      <c r="M164" s="294">
        <v>0</v>
      </c>
      <c r="N164" s="294">
        <v>0</v>
      </c>
      <c r="O164" s="294">
        <v>0</v>
      </c>
      <c r="P164" s="294">
        <v>0</v>
      </c>
      <c r="Q164" s="294">
        <v>0</v>
      </c>
      <c r="R164" s="294">
        <v>0</v>
      </c>
      <c r="S164" s="294">
        <v>0</v>
      </c>
      <c r="T164" s="294">
        <v>0</v>
      </c>
      <c r="U164" s="294">
        <v>0</v>
      </c>
      <c r="V164" s="294">
        <v>0</v>
      </c>
      <c r="W164" s="295">
        <f t="shared" si="6"/>
        <v>0</v>
      </c>
      <c r="AI164" s="276"/>
    </row>
    <row r="165" spans="1:35" ht="15" customHeight="1">
      <c r="A165" s="604"/>
      <c r="B165" s="318" t="s">
        <v>595</v>
      </c>
      <c r="C165" s="294">
        <v>0</v>
      </c>
      <c r="D165" s="294">
        <v>0</v>
      </c>
      <c r="E165" s="294">
        <v>0</v>
      </c>
      <c r="F165" s="294">
        <v>0</v>
      </c>
      <c r="G165" s="294">
        <v>0</v>
      </c>
      <c r="H165" s="294">
        <v>0</v>
      </c>
      <c r="I165" s="294">
        <v>0</v>
      </c>
      <c r="J165" s="294">
        <v>0</v>
      </c>
      <c r="K165" s="294">
        <v>0</v>
      </c>
      <c r="L165" s="294">
        <v>0</v>
      </c>
      <c r="M165" s="294">
        <v>0</v>
      </c>
      <c r="N165" s="294">
        <v>0</v>
      </c>
      <c r="O165" s="294">
        <v>0</v>
      </c>
      <c r="P165" s="294">
        <v>0</v>
      </c>
      <c r="Q165" s="294">
        <v>0</v>
      </c>
      <c r="R165" s="294">
        <v>0</v>
      </c>
      <c r="S165" s="294">
        <v>0</v>
      </c>
      <c r="T165" s="294">
        <v>0</v>
      </c>
      <c r="U165" s="294">
        <v>0</v>
      </c>
      <c r="V165" s="294">
        <v>0</v>
      </c>
      <c r="W165" s="295">
        <f t="shared" si="6"/>
        <v>0</v>
      </c>
      <c r="AI165" s="276"/>
    </row>
    <row r="166" spans="1:35" ht="15" customHeight="1">
      <c r="A166" s="604"/>
      <c r="B166" s="318" t="s">
        <v>596</v>
      </c>
      <c r="C166" s="294">
        <v>0</v>
      </c>
      <c r="D166" s="294">
        <v>0</v>
      </c>
      <c r="E166" s="294">
        <v>0</v>
      </c>
      <c r="F166" s="294">
        <v>0</v>
      </c>
      <c r="G166" s="294">
        <v>0</v>
      </c>
      <c r="H166" s="294">
        <v>0</v>
      </c>
      <c r="I166" s="294">
        <v>0</v>
      </c>
      <c r="J166" s="294">
        <v>0</v>
      </c>
      <c r="K166" s="294">
        <v>0</v>
      </c>
      <c r="L166" s="294">
        <v>0</v>
      </c>
      <c r="M166" s="294">
        <v>0</v>
      </c>
      <c r="N166" s="294">
        <v>0</v>
      </c>
      <c r="O166" s="294">
        <v>0</v>
      </c>
      <c r="P166" s="294">
        <v>0</v>
      </c>
      <c r="Q166" s="294">
        <v>0</v>
      </c>
      <c r="R166" s="294">
        <v>0</v>
      </c>
      <c r="S166" s="294">
        <v>0</v>
      </c>
      <c r="T166" s="294">
        <v>0</v>
      </c>
      <c r="U166" s="294">
        <v>0</v>
      </c>
      <c r="V166" s="294">
        <v>0</v>
      </c>
      <c r="W166" s="295">
        <f t="shared" si="6"/>
        <v>0</v>
      </c>
      <c r="AI166" s="276"/>
    </row>
    <row r="167" spans="1:35" ht="15" customHeight="1">
      <c r="A167" s="604"/>
      <c r="B167" s="318" t="s">
        <v>902</v>
      </c>
      <c r="C167" s="294">
        <v>0</v>
      </c>
      <c r="D167" s="294">
        <v>0</v>
      </c>
      <c r="E167" s="294">
        <v>0</v>
      </c>
      <c r="F167" s="294">
        <v>0</v>
      </c>
      <c r="G167" s="294">
        <v>0</v>
      </c>
      <c r="H167" s="294">
        <v>0</v>
      </c>
      <c r="I167" s="294">
        <v>0</v>
      </c>
      <c r="J167" s="294">
        <v>0</v>
      </c>
      <c r="K167" s="294">
        <v>0</v>
      </c>
      <c r="L167" s="294">
        <v>0</v>
      </c>
      <c r="M167" s="294">
        <v>0</v>
      </c>
      <c r="N167" s="294">
        <v>0</v>
      </c>
      <c r="O167" s="294">
        <v>0</v>
      </c>
      <c r="P167" s="294">
        <v>0</v>
      </c>
      <c r="Q167" s="294">
        <v>0</v>
      </c>
      <c r="R167" s="294">
        <v>0</v>
      </c>
      <c r="S167" s="294">
        <v>0</v>
      </c>
      <c r="T167" s="294">
        <v>0</v>
      </c>
      <c r="U167" s="294">
        <v>0</v>
      </c>
      <c r="V167" s="294">
        <v>0</v>
      </c>
      <c r="W167" s="295">
        <f t="shared" si="6"/>
        <v>0</v>
      </c>
      <c r="AI167" s="276"/>
    </row>
    <row r="168" spans="1:35" ht="15" customHeight="1">
      <c r="A168" s="604"/>
      <c r="B168" s="318" t="s">
        <v>903</v>
      </c>
      <c r="C168" s="294">
        <v>0</v>
      </c>
      <c r="D168" s="294">
        <v>0</v>
      </c>
      <c r="E168" s="294">
        <v>0</v>
      </c>
      <c r="F168" s="294">
        <v>0</v>
      </c>
      <c r="G168" s="294">
        <v>0</v>
      </c>
      <c r="H168" s="294">
        <v>0</v>
      </c>
      <c r="I168" s="294">
        <v>0</v>
      </c>
      <c r="J168" s="294">
        <v>0</v>
      </c>
      <c r="K168" s="294">
        <v>0</v>
      </c>
      <c r="L168" s="294">
        <v>0</v>
      </c>
      <c r="M168" s="294">
        <v>0</v>
      </c>
      <c r="N168" s="294">
        <v>0</v>
      </c>
      <c r="O168" s="294">
        <v>0</v>
      </c>
      <c r="P168" s="294">
        <v>0</v>
      </c>
      <c r="Q168" s="294">
        <v>0</v>
      </c>
      <c r="R168" s="294">
        <v>0</v>
      </c>
      <c r="S168" s="294">
        <v>0</v>
      </c>
      <c r="T168" s="294">
        <v>0</v>
      </c>
      <c r="U168" s="294">
        <v>0</v>
      </c>
      <c r="V168" s="294">
        <v>0</v>
      </c>
      <c r="W168" s="295">
        <f t="shared" si="6"/>
        <v>0</v>
      </c>
      <c r="AI168" s="276"/>
    </row>
    <row r="169" spans="1:35" ht="15" customHeight="1">
      <c r="A169" s="604"/>
      <c r="B169" s="318" t="s">
        <v>904</v>
      </c>
      <c r="C169" s="294">
        <v>0</v>
      </c>
      <c r="D169" s="294">
        <v>0</v>
      </c>
      <c r="E169" s="294">
        <v>0</v>
      </c>
      <c r="F169" s="294">
        <v>0</v>
      </c>
      <c r="G169" s="294">
        <v>0</v>
      </c>
      <c r="H169" s="294">
        <v>0</v>
      </c>
      <c r="I169" s="294">
        <v>0</v>
      </c>
      <c r="J169" s="294">
        <v>0</v>
      </c>
      <c r="K169" s="294">
        <v>0</v>
      </c>
      <c r="L169" s="294">
        <v>0</v>
      </c>
      <c r="M169" s="294">
        <v>0</v>
      </c>
      <c r="N169" s="294">
        <v>0</v>
      </c>
      <c r="O169" s="294">
        <v>0</v>
      </c>
      <c r="P169" s="294">
        <v>0</v>
      </c>
      <c r="Q169" s="294">
        <v>0</v>
      </c>
      <c r="R169" s="294">
        <v>0</v>
      </c>
      <c r="S169" s="294">
        <v>0</v>
      </c>
      <c r="T169" s="294">
        <v>0</v>
      </c>
      <c r="U169" s="294">
        <v>0</v>
      </c>
      <c r="V169" s="294">
        <v>0</v>
      </c>
      <c r="W169" s="295">
        <f t="shared" si="6"/>
        <v>0</v>
      </c>
      <c r="AI169" s="276"/>
    </row>
    <row r="170" spans="1:35" ht="15" customHeight="1" thickBot="1">
      <c r="A170" s="605"/>
      <c r="B170" s="321" t="s">
        <v>905</v>
      </c>
      <c r="C170" s="294">
        <v>0</v>
      </c>
      <c r="D170" s="294">
        <v>0</v>
      </c>
      <c r="E170" s="294">
        <v>0</v>
      </c>
      <c r="F170" s="294">
        <v>0</v>
      </c>
      <c r="G170" s="294">
        <v>0</v>
      </c>
      <c r="H170" s="294">
        <v>0</v>
      </c>
      <c r="I170" s="294">
        <v>0</v>
      </c>
      <c r="J170" s="294">
        <v>0</v>
      </c>
      <c r="K170" s="294">
        <v>0</v>
      </c>
      <c r="L170" s="294">
        <v>0</v>
      </c>
      <c r="M170" s="294">
        <v>0</v>
      </c>
      <c r="N170" s="294">
        <v>0</v>
      </c>
      <c r="O170" s="294">
        <v>0</v>
      </c>
      <c r="P170" s="294">
        <v>0</v>
      </c>
      <c r="Q170" s="294">
        <v>0</v>
      </c>
      <c r="R170" s="294">
        <v>0</v>
      </c>
      <c r="S170" s="294">
        <v>0</v>
      </c>
      <c r="T170" s="294">
        <v>0</v>
      </c>
      <c r="U170" s="294">
        <v>0</v>
      </c>
      <c r="V170" s="294">
        <v>0</v>
      </c>
      <c r="W170" s="300">
        <f t="shared" si="6"/>
        <v>0</v>
      </c>
      <c r="AI170" s="276"/>
    </row>
    <row r="171" spans="1:35" ht="20.100000000000001" customHeight="1" thickBot="1">
      <c r="A171" s="600" t="s">
        <v>755</v>
      </c>
      <c r="B171" s="601"/>
      <c r="C171" s="296"/>
      <c r="D171" s="296"/>
      <c r="E171" s="296"/>
      <c r="F171" s="296"/>
      <c r="G171" s="296"/>
      <c r="H171" s="296"/>
      <c r="I171" s="296"/>
      <c r="J171" s="296"/>
      <c r="K171" s="296"/>
      <c r="L171" s="296"/>
      <c r="M171" s="296"/>
      <c r="N171" s="296"/>
      <c r="O171" s="296"/>
      <c r="P171" s="296"/>
      <c r="Q171" s="296"/>
      <c r="R171" s="296"/>
      <c r="S171" s="296"/>
      <c r="T171" s="296"/>
      <c r="U171" s="296"/>
      <c r="V171" s="297"/>
      <c r="W171" s="560"/>
      <c r="AI171" s="276"/>
    </row>
    <row r="172" spans="1:35" ht="20.100000000000001" customHeight="1" thickBot="1">
      <c r="A172" s="600" t="s">
        <v>754</v>
      </c>
      <c r="B172" s="601"/>
      <c r="C172" s="296">
        <f t="shared" ref="C172:V172" si="7">+AVERAGE(C127:C170)</f>
        <v>0</v>
      </c>
      <c r="D172" s="296">
        <f t="shared" si="7"/>
        <v>0</v>
      </c>
      <c r="E172" s="296">
        <f t="shared" si="7"/>
        <v>0</v>
      </c>
      <c r="F172" s="296">
        <f t="shared" si="7"/>
        <v>0</v>
      </c>
      <c r="G172" s="296">
        <f t="shared" si="7"/>
        <v>0</v>
      </c>
      <c r="H172" s="296">
        <f t="shared" si="7"/>
        <v>0</v>
      </c>
      <c r="I172" s="296">
        <f t="shared" si="7"/>
        <v>0</v>
      </c>
      <c r="J172" s="296">
        <f t="shared" si="7"/>
        <v>0</v>
      </c>
      <c r="K172" s="296">
        <f t="shared" si="7"/>
        <v>0</v>
      </c>
      <c r="L172" s="296">
        <f t="shared" si="7"/>
        <v>0</v>
      </c>
      <c r="M172" s="296">
        <f t="shared" si="7"/>
        <v>0</v>
      </c>
      <c r="N172" s="296">
        <f t="shared" si="7"/>
        <v>0</v>
      </c>
      <c r="O172" s="296">
        <f t="shared" si="7"/>
        <v>0</v>
      </c>
      <c r="P172" s="296">
        <f t="shared" si="7"/>
        <v>0</v>
      </c>
      <c r="Q172" s="296">
        <f>+AVERAGE(Q127:Q170)</f>
        <v>0</v>
      </c>
      <c r="R172" s="296">
        <f>+AVERAGE(R127:R170)</f>
        <v>0</v>
      </c>
      <c r="S172" s="296">
        <f t="shared" si="7"/>
        <v>0</v>
      </c>
      <c r="T172" s="296">
        <f t="shared" si="7"/>
        <v>0</v>
      </c>
      <c r="U172" s="296">
        <f t="shared" si="7"/>
        <v>0</v>
      </c>
      <c r="V172" s="296">
        <f t="shared" si="7"/>
        <v>0</v>
      </c>
      <c r="W172" s="561"/>
      <c r="AI172" s="276"/>
    </row>
    <row r="173" spans="1:35" ht="20.100000000000001" customHeight="1" thickBot="1">
      <c r="A173" s="600" t="s">
        <v>758</v>
      </c>
      <c r="B173" s="602"/>
      <c r="C173" s="516">
        <f>AVERAGE(C172:V172)</f>
        <v>0</v>
      </c>
      <c r="D173" s="517"/>
      <c r="E173" s="517"/>
      <c r="F173" s="517"/>
      <c r="G173" s="517"/>
      <c r="H173" s="517"/>
      <c r="I173" s="517"/>
      <c r="J173" s="517"/>
      <c r="K173" s="517"/>
      <c r="L173" s="517"/>
      <c r="M173" s="517"/>
      <c r="N173" s="517"/>
      <c r="O173" s="517"/>
      <c r="P173" s="517"/>
      <c r="Q173" s="517"/>
      <c r="R173" s="516"/>
      <c r="S173" s="517"/>
      <c r="T173" s="517"/>
      <c r="U173" s="517"/>
      <c r="V173" s="517"/>
      <c r="W173" s="562"/>
      <c r="AI173" s="276"/>
    </row>
    <row r="174" spans="1:35" ht="15" customHeight="1">
      <c r="A174" s="603" t="s">
        <v>916</v>
      </c>
      <c r="B174" s="320" t="s">
        <v>597</v>
      </c>
      <c r="C174" s="294">
        <v>0</v>
      </c>
      <c r="D174" s="294">
        <v>0</v>
      </c>
      <c r="E174" s="294">
        <v>0</v>
      </c>
      <c r="F174" s="294">
        <v>0</v>
      </c>
      <c r="G174" s="294">
        <v>0</v>
      </c>
      <c r="H174" s="294">
        <v>0</v>
      </c>
      <c r="I174" s="294">
        <v>0</v>
      </c>
      <c r="J174" s="294">
        <v>0</v>
      </c>
      <c r="K174" s="294">
        <v>0</v>
      </c>
      <c r="L174" s="294">
        <v>0</v>
      </c>
      <c r="M174" s="294">
        <v>0</v>
      </c>
      <c r="N174" s="294">
        <v>0</v>
      </c>
      <c r="O174" s="294">
        <v>0</v>
      </c>
      <c r="P174" s="294">
        <v>0</v>
      </c>
      <c r="Q174" s="294">
        <v>0</v>
      </c>
      <c r="R174" s="294">
        <v>0</v>
      </c>
      <c r="S174" s="294">
        <v>0</v>
      </c>
      <c r="T174" s="294">
        <v>0</v>
      </c>
      <c r="U174" s="294">
        <v>0</v>
      </c>
      <c r="V174" s="294">
        <v>0</v>
      </c>
      <c r="W174" s="295">
        <f t="shared" ref="W174:W217" si="8">+AVERAGE(C174:V174)</f>
        <v>0</v>
      </c>
      <c r="AI174" s="276"/>
    </row>
    <row r="175" spans="1:35" ht="15" customHeight="1">
      <c r="A175" s="604"/>
      <c r="B175" s="318" t="s">
        <v>598</v>
      </c>
      <c r="C175" s="294">
        <v>0</v>
      </c>
      <c r="D175" s="294">
        <v>0</v>
      </c>
      <c r="E175" s="294">
        <v>0</v>
      </c>
      <c r="F175" s="294">
        <v>0</v>
      </c>
      <c r="G175" s="294">
        <v>0</v>
      </c>
      <c r="H175" s="294">
        <v>0</v>
      </c>
      <c r="I175" s="294">
        <v>0</v>
      </c>
      <c r="J175" s="294">
        <v>0</v>
      </c>
      <c r="K175" s="294">
        <v>0</v>
      </c>
      <c r="L175" s="294">
        <v>0</v>
      </c>
      <c r="M175" s="294">
        <v>0</v>
      </c>
      <c r="N175" s="294">
        <v>0</v>
      </c>
      <c r="O175" s="294">
        <v>0</v>
      </c>
      <c r="P175" s="294">
        <v>0</v>
      </c>
      <c r="Q175" s="294">
        <v>0</v>
      </c>
      <c r="R175" s="294">
        <v>0</v>
      </c>
      <c r="S175" s="294">
        <v>0</v>
      </c>
      <c r="T175" s="294">
        <v>0</v>
      </c>
      <c r="U175" s="294">
        <v>0</v>
      </c>
      <c r="V175" s="294">
        <v>0</v>
      </c>
      <c r="W175" s="295">
        <f t="shared" si="8"/>
        <v>0</v>
      </c>
      <c r="AI175" s="276"/>
    </row>
    <row r="176" spans="1:35" ht="15" customHeight="1">
      <c r="A176" s="604"/>
      <c r="B176" s="318" t="s">
        <v>599</v>
      </c>
      <c r="C176" s="294">
        <v>0</v>
      </c>
      <c r="D176" s="294">
        <v>0</v>
      </c>
      <c r="E176" s="294">
        <v>0</v>
      </c>
      <c r="F176" s="294">
        <v>0</v>
      </c>
      <c r="G176" s="294">
        <v>0</v>
      </c>
      <c r="H176" s="294">
        <v>0</v>
      </c>
      <c r="I176" s="294">
        <v>0</v>
      </c>
      <c r="J176" s="294">
        <v>0</v>
      </c>
      <c r="K176" s="294">
        <v>0</v>
      </c>
      <c r="L176" s="294">
        <v>0</v>
      </c>
      <c r="M176" s="294">
        <v>0</v>
      </c>
      <c r="N176" s="294">
        <v>0</v>
      </c>
      <c r="O176" s="294">
        <v>0</v>
      </c>
      <c r="P176" s="294">
        <v>0</v>
      </c>
      <c r="Q176" s="294">
        <v>0</v>
      </c>
      <c r="R176" s="294">
        <v>0</v>
      </c>
      <c r="S176" s="294">
        <v>0</v>
      </c>
      <c r="T176" s="294">
        <v>0</v>
      </c>
      <c r="U176" s="294">
        <v>0</v>
      </c>
      <c r="V176" s="294">
        <v>0</v>
      </c>
      <c r="W176" s="295">
        <f t="shared" si="8"/>
        <v>0</v>
      </c>
      <c r="AI176" s="276"/>
    </row>
    <row r="177" spans="1:35" ht="15" customHeight="1">
      <c r="A177" s="604"/>
      <c r="B177" s="318" t="s">
        <v>600</v>
      </c>
      <c r="C177" s="294">
        <v>0</v>
      </c>
      <c r="D177" s="294">
        <v>0</v>
      </c>
      <c r="E177" s="294">
        <v>0</v>
      </c>
      <c r="F177" s="294">
        <v>0</v>
      </c>
      <c r="G177" s="294">
        <v>0</v>
      </c>
      <c r="H177" s="294">
        <v>0</v>
      </c>
      <c r="I177" s="294">
        <v>0</v>
      </c>
      <c r="J177" s="294">
        <v>0</v>
      </c>
      <c r="K177" s="294">
        <v>0</v>
      </c>
      <c r="L177" s="294">
        <v>0</v>
      </c>
      <c r="M177" s="294">
        <v>0</v>
      </c>
      <c r="N177" s="294">
        <v>0</v>
      </c>
      <c r="O177" s="294">
        <v>0</v>
      </c>
      <c r="P177" s="294">
        <v>0</v>
      </c>
      <c r="Q177" s="294">
        <v>0</v>
      </c>
      <c r="R177" s="294">
        <v>0</v>
      </c>
      <c r="S177" s="294">
        <v>0</v>
      </c>
      <c r="T177" s="294">
        <v>0</v>
      </c>
      <c r="U177" s="294">
        <v>0</v>
      </c>
      <c r="V177" s="294">
        <v>0</v>
      </c>
      <c r="W177" s="295">
        <f t="shared" si="8"/>
        <v>0</v>
      </c>
      <c r="AI177" s="276"/>
    </row>
    <row r="178" spans="1:35" ht="15" customHeight="1">
      <c r="A178" s="604"/>
      <c r="B178" s="318" t="s">
        <v>601</v>
      </c>
      <c r="C178" s="294">
        <v>0</v>
      </c>
      <c r="D178" s="294">
        <v>0</v>
      </c>
      <c r="E178" s="294">
        <v>0</v>
      </c>
      <c r="F178" s="294">
        <v>0</v>
      </c>
      <c r="G178" s="294">
        <v>0</v>
      </c>
      <c r="H178" s="294">
        <v>0</v>
      </c>
      <c r="I178" s="294">
        <v>0</v>
      </c>
      <c r="J178" s="294">
        <v>0</v>
      </c>
      <c r="K178" s="294">
        <v>0</v>
      </c>
      <c r="L178" s="294">
        <v>0</v>
      </c>
      <c r="M178" s="294">
        <v>0</v>
      </c>
      <c r="N178" s="294">
        <v>0</v>
      </c>
      <c r="O178" s="294">
        <v>0</v>
      </c>
      <c r="P178" s="294">
        <v>0</v>
      </c>
      <c r="Q178" s="294">
        <v>0</v>
      </c>
      <c r="R178" s="294">
        <v>0</v>
      </c>
      <c r="S178" s="294">
        <v>0</v>
      </c>
      <c r="T178" s="294">
        <v>0</v>
      </c>
      <c r="U178" s="294">
        <v>0</v>
      </c>
      <c r="V178" s="294">
        <v>0</v>
      </c>
      <c r="W178" s="295">
        <f t="shared" si="8"/>
        <v>0</v>
      </c>
      <c r="AI178" s="276"/>
    </row>
    <row r="179" spans="1:35" ht="15" customHeight="1">
      <c r="A179" s="604"/>
      <c r="B179" s="318" t="s">
        <v>602</v>
      </c>
      <c r="C179" s="294">
        <v>0</v>
      </c>
      <c r="D179" s="294">
        <v>0</v>
      </c>
      <c r="E179" s="294">
        <v>0</v>
      </c>
      <c r="F179" s="294">
        <v>0</v>
      </c>
      <c r="G179" s="294">
        <v>0</v>
      </c>
      <c r="H179" s="294">
        <v>0</v>
      </c>
      <c r="I179" s="294">
        <v>0</v>
      </c>
      <c r="J179" s="294">
        <v>0</v>
      </c>
      <c r="K179" s="294">
        <v>0</v>
      </c>
      <c r="L179" s="294">
        <v>0</v>
      </c>
      <c r="M179" s="294">
        <v>0</v>
      </c>
      <c r="N179" s="294">
        <v>0</v>
      </c>
      <c r="O179" s="294">
        <v>0</v>
      </c>
      <c r="P179" s="294">
        <v>0</v>
      </c>
      <c r="Q179" s="294">
        <v>0</v>
      </c>
      <c r="R179" s="294">
        <v>0</v>
      </c>
      <c r="S179" s="294">
        <v>0</v>
      </c>
      <c r="T179" s="294">
        <v>0</v>
      </c>
      <c r="U179" s="294">
        <v>0</v>
      </c>
      <c r="V179" s="294">
        <v>0</v>
      </c>
      <c r="W179" s="295">
        <f t="shared" si="8"/>
        <v>0</v>
      </c>
      <c r="AI179" s="276"/>
    </row>
    <row r="180" spans="1:35" ht="15" customHeight="1">
      <c r="A180" s="604"/>
      <c r="B180" s="318" t="s">
        <v>603</v>
      </c>
      <c r="C180" s="294">
        <v>0</v>
      </c>
      <c r="D180" s="294">
        <v>0</v>
      </c>
      <c r="E180" s="294">
        <v>0</v>
      </c>
      <c r="F180" s="294">
        <v>0</v>
      </c>
      <c r="G180" s="294">
        <v>0</v>
      </c>
      <c r="H180" s="294">
        <v>0</v>
      </c>
      <c r="I180" s="294">
        <v>0</v>
      </c>
      <c r="J180" s="294">
        <v>0</v>
      </c>
      <c r="K180" s="294">
        <v>0</v>
      </c>
      <c r="L180" s="294">
        <v>0</v>
      </c>
      <c r="M180" s="294">
        <v>0</v>
      </c>
      <c r="N180" s="294">
        <v>0</v>
      </c>
      <c r="O180" s="294">
        <v>0</v>
      </c>
      <c r="P180" s="294">
        <v>0</v>
      </c>
      <c r="Q180" s="294">
        <v>0</v>
      </c>
      <c r="R180" s="294">
        <v>0</v>
      </c>
      <c r="S180" s="294">
        <v>0</v>
      </c>
      <c r="T180" s="294">
        <v>0</v>
      </c>
      <c r="U180" s="294">
        <v>0</v>
      </c>
      <c r="V180" s="294">
        <v>0</v>
      </c>
      <c r="W180" s="295">
        <f t="shared" si="8"/>
        <v>0</v>
      </c>
      <c r="AI180" s="276"/>
    </row>
    <row r="181" spans="1:35" ht="15" customHeight="1">
      <c r="A181" s="604"/>
      <c r="B181" s="318" t="s">
        <v>604</v>
      </c>
      <c r="C181" s="294">
        <v>0</v>
      </c>
      <c r="D181" s="294">
        <v>0</v>
      </c>
      <c r="E181" s="294">
        <v>0</v>
      </c>
      <c r="F181" s="294">
        <v>0</v>
      </c>
      <c r="G181" s="294">
        <v>0</v>
      </c>
      <c r="H181" s="294">
        <v>0</v>
      </c>
      <c r="I181" s="294">
        <v>0</v>
      </c>
      <c r="J181" s="294">
        <v>0</v>
      </c>
      <c r="K181" s="294">
        <v>0</v>
      </c>
      <c r="L181" s="294">
        <v>0</v>
      </c>
      <c r="M181" s="294">
        <v>0</v>
      </c>
      <c r="N181" s="294">
        <v>0</v>
      </c>
      <c r="O181" s="294">
        <v>0</v>
      </c>
      <c r="P181" s="294">
        <v>0</v>
      </c>
      <c r="Q181" s="294">
        <v>0</v>
      </c>
      <c r="R181" s="294">
        <v>0</v>
      </c>
      <c r="S181" s="294">
        <v>0</v>
      </c>
      <c r="T181" s="294">
        <v>0</v>
      </c>
      <c r="U181" s="294">
        <v>0</v>
      </c>
      <c r="V181" s="294">
        <v>0</v>
      </c>
      <c r="W181" s="295">
        <f t="shared" si="8"/>
        <v>0</v>
      </c>
      <c r="AI181" s="276"/>
    </row>
    <row r="182" spans="1:35" ht="15" customHeight="1">
      <c r="A182" s="604"/>
      <c r="B182" s="318" t="s">
        <v>605</v>
      </c>
      <c r="C182" s="294">
        <v>0</v>
      </c>
      <c r="D182" s="294">
        <v>0</v>
      </c>
      <c r="E182" s="294">
        <v>0</v>
      </c>
      <c r="F182" s="294">
        <v>0</v>
      </c>
      <c r="G182" s="294">
        <v>0</v>
      </c>
      <c r="H182" s="294">
        <v>0</v>
      </c>
      <c r="I182" s="294">
        <v>0</v>
      </c>
      <c r="J182" s="294">
        <v>0</v>
      </c>
      <c r="K182" s="294">
        <v>0</v>
      </c>
      <c r="L182" s="294">
        <v>0</v>
      </c>
      <c r="M182" s="294">
        <v>0</v>
      </c>
      <c r="N182" s="294">
        <v>0</v>
      </c>
      <c r="O182" s="294">
        <v>0</v>
      </c>
      <c r="P182" s="294">
        <v>0</v>
      </c>
      <c r="Q182" s="294">
        <v>0</v>
      </c>
      <c r="R182" s="294">
        <v>0</v>
      </c>
      <c r="S182" s="294">
        <v>0</v>
      </c>
      <c r="T182" s="294">
        <v>0</v>
      </c>
      <c r="U182" s="294">
        <v>0</v>
      </c>
      <c r="V182" s="294">
        <v>0</v>
      </c>
      <c r="W182" s="295">
        <f t="shared" si="8"/>
        <v>0</v>
      </c>
      <c r="AI182" s="276"/>
    </row>
    <row r="183" spans="1:35" ht="15" customHeight="1">
      <c r="A183" s="604"/>
      <c r="B183" s="318" t="s">
        <v>606</v>
      </c>
      <c r="C183" s="294">
        <v>0</v>
      </c>
      <c r="D183" s="294">
        <v>0</v>
      </c>
      <c r="E183" s="294">
        <v>0</v>
      </c>
      <c r="F183" s="294">
        <v>0</v>
      </c>
      <c r="G183" s="294">
        <v>0</v>
      </c>
      <c r="H183" s="294">
        <v>0</v>
      </c>
      <c r="I183" s="294">
        <v>0</v>
      </c>
      <c r="J183" s="294">
        <v>0</v>
      </c>
      <c r="K183" s="294">
        <v>0</v>
      </c>
      <c r="L183" s="294">
        <v>0</v>
      </c>
      <c r="M183" s="294">
        <v>0</v>
      </c>
      <c r="N183" s="294">
        <v>0</v>
      </c>
      <c r="O183" s="294">
        <v>0</v>
      </c>
      <c r="P183" s="294">
        <v>0</v>
      </c>
      <c r="Q183" s="294">
        <v>0</v>
      </c>
      <c r="R183" s="294">
        <v>0</v>
      </c>
      <c r="S183" s="294">
        <v>0</v>
      </c>
      <c r="T183" s="294">
        <v>0</v>
      </c>
      <c r="U183" s="294">
        <v>0</v>
      </c>
      <c r="V183" s="294">
        <v>0</v>
      </c>
      <c r="W183" s="295">
        <f t="shared" si="8"/>
        <v>0</v>
      </c>
      <c r="AI183" s="276"/>
    </row>
    <row r="184" spans="1:35" ht="15" customHeight="1">
      <c r="A184" s="604"/>
      <c r="B184" s="318" t="s">
        <v>607</v>
      </c>
      <c r="C184" s="294">
        <v>0</v>
      </c>
      <c r="D184" s="294">
        <v>0</v>
      </c>
      <c r="E184" s="294">
        <v>0</v>
      </c>
      <c r="F184" s="294">
        <v>0</v>
      </c>
      <c r="G184" s="294">
        <v>0</v>
      </c>
      <c r="H184" s="294">
        <v>0</v>
      </c>
      <c r="I184" s="294">
        <v>0</v>
      </c>
      <c r="J184" s="294">
        <v>0</v>
      </c>
      <c r="K184" s="294">
        <v>0</v>
      </c>
      <c r="L184" s="294">
        <v>0</v>
      </c>
      <c r="M184" s="294">
        <v>0</v>
      </c>
      <c r="N184" s="294">
        <v>0</v>
      </c>
      <c r="O184" s="294">
        <v>0</v>
      </c>
      <c r="P184" s="294">
        <v>0</v>
      </c>
      <c r="Q184" s="294">
        <v>0</v>
      </c>
      <c r="R184" s="294">
        <v>0</v>
      </c>
      <c r="S184" s="294">
        <v>0</v>
      </c>
      <c r="T184" s="294">
        <v>0</v>
      </c>
      <c r="U184" s="294">
        <v>0</v>
      </c>
      <c r="V184" s="294">
        <v>0</v>
      </c>
      <c r="W184" s="295">
        <f t="shared" si="8"/>
        <v>0</v>
      </c>
      <c r="AI184" s="276"/>
    </row>
    <row r="185" spans="1:35" ht="15" customHeight="1">
      <c r="A185" s="604"/>
      <c r="B185" s="318" t="s">
        <v>608</v>
      </c>
      <c r="C185" s="294">
        <v>0</v>
      </c>
      <c r="D185" s="294">
        <v>0</v>
      </c>
      <c r="E185" s="294">
        <v>0</v>
      </c>
      <c r="F185" s="294">
        <v>0</v>
      </c>
      <c r="G185" s="294">
        <v>0</v>
      </c>
      <c r="H185" s="294">
        <v>0</v>
      </c>
      <c r="I185" s="294">
        <v>0</v>
      </c>
      <c r="J185" s="294">
        <v>0</v>
      </c>
      <c r="K185" s="294">
        <v>0</v>
      </c>
      <c r="L185" s="294">
        <v>0</v>
      </c>
      <c r="M185" s="294">
        <v>0</v>
      </c>
      <c r="N185" s="294">
        <v>0</v>
      </c>
      <c r="O185" s="294">
        <v>0</v>
      </c>
      <c r="P185" s="294">
        <v>0</v>
      </c>
      <c r="Q185" s="294">
        <v>0</v>
      </c>
      <c r="R185" s="294">
        <v>0</v>
      </c>
      <c r="S185" s="294">
        <v>0</v>
      </c>
      <c r="T185" s="294">
        <v>0</v>
      </c>
      <c r="U185" s="294">
        <v>0</v>
      </c>
      <c r="V185" s="294">
        <v>0</v>
      </c>
      <c r="W185" s="295">
        <f t="shared" si="8"/>
        <v>0</v>
      </c>
      <c r="AI185" s="276"/>
    </row>
    <row r="186" spans="1:35" ht="15" customHeight="1">
      <c r="A186" s="604"/>
      <c r="B186" s="318" t="s">
        <v>609</v>
      </c>
      <c r="C186" s="294">
        <v>0</v>
      </c>
      <c r="D186" s="294">
        <v>0</v>
      </c>
      <c r="E186" s="294">
        <v>0</v>
      </c>
      <c r="F186" s="294">
        <v>0</v>
      </c>
      <c r="G186" s="294">
        <v>0</v>
      </c>
      <c r="H186" s="294">
        <v>0</v>
      </c>
      <c r="I186" s="294">
        <v>0</v>
      </c>
      <c r="J186" s="294">
        <v>0</v>
      </c>
      <c r="K186" s="294">
        <v>0</v>
      </c>
      <c r="L186" s="294">
        <v>0</v>
      </c>
      <c r="M186" s="294">
        <v>0</v>
      </c>
      <c r="N186" s="294">
        <v>0</v>
      </c>
      <c r="O186" s="294">
        <v>0</v>
      </c>
      <c r="P186" s="294">
        <v>0</v>
      </c>
      <c r="Q186" s="294">
        <v>0</v>
      </c>
      <c r="R186" s="294">
        <v>0</v>
      </c>
      <c r="S186" s="294">
        <v>0</v>
      </c>
      <c r="T186" s="294">
        <v>0</v>
      </c>
      <c r="U186" s="294">
        <v>0</v>
      </c>
      <c r="V186" s="294">
        <v>0</v>
      </c>
      <c r="W186" s="295">
        <f t="shared" si="8"/>
        <v>0</v>
      </c>
      <c r="AI186" s="276"/>
    </row>
    <row r="187" spans="1:35" ht="15" customHeight="1">
      <c r="A187" s="604"/>
      <c r="B187" s="318" t="s">
        <v>610</v>
      </c>
      <c r="C187" s="294">
        <v>0</v>
      </c>
      <c r="D187" s="294">
        <v>0</v>
      </c>
      <c r="E187" s="294">
        <v>0</v>
      </c>
      <c r="F187" s="294">
        <v>0</v>
      </c>
      <c r="G187" s="294">
        <v>0</v>
      </c>
      <c r="H187" s="294">
        <v>0</v>
      </c>
      <c r="I187" s="294">
        <v>0</v>
      </c>
      <c r="J187" s="294">
        <v>0</v>
      </c>
      <c r="K187" s="294">
        <v>0</v>
      </c>
      <c r="L187" s="294">
        <v>0</v>
      </c>
      <c r="M187" s="294">
        <v>0</v>
      </c>
      <c r="N187" s="294">
        <v>0</v>
      </c>
      <c r="O187" s="294">
        <v>0</v>
      </c>
      <c r="P187" s="294">
        <v>0</v>
      </c>
      <c r="Q187" s="294">
        <v>0</v>
      </c>
      <c r="R187" s="294">
        <v>0</v>
      </c>
      <c r="S187" s="294">
        <v>0</v>
      </c>
      <c r="T187" s="294">
        <v>0</v>
      </c>
      <c r="U187" s="294">
        <v>0</v>
      </c>
      <c r="V187" s="294">
        <v>0</v>
      </c>
      <c r="W187" s="295">
        <f t="shared" si="8"/>
        <v>0</v>
      </c>
      <c r="AI187" s="276"/>
    </row>
    <row r="188" spans="1:35" ht="15" customHeight="1">
      <c r="A188" s="604"/>
      <c r="B188" s="318" t="s">
        <v>611</v>
      </c>
      <c r="C188" s="294">
        <v>0</v>
      </c>
      <c r="D188" s="294">
        <v>0</v>
      </c>
      <c r="E188" s="294">
        <v>0</v>
      </c>
      <c r="F188" s="294">
        <v>0</v>
      </c>
      <c r="G188" s="294">
        <v>0</v>
      </c>
      <c r="H188" s="294">
        <v>0</v>
      </c>
      <c r="I188" s="294">
        <v>0</v>
      </c>
      <c r="J188" s="294">
        <v>0</v>
      </c>
      <c r="K188" s="294">
        <v>0</v>
      </c>
      <c r="L188" s="294">
        <v>0</v>
      </c>
      <c r="M188" s="294">
        <v>0</v>
      </c>
      <c r="N188" s="294">
        <v>0</v>
      </c>
      <c r="O188" s="294">
        <v>0</v>
      </c>
      <c r="P188" s="294">
        <v>0</v>
      </c>
      <c r="Q188" s="294">
        <v>0</v>
      </c>
      <c r="R188" s="294">
        <v>0</v>
      </c>
      <c r="S188" s="294">
        <v>0</v>
      </c>
      <c r="T188" s="294">
        <v>0</v>
      </c>
      <c r="U188" s="294">
        <v>0</v>
      </c>
      <c r="V188" s="294">
        <v>0</v>
      </c>
      <c r="W188" s="295">
        <f t="shared" si="8"/>
        <v>0</v>
      </c>
      <c r="AI188" s="276"/>
    </row>
    <row r="189" spans="1:35" ht="15" customHeight="1">
      <c r="A189" s="604"/>
      <c r="B189" s="318" t="s">
        <v>612</v>
      </c>
      <c r="C189" s="294">
        <v>0</v>
      </c>
      <c r="D189" s="294">
        <v>0</v>
      </c>
      <c r="E189" s="294">
        <v>0</v>
      </c>
      <c r="F189" s="294">
        <v>0</v>
      </c>
      <c r="G189" s="294">
        <v>0</v>
      </c>
      <c r="H189" s="294">
        <v>0</v>
      </c>
      <c r="I189" s="294">
        <v>0</v>
      </c>
      <c r="J189" s="294">
        <v>0</v>
      </c>
      <c r="K189" s="294">
        <v>0</v>
      </c>
      <c r="L189" s="294">
        <v>0</v>
      </c>
      <c r="M189" s="294">
        <v>0</v>
      </c>
      <c r="N189" s="294">
        <v>0</v>
      </c>
      <c r="O189" s="294">
        <v>0</v>
      </c>
      <c r="P189" s="294">
        <v>0</v>
      </c>
      <c r="Q189" s="294">
        <v>0</v>
      </c>
      <c r="R189" s="294">
        <v>0</v>
      </c>
      <c r="S189" s="294">
        <v>0</v>
      </c>
      <c r="T189" s="294">
        <v>0</v>
      </c>
      <c r="U189" s="294">
        <v>0</v>
      </c>
      <c r="V189" s="294">
        <v>0</v>
      </c>
      <c r="W189" s="295">
        <f t="shared" si="8"/>
        <v>0</v>
      </c>
      <c r="AI189" s="276"/>
    </row>
    <row r="190" spans="1:35" ht="15" customHeight="1">
      <c r="A190" s="604"/>
      <c r="B190" s="318" t="s">
        <v>613</v>
      </c>
      <c r="C190" s="294">
        <v>0</v>
      </c>
      <c r="D190" s="294">
        <v>0</v>
      </c>
      <c r="E190" s="294">
        <v>0</v>
      </c>
      <c r="F190" s="294">
        <v>0</v>
      </c>
      <c r="G190" s="294">
        <v>0</v>
      </c>
      <c r="H190" s="294">
        <v>0</v>
      </c>
      <c r="I190" s="294">
        <v>0</v>
      </c>
      <c r="J190" s="294">
        <v>0</v>
      </c>
      <c r="K190" s="294">
        <v>0</v>
      </c>
      <c r="L190" s="294">
        <v>0</v>
      </c>
      <c r="M190" s="294">
        <v>0</v>
      </c>
      <c r="N190" s="294">
        <v>0</v>
      </c>
      <c r="O190" s="294">
        <v>0</v>
      </c>
      <c r="P190" s="294">
        <v>0</v>
      </c>
      <c r="Q190" s="294">
        <v>0</v>
      </c>
      <c r="R190" s="294">
        <v>0</v>
      </c>
      <c r="S190" s="294">
        <v>0</v>
      </c>
      <c r="T190" s="294">
        <v>0</v>
      </c>
      <c r="U190" s="294">
        <v>0</v>
      </c>
      <c r="V190" s="294">
        <v>0</v>
      </c>
      <c r="W190" s="295">
        <f t="shared" si="8"/>
        <v>0</v>
      </c>
      <c r="AI190" s="276"/>
    </row>
    <row r="191" spans="1:35" ht="15" customHeight="1">
      <c r="A191" s="604"/>
      <c r="B191" s="318" t="s">
        <v>910</v>
      </c>
      <c r="C191" s="294">
        <v>0</v>
      </c>
      <c r="D191" s="294">
        <v>0</v>
      </c>
      <c r="E191" s="294">
        <v>0</v>
      </c>
      <c r="F191" s="294">
        <v>0</v>
      </c>
      <c r="G191" s="294">
        <v>0</v>
      </c>
      <c r="H191" s="294">
        <v>0</v>
      </c>
      <c r="I191" s="294">
        <v>0</v>
      </c>
      <c r="J191" s="294">
        <v>0</v>
      </c>
      <c r="K191" s="294">
        <v>0</v>
      </c>
      <c r="L191" s="294">
        <v>0</v>
      </c>
      <c r="M191" s="294">
        <v>0</v>
      </c>
      <c r="N191" s="294">
        <v>0</v>
      </c>
      <c r="O191" s="294">
        <v>0</v>
      </c>
      <c r="P191" s="294">
        <v>0</v>
      </c>
      <c r="Q191" s="294">
        <v>0</v>
      </c>
      <c r="R191" s="294">
        <v>0</v>
      </c>
      <c r="S191" s="294">
        <v>0</v>
      </c>
      <c r="T191" s="294">
        <v>0</v>
      </c>
      <c r="U191" s="294">
        <v>0</v>
      </c>
      <c r="V191" s="294">
        <v>0</v>
      </c>
      <c r="W191" s="295">
        <f t="shared" si="8"/>
        <v>0</v>
      </c>
      <c r="AI191" s="276"/>
    </row>
    <row r="192" spans="1:35" ht="15" customHeight="1">
      <c r="A192" s="604"/>
      <c r="B192" s="318" t="s">
        <v>911</v>
      </c>
      <c r="C192" s="294">
        <v>0</v>
      </c>
      <c r="D192" s="294">
        <v>0</v>
      </c>
      <c r="E192" s="294">
        <v>0</v>
      </c>
      <c r="F192" s="294">
        <v>0</v>
      </c>
      <c r="G192" s="294">
        <v>0</v>
      </c>
      <c r="H192" s="294">
        <v>0</v>
      </c>
      <c r="I192" s="294">
        <v>0</v>
      </c>
      <c r="J192" s="294">
        <v>0</v>
      </c>
      <c r="K192" s="294">
        <v>0</v>
      </c>
      <c r="L192" s="294">
        <v>0</v>
      </c>
      <c r="M192" s="294">
        <v>0</v>
      </c>
      <c r="N192" s="294">
        <v>0</v>
      </c>
      <c r="O192" s="294">
        <v>0</v>
      </c>
      <c r="P192" s="294">
        <v>0</v>
      </c>
      <c r="Q192" s="294">
        <v>0</v>
      </c>
      <c r="R192" s="294">
        <v>0</v>
      </c>
      <c r="S192" s="294">
        <v>0</v>
      </c>
      <c r="T192" s="294">
        <v>0</v>
      </c>
      <c r="U192" s="294">
        <v>0</v>
      </c>
      <c r="V192" s="294">
        <v>0</v>
      </c>
      <c r="W192" s="295">
        <f t="shared" si="8"/>
        <v>0</v>
      </c>
      <c r="AI192" s="276"/>
    </row>
    <row r="193" spans="1:35" ht="15" customHeight="1">
      <c r="A193" s="604"/>
      <c r="B193" s="318" t="s">
        <v>912</v>
      </c>
      <c r="C193" s="294">
        <v>0</v>
      </c>
      <c r="D193" s="294">
        <v>0</v>
      </c>
      <c r="E193" s="294">
        <v>0</v>
      </c>
      <c r="F193" s="294">
        <v>0</v>
      </c>
      <c r="G193" s="294">
        <v>0</v>
      </c>
      <c r="H193" s="294">
        <v>0</v>
      </c>
      <c r="I193" s="294">
        <v>0</v>
      </c>
      <c r="J193" s="294">
        <v>0</v>
      </c>
      <c r="K193" s="294">
        <v>0</v>
      </c>
      <c r="L193" s="294">
        <v>0</v>
      </c>
      <c r="M193" s="294">
        <v>0</v>
      </c>
      <c r="N193" s="294">
        <v>0</v>
      </c>
      <c r="O193" s="294">
        <v>0</v>
      </c>
      <c r="P193" s="294">
        <v>0</v>
      </c>
      <c r="Q193" s="294">
        <v>0</v>
      </c>
      <c r="R193" s="294">
        <v>0</v>
      </c>
      <c r="S193" s="294">
        <v>0</v>
      </c>
      <c r="T193" s="294">
        <v>0</v>
      </c>
      <c r="U193" s="294">
        <v>0</v>
      </c>
      <c r="V193" s="294">
        <v>0</v>
      </c>
      <c r="W193" s="295">
        <f t="shared" si="8"/>
        <v>0</v>
      </c>
      <c r="AI193" s="276"/>
    </row>
    <row r="194" spans="1:35" ht="15" customHeight="1">
      <c r="A194" s="604"/>
      <c r="B194" s="318" t="s">
        <v>913</v>
      </c>
      <c r="C194" s="294">
        <v>0</v>
      </c>
      <c r="D194" s="294">
        <v>0</v>
      </c>
      <c r="E194" s="294">
        <v>0</v>
      </c>
      <c r="F194" s="294">
        <v>0</v>
      </c>
      <c r="G194" s="294">
        <v>0</v>
      </c>
      <c r="H194" s="294">
        <v>0</v>
      </c>
      <c r="I194" s="294">
        <v>0</v>
      </c>
      <c r="J194" s="294">
        <v>0</v>
      </c>
      <c r="K194" s="294">
        <v>0</v>
      </c>
      <c r="L194" s="294">
        <v>0</v>
      </c>
      <c r="M194" s="294">
        <v>0</v>
      </c>
      <c r="N194" s="294">
        <v>0</v>
      </c>
      <c r="O194" s="294">
        <v>0</v>
      </c>
      <c r="P194" s="294">
        <v>0</v>
      </c>
      <c r="Q194" s="294">
        <v>0</v>
      </c>
      <c r="R194" s="294">
        <v>0</v>
      </c>
      <c r="S194" s="294">
        <v>0</v>
      </c>
      <c r="T194" s="294">
        <v>0</v>
      </c>
      <c r="U194" s="294">
        <v>0</v>
      </c>
      <c r="V194" s="294">
        <v>0</v>
      </c>
      <c r="W194" s="295">
        <f t="shared" si="8"/>
        <v>0</v>
      </c>
      <c r="AI194" s="276"/>
    </row>
    <row r="195" spans="1:35" ht="15" customHeight="1">
      <c r="A195" s="604"/>
      <c r="B195" s="318" t="s">
        <v>914</v>
      </c>
      <c r="C195" s="294">
        <v>0</v>
      </c>
      <c r="D195" s="294">
        <v>0</v>
      </c>
      <c r="E195" s="294">
        <v>0</v>
      </c>
      <c r="F195" s="294">
        <v>0</v>
      </c>
      <c r="G195" s="294">
        <v>0</v>
      </c>
      <c r="H195" s="294">
        <v>0</v>
      </c>
      <c r="I195" s="294">
        <v>0</v>
      </c>
      <c r="J195" s="294">
        <v>0</v>
      </c>
      <c r="K195" s="294">
        <v>0</v>
      </c>
      <c r="L195" s="294">
        <v>0</v>
      </c>
      <c r="M195" s="294">
        <v>0</v>
      </c>
      <c r="N195" s="294">
        <v>0</v>
      </c>
      <c r="O195" s="294">
        <v>0</v>
      </c>
      <c r="P195" s="294">
        <v>0</v>
      </c>
      <c r="Q195" s="294">
        <v>0</v>
      </c>
      <c r="R195" s="294">
        <v>0</v>
      </c>
      <c r="S195" s="294">
        <v>0</v>
      </c>
      <c r="T195" s="294">
        <v>0</v>
      </c>
      <c r="U195" s="294">
        <v>0</v>
      </c>
      <c r="V195" s="294">
        <v>0</v>
      </c>
      <c r="W195" s="295">
        <f t="shared" si="8"/>
        <v>0</v>
      </c>
      <c r="AI195" s="276"/>
    </row>
    <row r="196" spans="1:35" ht="15" customHeight="1" thickBot="1">
      <c r="A196" s="604"/>
      <c r="B196" s="318" t="s">
        <v>915</v>
      </c>
      <c r="C196" s="294">
        <v>0</v>
      </c>
      <c r="D196" s="294">
        <v>0</v>
      </c>
      <c r="E196" s="294">
        <v>0</v>
      </c>
      <c r="F196" s="294">
        <v>0</v>
      </c>
      <c r="G196" s="294">
        <v>0</v>
      </c>
      <c r="H196" s="294">
        <v>0</v>
      </c>
      <c r="I196" s="294">
        <v>0</v>
      </c>
      <c r="J196" s="294">
        <v>0</v>
      </c>
      <c r="K196" s="294">
        <v>0</v>
      </c>
      <c r="L196" s="294">
        <v>0</v>
      </c>
      <c r="M196" s="294">
        <v>0</v>
      </c>
      <c r="N196" s="294">
        <v>0</v>
      </c>
      <c r="O196" s="294">
        <v>0</v>
      </c>
      <c r="P196" s="294">
        <v>0</v>
      </c>
      <c r="Q196" s="294">
        <v>0</v>
      </c>
      <c r="R196" s="294">
        <v>0</v>
      </c>
      <c r="S196" s="294">
        <v>0</v>
      </c>
      <c r="T196" s="294">
        <v>0</v>
      </c>
      <c r="U196" s="294">
        <v>0</v>
      </c>
      <c r="V196" s="294">
        <v>0</v>
      </c>
      <c r="W196" s="295">
        <f t="shared" si="8"/>
        <v>0</v>
      </c>
      <c r="AI196" s="276"/>
    </row>
    <row r="197" spans="1:35" ht="15" customHeight="1">
      <c r="A197" s="603" t="s">
        <v>917</v>
      </c>
      <c r="B197" s="318" t="s">
        <v>597</v>
      </c>
      <c r="C197" s="294">
        <v>0</v>
      </c>
      <c r="D197" s="294">
        <v>0</v>
      </c>
      <c r="E197" s="294">
        <v>0</v>
      </c>
      <c r="F197" s="294">
        <v>0</v>
      </c>
      <c r="G197" s="294">
        <v>0</v>
      </c>
      <c r="H197" s="294">
        <v>0</v>
      </c>
      <c r="I197" s="294">
        <v>0</v>
      </c>
      <c r="J197" s="294">
        <v>0</v>
      </c>
      <c r="K197" s="294">
        <v>0</v>
      </c>
      <c r="L197" s="294">
        <v>0</v>
      </c>
      <c r="M197" s="294">
        <v>0</v>
      </c>
      <c r="N197" s="294">
        <v>0</v>
      </c>
      <c r="O197" s="294">
        <v>0</v>
      </c>
      <c r="P197" s="294">
        <v>0</v>
      </c>
      <c r="Q197" s="294">
        <v>0</v>
      </c>
      <c r="R197" s="294">
        <v>0</v>
      </c>
      <c r="S197" s="294">
        <v>0</v>
      </c>
      <c r="T197" s="294">
        <v>0</v>
      </c>
      <c r="U197" s="294">
        <v>0</v>
      </c>
      <c r="V197" s="294">
        <v>0</v>
      </c>
      <c r="W197" s="295">
        <f t="shared" si="8"/>
        <v>0</v>
      </c>
      <c r="AI197" s="276"/>
    </row>
    <row r="198" spans="1:35" ht="15" customHeight="1">
      <c r="A198" s="604"/>
      <c r="B198" s="318" t="s">
        <v>598</v>
      </c>
      <c r="C198" s="294">
        <v>0</v>
      </c>
      <c r="D198" s="294">
        <v>0</v>
      </c>
      <c r="E198" s="294">
        <v>0</v>
      </c>
      <c r="F198" s="294">
        <v>0</v>
      </c>
      <c r="G198" s="294">
        <v>0</v>
      </c>
      <c r="H198" s="294">
        <v>0</v>
      </c>
      <c r="I198" s="294">
        <v>0</v>
      </c>
      <c r="J198" s="294">
        <v>0</v>
      </c>
      <c r="K198" s="294">
        <v>0</v>
      </c>
      <c r="L198" s="294">
        <v>0</v>
      </c>
      <c r="M198" s="294">
        <v>0</v>
      </c>
      <c r="N198" s="294">
        <v>0</v>
      </c>
      <c r="O198" s="294">
        <v>0</v>
      </c>
      <c r="P198" s="294">
        <v>0</v>
      </c>
      <c r="Q198" s="294">
        <v>0</v>
      </c>
      <c r="R198" s="294">
        <v>0</v>
      </c>
      <c r="S198" s="294">
        <v>0</v>
      </c>
      <c r="T198" s="294">
        <v>0</v>
      </c>
      <c r="U198" s="294">
        <v>0</v>
      </c>
      <c r="V198" s="294">
        <v>0</v>
      </c>
      <c r="W198" s="295">
        <f t="shared" si="8"/>
        <v>0</v>
      </c>
      <c r="AI198" s="276"/>
    </row>
    <row r="199" spans="1:35" ht="15" customHeight="1">
      <c r="A199" s="604"/>
      <c r="B199" s="318" t="s">
        <v>599</v>
      </c>
      <c r="C199" s="294">
        <v>0</v>
      </c>
      <c r="D199" s="294">
        <v>0</v>
      </c>
      <c r="E199" s="294">
        <v>0</v>
      </c>
      <c r="F199" s="294">
        <v>0</v>
      </c>
      <c r="G199" s="294">
        <v>0</v>
      </c>
      <c r="H199" s="294">
        <v>0</v>
      </c>
      <c r="I199" s="294">
        <v>0</v>
      </c>
      <c r="J199" s="294">
        <v>0</v>
      </c>
      <c r="K199" s="294">
        <v>0</v>
      </c>
      <c r="L199" s="294">
        <v>0</v>
      </c>
      <c r="M199" s="294">
        <v>0</v>
      </c>
      <c r="N199" s="294">
        <v>0</v>
      </c>
      <c r="O199" s="294">
        <v>0</v>
      </c>
      <c r="P199" s="294">
        <v>0</v>
      </c>
      <c r="Q199" s="294">
        <v>0</v>
      </c>
      <c r="R199" s="294">
        <v>0</v>
      </c>
      <c r="S199" s="294">
        <v>0</v>
      </c>
      <c r="T199" s="294">
        <v>0</v>
      </c>
      <c r="U199" s="294">
        <v>0</v>
      </c>
      <c r="V199" s="294">
        <v>0</v>
      </c>
      <c r="W199" s="295">
        <f t="shared" si="8"/>
        <v>0</v>
      </c>
      <c r="AI199" s="276"/>
    </row>
    <row r="200" spans="1:35" ht="15" customHeight="1">
      <c r="A200" s="604"/>
      <c r="B200" s="318" t="s">
        <v>600</v>
      </c>
      <c r="C200" s="294">
        <v>0</v>
      </c>
      <c r="D200" s="294">
        <v>0</v>
      </c>
      <c r="E200" s="294">
        <v>0</v>
      </c>
      <c r="F200" s="294">
        <v>0</v>
      </c>
      <c r="G200" s="294">
        <v>0</v>
      </c>
      <c r="H200" s="294">
        <v>0</v>
      </c>
      <c r="I200" s="294">
        <v>0</v>
      </c>
      <c r="J200" s="294">
        <v>0</v>
      </c>
      <c r="K200" s="294">
        <v>0</v>
      </c>
      <c r="L200" s="294">
        <v>0</v>
      </c>
      <c r="M200" s="294">
        <v>0</v>
      </c>
      <c r="N200" s="294">
        <v>0</v>
      </c>
      <c r="O200" s="294">
        <v>0</v>
      </c>
      <c r="P200" s="294">
        <v>0</v>
      </c>
      <c r="Q200" s="294">
        <v>0</v>
      </c>
      <c r="R200" s="294">
        <v>0</v>
      </c>
      <c r="S200" s="294">
        <v>0</v>
      </c>
      <c r="T200" s="294">
        <v>0</v>
      </c>
      <c r="U200" s="294">
        <v>0</v>
      </c>
      <c r="V200" s="294">
        <v>0</v>
      </c>
      <c r="W200" s="295">
        <f t="shared" si="8"/>
        <v>0</v>
      </c>
      <c r="AI200" s="276"/>
    </row>
    <row r="201" spans="1:35" ht="15" customHeight="1">
      <c r="A201" s="604"/>
      <c r="B201" s="318" t="s">
        <v>601</v>
      </c>
      <c r="C201" s="294">
        <v>0</v>
      </c>
      <c r="D201" s="294">
        <v>0</v>
      </c>
      <c r="E201" s="294">
        <v>0</v>
      </c>
      <c r="F201" s="294">
        <v>0</v>
      </c>
      <c r="G201" s="294">
        <v>0</v>
      </c>
      <c r="H201" s="294">
        <v>0</v>
      </c>
      <c r="I201" s="294">
        <v>0</v>
      </c>
      <c r="J201" s="294">
        <v>0</v>
      </c>
      <c r="K201" s="294">
        <v>0</v>
      </c>
      <c r="L201" s="294">
        <v>0</v>
      </c>
      <c r="M201" s="294">
        <v>0</v>
      </c>
      <c r="N201" s="294">
        <v>0</v>
      </c>
      <c r="O201" s="294">
        <v>0</v>
      </c>
      <c r="P201" s="294">
        <v>0</v>
      </c>
      <c r="Q201" s="294">
        <v>0</v>
      </c>
      <c r="R201" s="294">
        <v>0</v>
      </c>
      <c r="S201" s="294">
        <v>0</v>
      </c>
      <c r="T201" s="294">
        <v>0</v>
      </c>
      <c r="U201" s="294">
        <v>0</v>
      </c>
      <c r="V201" s="294">
        <v>0</v>
      </c>
      <c r="W201" s="295">
        <f t="shared" si="8"/>
        <v>0</v>
      </c>
      <c r="AI201" s="276"/>
    </row>
    <row r="202" spans="1:35" ht="15" customHeight="1">
      <c r="A202" s="604"/>
      <c r="B202" s="318" t="s">
        <v>602</v>
      </c>
      <c r="C202" s="294">
        <v>0</v>
      </c>
      <c r="D202" s="294">
        <v>0</v>
      </c>
      <c r="E202" s="294">
        <v>0</v>
      </c>
      <c r="F202" s="294">
        <v>0</v>
      </c>
      <c r="G202" s="294">
        <v>0</v>
      </c>
      <c r="H202" s="294">
        <v>0</v>
      </c>
      <c r="I202" s="294">
        <v>0</v>
      </c>
      <c r="J202" s="294">
        <v>0</v>
      </c>
      <c r="K202" s="294">
        <v>0</v>
      </c>
      <c r="L202" s="294">
        <v>0</v>
      </c>
      <c r="M202" s="294">
        <v>0</v>
      </c>
      <c r="N202" s="294">
        <v>0</v>
      </c>
      <c r="O202" s="294">
        <v>0</v>
      </c>
      <c r="P202" s="294">
        <v>0</v>
      </c>
      <c r="Q202" s="294">
        <v>0</v>
      </c>
      <c r="R202" s="294">
        <v>0</v>
      </c>
      <c r="S202" s="294">
        <v>0</v>
      </c>
      <c r="T202" s="294">
        <v>0</v>
      </c>
      <c r="U202" s="294">
        <v>0</v>
      </c>
      <c r="V202" s="294">
        <v>0</v>
      </c>
      <c r="W202" s="295">
        <f t="shared" si="8"/>
        <v>0</v>
      </c>
      <c r="AI202" s="276"/>
    </row>
    <row r="203" spans="1:35" ht="15" customHeight="1">
      <c r="A203" s="604"/>
      <c r="B203" s="318" t="s">
        <v>603</v>
      </c>
      <c r="C203" s="294">
        <v>0</v>
      </c>
      <c r="D203" s="294">
        <v>0</v>
      </c>
      <c r="E203" s="294">
        <v>0</v>
      </c>
      <c r="F203" s="294">
        <v>0</v>
      </c>
      <c r="G203" s="294">
        <v>0</v>
      </c>
      <c r="H203" s="294">
        <v>0</v>
      </c>
      <c r="I203" s="294">
        <v>0</v>
      </c>
      <c r="J203" s="294">
        <v>0</v>
      </c>
      <c r="K203" s="294">
        <v>0</v>
      </c>
      <c r="L203" s="294">
        <v>0</v>
      </c>
      <c r="M203" s="294">
        <v>0</v>
      </c>
      <c r="N203" s="294">
        <v>0</v>
      </c>
      <c r="O203" s="294">
        <v>0</v>
      </c>
      <c r="P203" s="294">
        <v>0</v>
      </c>
      <c r="Q203" s="294">
        <v>0</v>
      </c>
      <c r="R203" s="294">
        <v>0</v>
      </c>
      <c r="S203" s="294">
        <v>0</v>
      </c>
      <c r="T203" s="294">
        <v>0</v>
      </c>
      <c r="U203" s="294">
        <v>0</v>
      </c>
      <c r="V203" s="294">
        <v>0</v>
      </c>
      <c r="W203" s="295">
        <f t="shared" si="8"/>
        <v>0</v>
      </c>
      <c r="AI203" s="276"/>
    </row>
    <row r="204" spans="1:35" ht="15" customHeight="1">
      <c r="A204" s="604"/>
      <c r="B204" s="318" t="s">
        <v>604</v>
      </c>
      <c r="C204" s="294">
        <v>0</v>
      </c>
      <c r="D204" s="294">
        <v>0</v>
      </c>
      <c r="E204" s="294">
        <v>0</v>
      </c>
      <c r="F204" s="294">
        <v>0</v>
      </c>
      <c r="G204" s="294">
        <v>0</v>
      </c>
      <c r="H204" s="294">
        <v>0</v>
      </c>
      <c r="I204" s="294">
        <v>0</v>
      </c>
      <c r="J204" s="294">
        <v>0</v>
      </c>
      <c r="K204" s="294">
        <v>0</v>
      </c>
      <c r="L204" s="294">
        <v>0</v>
      </c>
      <c r="M204" s="294">
        <v>0</v>
      </c>
      <c r="N204" s="294">
        <v>0</v>
      </c>
      <c r="O204" s="294">
        <v>0</v>
      </c>
      <c r="P204" s="294">
        <v>0</v>
      </c>
      <c r="Q204" s="294">
        <v>0</v>
      </c>
      <c r="R204" s="294">
        <v>0</v>
      </c>
      <c r="S204" s="294">
        <v>0</v>
      </c>
      <c r="T204" s="294">
        <v>0</v>
      </c>
      <c r="U204" s="294">
        <v>0</v>
      </c>
      <c r="V204" s="294">
        <v>0</v>
      </c>
      <c r="W204" s="295">
        <f t="shared" si="8"/>
        <v>0</v>
      </c>
      <c r="AI204" s="276"/>
    </row>
    <row r="205" spans="1:35" ht="15" customHeight="1">
      <c r="A205" s="604"/>
      <c r="B205" s="318" t="s">
        <v>605</v>
      </c>
      <c r="C205" s="294">
        <v>0</v>
      </c>
      <c r="D205" s="294">
        <v>0</v>
      </c>
      <c r="E205" s="294">
        <v>0</v>
      </c>
      <c r="F205" s="294">
        <v>0</v>
      </c>
      <c r="G205" s="294">
        <v>0</v>
      </c>
      <c r="H205" s="294">
        <v>0</v>
      </c>
      <c r="I205" s="294">
        <v>0</v>
      </c>
      <c r="J205" s="294">
        <v>0</v>
      </c>
      <c r="K205" s="294">
        <v>0</v>
      </c>
      <c r="L205" s="294">
        <v>0</v>
      </c>
      <c r="M205" s="294">
        <v>0</v>
      </c>
      <c r="N205" s="294">
        <v>0</v>
      </c>
      <c r="O205" s="294">
        <v>0</v>
      </c>
      <c r="P205" s="294">
        <v>0</v>
      </c>
      <c r="Q205" s="294">
        <v>0</v>
      </c>
      <c r="R205" s="294">
        <v>0</v>
      </c>
      <c r="S205" s="294">
        <v>0</v>
      </c>
      <c r="T205" s="294">
        <v>0</v>
      </c>
      <c r="U205" s="294">
        <v>0</v>
      </c>
      <c r="V205" s="294">
        <v>0</v>
      </c>
      <c r="W205" s="295">
        <f t="shared" si="8"/>
        <v>0</v>
      </c>
      <c r="AI205" s="276"/>
    </row>
    <row r="206" spans="1:35" ht="15" customHeight="1">
      <c r="A206" s="604"/>
      <c r="B206" s="318" t="s">
        <v>606</v>
      </c>
      <c r="C206" s="294">
        <v>0</v>
      </c>
      <c r="D206" s="294">
        <v>0</v>
      </c>
      <c r="E206" s="294">
        <v>0</v>
      </c>
      <c r="F206" s="294">
        <v>0</v>
      </c>
      <c r="G206" s="294">
        <v>0</v>
      </c>
      <c r="H206" s="294">
        <v>0</v>
      </c>
      <c r="I206" s="294">
        <v>0</v>
      </c>
      <c r="J206" s="294">
        <v>0</v>
      </c>
      <c r="K206" s="294">
        <v>0</v>
      </c>
      <c r="L206" s="294">
        <v>0</v>
      </c>
      <c r="M206" s="294">
        <v>0</v>
      </c>
      <c r="N206" s="294">
        <v>0</v>
      </c>
      <c r="O206" s="294">
        <v>0</v>
      </c>
      <c r="P206" s="294">
        <v>0</v>
      </c>
      <c r="Q206" s="294">
        <v>0</v>
      </c>
      <c r="R206" s="294">
        <v>0</v>
      </c>
      <c r="S206" s="294">
        <v>0</v>
      </c>
      <c r="T206" s="294">
        <v>0</v>
      </c>
      <c r="U206" s="294">
        <v>0</v>
      </c>
      <c r="V206" s="294">
        <v>0</v>
      </c>
      <c r="W206" s="295">
        <f t="shared" si="8"/>
        <v>0</v>
      </c>
      <c r="AI206" s="276"/>
    </row>
    <row r="207" spans="1:35" ht="15" customHeight="1">
      <c r="A207" s="604"/>
      <c r="B207" s="318" t="s">
        <v>607</v>
      </c>
      <c r="C207" s="294">
        <v>0</v>
      </c>
      <c r="D207" s="294">
        <v>0</v>
      </c>
      <c r="E207" s="294">
        <v>0</v>
      </c>
      <c r="F207" s="294">
        <v>0</v>
      </c>
      <c r="G207" s="294">
        <v>0</v>
      </c>
      <c r="H207" s="294">
        <v>0</v>
      </c>
      <c r="I207" s="294">
        <v>0</v>
      </c>
      <c r="J207" s="294">
        <v>0</v>
      </c>
      <c r="K207" s="294">
        <v>0</v>
      </c>
      <c r="L207" s="294">
        <v>0</v>
      </c>
      <c r="M207" s="294">
        <v>0</v>
      </c>
      <c r="N207" s="294">
        <v>0</v>
      </c>
      <c r="O207" s="294">
        <v>0</v>
      </c>
      <c r="P207" s="294">
        <v>0</v>
      </c>
      <c r="Q207" s="294">
        <v>0</v>
      </c>
      <c r="R207" s="294">
        <v>0</v>
      </c>
      <c r="S207" s="294">
        <v>0</v>
      </c>
      <c r="T207" s="294">
        <v>0</v>
      </c>
      <c r="U207" s="294">
        <v>0</v>
      </c>
      <c r="V207" s="294">
        <v>0</v>
      </c>
      <c r="W207" s="295">
        <f t="shared" si="8"/>
        <v>0</v>
      </c>
      <c r="AI207" s="276"/>
    </row>
    <row r="208" spans="1:35" ht="15" customHeight="1">
      <c r="A208" s="604"/>
      <c r="B208" s="318" t="s">
        <v>608</v>
      </c>
      <c r="C208" s="294">
        <v>0</v>
      </c>
      <c r="D208" s="294">
        <v>0</v>
      </c>
      <c r="E208" s="294">
        <v>0</v>
      </c>
      <c r="F208" s="294">
        <v>0</v>
      </c>
      <c r="G208" s="294">
        <v>0</v>
      </c>
      <c r="H208" s="294">
        <v>0</v>
      </c>
      <c r="I208" s="294">
        <v>0</v>
      </c>
      <c r="J208" s="294">
        <v>0</v>
      </c>
      <c r="K208" s="294">
        <v>0</v>
      </c>
      <c r="L208" s="294">
        <v>0</v>
      </c>
      <c r="M208" s="294">
        <v>0</v>
      </c>
      <c r="N208" s="294">
        <v>0</v>
      </c>
      <c r="O208" s="294">
        <v>0</v>
      </c>
      <c r="P208" s="294">
        <v>0</v>
      </c>
      <c r="Q208" s="294">
        <v>0</v>
      </c>
      <c r="R208" s="294">
        <v>0</v>
      </c>
      <c r="S208" s="294">
        <v>0</v>
      </c>
      <c r="T208" s="294">
        <v>0</v>
      </c>
      <c r="U208" s="294">
        <v>0</v>
      </c>
      <c r="V208" s="294">
        <v>0</v>
      </c>
      <c r="W208" s="295">
        <f t="shared" si="8"/>
        <v>0</v>
      </c>
      <c r="AI208" s="276"/>
    </row>
    <row r="209" spans="1:35" ht="15" customHeight="1">
      <c r="A209" s="604"/>
      <c r="B209" s="318" t="s">
        <v>609</v>
      </c>
      <c r="C209" s="294">
        <v>0</v>
      </c>
      <c r="D209" s="294">
        <v>0</v>
      </c>
      <c r="E209" s="294">
        <v>0</v>
      </c>
      <c r="F209" s="294">
        <v>0</v>
      </c>
      <c r="G209" s="294">
        <v>0</v>
      </c>
      <c r="H209" s="294">
        <v>0</v>
      </c>
      <c r="I209" s="294">
        <v>0</v>
      </c>
      <c r="J209" s="294">
        <v>0</v>
      </c>
      <c r="K209" s="294">
        <v>0</v>
      </c>
      <c r="L209" s="294">
        <v>0</v>
      </c>
      <c r="M209" s="294">
        <v>0</v>
      </c>
      <c r="N209" s="294">
        <v>0</v>
      </c>
      <c r="O209" s="294">
        <v>0</v>
      </c>
      <c r="P209" s="294">
        <v>0</v>
      </c>
      <c r="Q209" s="294">
        <v>0</v>
      </c>
      <c r="R209" s="294">
        <v>0</v>
      </c>
      <c r="S209" s="294">
        <v>0</v>
      </c>
      <c r="T209" s="294">
        <v>0</v>
      </c>
      <c r="U209" s="294">
        <v>0</v>
      </c>
      <c r="V209" s="294">
        <v>0</v>
      </c>
      <c r="W209" s="295">
        <f t="shared" si="8"/>
        <v>0</v>
      </c>
      <c r="AI209" s="276"/>
    </row>
    <row r="210" spans="1:35" ht="15" customHeight="1">
      <c r="A210" s="604"/>
      <c r="B210" s="318" t="s">
        <v>610</v>
      </c>
      <c r="C210" s="294">
        <v>0</v>
      </c>
      <c r="D210" s="294">
        <v>0</v>
      </c>
      <c r="E210" s="294">
        <v>0</v>
      </c>
      <c r="F210" s="294">
        <v>0</v>
      </c>
      <c r="G210" s="294">
        <v>0</v>
      </c>
      <c r="H210" s="294">
        <v>0</v>
      </c>
      <c r="I210" s="294">
        <v>0</v>
      </c>
      <c r="J210" s="294">
        <v>0</v>
      </c>
      <c r="K210" s="294">
        <v>0</v>
      </c>
      <c r="L210" s="294">
        <v>0</v>
      </c>
      <c r="M210" s="294">
        <v>0</v>
      </c>
      <c r="N210" s="294">
        <v>0</v>
      </c>
      <c r="O210" s="294">
        <v>0</v>
      </c>
      <c r="P210" s="294">
        <v>0</v>
      </c>
      <c r="Q210" s="294">
        <v>0</v>
      </c>
      <c r="R210" s="294">
        <v>0</v>
      </c>
      <c r="S210" s="294">
        <v>0</v>
      </c>
      <c r="T210" s="294">
        <v>0</v>
      </c>
      <c r="U210" s="294">
        <v>0</v>
      </c>
      <c r="V210" s="294">
        <v>0</v>
      </c>
      <c r="W210" s="295">
        <f t="shared" si="8"/>
        <v>0</v>
      </c>
      <c r="AI210" s="276"/>
    </row>
    <row r="211" spans="1:35" ht="15" customHeight="1">
      <c r="A211" s="604"/>
      <c r="B211" s="318" t="s">
        <v>611</v>
      </c>
      <c r="C211" s="294">
        <v>0</v>
      </c>
      <c r="D211" s="294">
        <v>0</v>
      </c>
      <c r="E211" s="294">
        <v>0</v>
      </c>
      <c r="F211" s="294">
        <v>0</v>
      </c>
      <c r="G211" s="294">
        <v>0</v>
      </c>
      <c r="H211" s="294">
        <v>0</v>
      </c>
      <c r="I211" s="294">
        <v>0</v>
      </c>
      <c r="J211" s="294">
        <v>0</v>
      </c>
      <c r="K211" s="294">
        <v>0</v>
      </c>
      <c r="L211" s="294">
        <v>0</v>
      </c>
      <c r="M211" s="294">
        <v>0</v>
      </c>
      <c r="N211" s="294">
        <v>0</v>
      </c>
      <c r="O211" s="294">
        <v>0</v>
      </c>
      <c r="P211" s="294">
        <v>0</v>
      </c>
      <c r="Q211" s="294">
        <v>0</v>
      </c>
      <c r="R211" s="294">
        <v>0</v>
      </c>
      <c r="S211" s="294">
        <v>0</v>
      </c>
      <c r="T211" s="294">
        <v>0</v>
      </c>
      <c r="U211" s="294">
        <v>0</v>
      </c>
      <c r="V211" s="294">
        <v>0</v>
      </c>
      <c r="W211" s="295">
        <f t="shared" si="8"/>
        <v>0</v>
      </c>
      <c r="AI211" s="276"/>
    </row>
    <row r="212" spans="1:35" ht="15" customHeight="1">
      <c r="A212" s="604"/>
      <c r="B212" s="318" t="s">
        <v>612</v>
      </c>
      <c r="C212" s="294">
        <v>0</v>
      </c>
      <c r="D212" s="294">
        <v>0</v>
      </c>
      <c r="E212" s="294">
        <v>0</v>
      </c>
      <c r="F212" s="294">
        <v>0</v>
      </c>
      <c r="G212" s="294">
        <v>0</v>
      </c>
      <c r="H212" s="294">
        <v>0</v>
      </c>
      <c r="I212" s="294">
        <v>0</v>
      </c>
      <c r="J212" s="294">
        <v>0</v>
      </c>
      <c r="K212" s="294">
        <v>0</v>
      </c>
      <c r="L212" s="294">
        <v>0</v>
      </c>
      <c r="M212" s="294">
        <v>0</v>
      </c>
      <c r="N212" s="294">
        <v>0</v>
      </c>
      <c r="O212" s="294">
        <v>0</v>
      </c>
      <c r="P212" s="294">
        <v>0</v>
      </c>
      <c r="Q212" s="294">
        <v>0</v>
      </c>
      <c r="R212" s="294">
        <v>0</v>
      </c>
      <c r="S212" s="294">
        <v>0</v>
      </c>
      <c r="T212" s="294">
        <v>0</v>
      </c>
      <c r="U212" s="294">
        <v>0</v>
      </c>
      <c r="V212" s="294">
        <v>0</v>
      </c>
      <c r="W212" s="295">
        <f t="shared" si="8"/>
        <v>0</v>
      </c>
      <c r="AI212" s="276"/>
    </row>
    <row r="213" spans="1:35" ht="15" customHeight="1">
      <c r="A213" s="604"/>
      <c r="B213" s="318" t="s">
        <v>613</v>
      </c>
      <c r="C213" s="294">
        <v>0</v>
      </c>
      <c r="D213" s="294">
        <v>0</v>
      </c>
      <c r="E213" s="294">
        <v>0</v>
      </c>
      <c r="F213" s="294">
        <v>0</v>
      </c>
      <c r="G213" s="294">
        <v>0</v>
      </c>
      <c r="H213" s="294">
        <v>0</v>
      </c>
      <c r="I213" s="294">
        <v>0</v>
      </c>
      <c r="J213" s="294">
        <v>0</v>
      </c>
      <c r="K213" s="294">
        <v>0</v>
      </c>
      <c r="L213" s="294">
        <v>0</v>
      </c>
      <c r="M213" s="294">
        <v>0</v>
      </c>
      <c r="N213" s="294">
        <v>0</v>
      </c>
      <c r="O213" s="294">
        <v>0</v>
      </c>
      <c r="P213" s="294">
        <v>0</v>
      </c>
      <c r="Q213" s="294">
        <v>0</v>
      </c>
      <c r="R213" s="294">
        <v>0</v>
      </c>
      <c r="S213" s="294">
        <v>0</v>
      </c>
      <c r="T213" s="294">
        <v>0</v>
      </c>
      <c r="U213" s="294">
        <v>0</v>
      </c>
      <c r="V213" s="294">
        <v>0</v>
      </c>
      <c r="W213" s="295">
        <f t="shared" si="8"/>
        <v>0</v>
      </c>
      <c r="AI213" s="276"/>
    </row>
    <row r="214" spans="1:35" ht="15" customHeight="1">
      <c r="A214" s="604"/>
      <c r="B214" s="318" t="s">
        <v>910</v>
      </c>
      <c r="C214" s="294">
        <v>0</v>
      </c>
      <c r="D214" s="294">
        <v>0</v>
      </c>
      <c r="E214" s="294">
        <v>0</v>
      </c>
      <c r="F214" s="294">
        <v>0</v>
      </c>
      <c r="G214" s="294">
        <v>0</v>
      </c>
      <c r="H214" s="294">
        <v>0</v>
      </c>
      <c r="I214" s="294">
        <v>0</v>
      </c>
      <c r="J214" s="294">
        <v>0</v>
      </c>
      <c r="K214" s="294">
        <v>0</v>
      </c>
      <c r="L214" s="294">
        <v>0</v>
      </c>
      <c r="M214" s="294">
        <v>0</v>
      </c>
      <c r="N214" s="294">
        <v>0</v>
      </c>
      <c r="O214" s="294">
        <v>0</v>
      </c>
      <c r="P214" s="294">
        <v>0</v>
      </c>
      <c r="Q214" s="294">
        <v>0</v>
      </c>
      <c r="R214" s="294">
        <v>0</v>
      </c>
      <c r="S214" s="294">
        <v>0</v>
      </c>
      <c r="T214" s="294">
        <v>0</v>
      </c>
      <c r="U214" s="294">
        <v>0</v>
      </c>
      <c r="V214" s="294">
        <v>0</v>
      </c>
      <c r="W214" s="295">
        <f t="shared" si="8"/>
        <v>0</v>
      </c>
      <c r="AI214" s="276"/>
    </row>
    <row r="215" spans="1:35" ht="15" customHeight="1">
      <c r="A215" s="604"/>
      <c r="B215" s="318" t="s">
        <v>911</v>
      </c>
      <c r="C215" s="294">
        <v>0</v>
      </c>
      <c r="D215" s="294">
        <v>0</v>
      </c>
      <c r="E215" s="294">
        <v>0</v>
      </c>
      <c r="F215" s="294">
        <v>0</v>
      </c>
      <c r="G215" s="294">
        <v>0</v>
      </c>
      <c r="H215" s="294">
        <v>0</v>
      </c>
      <c r="I215" s="294">
        <v>0</v>
      </c>
      <c r="J215" s="294">
        <v>0</v>
      </c>
      <c r="K215" s="294">
        <v>0</v>
      </c>
      <c r="L215" s="294">
        <v>0</v>
      </c>
      <c r="M215" s="294">
        <v>0</v>
      </c>
      <c r="N215" s="294">
        <v>0</v>
      </c>
      <c r="O215" s="294">
        <v>0</v>
      </c>
      <c r="P215" s="294">
        <v>0</v>
      </c>
      <c r="Q215" s="294">
        <v>0</v>
      </c>
      <c r="R215" s="294">
        <v>0</v>
      </c>
      <c r="S215" s="294">
        <v>0</v>
      </c>
      <c r="T215" s="294">
        <v>0</v>
      </c>
      <c r="U215" s="294">
        <v>0</v>
      </c>
      <c r="V215" s="294">
        <v>0</v>
      </c>
      <c r="W215" s="295">
        <f t="shared" si="8"/>
        <v>0</v>
      </c>
      <c r="AI215" s="276"/>
    </row>
    <row r="216" spans="1:35" ht="15" customHeight="1">
      <c r="A216" s="604"/>
      <c r="B216" s="318" t="s">
        <v>912</v>
      </c>
      <c r="C216" s="294">
        <v>0</v>
      </c>
      <c r="D216" s="294">
        <v>0</v>
      </c>
      <c r="E216" s="294">
        <v>0</v>
      </c>
      <c r="F216" s="294">
        <v>0</v>
      </c>
      <c r="G216" s="294">
        <v>0</v>
      </c>
      <c r="H216" s="294">
        <v>0</v>
      </c>
      <c r="I216" s="294">
        <v>0</v>
      </c>
      <c r="J216" s="294">
        <v>0</v>
      </c>
      <c r="K216" s="294">
        <v>0</v>
      </c>
      <c r="L216" s="294">
        <v>0</v>
      </c>
      <c r="M216" s="294">
        <v>0</v>
      </c>
      <c r="N216" s="294">
        <v>0</v>
      </c>
      <c r="O216" s="294">
        <v>0</v>
      </c>
      <c r="P216" s="294">
        <v>0</v>
      </c>
      <c r="Q216" s="294">
        <v>0</v>
      </c>
      <c r="R216" s="294">
        <v>0</v>
      </c>
      <c r="S216" s="294">
        <v>0</v>
      </c>
      <c r="T216" s="294">
        <v>0</v>
      </c>
      <c r="U216" s="294">
        <v>0</v>
      </c>
      <c r="V216" s="294">
        <v>0</v>
      </c>
      <c r="W216" s="295">
        <f t="shared" si="8"/>
        <v>0</v>
      </c>
      <c r="AI216" s="276"/>
    </row>
    <row r="217" spans="1:35" ht="15" customHeight="1" thickBot="1">
      <c r="A217" s="605"/>
      <c r="B217" s="318" t="s">
        <v>913</v>
      </c>
      <c r="C217" s="294">
        <v>0</v>
      </c>
      <c r="D217" s="294">
        <v>0</v>
      </c>
      <c r="E217" s="294">
        <v>0</v>
      </c>
      <c r="F217" s="294">
        <v>0</v>
      </c>
      <c r="G217" s="294">
        <v>0</v>
      </c>
      <c r="H217" s="294">
        <v>0</v>
      </c>
      <c r="I217" s="294">
        <v>0</v>
      </c>
      <c r="J217" s="294">
        <v>0</v>
      </c>
      <c r="K217" s="294">
        <v>0</v>
      </c>
      <c r="L217" s="294">
        <v>0</v>
      </c>
      <c r="M217" s="294">
        <v>0</v>
      </c>
      <c r="N217" s="294">
        <v>0</v>
      </c>
      <c r="O217" s="294">
        <v>0</v>
      </c>
      <c r="P217" s="294">
        <v>0</v>
      </c>
      <c r="Q217" s="294">
        <v>0</v>
      </c>
      <c r="R217" s="294">
        <v>0</v>
      </c>
      <c r="S217" s="294">
        <v>0</v>
      </c>
      <c r="T217" s="294">
        <v>0</v>
      </c>
      <c r="U217" s="294">
        <v>0</v>
      </c>
      <c r="V217" s="294">
        <v>0</v>
      </c>
      <c r="W217" s="295">
        <f t="shared" si="8"/>
        <v>0</v>
      </c>
      <c r="AI217" s="276"/>
    </row>
    <row r="218" spans="1:35" ht="20.100000000000001" customHeight="1" thickBot="1">
      <c r="A218" s="600" t="s">
        <v>755</v>
      </c>
      <c r="B218" s="601"/>
      <c r="C218" s="296"/>
      <c r="D218" s="296"/>
      <c r="E218" s="296"/>
      <c r="F218" s="296"/>
      <c r="G218" s="296"/>
      <c r="H218" s="296"/>
      <c r="I218" s="296"/>
      <c r="J218" s="296"/>
      <c r="K218" s="296"/>
      <c r="L218" s="296"/>
      <c r="M218" s="296"/>
      <c r="N218" s="296"/>
      <c r="O218" s="296"/>
      <c r="P218" s="296"/>
      <c r="Q218" s="296"/>
      <c r="R218" s="296"/>
      <c r="S218" s="296"/>
      <c r="T218" s="296"/>
      <c r="U218" s="296"/>
      <c r="V218" s="297"/>
      <c r="W218" s="560"/>
    </row>
    <row r="219" spans="1:35" ht="20.100000000000001" customHeight="1" thickBot="1">
      <c r="A219" s="600" t="s">
        <v>754</v>
      </c>
      <c r="B219" s="601"/>
      <c r="C219" s="296">
        <f t="shared" ref="C219:V219" si="9">+AVERAGE(C174:C217)</f>
        <v>0</v>
      </c>
      <c r="D219" s="296">
        <f t="shared" si="9"/>
        <v>0</v>
      </c>
      <c r="E219" s="296">
        <f t="shared" si="9"/>
        <v>0</v>
      </c>
      <c r="F219" s="296">
        <f t="shared" si="9"/>
        <v>0</v>
      </c>
      <c r="G219" s="296">
        <f t="shared" si="9"/>
        <v>0</v>
      </c>
      <c r="H219" s="296">
        <f t="shared" si="9"/>
        <v>0</v>
      </c>
      <c r="I219" s="296">
        <f t="shared" si="9"/>
        <v>0</v>
      </c>
      <c r="J219" s="296">
        <f t="shared" si="9"/>
        <v>0</v>
      </c>
      <c r="K219" s="296">
        <f t="shared" si="9"/>
        <v>0</v>
      </c>
      <c r="L219" s="296">
        <f t="shared" si="9"/>
        <v>0</v>
      </c>
      <c r="M219" s="296">
        <f t="shared" si="9"/>
        <v>0</v>
      </c>
      <c r="N219" s="296">
        <f t="shared" si="9"/>
        <v>0</v>
      </c>
      <c r="O219" s="296">
        <f t="shared" si="9"/>
        <v>0</v>
      </c>
      <c r="P219" s="296">
        <f t="shared" si="9"/>
        <v>0</v>
      </c>
      <c r="Q219" s="296">
        <f t="shared" si="9"/>
        <v>0</v>
      </c>
      <c r="R219" s="296">
        <f t="shared" si="9"/>
        <v>0</v>
      </c>
      <c r="S219" s="296">
        <f t="shared" si="9"/>
        <v>0</v>
      </c>
      <c r="T219" s="296">
        <f t="shared" si="9"/>
        <v>0</v>
      </c>
      <c r="U219" s="296">
        <f t="shared" si="9"/>
        <v>0</v>
      </c>
      <c r="V219" s="296">
        <f t="shared" si="9"/>
        <v>0</v>
      </c>
      <c r="W219" s="561"/>
      <c r="AI219" s="276"/>
    </row>
    <row r="220" spans="1:35" ht="20.100000000000001" customHeight="1" thickBot="1">
      <c r="A220" s="600" t="s">
        <v>759</v>
      </c>
      <c r="B220" s="602"/>
      <c r="C220" s="516">
        <f>AVERAGE(C219:V219)</f>
        <v>0</v>
      </c>
      <c r="D220" s="517"/>
      <c r="E220" s="517"/>
      <c r="F220" s="517"/>
      <c r="G220" s="517"/>
      <c r="H220" s="517"/>
      <c r="I220" s="517"/>
      <c r="J220" s="517"/>
      <c r="K220" s="517"/>
      <c r="L220" s="517"/>
      <c r="M220" s="517"/>
      <c r="N220" s="517"/>
      <c r="O220" s="517"/>
      <c r="P220" s="517"/>
      <c r="Q220" s="517"/>
      <c r="R220" s="516"/>
      <c r="S220" s="517"/>
      <c r="T220" s="517"/>
      <c r="U220" s="517"/>
      <c r="V220" s="517"/>
      <c r="W220" s="562"/>
      <c r="AI220" s="276"/>
    </row>
    <row r="221" spans="1:35" ht="15" customHeight="1">
      <c r="A221" s="603" t="s">
        <v>924</v>
      </c>
      <c r="B221" s="320" t="s">
        <v>614</v>
      </c>
      <c r="C221" s="294">
        <v>0</v>
      </c>
      <c r="D221" s="294">
        <v>0</v>
      </c>
      <c r="E221" s="294">
        <v>0</v>
      </c>
      <c r="F221" s="294">
        <v>0</v>
      </c>
      <c r="G221" s="294">
        <v>0</v>
      </c>
      <c r="H221" s="294">
        <v>0</v>
      </c>
      <c r="I221" s="294">
        <v>0</v>
      </c>
      <c r="J221" s="294">
        <v>0</v>
      </c>
      <c r="K221" s="294">
        <v>0</v>
      </c>
      <c r="L221" s="294">
        <v>0</v>
      </c>
      <c r="M221" s="294">
        <v>0</v>
      </c>
      <c r="N221" s="294">
        <v>0</v>
      </c>
      <c r="O221" s="294">
        <v>0</v>
      </c>
      <c r="P221" s="294">
        <v>0</v>
      </c>
      <c r="Q221" s="294">
        <v>0</v>
      </c>
      <c r="R221" s="294">
        <v>0</v>
      </c>
      <c r="S221" s="294">
        <v>0</v>
      </c>
      <c r="T221" s="294">
        <v>0</v>
      </c>
      <c r="U221" s="294">
        <v>0</v>
      </c>
      <c r="V221" s="294">
        <v>0</v>
      </c>
      <c r="W221" s="293">
        <f t="shared" ref="W221:W264" si="10">+AVERAGE(C221:V221)</f>
        <v>0</v>
      </c>
      <c r="AI221" s="276"/>
    </row>
    <row r="222" spans="1:35" ht="15" customHeight="1">
      <c r="A222" s="604"/>
      <c r="B222" s="318" t="s">
        <v>615</v>
      </c>
      <c r="C222" s="294">
        <v>0</v>
      </c>
      <c r="D222" s="294">
        <v>0</v>
      </c>
      <c r="E222" s="294">
        <v>0</v>
      </c>
      <c r="F222" s="294">
        <v>0</v>
      </c>
      <c r="G222" s="294">
        <v>0</v>
      </c>
      <c r="H222" s="294">
        <v>0</v>
      </c>
      <c r="I222" s="294">
        <v>0</v>
      </c>
      <c r="J222" s="294">
        <v>0</v>
      </c>
      <c r="K222" s="294">
        <v>0</v>
      </c>
      <c r="L222" s="294">
        <v>0</v>
      </c>
      <c r="M222" s="294">
        <v>0</v>
      </c>
      <c r="N222" s="294">
        <v>0</v>
      </c>
      <c r="O222" s="294">
        <v>0</v>
      </c>
      <c r="P222" s="294">
        <v>0</v>
      </c>
      <c r="Q222" s="294">
        <v>0</v>
      </c>
      <c r="R222" s="294">
        <v>0</v>
      </c>
      <c r="S222" s="294">
        <v>0</v>
      </c>
      <c r="T222" s="294">
        <v>0</v>
      </c>
      <c r="U222" s="294">
        <v>0</v>
      </c>
      <c r="V222" s="294">
        <v>0</v>
      </c>
      <c r="W222" s="295">
        <f t="shared" si="10"/>
        <v>0</v>
      </c>
      <c r="AI222" s="276"/>
    </row>
    <row r="223" spans="1:35" ht="15" customHeight="1">
      <c r="A223" s="604"/>
      <c r="B223" s="318" t="s">
        <v>616</v>
      </c>
      <c r="C223" s="294">
        <v>0</v>
      </c>
      <c r="D223" s="294">
        <v>0</v>
      </c>
      <c r="E223" s="294">
        <v>0</v>
      </c>
      <c r="F223" s="294">
        <v>0</v>
      </c>
      <c r="G223" s="294">
        <v>0</v>
      </c>
      <c r="H223" s="294">
        <v>0</v>
      </c>
      <c r="I223" s="294">
        <v>0</v>
      </c>
      <c r="J223" s="294">
        <v>0</v>
      </c>
      <c r="K223" s="294">
        <v>0</v>
      </c>
      <c r="L223" s="294">
        <v>0</v>
      </c>
      <c r="M223" s="294">
        <v>0</v>
      </c>
      <c r="N223" s="294">
        <v>0</v>
      </c>
      <c r="O223" s="294">
        <v>0</v>
      </c>
      <c r="P223" s="294">
        <v>0</v>
      </c>
      <c r="Q223" s="294">
        <v>0</v>
      </c>
      <c r="R223" s="294">
        <v>0</v>
      </c>
      <c r="S223" s="294">
        <v>0</v>
      </c>
      <c r="T223" s="294">
        <v>0</v>
      </c>
      <c r="U223" s="294">
        <v>0</v>
      </c>
      <c r="V223" s="294">
        <v>0</v>
      </c>
      <c r="W223" s="295">
        <f t="shared" si="10"/>
        <v>0</v>
      </c>
      <c r="AI223" s="276"/>
    </row>
    <row r="224" spans="1:35" ht="15" customHeight="1">
      <c r="A224" s="604"/>
      <c r="B224" s="318" t="s">
        <v>617</v>
      </c>
      <c r="C224" s="294">
        <v>0</v>
      </c>
      <c r="D224" s="294">
        <v>0</v>
      </c>
      <c r="E224" s="294">
        <v>0</v>
      </c>
      <c r="F224" s="294">
        <v>0</v>
      </c>
      <c r="G224" s="294">
        <v>0</v>
      </c>
      <c r="H224" s="294">
        <v>0</v>
      </c>
      <c r="I224" s="294">
        <v>0</v>
      </c>
      <c r="J224" s="294">
        <v>0</v>
      </c>
      <c r="K224" s="294">
        <v>0</v>
      </c>
      <c r="L224" s="294">
        <v>0</v>
      </c>
      <c r="M224" s="294">
        <v>0</v>
      </c>
      <c r="N224" s="294">
        <v>0</v>
      </c>
      <c r="O224" s="294">
        <v>0</v>
      </c>
      <c r="P224" s="294">
        <v>0</v>
      </c>
      <c r="Q224" s="294">
        <v>0</v>
      </c>
      <c r="R224" s="294">
        <v>0</v>
      </c>
      <c r="S224" s="294">
        <v>0</v>
      </c>
      <c r="T224" s="294">
        <v>0</v>
      </c>
      <c r="U224" s="294">
        <v>0</v>
      </c>
      <c r="V224" s="294">
        <v>0</v>
      </c>
      <c r="W224" s="295">
        <f t="shared" si="10"/>
        <v>0</v>
      </c>
      <c r="AI224" s="276"/>
    </row>
    <row r="225" spans="1:35" ht="15" customHeight="1">
      <c r="A225" s="604"/>
      <c r="B225" s="318" t="s">
        <v>618</v>
      </c>
      <c r="C225" s="294">
        <v>0</v>
      </c>
      <c r="D225" s="294">
        <v>0</v>
      </c>
      <c r="E225" s="294">
        <v>0</v>
      </c>
      <c r="F225" s="294">
        <v>0</v>
      </c>
      <c r="G225" s="294">
        <v>0</v>
      </c>
      <c r="H225" s="294">
        <v>0</v>
      </c>
      <c r="I225" s="294">
        <v>0</v>
      </c>
      <c r="J225" s="294">
        <v>0</v>
      </c>
      <c r="K225" s="294">
        <v>0</v>
      </c>
      <c r="L225" s="294">
        <v>0</v>
      </c>
      <c r="M225" s="294">
        <v>0</v>
      </c>
      <c r="N225" s="294">
        <v>0</v>
      </c>
      <c r="O225" s="294">
        <v>0</v>
      </c>
      <c r="P225" s="294">
        <v>0</v>
      </c>
      <c r="Q225" s="294">
        <v>0</v>
      </c>
      <c r="R225" s="294">
        <v>0</v>
      </c>
      <c r="S225" s="294">
        <v>0</v>
      </c>
      <c r="T225" s="294">
        <v>0</v>
      </c>
      <c r="U225" s="294">
        <v>0</v>
      </c>
      <c r="V225" s="294">
        <v>0</v>
      </c>
      <c r="W225" s="295">
        <f t="shared" si="10"/>
        <v>0</v>
      </c>
      <c r="AI225" s="276"/>
    </row>
    <row r="226" spans="1:35" ht="15" customHeight="1">
      <c r="A226" s="604"/>
      <c r="B226" s="318" t="s">
        <v>619</v>
      </c>
      <c r="C226" s="294">
        <v>0</v>
      </c>
      <c r="D226" s="294">
        <v>0</v>
      </c>
      <c r="E226" s="294">
        <v>0</v>
      </c>
      <c r="F226" s="294">
        <v>0</v>
      </c>
      <c r="G226" s="294">
        <v>0</v>
      </c>
      <c r="H226" s="294">
        <v>0</v>
      </c>
      <c r="I226" s="294">
        <v>0</v>
      </c>
      <c r="J226" s="294">
        <v>0</v>
      </c>
      <c r="K226" s="294">
        <v>0</v>
      </c>
      <c r="L226" s="294">
        <v>0</v>
      </c>
      <c r="M226" s="294">
        <v>0</v>
      </c>
      <c r="N226" s="294">
        <v>0</v>
      </c>
      <c r="O226" s="294">
        <v>0</v>
      </c>
      <c r="P226" s="294">
        <v>0</v>
      </c>
      <c r="Q226" s="294">
        <v>0</v>
      </c>
      <c r="R226" s="294">
        <v>0</v>
      </c>
      <c r="S226" s="294">
        <v>0</v>
      </c>
      <c r="T226" s="294">
        <v>0</v>
      </c>
      <c r="U226" s="294">
        <v>0</v>
      </c>
      <c r="V226" s="294">
        <v>0</v>
      </c>
      <c r="W226" s="295">
        <f t="shared" si="10"/>
        <v>0</v>
      </c>
      <c r="AI226" s="276"/>
    </row>
    <row r="227" spans="1:35" ht="15" customHeight="1">
      <c r="A227" s="604"/>
      <c r="B227" s="318" t="s">
        <v>620</v>
      </c>
      <c r="C227" s="294">
        <v>0</v>
      </c>
      <c r="D227" s="294">
        <v>0</v>
      </c>
      <c r="E227" s="294">
        <v>0</v>
      </c>
      <c r="F227" s="294">
        <v>0</v>
      </c>
      <c r="G227" s="294">
        <v>0</v>
      </c>
      <c r="H227" s="294">
        <v>0</v>
      </c>
      <c r="I227" s="294">
        <v>0</v>
      </c>
      <c r="J227" s="294">
        <v>0</v>
      </c>
      <c r="K227" s="294">
        <v>0</v>
      </c>
      <c r="L227" s="294">
        <v>0</v>
      </c>
      <c r="M227" s="294">
        <v>0</v>
      </c>
      <c r="N227" s="294">
        <v>0</v>
      </c>
      <c r="O227" s="294">
        <v>0</v>
      </c>
      <c r="P227" s="294">
        <v>0</v>
      </c>
      <c r="Q227" s="294">
        <v>0</v>
      </c>
      <c r="R227" s="294">
        <v>0</v>
      </c>
      <c r="S227" s="294">
        <v>0</v>
      </c>
      <c r="T227" s="294">
        <v>0</v>
      </c>
      <c r="U227" s="294">
        <v>0</v>
      </c>
      <c r="V227" s="294">
        <v>0</v>
      </c>
      <c r="W227" s="295">
        <f t="shared" si="10"/>
        <v>0</v>
      </c>
      <c r="AI227" s="276"/>
    </row>
    <row r="228" spans="1:35" ht="15" customHeight="1">
      <c r="A228" s="604"/>
      <c r="B228" s="318" t="s">
        <v>621</v>
      </c>
      <c r="C228" s="294">
        <v>0</v>
      </c>
      <c r="D228" s="294">
        <v>0</v>
      </c>
      <c r="E228" s="294">
        <v>0</v>
      </c>
      <c r="F228" s="294">
        <v>0</v>
      </c>
      <c r="G228" s="294">
        <v>0</v>
      </c>
      <c r="H228" s="294">
        <v>0</v>
      </c>
      <c r="I228" s="294">
        <v>0</v>
      </c>
      <c r="J228" s="294">
        <v>0</v>
      </c>
      <c r="K228" s="294">
        <v>0</v>
      </c>
      <c r="L228" s="294">
        <v>0</v>
      </c>
      <c r="M228" s="294">
        <v>0</v>
      </c>
      <c r="N228" s="294">
        <v>0</v>
      </c>
      <c r="O228" s="294">
        <v>0</v>
      </c>
      <c r="P228" s="294">
        <v>0</v>
      </c>
      <c r="Q228" s="294">
        <v>0</v>
      </c>
      <c r="R228" s="294">
        <v>0</v>
      </c>
      <c r="S228" s="294">
        <v>0</v>
      </c>
      <c r="T228" s="294">
        <v>0</v>
      </c>
      <c r="U228" s="294">
        <v>0</v>
      </c>
      <c r="V228" s="294">
        <v>0</v>
      </c>
      <c r="W228" s="295">
        <f t="shared" si="10"/>
        <v>0</v>
      </c>
      <c r="AI228" s="276"/>
    </row>
    <row r="229" spans="1:35" ht="15" customHeight="1">
      <c r="A229" s="604"/>
      <c r="B229" s="318" t="s">
        <v>622</v>
      </c>
      <c r="C229" s="294">
        <v>0</v>
      </c>
      <c r="D229" s="294">
        <v>0</v>
      </c>
      <c r="E229" s="294">
        <v>0</v>
      </c>
      <c r="F229" s="294">
        <v>0</v>
      </c>
      <c r="G229" s="294">
        <v>0</v>
      </c>
      <c r="H229" s="294">
        <v>0</v>
      </c>
      <c r="I229" s="294">
        <v>0</v>
      </c>
      <c r="J229" s="294">
        <v>0</v>
      </c>
      <c r="K229" s="294">
        <v>0</v>
      </c>
      <c r="L229" s="294">
        <v>0</v>
      </c>
      <c r="M229" s="294">
        <v>0</v>
      </c>
      <c r="N229" s="294">
        <v>0</v>
      </c>
      <c r="O229" s="294">
        <v>0</v>
      </c>
      <c r="P229" s="294">
        <v>0</v>
      </c>
      <c r="Q229" s="294">
        <v>0</v>
      </c>
      <c r="R229" s="294">
        <v>0</v>
      </c>
      <c r="S229" s="294">
        <v>0</v>
      </c>
      <c r="T229" s="294">
        <v>0</v>
      </c>
      <c r="U229" s="294">
        <v>0</v>
      </c>
      <c r="V229" s="294">
        <v>0</v>
      </c>
      <c r="W229" s="295">
        <f t="shared" si="10"/>
        <v>0</v>
      </c>
      <c r="AI229" s="276"/>
    </row>
    <row r="230" spans="1:35" ht="15" customHeight="1">
      <c r="A230" s="604"/>
      <c r="B230" s="318" t="s">
        <v>623</v>
      </c>
      <c r="C230" s="294">
        <v>0</v>
      </c>
      <c r="D230" s="294">
        <v>0</v>
      </c>
      <c r="E230" s="294">
        <v>0</v>
      </c>
      <c r="F230" s="294">
        <v>0</v>
      </c>
      <c r="G230" s="294">
        <v>0</v>
      </c>
      <c r="H230" s="294">
        <v>0</v>
      </c>
      <c r="I230" s="294">
        <v>0</v>
      </c>
      <c r="J230" s="294">
        <v>0</v>
      </c>
      <c r="K230" s="294">
        <v>0</v>
      </c>
      <c r="L230" s="294">
        <v>0</v>
      </c>
      <c r="M230" s="294">
        <v>0</v>
      </c>
      <c r="N230" s="294">
        <v>0</v>
      </c>
      <c r="O230" s="294">
        <v>0</v>
      </c>
      <c r="P230" s="294">
        <v>0</v>
      </c>
      <c r="Q230" s="294">
        <v>0</v>
      </c>
      <c r="R230" s="294">
        <v>0</v>
      </c>
      <c r="S230" s="294">
        <v>0</v>
      </c>
      <c r="T230" s="294">
        <v>0</v>
      </c>
      <c r="U230" s="294">
        <v>0</v>
      </c>
      <c r="V230" s="294">
        <v>0</v>
      </c>
      <c r="W230" s="295">
        <f t="shared" si="10"/>
        <v>0</v>
      </c>
      <c r="AI230" s="276"/>
    </row>
    <row r="231" spans="1:35" ht="15" customHeight="1">
      <c r="A231" s="604"/>
      <c r="B231" s="318" t="s">
        <v>624</v>
      </c>
      <c r="C231" s="294">
        <v>0</v>
      </c>
      <c r="D231" s="294">
        <v>0</v>
      </c>
      <c r="E231" s="294">
        <v>0</v>
      </c>
      <c r="F231" s="294">
        <v>0</v>
      </c>
      <c r="G231" s="294">
        <v>0</v>
      </c>
      <c r="H231" s="294">
        <v>0</v>
      </c>
      <c r="I231" s="294">
        <v>0</v>
      </c>
      <c r="J231" s="294">
        <v>0</v>
      </c>
      <c r="K231" s="294">
        <v>0</v>
      </c>
      <c r="L231" s="294">
        <v>0</v>
      </c>
      <c r="M231" s="294">
        <v>0</v>
      </c>
      <c r="N231" s="294">
        <v>0</v>
      </c>
      <c r="O231" s="294">
        <v>0</v>
      </c>
      <c r="P231" s="294">
        <v>0</v>
      </c>
      <c r="Q231" s="294">
        <v>0</v>
      </c>
      <c r="R231" s="294">
        <v>0</v>
      </c>
      <c r="S231" s="294">
        <v>0</v>
      </c>
      <c r="T231" s="294">
        <v>0</v>
      </c>
      <c r="U231" s="294">
        <v>0</v>
      </c>
      <c r="V231" s="294">
        <v>0</v>
      </c>
      <c r="W231" s="295">
        <f t="shared" si="10"/>
        <v>0</v>
      </c>
      <c r="AI231" s="276"/>
    </row>
    <row r="232" spans="1:35" ht="15" customHeight="1">
      <c r="A232" s="604"/>
      <c r="B232" s="318" t="s">
        <v>625</v>
      </c>
      <c r="C232" s="294">
        <v>0</v>
      </c>
      <c r="D232" s="294">
        <v>0</v>
      </c>
      <c r="E232" s="294">
        <v>0</v>
      </c>
      <c r="F232" s="294">
        <v>0</v>
      </c>
      <c r="G232" s="294">
        <v>0</v>
      </c>
      <c r="H232" s="294">
        <v>0</v>
      </c>
      <c r="I232" s="294">
        <v>0</v>
      </c>
      <c r="J232" s="294">
        <v>0</v>
      </c>
      <c r="K232" s="294">
        <v>0</v>
      </c>
      <c r="L232" s="294">
        <v>0</v>
      </c>
      <c r="M232" s="294">
        <v>0</v>
      </c>
      <c r="N232" s="294">
        <v>0</v>
      </c>
      <c r="O232" s="294">
        <v>0</v>
      </c>
      <c r="P232" s="294">
        <v>0</v>
      </c>
      <c r="Q232" s="294">
        <v>0</v>
      </c>
      <c r="R232" s="294">
        <v>0</v>
      </c>
      <c r="S232" s="294">
        <v>0</v>
      </c>
      <c r="T232" s="294">
        <v>0</v>
      </c>
      <c r="U232" s="294">
        <v>0</v>
      </c>
      <c r="V232" s="294">
        <v>0</v>
      </c>
      <c r="W232" s="295">
        <f t="shared" si="10"/>
        <v>0</v>
      </c>
      <c r="AI232" s="276"/>
    </row>
    <row r="233" spans="1:35" ht="15" customHeight="1">
      <c r="A233" s="604"/>
      <c r="B233" s="318" t="s">
        <v>626</v>
      </c>
      <c r="C233" s="294">
        <v>0</v>
      </c>
      <c r="D233" s="294">
        <v>0</v>
      </c>
      <c r="E233" s="294">
        <v>0</v>
      </c>
      <c r="F233" s="294">
        <v>0</v>
      </c>
      <c r="G233" s="294">
        <v>0</v>
      </c>
      <c r="H233" s="294">
        <v>0</v>
      </c>
      <c r="I233" s="294">
        <v>0</v>
      </c>
      <c r="J233" s="294">
        <v>0</v>
      </c>
      <c r="K233" s="294">
        <v>0</v>
      </c>
      <c r="L233" s="294">
        <v>0</v>
      </c>
      <c r="M233" s="294">
        <v>0</v>
      </c>
      <c r="N233" s="294">
        <v>0</v>
      </c>
      <c r="O233" s="294">
        <v>0</v>
      </c>
      <c r="P233" s="294">
        <v>0</v>
      </c>
      <c r="Q233" s="294">
        <v>0</v>
      </c>
      <c r="R233" s="294">
        <v>0</v>
      </c>
      <c r="S233" s="294">
        <v>0</v>
      </c>
      <c r="T233" s="294">
        <v>0</v>
      </c>
      <c r="U233" s="294">
        <v>0</v>
      </c>
      <c r="V233" s="294">
        <v>0</v>
      </c>
      <c r="W233" s="295">
        <f t="shared" si="10"/>
        <v>0</v>
      </c>
      <c r="AI233" s="276"/>
    </row>
    <row r="234" spans="1:35" ht="15" customHeight="1">
      <c r="A234" s="604"/>
      <c r="B234" s="318" t="s">
        <v>627</v>
      </c>
      <c r="C234" s="294">
        <v>0</v>
      </c>
      <c r="D234" s="294">
        <v>0</v>
      </c>
      <c r="E234" s="294">
        <v>0</v>
      </c>
      <c r="F234" s="294">
        <v>0</v>
      </c>
      <c r="G234" s="294">
        <v>0</v>
      </c>
      <c r="H234" s="294">
        <v>0</v>
      </c>
      <c r="I234" s="294">
        <v>0</v>
      </c>
      <c r="J234" s="294">
        <v>0</v>
      </c>
      <c r="K234" s="294">
        <v>0</v>
      </c>
      <c r="L234" s="294">
        <v>0</v>
      </c>
      <c r="M234" s="294">
        <v>0</v>
      </c>
      <c r="N234" s="294">
        <v>0</v>
      </c>
      <c r="O234" s="294">
        <v>0</v>
      </c>
      <c r="P234" s="294">
        <v>0</v>
      </c>
      <c r="Q234" s="294">
        <v>0</v>
      </c>
      <c r="R234" s="294">
        <v>0</v>
      </c>
      <c r="S234" s="294">
        <v>0</v>
      </c>
      <c r="T234" s="294">
        <v>0</v>
      </c>
      <c r="U234" s="294">
        <v>0</v>
      </c>
      <c r="V234" s="294">
        <v>0</v>
      </c>
      <c r="W234" s="295">
        <f t="shared" si="10"/>
        <v>0</v>
      </c>
      <c r="AI234" s="276"/>
    </row>
    <row r="235" spans="1:35" ht="15" customHeight="1">
      <c r="A235" s="604"/>
      <c r="B235" s="318" t="s">
        <v>628</v>
      </c>
      <c r="C235" s="294">
        <v>0</v>
      </c>
      <c r="D235" s="294">
        <v>0</v>
      </c>
      <c r="E235" s="294">
        <v>0</v>
      </c>
      <c r="F235" s="294">
        <v>0</v>
      </c>
      <c r="G235" s="294">
        <v>0</v>
      </c>
      <c r="H235" s="294">
        <v>0</v>
      </c>
      <c r="I235" s="294">
        <v>0</v>
      </c>
      <c r="J235" s="294">
        <v>0</v>
      </c>
      <c r="K235" s="294">
        <v>0</v>
      </c>
      <c r="L235" s="294">
        <v>0</v>
      </c>
      <c r="M235" s="294">
        <v>0</v>
      </c>
      <c r="N235" s="294">
        <v>0</v>
      </c>
      <c r="O235" s="294">
        <v>0</v>
      </c>
      <c r="P235" s="294">
        <v>0</v>
      </c>
      <c r="Q235" s="294">
        <v>0</v>
      </c>
      <c r="R235" s="294">
        <v>0</v>
      </c>
      <c r="S235" s="294">
        <v>0</v>
      </c>
      <c r="T235" s="294">
        <v>0</v>
      </c>
      <c r="U235" s="294">
        <v>0</v>
      </c>
      <c r="V235" s="294">
        <v>0</v>
      </c>
      <c r="W235" s="295">
        <f t="shared" si="10"/>
        <v>0</v>
      </c>
      <c r="AI235" s="276"/>
    </row>
    <row r="236" spans="1:35" ht="15" customHeight="1">
      <c r="A236" s="604"/>
      <c r="B236" s="318" t="s">
        <v>629</v>
      </c>
      <c r="C236" s="294">
        <v>0</v>
      </c>
      <c r="D236" s="294">
        <v>0</v>
      </c>
      <c r="E236" s="294">
        <v>0</v>
      </c>
      <c r="F236" s="294">
        <v>0</v>
      </c>
      <c r="G236" s="294">
        <v>0</v>
      </c>
      <c r="H236" s="294">
        <v>0</v>
      </c>
      <c r="I236" s="294">
        <v>0</v>
      </c>
      <c r="J236" s="294">
        <v>0</v>
      </c>
      <c r="K236" s="294">
        <v>0</v>
      </c>
      <c r="L236" s="294">
        <v>0</v>
      </c>
      <c r="M236" s="294">
        <v>0</v>
      </c>
      <c r="N236" s="294">
        <v>0</v>
      </c>
      <c r="O236" s="294">
        <v>0</v>
      </c>
      <c r="P236" s="294">
        <v>0</v>
      </c>
      <c r="Q236" s="294">
        <v>0</v>
      </c>
      <c r="R236" s="294">
        <v>0</v>
      </c>
      <c r="S236" s="294">
        <v>0</v>
      </c>
      <c r="T236" s="294">
        <v>0</v>
      </c>
      <c r="U236" s="294">
        <v>0</v>
      </c>
      <c r="V236" s="294">
        <v>0</v>
      </c>
      <c r="W236" s="295">
        <f t="shared" si="10"/>
        <v>0</v>
      </c>
      <c r="AI236" s="276"/>
    </row>
    <row r="237" spans="1:35" ht="15" customHeight="1">
      <c r="A237" s="604"/>
      <c r="B237" s="318" t="s">
        <v>630</v>
      </c>
      <c r="C237" s="294">
        <v>0</v>
      </c>
      <c r="D237" s="294">
        <v>0</v>
      </c>
      <c r="E237" s="294">
        <v>0</v>
      </c>
      <c r="F237" s="294">
        <v>0</v>
      </c>
      <c r="G237" s="294">
        <v>0</v>
      </c>
      <c r="H237" s="294">
        <v>0</v>
      </c>
      <c r="I237" s="294">
        <v>0</v>
      </c>
      <c r="J237" s="294">
        <v>0</v>
      </c>
      <c r="K237" s="294">
        <v>0</v>
      </c>
      <c r="L237" s="294">
        <v>0</v>
      </c>
      <c r="M237" s="294">
        <v>0</v>
      </c>
      <c r="N237" s="294">
        <v>0</v>
      </c>
      <c r="O237" s="294">
        <v>0</v>
      </c>
      <c r="P237" s="294">
        <v>0</v>
      </c>
      <c r="Q237" s="294">
        <v>0</v>
      </c>
      <c r="R237" s="294">
        <v>0</v>
      </c>
      <c r="S237" s="294">
        <v>0</v>
      </c>
      <c r="T237" s="294">
        <v>0</v>
      </c>
      <c r="U237" s="294">
        <v>0</v>
      </c>
      <c r="V237" s="294">
        <v>0</v>
      </c>
      <c r="W237" s="295">
        <f t="shared" si="10"/>
        <v>0</v>
      </c>
      <c r="AI237" s="276"/>
    </row>
    <row r="238" spans="1:35" ht="15" customHeight="1">
      <c r="A238" s="604"/>
      <c r="B238" s="318" t="s">
        <v>918</v>
      </c>
      <c r="C238" s="294">
        <v>0</v>
      </c>
      <c r="D238" s="294">
        <v>0</v>
      </c>
      <c r="E238" s="294">
        <v>0</v>
      </c>
      <c r="F238" s="294">
        <v>0</v>
      </c>
      <c r="G238" s="294">
        <v>0</v>
      </c>
      <c r="H238" s="294">
        <v>0</v>
      </c>
      <c r="I238" s="294">
        <v>0</v>
      </c>
      <c r="J238" s="294">
        <v>0</v>
      </c>
      <c r="K238" s="294">
        <v>0</v>
      </c>
      <c r="L238" s="294">
        <v>0</v>
      </c>
      <c r="M238" s="294">
        <v>0</v>
      </c>
      <c r="N238" s="294">
        <v>0</v>
      </c>
      <c r="O238" s="294">
        <v>0</v>
      </c>
      <c r="P238" s="294">
        <v>0</v>
      </c>
      <c r="Q238" s="294">
        <v>0</v>
      </c>
      <c r="R238" s="294">
        <v>0</v>
      </c>
      <c r="S238" s="294">
        <v>0</v>
      </c>
      <c r="T238" s="294">
        <v>0</v>
      </c>
      <c r="U238" s="294">
        <v>0</v>
      </c>
      <c r="V238" s="294">
        <v>0</v>
      </c>
      <c r="W238" s="295">
        <f t="shared" si="10"/>
        <v>0</v>
      </c>
      <c r="AI238" s="276"/>
    </row>
    <row r="239" spans="1:35" ht="15" customHeight="1">
      <c r="A239" s="604"/>
      <c r="B239" s="318" t="s">
        <v>919</v>
      </c>
      <c r="C239" s="294">
        <v>0</v>
      </c>
      <c r="D239" s="294">
        <v>0</v>
      </c>
      <c r="E239" s="294">
        <v>0</v>
      </c>
      <c r="F239" s="294">
        <v>0</v>
      </c>
      <c r="G239" s="294">
        <v>0</v>
      </c>
      <c r="H239" s="294">
        <v>0</v>
      </c>
      <c r="I239" s="294">
        <v>0</v>
      </c>
      <c r="J239" s="294">
        <v>0</v>
      </c>
      <c r="K239" s="294">
        <v>0</v>
      </c>
      <c r="L239" s="294">
        <v>0</v>
      </c>
      <c r="M239" s="294">
        <v>0</v>
      </c>
      <c r="N239" s="294">
        <v>0</v>
      </c>
      <c r="O239" s="294">
        <v>0</v>
      </c>
      <c r="P239" s="294">
        <v>0</v>
      </c>
      <c r="Q239" s="294">
        <v>0</v>
      </c>
      <c r="R239" s="294">
        <v>0</v>
      </c>
      <c r="S239" s="294">
        <v>0</v>
      </c>
      <c r="T239" s="294">
        <v>0</v>
      </c>
      <c r="U239" s="294">
        <v>0</v>
      </c>
      <c r="V239" s="294">
        <v>0</v>
      </c>
      <c r="W239" s="295">
        <f t="shared" si="10"/>
        <v>0</v>
      </c>
      <c r="AI239" s="276"/>
    </row>
    <row r="240" spans="1:35" ht="15" customHeight="1">
      <c r="A240" s="604"/>
      <c r="B240" s="318" t="s">
        <v>920</v>
      </c>
      <c r="C240" s="294">
        <v>0</v>
      </c>
      <c r="D240" s="294">
        <v>0</v>
      </c>
      <c r="E240" s="294">
        <v>0</v>
      </c>
      <c r="F240" s="294">
        <v>0</v>
      </c>
      <c r="G240" s="294">
        <v>0</v>
      </c>
      <c r="H240" s="294">
        <v>0</v>
      </c>
      <c r="I240" s="294">
        <v>0</v>
      </c>
      <c r="J240" s="294">
        <v>0</v>
      </c>
      <c r="K240" s="294">
        <v>0</v>
      </c>
      <c r="L240" s="294">
        <v>0</v>
      </c>
      <c r="M240" s="294">
        <v>0</v>
      </c>
      <c r="N240" s="294">
        <v>0</v>
      </c>
      <c r="O240" s="294">
        <v>0</v>
      </c>
      <c r="P240" s="294">
        <v>0</v>
      </c>
      <c r="Q240" s="294">
        <v>0</v>
      </c>
      <c r="R240" s="294">
        <v>0</v>
      </c>
      <c r="S240" s="294">
        <v>0</v>
      </c>
      <c r="T240" s="294">
        <v>0</v>
      </c>
      <c r="U240" s="294">
        <v>0</v>
      </c>
      <c r="V240" s="294">
        <v>0</v>
      </c>
      <c r="W240" s="295">
        <f t="shared" si="10"/>
        <v>0</v>
      </c>
      <c r="AI240" s="276"/>
    </row>
    <row r="241" spans="1:35" ht="15" customHeight="1">
      <c r="A241" s="604"/>
      <c r="B241" s="318" t="s">
        <v>921</v>
      </c>
      <c r="C241" s="294">
        <v>0</v>
      </c>
      <c r="D241" s="294">
        <v>0</v>
      </c>
      <c r="E241" s="294">
        <v>0</v>
      </c>
      <c r="F241" s="294">
        <v>0</v>
      </c>
      <c r="G241" s="294">
        <v>0</v>
      </c>
      <c r="H241" s="294">
        <v>0</v>
      </c>
      <c r="I241" s="294">
        <v>0</v>
      </c>
      <c r="J241" s="294">
        <v>0</v>
      </c>
      <c r="K241" s="294">
        <v>0</v>
      </c>
      <c r="L241" s="294">
        <v>0</v>
      </c>
      <c r="M241" s="294">
        <v>0</v>
      </c>
      <c r="N241" s="294">
        <v>0</v>
      </c>
      <c r="O241" s="294">
        <v>0</v>
      </c>
      <c r="P241" s="294">
        <v>0</v>
      </c>
      <c r="Q241" s="294">
        <v>0</v>
      </c>
      <c r="R241" s="294">
        <v>0</v>
      </c>
      <c r="S241" s="294">
        <v>0</v>
      </c>
      <c r="T241" s="294">
        <v>0</v>
      </c>
      <c r="U241" s="294">
        <v>0</v>
      </c>
      <c r="V241" s="294">
        <v>0</v>
      </c>
      <c r="W241" s="295">
        <f t="shared" si="10"/>
        <v>0</v>
      </c>
      <c r="AI241" s="276"/>
    </row>
    <row r="242" spans="1:35" ht="15" customHeight="1">
      <c r="A242" s="604"/>
      <c r="B242" s="318" t="s">
        <v>922</v>
      </c>
      <c r="C242" s="294">
        <v>0</v>
      </c>
      <c r="D242" s="294">
        <v>0</v>
      </c>
      <c r="E242" s="294">
        <v>0</v>
      </c>
      <c r="F242" s="294">
        <v>0</v>
      </c>
      <c r="G242" s="294">
        <v>0</v>
      </c>
      <c r="H242" s="294">
        <v>0</v>
      </c>
      <c r="I242" s="294">
        <v>0</v>
      </c>
      <c r="J242" s="294">
        <v>0</v>
      </c>
      <c r="K242" s="294">
        <v>0</v>
      </c>
      <c r="L242" s="294">
        <v>0</v>
      </c>
      <c r="M242" s="294">
        <v>0</v>
      </c>
      <c r="N242" s="294">
        <v>0</v>
      </c>
      <c r="O242" s="294">
        <v>0</v>
      </c>
      <c r="P242" s="294">
        <v>0</v>
      </c>
      <c r="Q242" s="294">
        <v>0</v>
      </c>
      <c r="R242" s="294">
        <v>0</v>
      </c>
      <c r="S242" s="294">
        <v>0</v>
      </c>
      <c r="T242" s="294">
        <v>0</v>
      </c>
      <c r="U242" s="294">
        <v>0</v>
      </c>
      <c r="V242" s="294">
        <v>0</v>
      </c>
      <c r="W242" s="295">
        <f t="shared" si="10"/>
        <v>0</v>
      </c>
      <c r="AI242" s="276"/>
    </row>
    <row r="243" spans="1:35" ht="15" customHeight="1" thickBot="1">
      <c r="A243" s="604"/>
      <c r="B243" s="318" t="s">
        <v>923</v>
      </c>
      <c r="C243" s="294">
        <v>0</v>
      </c>
      <c r="D243" s="294">
        <v>0</v>
      </c>
      <c r="E243" s="294">
        <v>0</v>
      </c>
      <c r="F243" s="294">
        <v>0</v>
      </c>
      <c r="G243" s="294">
        <v>0</v>
      </c>
      <c r="H243" s="294">
        <v>0</v>
      </c>
      <c r="I243" s="294">
        <v>0</v>
      </c>
      <c r="J243" s="294">
        <v>0</v>
      </c>
      <c r="K243" s="294">
        <v>0</v>
      </c>
      <c r="L243" s="294">
        <v>0</v>
      </c>
      <c r="M243" s="294">
        <v>0</v>
      </c>
      <c r="N243" s="294">
        <v>0</v>
      </c>
      <c r="O243" s="294">
        <v>0</v>
      </c>
      <c r="P243" s="294">
        <v>0</v>
      </c>
      <c r="Q243" s="294">
        <v>0</v>
      </c>
      <c r="R243" s="294">
        <v>0</v>
      </c>
      <c r="S243" s="294">
        <v>0</v>
      </c>
      <c r="T243" s="294">
        <v>0</v>
      </c>
      <c r="U243" s="294">
        <v>0</v>
      </c>
      <c r="V243" s="294">
        <v>0</v>
      </c>
      <c r="W243" s="295">
        <f t="shared" si="10"/>
        <v>0</v>
      </c>
      <c r="AI243" s="276"/>
    </row>
    <row r="244" spans="1:35" ht="15" customHeight="1">
      <c r="A244" s="603" t="s">
        <v>925</v>
      </c>
      <c r="B244" s="318" t="s">
        <v>614</v>
      </c>
      <c r="C244" s="294">
        <v>0</v>
      </c>
      <c r="D244" s="294">
        <v>0</v>
      </c>
      <c r="E244" s="294">
        <v>0</v>
      </c>
      <c r="F244" s="294">
        <v>0</v>
      </c>
      <c r="G244" s="294">
        <v>0</v>
      </c>
      <c r="H244" s="294">
        <v>0</v>
      </c>
      <c r="I244" s="294">
        <v>0</v>
      </c>
      <c r="J244" s="294">
        <v>0</v>
      </c>
      <c r="K244" s="294">
        <v>0</v>
      </c>
      <c r="L244" s="294">
        <v>0</v>
      </c>
      <c r="M244" s="294">
        <v>0</v>
      </c>
      <c r="N244" s="294">
        <v>0</v>
      </c>
      <c r="O244" s="294">
        <v>0</v>
      </c>
      <c r="P244" s="294">
        <v>0</v>
      </c>
      <c r="Q244" s="294">
        <v>0</v>
      </c>
      <c r="R244" s="294">
        <v>0</v>
      </c>
      <c r="S244" s="294">
        <v>0</v>
      </c>
      <c r="T244" s="294">
        <v>0</v>
      </c>
      <c r="U244" s="294">
        <v>0</v>
      </c>
      <c r="V244" s="294">
        <v>0</v>
      </c>
      <c r="W244" s="295">
        <f t="shared" si="10"/>
        <v>0</v>
      </c>
      <c r="AI244" s="276"/>
    </row>
    <row r="245" spans="1:35" ht="15" customHeight="1">
      <c r="A245" s="604"/>
      <c r="B245" s="318" t="s">
        <v>615</v>
      </c>
      <c r="C245" s="294">
        <v>0</v>
      </c>
      <c r="D245" s="294">
        <v>0</v>
      </c>
      <c r="E245" s="294">
        <v>0</v>
      </c>
      <c r="F245" s="294">
        <v>0</v>
      </c>
      <c r="G245" s="294">
        <v>0</v>
      </c>
      <c r="H245" s="294">
        <v>0</v>
      </c>
      <c r="I245" s="294">
        <v>0</v>
      </c>
      <c r="J245" s="294">
        <v>0</v>
      </c>
      <c r="K245" s="294">
        <v>0</v>
      </c>
      <c r="L245" s="294">
        <v>0</v>
      </c>
      <c r="M245" s="294">
        <v>0</v>
      </c>
      <c r="N245" s="294">
        <v>0</v>
      </c>
      <c r="O245" s="294">
        <v>0</v>
      </c>
      <c r="P245" s="294">
        <v>0</v>
      </c>
      <c r="Q245" s="294">
        <v>0</v>
      </c>
      <c r="R245" s="294">
        <v>0</v>
      </c>
      <c r="S245" s="294">
        <v>0</v>
      </c>
      <c r="T245" s="294">
        <v>0</v>
      </c>
      <c r="U245" s="294">
        <v>0</v>
      </c>
      <c r="V245" s="294">
        <v>0</v>
      </c>
      <c r="W245" s="295">
        <f t="shared" si="10"/>
        <v>0</v>
      </c>
      <c r="AI245" s="276"/>
    </row>
    <row r="246" spans="1:35" ht="15" customHeight="1">
      <c r="A246" s="604"/>
      <c r="B246" s="318" t="s">
        <v>616</v>
      </c>
      <c r="C246" s="294">
        <v>0</v>
      </c>
      <c r="D246" s="294">
        <v>0</v>
      </c>
      <c r="E246" s="294">
        <v>0</v>
      </c>
      <c r="F246" s="294">
        <v>0</v>
      </c>
      <c r="G246" s="294">
        <v>0</v>
      </c>
      <c r="H246" s="294">
        <v>0</v>
      </c>
      <c r="I246" s="294">
        <v>0</v>
      </c>
      <c r="J246" s="294">
        <v>0</v>
      </c>
      <c r="K246" s="294">
        <v>0</v>
      </c>
      <c r="L246" s="294">
        <v>0</v>
      </c>
      <c r="M246" s="294">
        <v>0</v>
      </c>
      <c r="N246" s="294">
        <v>0</v>
      </c>
      <c r="O246" s="294">
        <v>0</v>
      </c>
      <c r="P246" s="294">
        <v>0</v>
      </c>
      <c r="Q246" s="294">
        <v>0</v>
      </c>
      <c r="R246" s="294">
        <v>0</v>
      </c>
      <c r="S246" s="294">
        <v>0</v>
      </c>
      <c r="T246" s="294">
        <v>0</v>
      </c>
      <c r="U246" s="294">
        <v>0</v>
      </c>
      <c r="V246" s="294">
        <v>0</v>
      </c>
      <c r="W246" s="295">
        <f t="shared" si="10"/>
        <v>0</v>
      </c>
      <c r="AI246" s="276"/>
    </row>
    <row r="247" spans="1:35" ht="15" customHeight="1">
      <c r="A247" s="604"/>
      <c r="B247" s="318" t="s">
        <v>617</v>
      </c>
      <c r="C247" s="294">
        <v>0</v>
      </c>
      <c r="D247" s="294">
        <v>0</v>
      </c>
      <c r="E247" s="294">
        <v>0</v>
      </c>
      <c r="F247" s="294">
        <v>0</v>
      </c>
      <c r="G247" s="294">
        <v>0</v>
      </c>
      <c r="H247" s="294">
        <v>0</v>
      </c>
      <c r="I247" s="294">
        <v>0</v>
      </c>
      <c r="J247" s="294">
        <v>0</v>
      </c>
      <c r="K247" s="294">
        <v>0</v>
      </c>
      <c r="L247" s="294">
        <v>0</v>
      </c>
      <c r="M247" s="294">
        <v>0</v>
      </c>
      <c r="N247" s="294">
        <v>0</v>
      </c>
      <c r="O247" s="294">
        <v>0</v>
      </c>
      <c r="P247" s="294">
        <v>0</v>
      </c>
      <c r="Q247" s="294">
        <v>0</v>
      </c>
      <c r="R247" s="294">
        <v>0</v>
      </c>
      <c r="S247" s="294">
        <v>0</v>
      </c>
      <c r="T247" s="294">
        <v>0</v>
      </c>
      <c r="U247" s="294">
        <v>0</v>
      </c>
      <c r="V247" s="294">
        <v>0</v>
      </c>
      <c r="W247" s="295">
        <f t="shared" si="10"/>
        <v>0</v>
      </c>
      <c r="AI247" s="276"/>
    </row>
    <row r="248" spans="1:35" ht="15" customHeight="1">
      <c r="A248" s="604"/>
      <c r="B248" s="318" t="s">
        <v>618</v>
      </c>
      <c r="C248" s="294">
        <v>0</v>
      </c>
      <c r="D248" s="294">
        <v>0</v>
      </c>
      <c r="E248" s="294">
        <v>0</v>
      </c>
      <c r="F248" s="294">
        <v>0</v>
      </c>
      <c r="G248" s="294">
        <v>0</v>
      </c>
      <c r="H248" s="294">
        <v>0</v>
      </c>
      <c r="I248" s="294">
        <v>0</v>
      </c>
      <c r="J248" s="294">
        <v>0</v>
      </c>
      <c r="K248" s="294">
        <v>0</v>
      </c>
      <c r="L248" s="294">
        <v>0</v>
      </c>
      <c r="M248" s="294">
        <v>0</v>
      </c>
      <c r="N248" s="294">
        <v>0</v>
      </c>
      <c r="O248" s="294">
        <v>0</v>
      </c>
      <c r="P248" s="294">
        <v>0</v>
      </c>
      <c r="Q248" s="294">
        <v>0</v>
      </c>
      <c r="R248" s="294">
        <v>0</v>
      </c>
      <c r="S248" s="294">
        <v>0</v>
      </c>
      <c r="T248" s="294">
        <v>0</v>
      </c>
      <c r="U248" s="294">
        <v>0</v>
      </c>
      <c r="V248" s="294">
        <v>0</v>
      </c>
      <c r="W248" s="295">
        <f t="shared" si="10"/>
        <v>0</v>
      </c>
      <c r="AI248" s="276"/>
    </row>
    <row r="249" spans="1:35" ht="15" customHeight="1">
      <c r="A249" s="604"/>
      <c r="B249" s="318" t="s">
        <v>619</v>
      </c>
      <c r="C249" s="294">
        <v>0</v>
      </c>
      <c r="D249" s="294">
        <v>0</v>
      </c>
      <c r="E249" s="294">
        <v>0</v>
      </c>
      <c r="F249" s="294">
        <v>0</v>
      </c>
      <c r="G249" s="294">
        <v>0</v>
      </c>
      <c r="H249" s="294">
        <v>0</v>
      </c>
      <c r="I249" s="294">
        <v>0</v>
      </c>
      <c r="J249" s="294">
        <v>0</v>
      </c>
      <c r="K249" s="294">
        <v>0</v>
      </c>
      <c r="L249" s="294">
        <v>0</v>
      </c>
      <c r="M249" s="294">
        <v>0</v>
      </c>
      <c r="N249" s="294">
        <v>0</v>
      </c>
      <c r="O249" s="294">
        <v>0</v>
      </c>
      <c r="P249" s="294">
        <v>0</v>
      </c>
      <c r="Q249" s="294">
        <v>0</v>
      </c>
      <c r="R249" s="294">
        <v>0</v>
      </c>
      <c r="S249" s="294">
        <v>0</v>
      </c>
      <c r="T249" s="294">
        <v>0</v>
      </c>
      <c r="U249" s="294">
        <v>0</v>
      </c>
      <c r="V249" s="294">
        <v>0</v>
      </c>
      <c r="W249" s="295">
        <f t="shared" si="10"/>
        <v>0</v>
      </c>
      <c r="AI249" s="276"/>
    </row>
    <row r="250" spans="1:35" ht="15" customHeight="1">
      <c r="A250" s="604"/>
      <c r="B250" s="318" t="s">
        <v>620</v>
      </c>
      <c r="C250" s="294">
        <v>0</v>
      </c>
      <c r="D250" s="294">
        <v>0</v>
      </c>
      <c r="E250" s="294">
        <v>0</v>
      </c>
      <c r="F250" s="294">
        <v>0</v>
      </c>
      <c r="G250" s="294">
        <v>0</v>
      </c>
      <c r="H250" s="294">
        <v>0</v>
      </c>
      <c r="I250" s="294">
        <v>0</v>
      </c>
      <c r="J250" s="294">
        <v>0</v>
      </c>
      <c r="K250" s="294">
        <v>0</v>
      </c>
      <c r="L250" s="294">
        <v>0</v>
      </c>
      <c r="M250" s="294">
        <v>0</v>
      </c>
      <c r="N250" s="294">
        <v>0</v>
      </c>
      <c r="O250" s="294">
        <v>0</v>
      </c>
      <c r="P250" s="294">
        <v>0</v>
      </c>
      <c r="Q250" s="294">
        <v>0</v>
      </c>
      <c r="R250" s="294">
        <v>0</v>
      </c>
      <c r="S250" s="294">
        <v>0</v>
      </c>
      <c r="T250" s="294">
        <v>0</v>
      </c>
      <c r="U250" s="294">
        <v>0</v>
      </c>
      <c r="V250" s="294">
        <v>0</v>
      </c>
      <c r="W250" s="295">
        <f t="shared" si="10"/>
        <v>0</v>
      </c>
      <c r="AI250" s="276"/>
    </row>
    <row r="251" spans="1:35" ht="15" customHeight="1">
      <c r="A251" s="604"/>
      <c r="B251" s="318" t="s">
        <v>621</v>
      </c>
      <c r="C251" s="294">
        <v>0</v>
      </c>
      <c r="D251" s="294">
        <v>0</v>
      </c>
      <c r="E251" s="294">
        <v>0</v>
      </c>
      <c r="F251" s="294">
        <v>0</v>
      </c>
      <c r="G251" s="294">
        <v>0</v>
      </c>
      <c r="H251" s="294">
        <v>0</v>
      </c>
      <c r="I251" s="294">
        <v>0</v>
      </c>
      <c r="J251" s="294">
        <v>0</v>
      </c>
      <c r="K251" s="294">
        <v>0</v>
      </c>
      <c r="L251" s="294">
        <v>0</v>
      </c>
      <c r="M251" s="294">
        <v>0</v>
      </c>
      <c r="N251" s="294">
        <v>0</v>
      </c>
      <c r="O251" s="294">
        <v>0</v>
      </c>
      <c r="P251" s="294">
        <v>0</v>
      </c>
      <c r="Q251" s="294">
        <v>0</v>
      </c>
      <c r="R251" s="294">
        <v>0</v>
      </c>
      <c r="S251" s="294">
        <v>0</v>
      </c>
      <c r="T251" s="294">
        <v>0</v>
      </c>
      <c r="U251" s="294">
        <v>0</v>
      </c>
      <c r="V251" s="294">
        <v>0</v>
      </c>
      <c r="W251" s="295">
        <f t="shared" si="10"/>
        <v>0</v>
      </c>
      <c r="AI251" s="276"/>
    </row>
    <row r="252" spans="1:35" ht="15" customHeight="1">
      <c r="A252" s="604"/>
      <c r="B252" s="318" t="s">
        <v>622</v>
      </c>
      <c r="C252" s="294">
        <v>0</v>
      </c>
      <c r="D252" s="294">
        <v>0</v>
      </c>
      <c r="E252" s="294">
        <v>0</v>
      </c>
      <c r="F252" s="294">
        <v>0</v>
      </c>
      <c r="G252" s="294">
        <v>0</v>
      </c>
      <c r="H252" s="294">
        <v>0</v>
      </c>
      <c r="I252" s="294">
        <v>0</v>
      </c>
      <c r="J252" s="294">
        <v>0</v>
      </c>
      <c r="K252" s="294">
        <v>0</v>
      </c>
      <c r="L252" s="294">
        <v>0</v>
      </c>
      <c r="M252" s="294">
        <v>0</v>
      </c>
      <c r="N252" s="294">
        <v>0</v>
      </c>
      <c r="O252" s="294">
        <v>0</v>
      </c>
      <c r="P252" s="294">
        <v>0</v>
      </c>
      <c r="Q252" s="294">
        <v>0</v>
      </c>
      <c r="R252" s="294">
        <v>0</v>
      </c>
      <c r="S252" s="294">
        <v>0</v>
      </c>
      <c r="T252" s="294">
        <v>0</v>
      </c>
      <c r="U252" s="294">
        <v>0</v>
      </c>
      <c r="V252" s="294">
        <v>0</v>
      </c>
      <c r="W252" s="295">
        <f t="shared" si="10"/>
        <v>0</v>
      </c>
      <c r="AI252" s="276"/>
    </row>
    <row r="253" spans="1:35" ht="15" customHeight="1">
      <c r="A253" s="604"/>
      <c r="B253" s="318" t="s">
        <v>623</v>
      </c>
      <c r="C253" s="294">
        <v>0</v>
      </c>
      <c r="D253" s="294">
        <v>0</v>
      </c>
      <c r="E253" s="294">
        <v>0</v>
      </c>
      <c r="F253" s="294">
        <v>0</v>
      </c>
      <c r="G253" s="294">
        <v>0</v>
      </c>
      <c r="H253" s="294">
        <v>0</v>
      </c>
      <c r="I253" s="294">
        <v>0</v>
      </c>
      <c r="J253" s="294">
        <v>0</v>
      </c>
      <c r="K253" s="294">
        <v>0</v>
      </c>
      <c r="L253" s="294">
        <v>0</v>
      </c>
      <c r="M253" s="294">
        <v>0</v>
      </c>
      <c r="N253" s="294">
        <v>0</v>
      </c>
      <c r="O253" s="294">
        <v>0</v>
      </c>
      <c r="P253" s="294">
        <v>0</v>
      </c>
      <c r="Q253" s="294">
        <v>0</v>
      </c>
      <c r="R253" s="294">
        <v>0</v>
      </c>
      <c r="S253" s="294">
        <v>0</v>
      </c>
      <c r="T253" s="294">
        <v>0</v>
      </c>
      <c r="U253" s="294">
        <v>0</v>
      </c>
      <c r="V253" s="294">
        <v>0</v>
      </c>
      <c r="W253" s="295">
        <f t="shared" si="10"/>
        <v>0</v>
      </c>
      <c r="AI253" s="276"/>
    </row>
    <row r="254" spans="1:35" ht="15" customHeight="1">
      <c r="A254" s="604"/>
      <c r="B254" s="318" t="s">
        <v>624</v>
      </c>
      <c r="C254" s="294">
        <v>0</v>
      </c>
      <c r="D254" s="294">
        <v>0</v>
      </c>
      <c r="E254" s="294">
        <v>0</v>
      </c>
      <c r="F254" s="294">
        <v>0</v>
      </c>
      <c r="G254" s="294">
        <v>0</v>
      </c>
      <c r="H254" s="294">
        <v>0</v>
      </c>
      <c r="I254" s="294">
        <v>0</v>
      </c>
      <c r="J254" s="294">
        <v>0</v>
      </c>
      <c r="K254" s="294">
        <v>0</v>
      </c>
      <c r="L254" s="294">
        <v>0</v>
      </c>
      <c r="M254" s="294">
        <v>0</v>
      </c>
      <c r="N254" s="294">
        <v>0</v>
      </c>
      <c r="O254" s="294">
        <v>0</v>
      </c>
      <c r="P254" s="294">
        <v>0</v>
      </c>
      <c r="Q254" s="294">
        <v>0</v>
      </c>
      <c r="R254" s="294">
        <v>0</v>
      </c>
      <c r="S254" s="294">
        <v>0</v>
      </c>
      <c r="T254" s="294">
        <v>0</v>
      </c>
      <c r="U254" s="294">
        <v>0</v>
      </c>
      <c r="V254" s="294">
        <v>0</v>
      </c>
      <c r="W254" s="295">
        <f t="shared" si="10"/>
        <v>0</v>
      </c>
      <c r="AI254" s="276"/>
    </row>
    <row r="255" spans="1:35" ht="15" customHeight="1">
      <c r="A255" s="604"/>
      <c r="B255" s="318" t="s">
        <v>625</v>
      </c>
      <c r="C255" s="294">
        <v>0</v>
      </c>
      <c r="D255" s="294">
        <v>0</v>
      </c>
      <c r="E255" s="294">
        <v>0</v>
      </c>
      <c r="F255" s="294">
        <v>0</v>
      </c>
      <c r="G255" s="294">
        <v>0</v>
      </c>
      <c r="H255" s="294">
        <v>0</v>
      </c>
      <c r="I255" s="294">
        <v>0</v>
      </c>
      <c r="J255" s="294">
        <v>0</v>
      </c>
      <c r="K255" s="294">
        <v>0</v>
      </c>
      <c r="L255" s="294">
        <v>0</v>
      </c>
      <c r="M255" s="294">
        <v>0</v>
      </c>
      <c r="N255" s="294">
        <v>0</v>
      </c>
      <c r="O255" s="294">
        <v>0</v>
      </c>
      <c r="P255" s="294">
        <v>0</v>
      </c>
      <c r="Q255" s="294">
        <v>0</v>
      </c>
      <c r="R255" s="294">
        <v>0</v>
      </c>
      <c r="S255" s="294">
        <v>0</v>
      </c>
      <c r="T255" s="294">
        <v>0</v>
      </c>
      <c r="U255" s="294">
        <v>0</v>
      </c>
      <c r="V255" s="294">
        <v>0</v>
      </c>
      <c r="W255" s="295">
        <f t="shared" si="10"/>
        <v>0</v>
      </c>
      <c r="AI255" s="276"/>
    </row>
    <row r="256" spans="1:35" ht="15" customHeight="1">
      <c r="A256" s="604"/>
      <c r="B256" s="318" t="s">
        <v>626</v>
      </c>
      <c r="C256" s="294">
        <v>0</v>
      </c>
      <c r="D256" s="294">
        <v>0</v>
      </c>
      <c r="E256" s="294">
        <v>0</v>
      </c>
      <c r="F256" s="294">
        <v>0</v>
      </c>
      <c r="G256" s="294">
        <v>0</v>
      </c>
      <c r="H256" s="294">
        <v>0</v>
      </c>
      <c r="I256" s="294">
        <v>0</v>
      </c>
      <c r="J256" s="294">
        <v>0</v>
      </c>
      <c r="K256" s="294">
        <v>0</v>
      </c>
      <c r="L256" s="294">
        <v>0</v>
      </c>
      <c r="M256" s="294">
        <v>0</v>
      </c>
      <c r="N256" s="294">
        <v>0</v>
      </c>
      <c r="O256" s="294">
        <v>0</v>
      </c>
      <c r="P256" s="294">
        <v>0</v>
      </c>
      <c r="Q256" s="294">
        <v>0</v>
      </c>
      <c r="R256" s="294">
        <v>0</v>
      </c>
      <c r="S256" s="294">
        <v>0</v>
      </c>
      <c r="T256" s="294">
        <v>0</v>
      </c>
      <c r="U256" s="294">
        <v>0</v>
      </c>
      <c r="V256" s="294">
        <v>0</v>
      </c>
      <c r="W256" s="295">
        <f t="shared" si="10"/>
        <v>0</v>
      </c>
      <c r="AI256" s="276"/>
    </row>
    <row r="257" spans="1:35" ht="15" customHeight="1">
      <c r="A257" s="604"/>
      <c r="B257" s="318" t="s">
        <v>627</v>
      </c>
      <c r="C257" s="294">
        <v>0</v>
      </c>
      <c r="D257" s="294">
        <v>0</v>
      </c>
      <c r="E257" s="294">
        <v>0</v>
      </c>
      <c r="F257" s="294">
        <v>0</v>
      </c>
      <c r="G257" s="294">
        <v>0</v>
      </c>
      <c r="H257" s="294">
        <v>0</v>
      </c>
      <c r="I257" s="294">
        <v>0</v>
      </c>
      <c r="J257" s="294">
        <v>0</v>
      </c>
      <c r="K257" s="294">
        <v>0</v>
      </c>
      <c r="L257" s="294">
        <v>0</v>
      </c>
      <c r="M257" s="294">
        <v>0</v>
      </c>
      <c r="N257" s="294">
        <v>0</v>
      </c>
      <c r="O257" s="294">
        <v>0</v>
      </c>
      <c r="P257" s="294">
        <v>0</v>
      </c>
      <c r="Q257" s="294">
        <v>0</v>
      </c>
      <c r="R257" s="294">
        <v>0</v>
      </c>
      <c r="S257" s="294">
        <v>0</v>
      </c>
      <c r="T257" s="294">
        <v>0</v>
      </c>
      <c r="U257" s="294">
        <v>0</v>
      </c>
      <c r="V257" s="294">
        <v>0</v>
      </c>
      <c r="W257" s="295">
        <f t="shared" si="10"/>
        <v>0</v>
      </c>
      <c r="AI257" s="276"/>
    </row>
    <row r="258" spans="1:35" ht="15" customHeight="1">
      <c r="A258" s="604"/>
      <c r="B258" s="318" t="s">
        <v>628</v>
      </c>
      <c r="C258" s="294">
        <v>0</v>
      </c>
      <c r="D258" s="294">
        <v>0</v>
      </c>
      <c r="E258" s="294">
        <v>0</v>
      </c>
      <c r="F258" s="294">
        <v>0</v>
      </c>
      <c r="G258" s="294">
        <v>0</v>
      </c>
      <c r="H258" s="294">
        <v>0</v>
      </c>
      <c r="I258" s="294">
        <v>0</v>
      </c>
      <c r="J258" s="294">
        <v>0</v>
      </c>
      <c r="K258" s="294">
        <v>0</v>
      </c>
      <c r="L258" s="294">
        <v>0</v>
      </c>
      <c r="M258" s="294">
        <v>0</v>
      </c>
      <c r="N258" s="294">
        <v>0</v>
      </c>
      <c r="O258" s="294">
        <v>0</v>
      </c>
      <c r="P258" s="294">
        <v>0</v>
      </c>
      <c r="Q258" s="294">
        <v>0</v>
      </c>
      <c r="R258" s="294">
        <v>0</v>
      </c>
      <c r="S258" s="294">
        <v>0</v>
      </c>
      <c r="T258" s="294">
        <v>0</v>
      </c>
      <c r="U258" s="294">
        <v>0</v>
      </c>
      <c r="V258" s="294">
        <v>0</v>
      </c>
      <c r="W258" s="295">
        <f t="shared" si="10"/>
        <v>0</v>
      </c>
      <c r="AI258" s="276"/>
    </row>
    <row r="259" spans="1:35" ht="15" customHeight="1">
      <c r="A259" s="604"/>
      <c r="B259" s="318" t="s">
        <v>629</v>
      </c>
      <c r="C259" s="294">
        <v>0</v>
      </c>
      <c r="D259" s="294">
        <v>0</v>
      </c>
      <c r="E259" s="294">
        <v>0</v>
      </c>
      <c r="F259" s="294">
        <v>0</v>
      </c>
      <c r="G259" s="294">
        <v>0</v>
      </c>
      <c r="H259" s="294">
        <v>0</v>
      </c>
      <c r="I259" s="294">
        <v>0</v>
      </c>
      <c r="J259" s="294">
        <v>0</v>
      </c>
      <c r="K259" s="294">
        <v>0</v>
      </c>
      <c r="L259" s="294">
        <v>0</v>
      </c>
      <c r="M259" s="294">
        <v>0</v>
      </c>
      <c r="N259" s="294">
        <v>0</v>
      </c>
      <c r="O259" s="294">
        <v>0</v>
      </c>
      <c r="P259" s="294">
        <v>0</v>
      </c>
      <c r="Q259" s="294">
        <v>0</v>
      </c>
      <c r="R259" s="294">
        <v>0</v>
      </c>
      <c r="S259" s="294">
        <v>0</v>
      </c>
      <c r="T259" s="294">
        <v>0</v>
      </c>
      <c r="U259" s="294">
        <v>0</v>
      </c>
      <c r="V259" s="294">
        <v>0</v>
      </c>
      <c r="W259" s="295">
        <f t="shared" si="10"/>
        <v>0</v>
      </c>
      <c r="AI259" s="276"/>
    </row>
    <row r="260" spans="1:35" ht="15" customHeight="1">
      <c r="A260" s="604"/>
      <c r="B260" s="318" t="s">
        <v>630</v>
      </c>
      <c r="C260" s="294">
        <v>0</v>
      </c>
      <c r="D260" s="294">
        <v>0</v>
      </c>
      <c r="E260" s="294">
        <v>0</v>
      </c>
      <c r="F260" s="294">
        <v>0</v>
      </c>
      <c r="G260" s="294">
        <v>0</v>
      </c>
      <c r="H260" s="294">
        <v>0</v>
      </c>
      <c r="I260" s="294">
        <v>0</v>
      </c>
      <c r="J260" s="294">
        <v>0</v>
      </c>
      <c r="K260" s="294">
        <v>0</v>
      </c>
      <c r="L260" s="294">
        <v>0</v>
      </c>
      <c r="M260" s="294">
        <v>0</v>
      </c>
      <c r="N260" s="294">
        <v>0</v>
      </c>
      <c r="O260" s="294">
        <v>0</v>
      </c>
      <c r="P260" s="294">
        <v>0</v>
      </c>
      <c r="Q260" s="294">
        <v>0</v>
      </c>
      <c r="R260" s="294">
        <v>0</v>
      </c>
      <c r="S260" s="294">
        <v>0</v>
      </c>
      <c r="T260" s="294">
        <v>0</v>
      </c>
      <c r="U260" s="294">
        <v>0</v>
      </c>
      <c r="V260" s="294">
        <v>0</v>
      </c>
      <c r="W260" s="295">
        <f t="shared" si="10"/>
        <v>0</v>
      </c>
      <c r="AI260" s="276"/>
    </row>
    <row r="261" spans="1:35" ht="15" customHeight="1">
      <c r="A261" s="604"/>
      <c r="B261" s="318" t="s">
        <v>918</v>
      </c>
      <c r="C261" s="294">
        <v>0</v>
      </c>
      <c r="D261" s="294">
        <v>0</v>
      </c>
      <c r="E261" s="294">
        <v>0</v>
      </c>
      <c r="F261" s="294">
        <v>0</v>
      </c>
      <c r="G261" s="294">
        <v>0</v>
      </c>
      <c r="H261" s="294">
        <v>0</v>
      </c>
      <c r="I261" s="294">
        <v>0</v>
      </c>
      <c r="J261" s="294">
        <v>0</v>
      </c>
      <c r="K261" s="294">
        <v>0</v>
      </c>
      <c r="L261" s="294">
        <v>0</v>
      </c>
      <c r="M261" s="294">
        <v>0</v>
      </c>
      <c r="N261" s="294">
        <v>0</v>
      </c>
      <c r="O261" s="294">
        <v>0</v>
      </c>
      <c r="P261" s="294">
        <v>0</v>
      </c>
      <c r="Q261" s="294">
        <v>0</v>
      </c>
      <c r="R261" s="294">
        <v>0</v>
      </c>
      <c r="S261" s="294">
        <v>0</v>
      </c>
      <c r="T261" s="294">
        <v>0</v>
      </c>
      <c r="U261" s="294">
        <v>0</v>
      </c>
      <c r="V261" s="294">
        <v>0</v>
      </c>
      <c r="W261" s="295">
        <f t="shared" si="10"/>
        <v>0</v>
      </c>
      <c r="AI261" s="276"/>
    </row>
    <row r="262" spans="1:35" ht="15" customHeight="1">
      <c r="A262" s="604"/>
      <c r="B262" s="318" t="s">
        <v>919</v>
      </c>
      <c r="C262" s="294">
        <v>0</v>
      </c>
      <c r="D262" s="294">
        <v>0</v>
      </c>
      <c r="E262" s="294">
        <v>0</v>
      </c>
      <c r="F262" s="294">
        <v>0</v>
      </c>
      <c r="G262" s="294">
        <v>0</v>
      </c>
      <c r="H262" s="294">
        <v>0</v>
      </c>
      <c r="I262" s="294">
        <v>0</v>
      </c>
      <c r="J262" s="294">
        <v>0</v>
      </c>
      <c r="K262" s="294">
        <v>0</v>
      </c>
      <c r="L262" s="294">
        <v>0</v>
      </c>
      <c r="M262" s="294">
        <v>0</v>
      </c>
      <c r="N262" s="294">
        <v>0</v>
      </c>
      <c r="O262" s="294">
        <v>0</v>
      </c>
      <c r="P262" s="294">
        <v>0</v>
      </c>
      <c r="Q262" s="294">
        <v>0</v>
      </c>
      <c r="R262" s="294">
        <v>0</v>
      </c>
      <c r="S262" s="294">
        <v>0</v>
      </c>
      <c r="T262" s="294">
        <v>0</v>
      </c>
      <c r="U262" s="294">
        <v>0</v>
      </c>
      <c r="V262" s="294">
        <v>0</v>
      </c>
      <c r="W262" s="295">
        <f t="shared" si="10"/>
        <v>0</v>
      </c>
      <c r="AI262" s="276"/>
    </row>
    <row r="263" spans="1:35" ht="15" customHeight="1">
      <c r="A263" s="604"/>
      <c r="B263" s="318" t="s">
        <v>920</v>
      </c>
      <c r="C263" s="294">
        <v>0</v>
      </c>
      <c r="D263" s="294">
        <v>0</v>
      </c>
      <c r="E263" s="294">
        <v>0</v>
      </c>
      <c r="F263" s="294">
        <v>0</v>
      </c>
      <c r="G263" s="294">
        <v>0</v>
      </c>
      <c r="H263" s="294">
        <v>0</v>
      </c>
      <c r="I263" s="294">
        <v>0</v>
      </c>
      <c r="J263" s="294">
        <v>0</v>
      </c>
      <c r="K263" s="294">
        <v>0</v>
      </c>
      <c r="L263" s="294">
        <v>0</v>
      </c>
      <c r="M263" s="294">
        <v>0</v>
      </c>
      <c r="N263" s="294">
        <v>0</v>
      </c>
      <c r="O263" s="294">
        <v>0</v>
      </c>
      <c r="P263" s="294">
        <v>0</v>
      </c>
      <c r="Q263" s="294">
        <v>0</v>
      </c>
      <c r="R263" s="294">
        <v>0</v>
      </c>
      <c r="S263" s="294">
        <v>0</v>
      </c>
      <c r="T263" s="294">
        <v>0</v>
      </c>
      <c r="U263" s="294">
        <v>0</v>
      </c>
      <c r="V263" s="294">
        <v>0</v>
      </c>
      <c r="W263" s="295">
        <f t="shared" si="10"/>
        <v>0</v>
      </c>
      <c r="AI263" s="276"/>
    </row>
    <row r="264" spans="1:35" ht="15" customHeight="1" thickBot="1">
      <c r="A264" s="605"/>
      <c r="B264" s="318" t="s">
        <v>921</v>
      </c>
      <c r="C264" s="294">
        <v>0</v>
      </c>
      <c r="D264" s="294">
        <v>0</v>
      </c>
      <c r="E264" s="294">
        <v>0</v>
      </c>
      <c r="F264" s="294">
        <v>0</v>
      </c>
      <c r="G264" s="294">
        <v>0</v>
      </c>
      <c r="H264" s="294">
        <v>0</v>
      </c>
      <c r="I264" s="294">
        <v>0</v>
      </c>
      <c r="J264" s="294">
        <v>0</v>
      </c>
      <c r="K264" s="294">
        <v>0</v>
      </c>
      <c r="L264" s="294">
        <v>0</v>
      </c>
      <c r="M264" s="294">
        <v>0</v>
      </c>
      <c r="N264" s="294">
        <v>0</v>
      </c>
      <c r="O264" s="294">
        <v>0</v>
      </c>
      <c r="P264" s="294">
        <v>0</v>
      </c>
      <c r="Q264" s="294">
        <v>0</v>
      </c>
      <c r="R264" s="294">
        <v>0</v>
      </c>
      <c r="S264" s="294">
        <v>0</v>
      </c>
      <c r="T264" s="294">
        <v>0</v>
      </c>
      <c r="U264" s="294">
        <v>0</v>
      </c>
      <c r="V264" s="294">
        <v>0</v>
      </c>
      <c r="W264" s="295">
        <f t="shared" si="10"/>
        <v>0</v>
      </c>
      <c r="AI264" s="276"/>
    </row>
    <row r="265" spans="1:35" ht="20.100000000000001" customHeight="1" thickBot="1">
      <c r="A265" s="600" t="s">
        <v>755</v>
      </c>
      <c r="B265" s="601"/>
      <c r="C265" s="296"/>
      <c r="D265" s="296"/>
      <c r="E265" s="296"/>
      <c r="F265" s="296"/>
      <c r="G265" s="296"/>
      <c r="H265" s="296"/>
      <c r="I265" s="296"/>
      <c r="J265" s="296"/>
      <c r="K265" s="296"/>
      <c r="L265" s="296"/>
      <c r="M265" s="296"/>
      <c r="N265" s="296"/>
      <c r="O265" s="296"/>
      <c r="P265" s="296"/>
      <c r="Q265" s="296"/>
      <c r="R265" s="296"/>
      <c r="S265" s="296"/>
      <c r="T265" s="296"/>
      <c r="U265" s="296"/>
      <c r="V265" s="297"/>
      <c r="W265" s="560"/>
      <c r="AI265" s="276"/>
    </row>
    <row r="266" spans="1:35" ht="20.100000000000001" customHeight="1" thickBot="1">
      <c r="A266" s="600" t="s">
        <v>754</v>
      </c>
      <c r="B266" s="601"/>
      <c r="C266" s="296">
        <f t="shared" ref="C266:V266" si="11">+AVERAGE(C221:C264)</f>
        <v>0</v>
      </c>
      <c r="D266" s="296">
        <f t="shared" si="11"/>
        <v>0</v>
      </c>
      <c r="E266" s="296">
        <f t="shared" si="11"/>
        <v>0</v>
      </c>
      <c r="F266" s="296">
        <f t="shared" si="11"/>
        <v>0</v>
      </c>
      <c r="G266" s="296">
        <f t="shared" si="11"/>
        <v>0</v>
      </c>
      <c r="H266" s="296">
        <f t="shared" si="11"/>
        <v>0</v>
      </c>
      <c r="I266" s="296">
        <f t="shared" si="11"/>
        <v>0</v>
      </c>
      <c r="J266" s="296">
        <f t="shared" si="11"/>
        <v>0</v>
      </c>
      <c r="K266" s="296">
        <f t="shared" si="11"/>
        <v>0</v>
      </c>
      <c r="L266" s="296">
        <f t="shared" si="11"/>
        <v>0</v>
      </c>
      <c r="M266" s="296">
        <f t="shared" si="11"/>
        <v>0</v>
      </c>
      <c r="N266" s="296">
        <f t="shared" si="11"/>
        <v>0</v>
      </c>
      <c r="O266" s="296">
        <f t="shared" si="11"/>
        <v>0</v>
      </c>
      <c r="P266" s="296">
        <f t="shared" si="11"/>
        <v>0</v>
      </c>
      <c r="Q266" s="296">
        <f t="shared" si="11"/>
        <v>0</v>
      </c>
      <c r="R266" s="296">
        <f t="shared" si="11"/>
        <v>0</v>
      </c>
      <c r="S266" s="296">
        <f t="shared" si="11"/>
        <v>0</v>
      </c>
      <c r="T266" s="296">
        <f t="shared" si="11"/>
        <v>0</v>
      </c>
      <c r="U266" s="296">
        <f t="shared" si="11"/>
        <v>0</v>
      </c>
      <c r="V266" s="296">
        <f t="shared" si="11"/>
        <v>0</v>
      </c>
      <c r="W266" s="561"/>
      <c r="AI266" s="276"/>
    </row>
    <row r="267" spans="1:35" ht="20.100000000000001" customHeight="1" thickBot="1">
      <c r="A267" s="600" t="s">
        <v>760</v>
      </c>
      <c r="B267" s="602"/>
      <c r="C267" s="516">
        <f>AVERAGE(C266:V266)</f>
        <v>0</v>
      </c>
      <c r="D267" s="517"/>
      <c r="E267" s="517"/>
      <c r="F267" s="517"/>
      <c r="G267" s="517"/>
      <c r="H267" s="517"/>
      <c r="I267" s="517"/>
      <c r="J267" s="517"/>
      <c r="K267" s="517"/>
      <c r="L267" s="517"/>
      <c r="M267" s="517"/>
      <c r="N267" s="517"/>
      <c r="O267" s="517"/>
      <c r="P267" s="517"/>
      <c r="Q267" s="517"/>
      <c r="R267" s="516"/>
      <c r="S267" s="517"/>
      <c r="T267" s="517"/>
      <c r="U267" s="517"/>
      <c r="V267" s="517"/>
      <c r="W267" s="562"/>
      <c r="AI267" s="276"/>
    </row>
    <row r="268" spans="1:35" ht="15" customHeight="1">
      <c r="A268" s="603" t="s">
        <v>933</v>
      </c>
      <c r="B268" s="320" t="s">
        <v>631</v>
      </c>
      <c r="C268" s="294">
        <v>0</v>
      </c>
      <c r="D268" s="294">
        <v>0</v>
      </c>
      <c r="E268" s="294">
        <v>0</v>
      </c>
      <c r="F268" s="294">
        <v>0</v>
      </c>
      <c r="G268" s="294">
        <v>0</v>
      </c>
      <c r="H268" s="294">
        <v>0</v>
      </c>
      <c r="I268" s="294">
        <v>0</v>
      </c>
      <c r="J268" s="294">
        <v>0</v>
      </c>
      <c r="K268" s="294">
        <v>0</v>
      </c>
      <c r="L268" s="294">
        <v>0</v>
      </c>
      <c r="M268" s="294">
        <v>0</v>
      </c>
      <c r="N268" s="294">
        <v>0</v>
      </c>
      <c r="O268" s="294">
        <v>0</v>
      </c>
      <c r="P268" s="294">
        <v>0</v>
      </c>
      <c r="Q268" s="294">
        <v>0</v>
      </c>
      <c r="R268" s="294">
        <v>0</v>
      </c>
      <c r="S268" s="294">
        <v>0</v>
      </c>
      <c r="T268" s="294">
        <v>0</v>
      </c>
      <c r="U268" s="294">
        <v>0</v>
      </c>
      <c r="V268" s="294">
        <v>0</v>
      </c>
      <c r="W268" s="293">
        <f t="shared" ref="W268:W311" si="12">+AVERAGE(C268:V268)</f>
        <v>0</v>
      </c>
      <c r="AI268" s="276"/>
    </row>
    <row r="269" spans="1:35" ht="15" customHeight="1">
      <c r="A269" s="604"/>
      <c r="B269" s="318" t="s">
        <v>632</v>
      </c>
      <c r="C269" s="294">
        <v>0</v>
      </c>
      <c r="D269" s="294">
        <v>0</v>
      </c>
      <c r="E269" s="294">
        <v>0</v>
      </c>
      <c r="F269" s="294">
        <v>0</v>
      </c>
      <c r="G269" s="294">
        <v>0</v>
      </c>
      <c r="H269" s="294">
        <v>0</v>
      </c>
      <c r="I269" s="294">
        <v>0</v>
      </c>
      <c r="J269" s="294">
        <v>0</v>
      </c>
      <c r="K269" s="294">
        <v>0</v>
      </c>
      <c r="L269" s="294">
        <v>0</v>
      </c>
      <c r="M269" s="294">
        <v>0</v>
      </c>
      <c r="N269" s="294">
        <v>0</v>
      </c>
      <c r="O269" s="294">
        <v>0</v>
      </c>
      <c r="P269" s="294">
        <v>0</v>
      </c>
      <c r="Q269" s="294">
        <v>0</v>
      </c>
      <c r="R269" s="294">
        <v>0</v>
      </c>
      <c r="S269" s="294">
        <v>0</v>
      </c>
      <c r="T269" s="294">
        <v>0</v>
      </c>
      <c r="U269" s="294">
        <v>0</v>
      </c>
      <c r="V269" s="294">
        <v>0</v>
      </c>
      <c r="W269" s="295">
        <f t="shared" si="12"/>
        <v>0</v>
      </c>
      <c r="AI269" s="276"/>
    </row>
    <row r="270" spans="1:35" ht="15" customHeight="1">
      <c r="A270" s="604"/>
      <c r="B270" s="318" t="s">
        <v>926</v>
      </c>
      <c r="C270" s="294">
        <v>0</v>
      </c>
      <c r="D270" s="294">
        <v>0</v>
      </c>
      <c r="E270" s="294">
        <v>0</v>
      </c>
      <c r="F270" s="294">
        <v>0</v>
      </c>
      <c r="G270" s="294">
        <v>0</v>
      </c>
      <c r="H270" s="294">
        <v>0</v>
      </c>
      <c r="I270" s="294">
        <v>0</v>
      </c>
      <c r="J270" s="294">
        <v>0</v>
      </c>
      <c r="K270" s="294">
        <v>0</v>
      </c>
      <c r="L270" s="294">
        <v>0</v>
      </c>
      <c r="M270" s="294">
        <v>0</v>
      </c>
      <c r="N270" s="294">
        <v>0</v>
      </c>
      <c r="O270" s="294">
        <v>0</v>
      </c>
      <c r="P270" s="294">
        <v>0</v>
      </c>
      <c r="Q270" s="294">
        <v>0</v>
      </c>
      <c r="R270" s="294">
        <v>0</v>
      </c>
      <c r="S270" s="294">
        <v>0</v>
      </c>
      <c r="T270" s="294">
        <v>0</v>
      </c>
      <c r="U270" s="294">
        <v>0</v>
      </c>
      <c r="V270" s="294">
        <v>0</v>
      </c>
      <c r="W270" s="295">
        <f t="shared" si="12"/>
        <v>0</v>
      </c>
      <c r="AI270" s="276"/>
    </row>
    <row r="271" spans="1:35" ht="15" customHeight="1">
      <c r="A271" s="604"/>
      <c r="B271" s="318" t="s">
        <v>634</v>
      </c>
      <c r="C271" s="294">
        <v>0</v>
      </c>
      <c r="D271" s="294">
        <v>0</v>
      </c>
      <c r="E271" s="294">
        <v>0</v>
      </c>
      <c r="F271" s="294">
        <v>0</v>
      </c>
      <c r="G271" s="294">
        <v>0</v>
      </c>
      <c r="H271" s="294">
        <v>0</v>
      </c>
      <c r="I271" s="294">
        <v>0</v>
      </c>
      <c r="J271" s="294">
        <v>0</v>
      </c>
      <c r="K271" s="294">
        <v>0</v>
      </c>
      <c r="L271" s="294">
        <v>0</v>
      </c>
      <c r="M271" s="294">
        <v>0</v>
      </c>
      <c r="N271" s="294">
        <v>0</v>
      </c>
      <c r="O271" s="294">
        <v>0</v>
      </c>
      <c r="P271" s="294">
        <v>0</v>
      </c>
      <c r="Q271" s="294">
        <v>0</v>
      </c>
      <c r="R271" s="294">
        <v>0</v>
      </c>
      <c r="S271" s="294">
        <v>0</v>
      </c>
      <c r="T271" s="294">
        <v>0</v>
      </c>
      <c r="U271" s="294">
        <v>0</v>
      </c>
      <c r="V271" s="294">
        <v>0</v>
      </c>
      <c r="W271" s="295">
        <f t="shared" si="12"/>
        <v>0</v>
      </c>
      <c r="AI271" s="276"/>
    </row>
    <row r="272" spans="1:35" ht="15" customHeight="1">
      <c r="A272" s="604"/>
      <c r="B272" s="318" t="s">
        <v>635</v>
      </c>
      <c r="C272" s="294">
        <v>0</v>
      </c>
      <c r="D272" s="294">
        <v>0</v>
      </c>
      <c r="E272" s="294">
        <v>0</v>
      </c>
      <c r="F272" s="294">
        <v>0</v>
      </c>
      <c r="G272" s="294">
        <v>0</v>
      </c>
      <c r="H272" s="294">
        <v>0</v>
      </c>
      <c r="I272" s="294">
        <v>0</v>
      </c>
      <c r="J272" s="294">
        <v>0</v>
      </c>
      <c r="K272" s="294">
        <v>0</v>
      </c>
      <c r="L272" s="294">
        <v>0</v>
      </c>
      <c r="M272" s="294">
        <v>0</v>
      </c>
      <c r="N272" s="294">
        <v>0</v>
      </c>
      <c r="O272" s="294">
        <v>0</v>
      </c>
      <c r="P272" s="294">
        <v>0</v>
      </c>
      <c r="Q272" s="294">
        <v>0</v>
      </c>
      <c r="R272" s="294">
        <v>0</v>
      </c>
      <c r="S272" s="294">
        <v>0</v>
      </c>
      <c r="T272" s="294">
        <v>0</v>
      </c>
      <c r="U272" s="294">
        <v>0</v>
      </c>
      <c r="V272" s="294">
        <v>0</v>
      </c>
      <c r="W272" s="295">
        <f t="shared" si="12"/>
        <v>0</v>
      </c>
      <c r="AI272" s="276"/>
    </row>
    <row r="273" spans="1:35" ht="15" customHeight="1">
      <c r="A273" s="604"/>
      <c r="B273" s="318" t="s">
        <v>636</v>
      </c>
      <c r="C273" s="294">
        <v>0</v>
      </c>
      <c r="D273" s="294">
        <v>0</v>
      </c>
      <c r="E273" s="294">
        <v>0</v>
      </c>
      <c r="F273" s="294">
        <v>0</v>
      </c>
      <c r="G273" s="294">
        <v>0</v>
      </c>
      <c r="H273" s="294">
        <v>0</v>
      </c>
      <c r="I273" s="294">
        <v>0</v>
      </c>
      <c r="J273" s="294">
        <v>0</v>
      </c>
      <c r="K273" s="294">
        <v>0</v>
      </c>
      <c r="L273" s="294">
        <v>0</v>
      </c>
      <c r="M273" s="294">
        <v>0</v>
      </c>
      <c r="N273" s="294">
        <v>0</v>
      </c>
      <c r="O273" s="294">
        <v>0</v>
      </c>
      <c r="P273" s="294">
        <v>0</v>
      </c>
      <c r="Q273" s="294">
        <v>0</v>
      </c>
      <c r="R273" s="294">
        <v>0</v>
      </c>
      <c r="S273" s="294">
        <v>0</v>
      </c>
      <c r="T273" s="294">
        <v>0</v>
      </c>
      <c r="U273" s="294">
        <v>0</v>
      </c>
      <c r="V273" s="294">
        <v>0</v>
      </c>
      <c r="W273" s="295">
        <f t="shared" si="12"/>
        <v>0</v>
      </c>
      <c r="AI273" s="276"/>
    </row>
    <row r="274" spans="1:35" ht="15" customHeight="1">
      <c r="A274" s="604"/>
      <c r="B274" s="318" t="s">
        <v>637</v>
      </c>
      <c r="C274" s="294">
        <v>0</v>
      </c>
      <c r="D274" s="294">
        <v>0</v>
      </c>
      <c r="E274" s="294">
        <v>0</v>
      </c>
      <c r="F274" s="294">
        <v>0</v>
      </c>
      <c r="G274" s="294">
        <v>0</v>
      </c>
      <c r="H274" s="294">
        <v>0</v>
      </c>
      <c r="I274" s="294">
        <v>0</v>
      </c>
      <c r="J274" s="294">
        <v>0</v>
      </c>
      <c r="K274" s="294">
        <v>0</v>
      </c>
      <c r="L274" s="294">
        <v>0</v>
      </c>
      <c r="M274" s="294">
        <v>0</v>
      </c>
      <c r="N274" s="294">
        <v>0</v>
      </c>
      <c r="O274" s="294">
        <v>0</v>
      </c>
      <c r="P274" s="294">
        <v>0</v>
      </c>
      <c r="Q274" s="294">
        <v>0</v>
      </c>
      <c r="R274" s="294">
        <v>0</v>
      </c>
      <c r="S274" s="294">
        <v>0</v>
      </c>
      <c r="T274" s="294">
        <v>0</v>
      </c>
      <c r="U274" s="294">
        <v>0</v>
      </c>
      <c r="V274" s="294">
        <v>0</v>
      </c>
      <c r="W274" s="295">
        <f t="shared" si="12"/>
        <v>0</v>
      </c>
      <c r="AI274" s="276"/>
    </row>
    <row r="275" spans="1:35" ht="15" customHeight="1">
      <c r="A275" s="604"/>
      <c r="B275" s="318" t="s">
        <v>638</v>
      </c>
      <c r="C275" s="294">
        <v>0</v>
      </c>
      <c r="D275" s="294">
        <v>0</v>
      </c>
      <c r="E275" s="294">
        <v>0</v>
      </c>
      <c r="F275" s="294">
        <v>0</v>
      </c>
      <c r="G275" s="294">
        <v>0</v>
      </c>
      <c r="H275" s="294">
        <v>0</v>
      </c>
      <c r="I275" s="294">
        <v>0</v>
      </c>
      <c r="J275" s="294">
        <v>0</v>
      </c>
      <c r="K275" s="294">
        <v>0</v>
      </c>
      <c r="L275" s="294">
        <v>0</v>
      </c>
      <c r="M275" s="294">
        <v>0</v>
      </c>
      <c r="N275" s="294">
        <v>0</v>
      </c>
      <c r="O275" s="294">
        <v>0</v>
      </c>
      <c r="P275" s="294">
        <v>0</v>
      </c>
      <c r="Q275" s="294">
        <v>0</v>
      </c>
      <c r="R275" s="294">
        <v>0</v>
      </c>
      <c r="S275" s="294">
        <v>0</v>
      </c>
      <c r="T275" s="294">
        <v>0</v>
      </c>
      <c r="U275" s="294">
        <v>0</v>
      </c>
      <c r="V275" s="294">
        <v>0</v>
      </c>
      <c r="W275" s="295">
        <f t="shared" si="12"/>
        <v>0</v>
      </c>
      <c r="AI275" s="276"/>
    </row>
    <row r="276" spans="1:35" ht="15" customHeight="1">
      <c r="A276" s="604"/>
      <c r="B276" s="318" t="s">
        <v>639</v>
      </c>
      <c r="C276" s="294">
        <v>0</v>
      </c>
      <c r="D276" s="294">
        <v>0</v>
      </c>
      <c r="E276" s="294">
        <v>0</v>
      </c>
      <c r="F276" s="294">
        <v>0</v>
      </c>
      <c r="G276" s="294">
        <v>0</v>
      </c>
      <c r="H276" s="294">
        <v>0</v>
      </c>
      <c r="I276" s="294">
        <v>0</v>
      </c>
      <c r="J276" s="294">
        <v>0</v>
      </c>
      <c r="K276" s="294">
        <v>0</v>
      </c>
      <c r="L276" s="294">
        <v>0</v>
      </c>
      <c r="M276" s="294">
        <v>0</v>
      </c>
      <c r="N276" s="294">
        <v>0</v>
      </c>
      <c r="O276" s="294">
        <v>0</v>
      </c>
      <c r="P276" s="294">
        <v>0</v>
      </c>
      <c r="Q276" s="294">
        <v>0</v>
      </c>
      <c r="R276" s="294">
        <v>0</v>
      </c>
      <c r="S276" s="294">
        <v>0</v>
      </c>
      <c r="T276" s="294">
        <v>0</v>
      </c>
      <c r="U276" s="294">
        <v>0</v>
      </c>
      <c r="V276" s="294">
        <v>0</v>
      </c>
      <c r="W276" s="295">
        <f t="shared" si="12"/>
        <v>0</v>
      </c>
      <c r="AI276" s="276"/>
    </row>
    <row r="277" spans="1:35" ht="15" customHeight="1">
      <c r="A277" s="604"/>
      <c r="B277" s="318" t="s">
        <v>640</v>
      </c>
      <c r="C277" s="294">
        <v>0</v>
      </c>
      <c r="D277" s="294">
        <v>0</v>
      </c>
      <c r="E277" s="294">
        <v>0</v>
      </c>
      <c r="F277" s="294">
        <v>0</v>
      </c>
      <c r="G277" s="294">
        <v>0</v>
      </c>
      <c r="H277" s="294">
        <v>0</v>
      </c>
      <c r="I277" s="294">
        <v>0</v>
      </c>
      <c r="J277" s="294">
        <v>0</v>
      </c>
      <c r="K277" s="294">
        <v>0</v>
      </c>
      <c r="L277" s="294">
        <v>0</v>
      </c>
      <c r="M277" s="294">
        <v>0</v>
      </c>
      <c r="N277" s="294">
        <v>0</v>
      </c>
      <c r="O277" s="294">
        <v>0</v>
      </c>
      <c r="P277" s="294">
        <v>0</v>
      </c>
      <c r="Q277" s="294">
        <v>0</v>
      </c>
      <c r="R277" s="294">
        <v>0</v>
      </c>
      <c r="S277" s="294">
        <v>0</v>
      </c>
      <c r="T277" s="294">
        <v>0</v>
      </c>
      <c r="U277" s="294">
        <v>0</v>
      </c>
      <c r="V277" s="294">
        <v>0</v>
      </c>
      <c r="W277" s="295">
        <f t="shared" si="12"/>
        <v>0</v>
      </c>
      <c r="AI277" s="276"/>
    </row>
    <row r="278" spans="1:35" ht="15" customHeight="1">
      <c r="A278" s="604"/>
      <c r="B278" s="318" t="s">
        <v>641</v>
      </c>
      <c r="C278" s="294">
        <v>0</v>
      </c>
      <c r="D278" s="294">
        <v>0</v>
      </c>
      <c r="E278" s="294">
        <v>0</v>
      </c>
      <c r="F278" s="294">
        <v>0</v>
      </c>
      <c r="G278" s="294">
        <v>0</v>
      </c>
      <c r="H278" s="294">
        <v>0</v>
      </c>
      <c r="I278" s="294">
        <v>0</v>
      </c>
      <c r="J278" s="294">
        <v>0</v>
      </c>
      <c r="K278" s="294">
        <v>0</v>
      </c>
      <c r="L278" s="294">
        <v>0</v>
      </c>
      <c r="M278" s="294">
        <v>0</v>
      </c>
      <c r="N278" s="294">
        <v>0</v>
      </c>
      <c r="O278" s="294">
        <v>0</v>
      </c>
      <c r="P278" s="294">
        <v>0</v>
      </c>
      <c r="Q278" s="294">
        <v>0</v>
      </c>
      <c r="R278" s="294">
        <v>0</v>
      </c>
      <c r="S278" s="294">
        <v>0</v>
      </c>
      <c r="T278" s="294">
        <v>0</v>
      </c>
      <c r="U278" s="294">
        <v>0</v>
      </c>
      <c r="V278" s="294">
        <v>0</v>
      </c>
      <c r="W278" s="295">
        <f t="shared" si="12"/>
        <v>0</v>
      </c>
      <c r="AI278" s="276"/>
    </row>
    <row r="279" spans="1:35" ht="15" customHeight="1">
      <c r="A279" s="604"/>
      <c r="B279" s="318" t="s">
        <v>642</v>
      </c>
      <c r="C279" s="294">
        <v>0</v>
      </c>
      <c r="D279" s="294">
        <v>0</v>
      </c>
      <c r="E279" s="294">
        <v>0</v>
      </c>
      <c r="F279" s="294">
        <v>0</v>
      </c>
      <c r="G279" s="294">
        <v>0</v>
      </c>
      <c r="H279" s="294">
        <v>0</v>
      </c>
      <c r="I279" s="294">
        <v>0</v>
      </c>
      <c r="J279" s="294">
        <v>0</v>
      </c>
      <c r="K279" s="294">
        <v>0</v>
      </c>
      <c r="L279" s="294">
        <v>0</v>
      </c>
      <c r="M279" s="294">
        <v>0</v>
      </c>
      <c r="N279" s="294">
        <v>0</v>
      </c>
      <c r="O279" s="294">
        <v>0</v>
      </c>
      <c r="P279" s="294">
        <v>0</v>
      </c>
      <c r="Q279" s="294">
        <v>0</v>
      </c>
      <c r="R279" s="294">
        <v>0</v>
      </c>
      <c r="S279" s="294">
        <v>0</v>
      </c>
      <c r="T279" s="294">
        <v>0</v>
      </c>
      <c r="U279" s="294">
        <v>0</v>
      </c>
      <c r="V279" s="294">
        <v>0</v>
      </c>
      <c r="W279" s="295">
        <f t="shared" si="12"/>
        <v>0</v>
      </c>
      <c r="AI279" s="276"/>
    </row>
    <row r="280" spans="1:35" ht="15" customHeight="1">
      <c r="A280" s="604"/>
      <c r="B280" s="318" t="s">
        <v>643</v>
      </c>
      <c r="C280" s="294">
        <v>0</v>
      </c>
      <c r="D280" s="294">
        <v>0</v>
      </c>
      <c r="E280" s="294">
        <v>0</v>
      </c>
      <c r="F280" s="294">
        <v>0</v>
      </c>
      <c r="G280" s="294">
        <v>0</v>
      </c>
      <c r="H280" s="294">
        <v>0</v>
      </c>
      <c r="I280" s="294">
        <v>0</v>
      </c>
      <c r="J280" s="294">
        <v>0</v>
      </c>
      <c r="K280" s="294">
        <v>0</v>
      </c>
      <c r="L280" s="294">
        <v>0</v>
      </c>
      <c r="M280" s="294">
        <v>0</v>
      </c>
      <c r="N280" s="294">
        <v>0</v>
      </c>
      <c r="O280" s="294">
        <v>0</v>
      </c>
      <c r="P280" s="294">
        <v>0</v>
      </c>
      <c r="Q280" s="294">
        <v>0</v>
      </c>
      <c r="R280" s="294">
        <v>0</v>
      </c>
      <c r="S280" s="294">
        <v>0</v>
      </c>
      <c r="T280" s="294">
        <v>0</v>
      </c>
      <c r="U280" s="294">
        <v>0</v>
      </c>
      <c r="V280" s="294">
        <v>0</v>
      </c>
      <c r="W280" s="295">
        <f t="shared" si="12"/>
        <v>0</v>
      </c>
      <c r="AI280" s="276"/>
    </row>
    <row r="281" spans="1:35" ht="15" customHeight="1">
      <c r="A281" s="604"/>
      <c r="B281" s="318" t="s">
        <v>644</v>
      </c>
      <c r="C281" s="294">
        <v>0</v>
      </c>
      <c r="D281" s="294">
        <v>0</v>
      </c>
      <c r="E281" s="294">
        <v>0</v>
      </c>
      <c r="F281" s="294">
        <v>0</v>
      </c>
      <c r="G281" s="294">
        <v>0</v>
      </c>
      <c r="H281" s="294">
        <v>0</v>
      </c>
      <c r="I281" s="294">
        <v>0</v>
      </c>
      <c r="J281" s="294">
        <v>0</v>
      </c>
      <c r="K281" s="294">
        <v>0</v>
      </c>
      <c r="L281" s="294">
        <v>0</v>
      </c>
      <c r="M281" s="294">
        <v>0</v>
      </c>
      <c r="N281" s="294">
        <v>0</v>
      </c>
      <c r="O281" s="294">
        <v>0</v>
      </c>
      <c r="P281" s="294">
        <v>0</v>
      </c>
      <c r="Q281" s="294">
        <v>0</v>
      </c>
      <c r="R281" s="294">
        <v>0</v>
      </c>
      <c r="S281" s="294">
        <v>0</v>
      </c>
      <c r="T281" s="294">
        <v>0</v>
      </c>
      <c r="U281" s="294">
        <v>0</v>
      </c>
      <c r="V281" s="294">
        <v>0</v>
      </c>
      <c r="W281" s="295">
        <f t="shared" si="12"/>
        <v>0</v>
      </c>
      <c r="AI281" s="276"/>
    </row>
    <row r="282" spans="1:35" ht="15" customHeight="1">
      <c r="A282" s="604"/>
      <c r="B282" s="318" t="s">
        <v>645</v>
      </c>
      <c r="C282" s="294">
        <v>0</v>
      </c>
      <c r="D282" s="294">
        <v>0</v>
      </c>
      <c r="E282" s="294">
        <v>0</v>
      </c>
      <c r="F282" s="294">
        <v>0</v>
      </c>
      <c r="G282" s="294">
        <v>0</v>
      </c>
      <c r="H282" s="294">
        <v>0</v>
      </c>
      <c r="I282" s="294">
        <v>0</v>
      </c>
      <c r="J282" s="294">
        <v>0</v>
      </c>
      <c r="K282" s="294">
        <v>0</v>
      </c>
      <c r="L282" s="294">
        <v>0</v>
      </c>
      <c r="M282" s="294">
        <v>0</v>
      </c>
      <c r="N282" s="294">
        <v>0</v>
      </c>
      <c r="O282" s="294">
        <v>0</v>
      </c>
      <c r="P282" s="294">
        <v>0</v>
      </c>
      <c r="Q282" s="294">
        <v>0</v>
      </c>
      <c r="R282" s="294">
        <v>0</v>
      </c>
      <c r="S282" s="294">
        <v>0</v>
      </c>
      <c r="T282" s="294">
        <v>0</v>
      </c>
      <c r="U282" s="294">
        <v>0</v>
      </c>
      <c r="V282" s="294">
        <v>0</v>
      </c>
      <c r="W282" s="295">
        <f t="shared" si="12"/>
        <v>0</v>
      </c>
      <c r="AI282" s="276"/>
    </row>
    <row r="283" spans="1:35" ht="15" customHeight="1">
      <c r="A283" s="604"/>
      <c r="B283" s="318" t="s">
        <v>646</v>
      </c>
      <c r="C283" s="294">
        <v>0</v>
      </c>
      <c r="D283" s="294">
        <v>0</v>
      </c>
      <c r="E283" s="294">
        <v>0</v>
      </c>
      <c r="F283" s="294">
        <v>0</v>
      </c>
      <c r="G283" s="294">
        <v>0</v>
      </c>
      <c r="H283" s="294">
        <v>0</v>
      </c>
      <c r="I283" s="294">
        <v>0</v>
      </c>
      <c r="J283" s="294">
        <v>0</v>
      </c>
      <c r="K283" s="294">
        <v>0</v>
      </c>
      <c r="L283" s="294">
        <v>0</v>
      </c>
      <c r="M283" s="294">
        <v>0</v>
      </c>
      <c r="N283" s="294">
        <v>0</v>
      </c>
      <c r="O283" s="294">
        <v>0</v>
      </c>
      <c r="P283" s="294">
        <v>0</v>
      </c>
      <c r="Q283" s="294">
        <v>0</v>
      </c>
      <c r="R283" s="294">
        <v>0</v>
      </c>
      <c r="S283" s="294">
        <v>0</v>
      </c>
      <c r="T283" s="294">
        <v>0</v>
      </c>
      <c r="U283" s="294">
        <v>0</v>
      </c>
      <c r="V283" s="294">
        <v>0</v>
      </c>
      <c r="W283" s="295">
        <f t="shared" si="12"/>
        <v>0</v>
      </c>
      <c r="AI283" s="276"/>
    </row>
    <row r="284" spans="1:35" ht="15" customHeight="1">
      <c r="A284" s="604"/>
      <c r="B284" s="318" t="s">
        <v>647</v>
      </c>
      <c r="C284" s="294">
        <v>0</v>
      </c>
      <c r="D284" s="294">
        <v>0</v>
      </c>
      <c r="E284" s="294">
        <v>0</v>
      </c>
      <c r="F284" s="294">
        <v>0</v>
      </c>
      <c r="G284" s="294">
        <v>0</v>
      </c>
      <c r="H284" s="294">
        <v>0</v>
      </c>
      <c r="I284" s="294">
        <v>0</v>
      </c>
      <c r="J284" s="294">
        <v>0</v>
      </c>
      <c r="K284" s="294">
        <v>0</v>
      </c>
      <c r="L284" s="294">
        <v>0</v>
      </c>
      <c r="M284" s="294">
        <v>0</v>
      </c>
      <c r="N284" s="294">
        <v>0</v>
      </c>
      <c r="O284" s="294">
        <v>0</v>
      </c>
      <c r="P284" s="294">
        <v>0</v>
      </c>
      <c r="Q284" s="294">
        <v>0</v>
      </c>
      <c r="R284" s="294">
        <v>0</v>
      </c>
      <c r="S284" s="294">
        <v>0</v>
      </c>
      <c r="T284" s="294">
        <v>0</v>
      </c>
      <c r="U284" s="294">
        <v>0</v>
      </c>
      <c r="V284" s="294">
        <v>0</v>
      </c>
      <c r="W284" s="295">
        <f t="shared" si="12"/>
        <v>0</v>
      </c>
      <c r="AI284" s="276"/>
    </row>
    <row r="285" spans="1:35" ht="15" customHeight="1">
      <c r="A285" s="604"/>
      <c r="B285" s="318" t="s">
        <v>927</v>
      </c>
      <c r="C285" s="294">
        <v>0</v>
      </c>
      <c r="D285" s="294">
        <v>0</v>
      </c>
      <c r="E285" s="294">
        <v>0</v>
      </c>
      <c r="F285" s="294">
        <v>0</v>
      </c>
      <c r="G285" s="294">
        <v>0</v>
      </c>
      <c r="H285" s="294">
        <v>0</v>
      </c>
      <c r="I285" s="294">
        <v>0</v>
      </c>
      <c r="J285" s="294">
        <v>0</v>
      </c>
      <c r="K285" s="294">
        <v>0</v>
      </c>
      <c r="L285" s="294">
        <v>0</v>
      </c>
      <c r="M285" s="294">
        <v>0</v>
      </c>
      <c r="N285" s="294">
        <v>0</v>
      </c>
      <c r="O285" s="294">
        <v>0</v>
      </c>
      <c r="P285" s="294">
        <v>0</v>
      </c>
      <c r="Q285" s="294">
        <v>0</v>
      </c>
      <c r="R285" s="294">
        <v>0</v>
      </c>
      <c r="S285" s="294">
        <v>0</v>
      </c>
      <c r="T285" s="294">
        <v>0</v>
      </c>
      <c r="U285" s="294">
        <v>0</v>
      </c>
      <c r="V285" s="294">
        <v>0</v>
      </c>
      <c r="W285" s="295">
        <f t="shared" si="12"/>
        <v>0</v>
      </c>
      <c r="AI285" s="276"/>
    </row>
    <row r="286" spans="1:35" ht="15" customHeight="1">
      <c r="A286" s="604"/>
      <c r="B286" s="318" t="s">
        <v>928</v>
      </c>
      <c r="C286" s="294">
        <v>0</v>
      </c>
      <c r="D286" s="294">
        <v>0</v>
      </c>
      <c r="E286" s="294">
        <v>0</v>
      </c>
      <c r="F286" s="294">
        <v>0</v>
      </c>
      <c r="G286" s="294">
        <v>0</v>
      </c>
      <c r="H286" s="294">
        <v>0</v>
      </c>
      <c r="I286" s="294">
        <v>0</v>
      </c>
      <c r="J286" s="294">
        <v>0</v>
      </c>
      <c r="K286" s="294">
        <v>0</v>
      </c>
      <c r="L286" s="294">
        <v>0</v>
      </c>
      <c r="M286" s="294">
        <v>0</v>
      </c>
      <c r="N286" s="294">
        <v>0</v>
      </c>
      <c r="O286" s="294">
        <v>0</v>
      </c>
      <c r="P286" s="294">
        <v>0</v>
      </c>
      <c r="Q286" s="294">
        <v>0</v>
      </c>
      <c r="R286" s="294">
        <v>0</v>
      </c>
      <c r="S286" s="294">
        <v>0</v>
      </c>
      <c r="T286" s="294">
        <v>0</v>
      </c>
      <c r="U286" s="294">
        <v>0</v>
      </c>
      <c r="V286" s="294">
        <v>0</v>
      </c>
      <c r="W286" s="295">
        <f t="shared" si="12"/>
        <v>0</v>
      </c>
      <c r="AI286" s="276"/>
    </row>
    <row r="287" spans="1:35" ht="15" customHeight="1">
      <c r="A287" s="604"/>
      <c r="B287" s="318" t="s">
        <v>929</v>
      </c>
      <c r="C287" s="294">
        <v>0</v>
      </c>
      <c r="D287" s="294">
        <v>0</v>
      </c>
      <c r="E287" s="294">
        <v>0</v>
      </c>
      <c r="F287" s="294">
        <v>0</v>
      </c>
      <c r="G287" s="294">
        <v>0</v>
      </c>
      <c r="H287" s="294">
        <v>0</v>
      </c>
      <c r="I287" s="294">
        <v>0</v>
      </c>
      <c r="J287" s="294">
        <v>0</v>
      </c>
      <c r="K287" s="294">
        <v>0</v>
      </c>
      <c r="L287" s="294">
        <v>0</v>
      </c>
      <c r="M287" s="294">
        <v>0</v>
      </c>
      <c r="N287" s="294">
        <v>0</v>
      </c>
      <c r="O287" s="294">
        <v>0</v>
      </c>
      <c r="P287" s="294">
        <v>0</v>
      </c>
      <c r="Q287" s="294">
        <v>0</v>
      </c>
      <c r="R287" s="294">
        <v>0</v>
      </c>
      <c r="S287" s="294">
        <v>0</v>
      </c>
      <c r="T287" s="294">
        <v>0</v>
      </c>
      <c r="U287" s="294">
        <v>0</v>
      </c>
      <c r="V287" s="294">
        <v>0</v>
      </c>
      <c r="W287" s="295">
        <f t="shared" si="12"/>
        <v>0</v>
      </c>
      <c r="AI287" s="276"/>
    </row>
    <row r="288" spans="1:35" ht="15" customHeight="1">
      <c r="A288" s="604"/>
      <c r="B288" s="318" t="s">
        <v>930</v>
      </c>
      <c r="C288" s="294">
        <v>0</v>
      </c>
      <c r="D288" s="294">
        <v>0</v>
      </c>
      <c r="E288" s="294">
        <v>0</v>
      </c>
      <c r="F288" s="294">
        <v>0</v>
      </c>
      <c r="G288" s="294">
        <v>0</v>
      </c>
      <c r="H288" s="294">
        <v>0</v>
      </c>
      <c r="I288" s="294">
        <v>0</v>
      </c>
      <c r="J288" s="294">
        <v>0</v>
      </c>
      <c r="K288" s="294">
        <v>0</v>
      </c>
      <c r="L288" s="294">
        <v>0</v>
      </c>
      <c r="M288" s="294">
        <v>0</v>
      </c>
      <c r="N288" s="294">
        <v>0</v>
      </c>
      <c r="O288" s="294">
        <v>0</v>
      </c>
      <c r="P288" s="294">
        <v>0</v>
      </c>
      <c r="Q288" s="294">
        <v>0</v>
      </c>
      <c r="R288" s="294">
        <v>0</v>
      </c>
      <c r="S288" s="294">
        <v>0</v>
      </c>
      <c r="T288" s="294">
        <v>0</v>
      </c>
      <c r="U288" s="294">
        <v>0</v>
      </c>
      <c r="V288" s="294">
        <v>0</v>
      </c>
      <c r="W288" s="295">
        <f t="shared" si="12"/>
        <v>0</v>
      </c>
      <c r="AI288" s="276"/>
    </row>
    <row r="289" spans="1:35" ht="15" customHeight="1">
      <c r="A289" s="604"/>
      <c r="B289" s="318" t="s">
        <v>931</v>
      </c>
      <c r="C289" s="294">
        <v>0</v>
      </c>
      <c r="D289" s="294">
        <v>0</v>
      </c>
      <c r="E289" s="294">
        <v>0</v>
      </c>
      <c r="F289" s="294">
        <v>0</v>
      </c>
      <c r="G289" s="294">
        <v>0</v>
      </c>
      <c r="H289" s="294">
        <v>0</v>
      </c>
      <c r="I289" s="294">
        <v>0</v>
      </c>
      <c r="J289" s="294">
        <v>0</v>
      </c>
      <c r="K289" s="294">
        <v>0</v>
      </c>
      <c r="L289" s="294">
        <v>0</v>
      </c>
      <c r="M289" s="294">
        <v>0</v>
      </c>
      <c r="N289" s="294">
        <v>0</v>
      </c>
      <c r="O289" s="294">
        <v>0</v>
      </c>
      <c r="P289" s="294">
        <v>0</v>
      </c>
      <c r="Q289" s="294">
        <v>0</v>
      </c>
      <c r="R289" s="294">
        <v>0</v>
      </c>
      <c r="S289" s="294">
        <v>0</v>
      </c>
      <c r="T289" s="294">
        <v>0</v>
      </c>
      <c r="U289" s="294">
        <v>0</v>
      </c>
      <c r="V289" s="294">
        <v>0</v>
      </c>
      <c r="W289" s="295">
        <f t="shared" si="12"/>
        <v>0</v>
      </c>
      <c r="AI289" s="276"/>
    </row>
    <row r="290" spans="1:35" ht="15" customHeight="1" thickBot="1">
      <c r="A290" s="604"/>
      <c r="B290" s="318" t="s">
        <v>932</v>
      </c>
      <c r="C290" s="294">
        <v>0</v>
      </c>
      <c r="D290" s="294">
        <v>0</v>
      </c>
      <c r="E290" s="294">
        <v>0</v>
      </c>
      <c r="F290" s="294">
        <v>0</v>
      </c>
      <c r="G290" s="294">
        <v>0</v>
      </c>
      <c r="H290" s="294">
        <v>0</v>
      </c>
      <c r="I290" s="294">
        <v>0</v>
      </c>
      <c r="J290" s="294">
        <v>0</v>
      </c>
      <c r="K290" s="294">
        <v>0</v>
      </c>
      <c r="L290" s="294">
        <v>0</v>
      </c>
      <c r="M290" s="294">
        <v>0</v>
      </c>
      <c r="N290" s="294">
        <v>0</v>
      </c>
      <c r="O290" s="294">
        <v>0</v>
      </c>
      <c r="P290" s="294">
        <v>0</v>
      </c>
      <c r="Q290" s="294">
        <v>0</v>
      </c>
      <c r="R290" s="294">
        <v>0</v>
      </c>
      <c r="S290" s="294">
        <v>0</v>
      </c>
      <c r="T290" s="294">
        <v>0</v>
      </c>
      <c r="U290" s="294">
        <v>0</v>
      </c>
      <c r="V290" s="294">
        <v>0</v>
      </c>
      <c r="W290" s="295">
        <f t="shared" si="12"/>
        <v>0</v>
      </c>
      <c r="AI290" s="276"/>
    </row>
    <row r="291" spans="1:35" ht="15" customHeight="1">
      <c r="A291" s="603" t="s">
        <v>934</v>
      </c>
      <c r="B291" s="318" t="s">
        <v>631</v>
      </c>
      <c r="C291" s="294">
        <v>0</v>
      </c>
      <c r="D291" s="294">
        <v>0</v>
      </c>
      <c r="E291" s="294">
        <v>0</v>
      </c>
      <c r="F291" s="294">
        <v>0</v>
      </c>
      <c r="G291" s="294">
        <v>0</v>
      </c>
      <c r="H291" s="294">
        <v>0</v>
      </c>
      <c r="I291" s="294">
        <v>0</v>
      </c>
      <c r="J291" s="294">
        <v>0</v>
      </c>
      <c r="K291" s="294">
        <v>0</v>
      </c>
      <c r="L291" s="294">
        <v>0</v>
      </c>
      <c r="M291" s="294">
        <v>0</v>
      </c>
      <c r="N291" s="294">
        <v>0</v>
      </c>
      <c r="O291" s="294">
        <v>0</v>
      </c>
      <c r="P291" s="294">
        <v>0</v>
      </c>
      <c r="Q291" s="294">
        <v>0</v>
      </c>
      <c r="R291" s="294">
        <v>0</v>
      </c>
      <c r="S291" s="294">
        <v>0</v>
      </c>
      <c r="T291" s="294">
        <v>0</v>
      </c>
      <c r="U291" s="294">
        <v>0</v>
      </c>
      <c r="V291" s="294">
        <v>0</v>
      </c>
      <c r="W291" s="295">
        <f t="shared" si="12"/>
        <v>0</v>
      </c>
      <c r="AI291" s="276"/>
    </row>
    <row r="292" spans="1:35" ht="15" customHeight="1">
      <c r="A292" s="604"/>
      <c r="B292" s="318" t="s">
        <v>632</v>
      </c>
      <c r="C292" s="294">
        <v>0</v>
      </c>
      <c r="D292" s="294">
        <v>0</v>
      </c>
      <c r="E292" s="294">
        <v>0</v>
      </c>
      <c r="F292" s="294">
        <v>0</v>
      </c>
      <c r="G292" s="294">
        <v>0</v>
      </c>
      <c r="H292" s="294">
        <v>0</v>
      </c>
      <c r="I292" s="294">
        <v>0</v>
      </c>
      <c r="J292" s="294">
        <v>0</v>
      </c>
      <c r="K292" s="294">
        <v>0</v>
      </c>
      <c r="L292" s="294">
        <v>0</v>
      </c>
      <c r="M292" s="294">
        <v>0</v>
      </c>
      <c r="N292" s="294">
        <v>0</v>
      </c>
      <c r="O292" s="294">
        <v>0</v>
      </c>
      <c r="P292" s="294">
        <v>0</v>
      </c>
      <c r="Q292" s="294">
        <v>0</v>
      </c>
      <c r="R292" s="294">
        <v>0</v>
      </c>
      <c r="S292" s="294">
        <v>0</v>
      </c>
      <c r="T292" s="294">
        <v>0</v>
      </c>
      <c r="U292" s="294">
        <v>0</v>
      </c>
      <c r="V292" s="294">
        <v>0</v>
      </c>
      <c r="W292" s="295">
        <f t="shared" si="12"/>
        <v>0</v>
      </c>
      <c r="AI292" s="276"/>
    </row>
    <row r="293" spans="1:35" ht="15" customHeight="1">
      <c r="A293" s="604"/>
      <c r="B293" s="318" t="s">
        <v>633</v>
      </c>
      <c r="C293" s="294">
        <v>0</v>
      </c>
      <c r="D293" s="294">
        <v>0</v>
      </c>
      <c r="E293" s="294">
        <v>0</v>
      </c>
      <c r="F293" s="294">
        <v>0</v>
      </c>
      <c r="G293" s="294">
        <v>0</v>
      </c>
      <c r="H293" s="294">
        <v>0</v>
      </c>
      <c r="I293" s="294">
        <v>0</v>
      </c>
      <c r="J293" s="294">
        <v>0</v>
      </c>
      <c r="K293" s="294">
        <v>0</v>
      </c>
      <c r="L293" s="294">
        <v>0</v>
      </c>
      <c r="M293" s="294">
        <v>0</v>
      </c>
      <c r="N293" s="294">
        <v>0</v>
      </c>
      <c r="O293" s="294">
        <v>0</v>
      </c>
      <c r="P293" s="294">
        <v>0</v>
      </c>
      <c r="Q293" s="294">
        <v>0</v>
      </c>
      <c r="R293" s="294">
        <v>0</v>
      </c>
      <c r="S293" s="294">
        <v>0</v>
      </c>
      <c r="T293" s="294">
        <v>0</v>
      </c>
      <c r="U293" s="294">
        <v>0</v>
      </c>
      <c r="V293" s="294">
        <v>0</v>
      </c>
      <c r="W293" s="295">
        <f t="shared" si="12"/>
        <v>0</v>
      </c>
      <c r="AI293" s="276"/>
    </row>
    <row r="294" spans="1:35" ht="15" customHeight="1">
      <c r="A294" s="604"/>
      <c r="B294" s="318" t="s">
        <v>634</v>
      </c>
      <c r="C294" s="294">
        <v>0</v>
      </c>
      <c r="D294" s="294">
        <v>0</v>
      </c>
      <c r="E294" s="294">
        <v>0</v>
      </c>
      <c r="F294" s="294">
        <v>0</v>
      </c>
      <c r="G294" s="294">
        <v>0</v>
      </c>
      <c r="H294" s="294">
        <v>0</v>
      </c>
      <c r="I294" s="294">
        <v>0</v>
      </c>
      <c r="J294" s="294">
        <v>0</v>
      </c>
      <c r="K294" s="294">
        <v>0</v>
      </c>
      <c r="L294" s="294">
        <v>0</v>
      </c>
      <c r="M294" s="294">
        <v>0</v>
      </c>
      <c r="N294" s="294">
        <v>0</v>
      </c>
      <c r="O294" s="294">
        <v>0</v>
      </c>
      <c r="P294" s="294">
        <v>0</v>
      </c>
      <c r="Q294" s="294">
        <v>0</v>
      </c>
      <c r="R294" s="294">
        <v>0</v>
      </c>
      <c r="S294" s="294">
        <v>0</v>
      </c>
      <c r="T294" s="294">
        <v>0</v>
      </c>
      <c r="U294" s="294">
        <v>0</v>
      </c>
      <c r="V294" s="294">
        <v>0</v>
      </c>
      <c r="W294" s="295">
        <f t="shared" si="12"/>
        <v>0</v>
      </c>
      <c r="AI294" s="276"/>
    </row>
    <row r="295" spans="1:35" ht="15" customHeight="1">
      <c r="A295" s="604"/>
      <c r="B295" s="318" t="s">
        <v>635</v>
      </c>
      <c r="C295" s="294">
        <v>0</v>
      </c>
      <c r="D295" s="294">
        <v>0</v>
      </c>
      <c r="E295" s="294">
        <v>0</v>
      </c>
      <c r="F295" s="294">
        <v>0</v>
      </c>
      <c r="G295" s="294">
        <v>0</v>
      </c>
      <c r="H295" s="294">
        <v>0</v>
      </c>
      <c r="I295" s="294">
        <v>0</v>
      </c>
      <c r="J295" s="294">
        <v>0</v>
      </c>
      <c r="K295" s="294">
        <v>0</v>
      </c>
      <c r="L295" s="294">
        <v>0</v>
      </c>
      <c r="M295" s="294">
        <v>0</v>
      </c>
      <c r="N295" s="294">
        <v>0</v>
      </c>
      <c r="O295" s="294">
        <v>0</v>
      </c>
      <c r="P295" s="294">
        <v>0</v>
      </c>
      <c r="Q295" s="294">
        <v>0</v>
      </c>
      <c r="R295" s="294">
        <v>0</v>
      </c>
      <c r="S295" s="294">
        <v>0</v>
      </c>
      <c r="T295" s="294">
        <v>0</v>
      </c>
      <c r="U295" s="294">
        <v>0</v>
      </c>
      <c r="V295" s="294">
        <v>0</v>
      </c>
      <c r="W295" s="295">
        <f t="shared" si="12"/>
        <v>0</v>
      </c>
      <c r="AI295" s="276"/>
    </row>
    <row r="296" spans="1:35" ht="15" customHeight="1">
      <c r="A296" s="604"/>
      <c r="B296" s="318" t="s">
        <v>636</v>
      </c>
      <c r="C296" s="294">
        <v>0</v>
      </c>
      <c r="D296" s="294">
        <v>0</v>
      </c>
      <c r="E296" s="294">
        <v>0</v>
      </c>
      <c r="F296" s="294">
        <v>0</v>
      </c>
      <c r="G296" s="294">
        <v>0</v>
      </c>
      <c r="H296" s="294">
        <v>0</v>
      </c>
      <c r="I296" s="294">
        <v>0</v>
      </c>
      <c r="J296" s="294">
        <v>0</v>
      </c>
      <c r="K296" s="294">
        <v>0</v>
      </c>
      <c r="L296" s="294">
        <v>0</v>
      </c>
      <c r="M296" s="294">
        <v>0</v>
      </c>
      <c r="N296" s="294">
        <v>0</v>
      </c>
      <c r="O296" s="294">
        <v>0</v>
      </c>
      <c r="P296" s="294">
        <v>0</v>
      </c>
      <c r="Q296" s="294">
        <v>0</v>
      </c>
      <c r="R296" s="294">
        <v>0</v>
      </c>
      <c r="S296" s="294">
        <v>0</v>
      </c>
      <c r="T296" s="294">
        <v>0</v>
      </c>
      <c r="U296" s="294">
        <v>0</v>
      </c>
      <c r="V296" s="294">
        <v>0</v>
      </c>
      <c r="W296" s="295">
        <f t="shared" si="12"/>
        <v>0</v>
      </c>
      <c r="AI296" s="276"/>
    </row>
    <row r="297" spans="1:35" ht="15" customHeight="1">
      <c r="A297" s="604"/>
      <c r="B297" s="318" t="s">
        <v>637</v>
      </c>
      <c r="C297" s="294">
        <v>0</v>
      </c>
      <c r="D297" s="294">
        <v>0</v>
      </c>
      <c r="E297" s="294">
        <v>0</v>
      </c>
      <c r="F297" s="294">
        <v>0</v>
      </c>
      <c r="G297" s="294">
        <v>0</v>
      </c>
      <c r="H297" s="294">
        <v>0</v>
      </c>
      <c r="I297" s="294">
        <v>0</v>
      </c>
      <c r="J297" s="294">
        <v>0</v>
      </c>
      <c r="K297" s="294">
        <v>0</v>
      </c>
      <c r="L297" s="294">
        <v>0</v>
      </c>
      <c r="M297" s="294">
        <v>0</v>
      </c>
      <c r="N297" s="294">
        <v>0</v>
      </c>
      <c r="O297" s="294">
        <v>0</v>
      </c>
      <c r="P297" s="294">
        <v>0</v>
      </c>
      <c r="Q297" s="294">
        <v>0</v>
      </c>
      <c r="R297" s="294">
        <v>0</v>
      </c>
      <c r="S297" s="294">
        <v>0</v>
      </c>
      <c r="T297" s="294">
        <v>0</v>
      </c>
      <c r="U297" s="294">
        <v>0</v>
      </c>
      <c r="V297" s="294">
        <v>0</v>
      </c>
      <c r="W297" s="295">
        <f t="shared" si="12"/>
        <v>0</v>
      </c>
      <c r="AI297" s="276"/>
    </row>
    <row r="298" spans="1:35" ht="15" customHeight="1">
      <c r="A298" s="604"/>
      <c r="B298" s="318" t="s">
        <v>638</v>
      </c>
      <c r="C298" s="294">
        <v>0</v>
      </c>
      <c r="D298" s="294">
        <v>0</v>
      </c>
      <c r="E298" s="294">
        <v>0</v>
      </c>
      <c r="F298" s="294">
        <v>0</v>
      </c>
      <c r="G298" s="294">
        <v>0</v>
      </c>
      <c r="H298" s="294">
        <v>0</v>
      </c>
      <c r="I298" s="294">
        <v>0</v>
      </c>
      <c r="J298" s="294">
        <v>0</v>
      </c>
      <c r="K298" s="294">
        <v>0</v>
      </c>
      <c r="L298" s="294">
        <v>0</v>
      </c>
      <c r="M298" s="294">
        <v>0</v>
      </c>
      <c r="N298" s="294">
        <v>0</v>
      </c>
      <c r="O298" s="294">
        <v>0</v>
      </c>
      <c r="P298" s="294">
        <v>0</v>
      </c>
      <c r="Q298" s="294">
        <v>0</v>
      </c>
      <c r="R298" s="294">
        <v>0</v>
      </c>
      <c r="S298" s="294">
        <v>0</v>
      </c>
      <c r="T298" s="294">
        <v>0</v>
      </c>
      <c r="U298" s="294">
        <v>0</v>
      </c>
      <c r="V298" s="294">
        <v>0</v>
      </c>
      <c r="W298" s="295">
        <f t="shared" si="12"/>
        <v>0</v>
      </c>
      <c r="AI298" s="276"/>
    </row>
    <row r="299" spans="1:35" ht="15" customHeight="1">
      <c r="A299" s="604"/>
      <c r="B299" s="318" t="s">
        <v>639</v>
      </c>
      <c r="C299" s="294">
        <v>0</v>
      </c>
      <c r="D299" s="294">
        <v>0</v>
      </c>
      <c r="E299" s="294">
        <v>0</v>
      </c>
      <c r="F299" s="294">
        <v>0</v>
      </c>
      <c r="G299" s="294">
        <v>0</v>
      </c>
      <c r="H299" s="294">
        <v>0</v>
      </c>
      <c r="I299" s="294">
        <v>0</v>
      </c>
      <c r="J299" s="294">
        <v>0</v>
      </c>
      <c r="K299" s="294">
        <v>0</v>
      </c>
      <c r="L299" s="294">
        <v>0</v>
      </c>
      <c r="M299" s="294">
        <v>0</v>
      </c>
      <c r="N299" s="294">
        <v>0</v>
      </c>
      <c r="O299" s="294">
        <v>0</v>
      </c>
      <c r="P299" s="294">
        <v>0</v>
      </c>
      <c r="Q299" s="294">
        <v>0</v>
      </c>
      <c r="R299" s="294">
        <v>0</v>
      </c>
      <c r="S299" s="294">
        <v>0</v>
      </c>
      <c r="T299" s="294">
        <v>0</v>
      </c>
      <c r="U299" s="294">
        <v>0</v>
      </c>
      <c r="V299" s="294">
        <v>0</v>
      </c>
      <c r="W299" s="295">
        <f t="shared" si="12"/>
        <v>0</v>
      </c>
      <c r="AI299" s="276"/>
    </row>
    <row r="300" spans="1:35" ht="15" customHeight="1">
      <c r="A300" s="604"/>
      <c r="B300" s="318" t="s">
        <v>640</v>
      </c>
      <c r="C300" s="294">
        <v>0</v>
      </c>
      <c r="D300" s="294">
        <v>0</v>
      </c>
      <c r="E300" s="294">
        <v>0</v>
      </c>
      <c r="F300" s="294">
        <v>0</v>
      </c>
      <c r="G300" s="294">
        <v>0</v>
      </c>
      <c r="H300" s="294">
        <v>0</v>
      </c>
      <c r="I300" s="294">
        <v>0</v>
      </c>
      <c r="J300" s="294">
        <v>0</v>
      </c>
      <c r="K300" s="294">
        <v>0</v>
      </c>
      <c r="L300" s="294">
        <v>0</v>
      </c>
      <c r="M300" s="294">
        <v>0</v>
      </c>
      <c r="N300" s="294">
        <v>0</v>
      </c>
      <c r="O300" s="294">
        <v>0</v>
      </c>
      <c r="P300" s="294">
        <v>0</v>
      </c>
      <c r="Q300" s="294">
        <v>0</v>
      </c>
      <c r="R300" s="294">
        <v>0</v>
      </c>
      <c r="S300" s="294">
        <v>0</v>
      </c>
      <c r="T300" s="294">
        <v>0</v>
      </c>
      <c r="U300" s="294">
        <v>0</v>
      </c>
      <c r="V300" s="294">
        <v>0</v>
      </c>
      <c r="W300" s="295">
        <f t="shared" si="12"/>
        <v>0</v>
      </c>
      <c r="AI300" s="276"/>
    </row>
    <row r="301" spans="1:35" ht="15" customHeight="1">
      <c r="A301" s="604"/>
      <c r="B301" s="318" t="s">
        <v>641</v>
      </c>
      <c r="C301" s="294">
        <v>0</v>
      </c>
      <c r="D301" s="294">
        <v>0</v>
      </c>
      <c r="E301" s="294">
        <v>0</v>
      </c>
      <c r="F301" s="294">
        <v>0</v>
      </c>
      <c r="G301" s="294">
        <v>0</v>
      </c>
      <c r="H301" s="294">
        <v>0</v>
      </c>
      <c r="I301" s="294">
        <v>0</v>
      </c>
      <c r="J301" s="294">
        <v>0</v>
      </c>
      <c r="K301" s="294">
        <v>0</v>
      </c>
      <c r="L301" s="294">
        <v>0</v>
      </c>
      <c r="M301" s="294">
        <v>0</v>
      </c>
      <c r="N301" s="294">
        <v>0</v>
      </c>
      <c r="O301" s="294">
        <v>0</v>
      </c>
      <c r="P301" s="294">
        <v>0</v>
      </c>
      <c r="Q301" s="294">
        <v>0</v>
      </c>
      <c r="R301" s="294">
        <v>0</v>
      </c>
      <c r="S301" s="294">
        <v>0</v>
      </c>
      <c r="T301" s="294">
        <v>0</v>
      </c>
      <c r="U301" s="294">
        <v>0</v>
      </c>
      <c r="V301" s="294">
        <v>0</v>
      </c>
      <c r="W301" s="295">
        <f t="shared" si="12"/>
        <v>0</v>
      </c>
      <c r="AI301" s="276"/>
    </row>
    <row r="302" spans="1:35" ht="15" customHeight="1">
      <c r="A302" s="604"/>
      <c r="B302" s="318" t="s">
        <v>642</v>
      </c>
      <c r="C302" s="294">
        <v>0</v>
      </c>
      <c r="D302" s="294">
        <v>0</v>
      </c>
      <c r="E302" s="294">
        <v>0</v>
      </c>
      <c r="F302" s="294">
        <v>0</v>
      </c>
      <c r="G302" s="294">
        <v>0</v>
      </c>
      <c r="H302" s="294">
        <v>0</v>
      </c>
      <c r="I302" s="294">
        <v>0</v>
      </c>
      <c r="J302" s="294">
        <v>0</v>
      </c>
      <c r="K302" s="294">
        <v>0</v>
      </c>
      <c r="L302" s="294">
        <v>0</v>
      </c>
      <c r="M302" s="294">
        <v>0</v>
      </c>
      <c r="N302" s="294">
        <v>0</v>
      </c>
      <c r="O302" s="294">
        <v>0</v>
      </c>
      <c r="P302" s="294">
        <v>0</v>
      </c>
      <c r="Q302" s="294">
        <v>0</v>
      </c>
      <c r="R302" s="294">
        <v>0</v>
      </c>
      <c r="S302" s="294">
        <v>0</v>
      </c>
      <c r="T302" s="294">
        <v>0</v>
      </c>
      <c r="U302" s="294">
        <v>0</v>
      </c>
      <c r="V302" s="294">
        <v>0</v>
      </c>
      <c r="W302" s="295">
        <f t="shared" si="12"/>
        <v>0</v>
      </c>
      <c r="AI302" s="276"/>
    </row>
    <row r="303" spans="1:35" ht="15" customHeight="1">
      <c r="A303" s="604"/>
      <c r="B303" s="318" t="s">
        <v>643</v>
      </c>
      <c r="C303" s="294">
        <v>0</v>
      </c>
      <c r="D303" s="294">
        <v>0</v>
      </c>
      <c r="E303" s="294">
        <v>0</v>
      </c>
      <c r="F303" s="294">
        <v>0</v>
      </c>
      <c r="G303" s="294">
        <v>0</v>
      </c>
      <c r="H303" s="294">
        <v>0</v>
      </c>
      <c r="I303" s="294">
        <v>0</v>
      </c>
      <c r="J303" s="294">
        <v>0</v>
      </c>
      <c r="K303" s="294">
        <v>0</v>
      </c>
      <c r="L303" s="294">
        <v>0</v>
      </c>
      <c r="M303" s="294">
        <v>0</v>
      </c>
      <c r="N303" s="294">
        <v>0</v>
      </c>
      <c r="O303" s="294">
        <v>0</v>
      </c>
      <c r="P303" s="294">
        <v>0</v>
      </c>
      <c r="Q303" s="294">
        <v>0</v>
      </c>
      <c r="R303" s="294">
        <v>0</v>
      </c>
      <c r="S303" s="294">
        <v>0</v>
      </c>
      <c r="T303" s="294">
        <v>0</v>
      </c>
      <c r="U303" s="294">
        <v>0</v>
      </c>
      <c r="V303" s="294">
        <v>0</v>
      </c>
      <c r="W303" s="295">
        <f t="shared" si="12"/>
        <v>0</v>
      </c>
      <c r="AI303" s="276"/>
    </row>
    <row r="304" spans="1:35" ht="15" customHeight="1">
      <c r="A304" s="604"/>
      <c r="B304" s="318" t="s">
        <v>644</v>
      </c>
      <c r="C304" s="294">
        <v>0</v>
      </c>
      <c r="D304" s="294">
        <v>0</v>
      </c>
      <c r="E304" s="294">
        <v>0</v>
      </c>
      <c r="F304" s="294">
        <v>0</v>
      </c>
      <c r="G304" s="294">
        <v>0</v>
      </c>
      <c r="H304" s="294">
        <v>0</v>
      </c>
      <c r="I304" s="294">
        <v>0</v>
      </c>
      <c r="J304" s="294">
        <v>0</v>
      </c>
      <c r="K304" s="294">
        <v>0</v>
      </c>
      <c r="L304" s="294">
        <v>0</v>
      </c>
      <c r="M304" s="294">
        <v>0</v>
      </c>
      <c r="N304" s="294">
        <v>0</v>
      </c>
      <c r="O304" s="294">
        <v>0</v>
      </c>
      <c r="P304" s="294">
        <v>0</v>
      </c>
      <c r="Q304" s="294">
        <v>0</v>
      </c>
      <c r="R304" s="294">
        <v>0</v>
      </c>
      <c r="S304" s="294">
        <v>0</v>
      </c>
      <c r="T304" s="294">
        <v>0</v>
      </c>
      <c r="U304" s="294">
        <v>0</v>
      </c>
      <c r="V304" s="294">
        <v>0</v>
      </c>
      <c r="W304" s="295">
        <f t="shared" si="12"/>
        <v>0</v>
      </c>
      <c r="AI304" s="276"/>
    </row>
    <row r="305" spans="1:35" ht="15" customHeight="1">
      <c r="A305" s="604"/>
      <c r="B305" s="318" t="s">
        <v>645</v>
      </c>
      <c r="C305" s="294">
        <v>0</v>
      </c>
      <c r="D305" s="294">
        <v>0</v>
      </c>
      <c r="E305" s="294">
        <v>0</v>
      </c>
      <c r="F305" s="294">
        <v>0</v>
      </c>
      <c r="G305" s="294">
        <v>0</v>
      </c>
      <c r="H305" s="294">
        <v>0</v>
      </c>
      <c r="I305" s="294">
        <v>0</v>
      </c>
      <c r="J305" s="294">
        <v>0</v>
      </c>
      <c r="K305" s="294">
        <v>0</v>
      </c>
      <c r="L305" s="294">
        <v>0</v>
      </c>
      <c r="M305" s="294">
        <v>0</v>
      </c>
      <c r="N305" s="294">
        <v>0</v>
      </c>
      <c r="O305" s="294">
        <v>0</v>
      </c>
      <c r="P305" s="294">
        <v>0</v>
      </c>
      <c r="Q305" s="294">
        <v>0</v>
      </c>
      <c r="R305" s="294">
        <v>0</v>
      </c>
      <c r="S305" s="294">
        <v>0</v>
      </c>
      <c r="T305" s="294">
        <v>0</v>
      </c>
      <c r="U305" s="294">
        <v>0</v>
      </c>
      <c r="V305" s="294">
        <v>0</v>
      </c>
      <c r="W305" s="295">
        <f t="shared" si="12"/>
        <v>0</v>
      </c>
      <c r="AI305" s="276"/>
    </row>
    <row r="306" spans="1:35" ht="15" customHeight="1">
      <c r="A306" s="604"/>
      <c r="B306" s="318" t="s">
        <v>646</v>
      </c>
      <c r="C306" s="294">
        <v>0</v>
      </c>
      <c r="D306" s="294">
        <v>0</v>
      </c>
      <c r="E306" s="294">
        <v>0</v>
      </c>
      <c r="F306" s="294">
        <v>0</v>
      </c>
      <c r="G306" s="294">
        <v>0</v>
      </c>
      <c r="H306" s="294">
        <v>0</v>
      </c>
      <c r="I306" s="294">
        <v>0</v>
      </c>
      <c r="J306" s="294">
        <v>0</v>
      </c>
      <c r="K306" s="294">
        <v>0</v>
      </c>
      <c r="L306" s="294">
        <v>0</v>
      </c>
      <c r="M306" s="294">
        <v>0</v>
      </c>
      <c r="N306" s="294">
        <v>0</v>
      </c>
      <c r="O306" s="294">
        <v>0</v>
      </c>
      <c r="P306" s="294">
        <v>0</v>
      </c>
      <c r="Q306" s="294">
        <v>0</v>
      </c>
      <c r="R306" s="294">
        <v>0</v>
      </c>
      <c r="S306" s="294">
        <v>0</v>
      </c>
      <c r="T306" s="294">
        <v>0</v>
      </c>
      <c r="U306" s="294">
        <v>0</v>
      </c>
      <c r="V306" s="294">
        <v>0</v>
      </c>
      <c r="W306" s="295">
        <f t="shared" si="12"/>
        <v>0</v>
      </c>
      <c r="AI306" s="276"/>
    </row>
    <row r="307" spans="1:35" ht="15" customHeight="1">
      <c r="A307" s="604"/>
      <c r="B307" s="318" t="s">
        <v>647</v>
      </c>
      <c r="C307" s="294">
        <v>0</v>
      </c>
      <c r="D307" s="294">
        <v>0</v>
      </c>
      <c r="E307" s="294">
        <v>0</v>
      </c>
      <c r="F307" s="294">
        <v>0</v>
      </c>
      <c r="G307" s="294">
        <v>0</v>
      </c>
      <c r="H307" s="294">
        <v>0</v>
      </c>
      <c r="I307" s="294">
        <v>0</v>
      </c>
      <c r="J307" s="294">
        <v>0</v>
      </c>
      <c r="K307" s="294">
        <v>0</v>
      </c>
      <c r="L307" s="294">
        <v>0</v>
      </c>
      <c r="M307" s="294">
        <v>0</v>
      </c>
      <c r="N307" s="294">
        <v>0</v>
      </c>
      <c r="O307" s="294">
        <v>0</v>
      </c>
      <c r="P307" s="294">
        <v>0</v>
      </c>
      <c r="Q307" s="294">
        <v>0</v>
      </c>
      <c r="R307" s="294">
        <v>0</v>
      </c>
      <c r="S307" s="294">
        <v>0</v>
      </c>
      <c r="T307" s="294">
        <v>0</v>
      </c>
      <c r="U307" s="294">
        <v>0</v>
      </c>
      <c r="V307" s="294">
        <v>0</v>
      </c>
      <c r="W307" s="295">
        <f t="shared" si="12"/>
        <v>0</v>
      </c>
      <c r="AI307" s="276"/>
    </row>
    <row r="308" spans="1:35" ht="15" customHeight="1">
      <c r="A308" s="604"/>
      <c r="B308" s="318" t="s">
        <v>927</v>
      </c>
      <c r="C308" s="294">
        <v>0</v>
      </c>
      <c r="D308" s="294">
        <v>0</v>
      </c>
      <c r="E308" s="294">
        <v>0</v>
      </c>
      <c r="F308" s="294">
        <v>0</v>
      </c>
      <c r="G308" s="294">
        <v>0</v>
      </c>
      <c r="H308" s="294">
        <v>0</v>
      </c>
      <c r="I308" s="294">
        <v>0</v>
      </c>
      <c r="J308" s="294">
        <v>0</v>
      </c>
      <c r="K308" s="294">
        <v>0</v>
      </c>
      <c r="L308" s="294">
        <v>0</v>
      </c>
      <c r="M308" s="294">
        <v>0</v>
      </c>
      <c r="N308" s="294">
        <v>0</v>
      </c>
      <c r="O308" s="294">
        <v>0</v>
      </c>
      <c r="P308" s="294">
        <v>0</v>
      </c>
      <c r="Q308" s="294">
        <v>0</v>
      </c>
      <c r="R308" s="294">
        <v>0</v>
      </c>
      <c r="S308" s="294">
        <v>0</v>
      </c>
      <c r="T308" s="294">
        <v>0</v>
      </c>
      <c r="U308" s="294">
        <v>0</v>
      </c>
      <c r="V308" s="294">
        <v>0</v>
      </c>
      <c r="W308" s="295">
        <f t="shared" si="12"/>
        <v>0</v>
      </c>
      <c r="AI308" s="276"/>
    </row>
    <row r="309" spans="1:35" ht="15" customHeight="1">
      <c r="A309" s="604"/>
      <c r="B309" s="318" t="s">
        <v>928</v>
      </c>
      <c r="C309" s="294">
        <v>0</v>
      </c>
      <c r="D309" s="294">
        <v>0</v>
      </c>
      <c r="E309" s="294">
        <v>0</v>
      </c>
      <c r="F309" s="294">
        <v>0</v>
      </c>
      <c r="G309" s="294">
        <v>0</v>
      </c>
      <c r="H309" s="294">
        <v>0</v>
      </c>
      <c r="I309" s="294">
        <v>0</v>
      </c>
      <c r="J309" s="294">
        <v>0</v>
      </c>
      <c r="K309" s="294">
        <v>0</v>
      </c>
      <c r="L309" s="294">
        <v>0</v>
      </c>
      <c r="M309" s="294">
        <v>0</v>
      </c>
      <c r="N309" s="294">
        <v>0</v>
      </c>
      <c r="O309" s="294">
        <v>0</v>
      </c>
      <c r="P309" s="294">
        <v>0</v>
      </c>
      <c r="Q309" s="294">
        <v>0</v>
      </c>
      <c r="R309" s="294">
        <v>0</v>
      </c>
      <c r="S309" s="294">
        <v>0</v>
      </c>
      <c r="T309" s="294">
        <v>0</v>
      </c>
      <c r="U309" s="294">
        <v>0</v>
      </c>
      <c r="V309" s="294">
        <v>0</v>
      </c>
      <c r="W309" s="295">
        <f t="shared" si="12"/>
        <v>0</v>
      </c>
      <c r="AI309" s="276"/>
    </row>
    <row r="310" spans="1:35" ht="15" customHeight="1">
      <c r="A310" s="604"/>
      <c r="B310" s="318" t="s">
        <v>929</v>
      </c>
      <c r="C310" s="294">
        <v>0</v>
      </c>
      <c r="D310" s="294">
        <v>0</v>
      </c>
      <c r="E310" s="294">
        <v>0</v>
      </c>
      <c r="F310" s="294">
        <v>0</v>
      </c>
      <c r="G310" s="294">
        <v>0</v>
      </c>
      <c r="H310" s="294">
        <v>0</v>
      </c>
      <c r="I310" s="294">
        <v>0</v>
      </c>
      <c r="J310" s="294">
        <v>0</v>
      </c>
      <c r="K310" s="294">
        <v>0</v>
      </c>
      <c r="L310" s="294">
        <v>0</v>
      </c>
      <c r="M310" s="294">
        <v>0</v>
      </c>
      <c r="N310" s="294">
        <v>0</v>
      </c>
      <c r="O310" s="294">
        <v>0</v>
      </c>
      <c r="P310" s="294">
        <v>0</v>
      </c>
      <c r="Q310" s="294">
        <v>0</v>
      </c>
      <c r="R310" s="294">
        <v>0</v>
      </c>
      <c r="S310" s="294">
        <v>0</v>
      </c>
      <c r="T310" s="294">
        <v>0</v>
      </c>
      <c r="U310" s="294">
        <v>0</v>
      </c>
      <c r="V310" s="294">
        <v>0</v>
      </c>
      <c r="W310" s="295">
        <f t="shared" si="12"/>
        <v>0</v>
      </c>
      <c r="AI310" s="276"/>
    </row>
    <row r="311" spans="1:35" ht="15" customHeight="1" thickBot="1">
      <c r="A311" s="605"/>
      <c r="B311" s="318" t="s">
        <v>930</v>
      </c>
      <c r="C311" s="294">
        <v>0</v>
      </c>
      <c r="D311" s="294">
        <v>0</v>
      </c>
      <c r="E311" s="294">
        <v>0</v>
      </c>
      <c r="F311" s="294">
        <v>0</v>
      </c>
      <c r="G311" s="294">
        <v>0</v>
      </c>
      <c r="H311" s="294">
        <v>0</v>
      </c>
      <c r="I311" s="294">
        <v>0</v>
      </c>
      <c r="J311" s="294">
        <v>0</v>
      </c>
      <c r="K311" s="294">
        <v>0</v>
      </c>
      <c r="L311" s="294">
        <v>0</v>
      </c>
      <c r="M311" s="294">
        <v>0</v>
      </c>
      <c r="N311" s="294">
        <v>0</v>
      </c>
      <c r="O311" s="294">
        <v>0</v>
      </c>
      <c r="P311" s="294">
        <v>0</v>
      </c>
      <c r="Q311" s="294">
        <v>0</v>
      </c>
      <c r="R311" s="294">
        <v>0</v>
      </c>
      <c r="S311" s="294">
        <v>0</v>
      </c>
      <c r="T311" s="294">
        <v>0</v>
      </c>
      <c r="U311" s="294">
        <v>0</v>
      </c>
      <c r="V311" s="294">
        <v>0</v>
      </c>
      <c r="W311" s="295">
        <f t="shared" si="12"/>
        <v>0</v>
      </c>
      <c r="AI311" s="276"/>
    </row>
    <row r="312" spans="1:35" ht="20.100000000000001" customHeight="1" thickBot="1">
      <c r="A312" s="600" t="s">
        <v>755</v>
      </c>
      <c r="B312" s="601"/>
      <c r="C312" s="296"/>
      <c r="D312" s="296"/>
      <c r="E312" s="296"/>
      <c r="F312" s="296"/>
      <c r="G312" s="296"/>
      <c r="H312" s="296"/>
      <c r="I312" s="296"/>
      <c r="J312" s="296"/>
      <c r="K312" s="296"/>
      <c r="L312" s="296"/>
      <c r="M312" s="296"/>
      <c r="N312" s="296"/>
      <c r="O312" s="296"/>
      <c r="P312" s="296"/>
      <c r="Q312" s="296"/>
      <c r="R312" s="296"/>
      <c r="S312" s="296"/>
      <c r="T312" s="296"/>
      <c r="U312" s="296"/>
      <c r="V312" s="297"/>
      <c r="W312" s="560"/>
      <c r="AI312" s="276"/>
    </row>
    <row r="313" spans="1:35" ht="20.100000000000001" customHeight="1" thickBot="1">
      <c r="A313" s="600" t="s">
        <v>754</v>
      </c>
      <c r="B313" s="601"/>
      <c r="C313" s="296">
        <f t="shared" ref="C313:V313" si="13">+AVERAGE(C268:C311)</f>
        <v>0</v>
      </c>
      <c r="D313" s="296">
        <f t="shared" si="13"/>
        <v>0</v>
      </c>
      <c r="E313" s="296">
        <f t="shared" si="13"/>
        <v>0</v>
      </c>
      <c r="F313" s="296">
        <f t="shared" si="13"/>
        <v>0</v>
      </c>
      <c r="G313" s="296">
        <f t="shared" si="13"/>
        <v>0</v>
      </c>
      <c r="H313" s="296">
        <f t="shared" si="13"/>
        <v>0</v>
      </c>
      <c r="I313" s="296">
        <f t="shared" si="13"/>
        <v>0</v>
      </c>
      <c r="J313" s="296">
        <f t="shared" si="13"/>
        <v>0</v>
      </c>
      <c r="K313" s="296">
        <f t="shared" si="13"/>
        <v>0</v>
      </c>
      <c r="L313" s="296">
        <f t="shared" si="13"/>
        <v>0</v>
      </c>
      <c r="M313" s="296">
        <f t="shared" si="13"/>
        <v>0</v>
      </c>
      <c r="N313" s="296">
        <f t="shared" si="13"/>
        <v>0</v>
      </c>
      <c r="O313" s="296">
        <f t="shared" si="13"/>
        <v>0</v>
      </c>
      <c r="P313" s="296">
        <f t="shared" si="13"/>
        <v>0</v>
      </c>
      <c r="Q313" s="296">
        <f t="shared" si="13"/>
        <v>0</v>
      </c>
      <c r="R313" s="296">
        <f t="shared" si="13"/>
        <v>0</v>
      </c>
      <c r="S313" s="296">
        <f t="shared" si="13"/>
        <v>0</v>
      </c>
      <c r="T313" s="296">
        <f t="shared" si="13"/>
        <v>0</v>
      </c>
      <c r="U313" s="296">
        <f t="shared" si="13"/>
        <v>0</v>
      </c>
      <c r="V313" s="296">
        <f t="shared" si="13"/>
        <v>0</v>
      </c>
      <c r="W313" s="561"/>
      <c r="AI313" s="276"/>
    </row>
    <row r="314" spans="1:35" ht="20.100000000000001" customHeight="1" thickBot="1">
      <c r="A314" s="600" t="s">
        <v>761</v>
      </c>
      <c r="B314" s="602"/>
      <c r="C314" s="516">
        <f>AVERAGE(C313:V313)</f>
        <v>0</v>
      </c>
      <c r="D314" s="517"/>
      <c r="E314" s="517"/>
      <c r="F314" s="517"/>
      <c r="G314" s="517"/>
      <c r="H314" s="517"/>
      <c r="I314" s="517"/>
      <c r="J314" s="517"/>
      <c r="K314" s="517"/>
      <c r="L314" s="517"/>
      <c r="M314" s="517"/>
      <c r="N314" s="517"/>
      <c r="O314" s="517"/>
      <c r="P314" s="517"/>
      <c r="Q314" s="517"/>
      <c r="R314" s="516"/>
      <c r="S314" s="517"/>
      <c r="T314" s="517"/>
      <c r="U314" s="517"/>
      <c r="V314" s="517"/>
      <c r="W314" s="562"/>
      <c r="AI314" s="276"/>
    </row>
    <row r="315" spans="1:35" ht="15" customHeight="1">
      <c r="A315" s="603" t="s">
        <v>942</v>
      </c>
      <c r="B315" s="320" t="s">
        <v>648</v>
      </c>
      <c r="C315" s="294">
        <v>0</v>
      </c>
      <c r="D315" s="294">
        <v>0</v>
      </c>
      <c r="E315" s="294">
        <v>0</v>
      </c>
      <c r="F315" s="294">
        <v>0</v>
      </c>
      <c r="G315" s="294">
        <v>0</v>
      </c>
      <c r="H315" s="294">
        <v>0</v>
      </c>
      <c r="I315" s="294">
        <v>0</v>
      </c>
      <c r="J315" s="294">
        <v>0</v>
      </c>
      <c r="K315" s="294">
        <v>0</v>
      </c>
      <c r="L315" s="294">
        <v>0</v>
      </c>
      <c r="M315" s="294">
        <v>0</v>
      </c>
      <c r="N315" s="294">
        <v>0</v>
      </c>
      <c r="O315" s="294">
        <v>0</v>
      </c>
      <c r="P315" s="294">
        <v>0</v>
      </c>
      <c r="Q315" s="294">
        <v>0</v>
      </c>
      <c r="R315" s="294">
        <v>0</v>
      </c>
      <c r="S315" s="294">
        <v>0</v>
      </c>
      <c r="T315" s="294">
        <v>0</v>
      </c>
      <c r="U315" s="294">
        <v>0</v>
      </c>
      <c r="V315" s="294">
        <v>0</v>
      </c>
      <c r="W315" s="295">
        <f t="shared" ref="W315:W358" si="14">+AVERAGE(C315:V315)</f>
        <v>0</v>
      </c>
      <c r="AI315" s="276"/>
    </row>
    <row r="316" spans="1:35" ht="15" customHeight="1">
      <c r="A316" s="604"/>
      <c r="B316" s="318" t="s">
        <v>649</v>
      </c>
      <c r="C316" s="294">
        <v>0</v>
      </c>
      <c r="D316" s="294">
        <v>0</v>
      </c>
      <c r="E316" s="294">
        <v>0</v>
      </c>
      <c r="F316" s="294">
        <v>0</v>
      </c>
      <c r="G316" s="294">
        <v>0</v>
      </c>
      <c r="H316" s="294">
        <v>0</v>
      </c>
      <c r="I316" s="294">
        <v>0</v>
      </c>
      <c r="J316" s="294">
        <v>0</v>
      </c>
      <c r="K316" s="294">
        <v>0</v>
      </c>
      <c r="L316" s="294">
        <v>0</v>
      </c>
      <c r="M316" s="294">
        <v>0</v>
      </c>
      <c r="N316" s="294">
        <v>0</v>
      </c>
      <c r="O316" s="294">
        <v>0</v>
      </c>
      <c r="P316" s="294">
        <v>0</v>
      </c>
      <c r="Q316" s="294">
        <v>0</v>
      </c>
      <c r="R316" s="294">
        <v>0</v>
      </c>
      <c r="S316" s="294">
        <v>0</v>
      </c>
      <c r="T316" s="294">
        <v>0</v>
      </c>
      <c r="U316" s="294">
        <v>0</v>
      </c>
      <c r="V316" s="294">
        <v>0</v>
      </c>
      <c r="W316" s="295">
        <f t="shared" si="14"/>
        <v>0</v>
      </c>
      <c r="AI316" s="276"/>
    </row>
    <row r="317" spans="1:35" ht="15" customHeight="1">
      <c r="A317" s="604"/>
      <c r="B317" s="318" t="s">
        <v>935</v>
      </c>
      <c r="C317" s="294">
        <v>0</v>
      </c>
      <c r="D317" s="294">
        <v>0</v>
      </c>
      <c r="E317" s="294">
        <v>0</v>
      </c>
      <c r="F317" s="294">
        <v>0</v>
      </c>
      <c r="G317" s="294">
        <v>0</v>
      </c>
      <c r="H317" s="294">
        <v>0</v>
      </c>
      <c r="I317" s="294">
        <v>0</v>
      </c>
      <c r="J317" s="294">
        <v>0</v>
      </c>
      <c r="K317" s="294">
        <v>0</v>
      </c>
      <c r="L317" s="294">
        <v>0</v>
      </c>
      <c r="M317" s="294">
        <v>0</v>
      </c>
      <c r="N317" s="294">
        <v>0</v>
      </c>
      <c r="O317" s="294">
        <v>0</v>
      </c>
      <c r="P317" s="294">
        <v>0</v>
      </c>
      <c r="Q317" s="294">
        <v>0</v>
      </c>
      <c r="R317" s="294">
        <v>0</v>
      </c>
      <c r="S317" s="294">
        <v>0</v>
      </c>
      <c r="T317" s="294">
        <v>0</v>
      </c>
      <c r="U317" s="294">
        <v>0</v>
      </c>
      <c r="V317" s="294">
        <v>0</v>
      </c>
      <c r="W317" s="295">
        <f t="shared" si="14"/>
        <v>0</v>
      </c>
      <c r="AI317" s="276"/>
    </row>
    <row r="318" spans="1:35" ht="15" customHeight="1">
      <c r="A318" s="604"/>
      <c r="B318" s="318" t="s">
        <v>651</v>
      </c>
      <c r="C318" s="294">
        <v>0</v>
      </c>
      <c r="D318" s="294">
        <v>0</v>
      </c>
      <c r="E318" s="294">
        <v>0</v>
      </c>
      <c r="F318" s="294">
        <v>0</v>
      </c>
      <c r="G318" s="294">
        <v>0</v>
      </c>
      <c r="H318" s="294">
        <v>0</v>
      </c>
      <c r="I318" s="294">
        <v>0</v>
      </c>
      <c r="J318" s="294">
        <v>0</v>
      </c>
      <c r="K318" s="294">
        <v>0</v>
      </c>
      <c r="L318" s="294">
        <v>0</v>
      </c>
      <c r="M318" s="294">
        <v>0</v>
      </c>
      <c r="N318" s="294">
        <v>0</v>
      </c>
      <c r="O318" s="294">
        <v>0</v>
      </c>
      <c r="P318" s="294">
        <v>0</v>
      </c>
      <c r="Q318" s="294">
        <v>0</v>
      </c>
      <c r="R318" s="294">
        <v>0</v>
      </c>
      <c r="S318" s="294">
        <v>0</v>
      </c>
      <c r="T318" s="294">
        <v>0</v>
      </c>
      <c r="U318" s="294">
        <v>0</v>
      </c>
      <c r="V318" s="294">
        <v>0</v>
      </c>
      <c r="W318" s="295">
        <f t="shared" si="14"/>
        <v>0</v>
      </c>
      <c r="AI318" s="276"/>
    </row>
    <row r="319" spans="1:35" ht="15" customHeight="1">
      <c r="A319" s="604"/>
      <c r="B319" s="318" t="s">
        <v>652</v>
      </c>
      <c r="C319" s="294">
        <v>0</v>
      </c>
      <c r="D319" s="294">
        <v>0</v>
      </c>
      <c r="E319" s="294">
        <v>0</v>
      </c>
      <c r="F319" s="294">
        <v>0</v>
      </c>
      <c r="G319" s="294">
        <v>0</v>
      </c>
      <c r="H319" s="294">
        <v>0</v>
      </c>
      <c r="I319" s="294">
        <v>0</v>
      </c>
      <c r="J319" s="294">
        <v>0</v>
      </c>
      <c r="K319" s="294">
        <v>0</v>
      </c>
      <c r="L319" s="294">
        <v>0</v>
      </c>
      <c r="M319" s="294">
        <v>0</v>
      </c>
      <c r="N319" s="294">
        <v>0</v>
      </c>
      <c r="O319" s="294">
        <v>0</v>
      </c>
      <c r="P319" s="294">
        <v>0</v>
      </c>
      <c r="Q319" s="294">
        <v>0</v>
      </c>
      <c r="R319" s="294">
        <v>0</v>
      </c>
      <c r="S319" s="294">
        <v>0</v>
      </c>
      <c r="T319" s="294">
        <v>0</v>
      </c>
      <c r="U319" s="294">
        <v>0</v>
      </c>
      <c r="V319" s="294">
        <v>0</v>
      </c>
      <c r="W319" s="295">
        <f t="shared" si="14"/>
        <v>0</v>
      </c>
      <c r="AI319" s="276"/>
    </row>
    <row r="320" spans="1:35" ht="15" customHeight="1">
      <c r="A320" s="604"/>
      <c r="B320" s="318" t="s">
        <v>653</v>
      </c>
      <c r="C320" s="294">
        <v>0</v>
      </c>
      <c r="D320" s="294">
        <v>0</v>
      </c>
      <c r="E320" s="294">
        <v>0</v>
      </c>
      <c r="F320" s="294">
        <v>0</v>
      </c>
      <c r="G320" s="294">
        <v>0</v>
      </c>
      <c r="H320" s="294">
        <v>0</v>
      </c>
      <c r="I320" s="294">
        <v>0</v>
      </c>
      <c r="J320" s="294">
        <v>0</v>
      </c>
      <c r="K320" s="294">
        <v>0</v>
      </c>
      <c r="L320" s="294">
        <v>0</v>
      </c>
      <c r="M320" s="294">
        <v>0</v>
      </c>
      <c r="N320" s="294">
        <v>0</v>
      </c>
      <c r="O320" s="294">
        <v>0</v>
      </c>
      <c r="P320" s="294">
        <v>0</v>
      </c>
      <c r="Q320" s="294">
        <v>0</v>
      </c>
      <c r="R320" s="294">
        <v>0</v>
      </c>
      <c r="S320" s="294">
        <v>0</v>
      </c>
      <c r="T320" s="294">
        <v>0</v>
      </c>
      <c r="U320" s="294">
        <v>0</v>
      </c>
      <c r="V320" s="294">
        <v>0</v>
      </c>
      <c r="W320" s="295">
        <f t="shared" si="14"/>
        <v>0</v>
      </c>
      <c r="AI320" s="276"/>
    </row>
    <row r="321" spans="1:35" ht="15" customHeight="1">
      <c r="A321" s="604"/>
      <c r="B321" s="318" t="s">
        <v>654</v>
      </c>
      <c r="C321" s="294">
        <v>0</v>
      </c>
      <c r="D321" s="294">
        <v>0</v>
      </c>
      <c r="E321" s="294">
        <v>0</v>
      </c>
      <c r="F321" s="294">
        <v>0</v>
      </c>
      <c r="G321" s="294">
        <v>0</v>
      </c>
      <c r="H321" s="294">
        <v>0</v>
      </c>
      <c r="I321" s="294">
        <v>0</v>
      </c>
      <c r="J321" s="294">
        <v>0</v>
      </c>
      <c r="K321" s="294">
        <v>0</v>
      </c>
      <c r="L321" s="294">
        <v>0</v>
      </c>
      <c r="M321" s="294">
        <v>0</v>
      </c>
      <c r="N321" s="294">
        <v>0</v>
      </c>
      <c r="O321" s="294">
        <v>0</v>
      </c>
      <c r="P321" s="294">
        <v>0</v>
      </c>
      <c r="Q321" s="294">
        <v>0</v>
      </c>
      <c r="R321" s="294">
        <v>0</v>
      </c>
      <c r="S321" s="294">
        <v>0</v>
      </c>
      <c r="T321" s="294">
        <v>0</v>
      </c>
      <c r="U321" s="294">
        <v>0</v>
      </c>
      <c r="V321" s="294">
        <v>0</v>
      </c>
      <c r="W321" s="295">
        <f t="shared" si="14"/>
        <v>0</v>
      </c>
      <c r="AI321" s="276"/>
    </row>
    <row r="322" spans="1:35" ht="15" customHeight="1">
      <c r="A322" s="604"/>
      <c r="B322" s="318" t="s">
        <v>655</v>
      </c>
      <c r="C322" s="294">
        <v>0</v>
      </c>
      <c r="D322" s="294">
        <v>0</v>
      </c>
      <c r="E322" s="294">
        <v>0</v>
      </c>
      <c r="F322" s="294">
        <v>0</v>
      </c>
      <c r="G322" s="294">
        <v>0</v>
      </c>
      <c r="H322" s="294">
        <v>0</v>
      </c>
      <c r="I322" s="294">
        <v>0</v>
      </c>
      <c r="J322" s="294">
        <v>0</v>
      </c>
      <c r="K322" s="294">
        <v>0</v>
      </c>
      <c r="L322" s="294">
        <v>0</v>
      </c>
      <c r="M322" s="294">
        <v>0</v>
      </c>
      <c r="N322" s="294">
        <v>0</v>
      </c>
      <c r="O322" s="294">
        <v>0</v>
      </c>
      <c r="P322" s="294">
        <v>0</v>
      </c>
      <c r="Q322" s="294">
        <v>0</v>
      </c>
      <c r="R322" s="294">
        <v>0</v>
      </c>
      <c r="S322" s="294">
        <v>0</v>
      </c>
      <c r="T322" s="294">
        <v>0</v>
      </c>
      <c r="U322" s="294">
        <v>0</v>
      </c>
      <c r="V322" s="294">
        <v>0</v>
      </c>
      <c r="W322" s="295">
        <f t="shared" si="14"/>
        <v>0</v>
      </c>
      <c r="AI322" s="276"/>
    </row>
    <row r="323" spans="1:35" ht="15" customHeight="1">
      <c r="A323" s="604"/>
      <c r="B323" s="318" t="s">
        <v>656</v>
      </c>
      <c r="C323" s="294">
        <v>0</v>
      </c>
      <c r="D323" s="294">
        <v>0</v>
      </c>
      <c r="E323" s="294">
        <v>0</v>
      </c>
      <c r="F323" s="294">
        <v>0</v>
      </c>
      <c r="G323" s="294">
        <v>0</v>
      </c>
      <c r="H323" s="294">
        <v>0</v>
      </c>
      <c r="I323" s="294">
        <v>0</v>
      </c>
      <c r="J323" s="294">
        <v>0</v>
      </c>
      <c r="K323" s="294">
        <v>0</v>
      </c>
      <c r="L323" s="294">
        <v>0</v>
      </c>
      <c r="M323" s="294">
        <v>0</v>
      </c>
      <c r="N323" s="294">
        <v>0</v>
      </c>
      <c r="O323" s="294">
        <v>0</v>
      </c>
      <c r="P323" s="294">
        <v>0</v>
      </c>
      <c r="Q323" s="294">
        <v>0</v>
      </c>
      <c r="R323" s="294">
        <v>0</v>
      </c>
      <c r="S323" s="294">
        <v>0</v>
      </c>
      <c r="T323" s="294">
        <v>0</v>
      </c>
      <c r="U323" s="294">
        <v>0</v>
      </c>
      <c r="V323" s="294">
        <v>0</v>
      </c>
      <c r="W323" s="295">
        <f t="shared" si="14"/>
        <v>0</v>
      </c>
      <c r="AI323" s="276"/>
    </row>
    <row r="324" spans="1:35" ht="15" customHeight="1">
      <c r="A324" s="604"/>
      <c r="B324" s="318" t="s">
        <v>657</v>
      </c>
      <c r="C324" s="294">
        <v>0</v>
      </c>
      <c r="D324" s="294">
        <v>0</v>
      </c>
      <c r="E324" s="294">
        <v>0</v>
      </c>
      <c r="F324" s="294">
        <v>0</v>
      </c>
      <c r="G324" s="294">
        <v>0</v>
      </c>
      <c r="H324" s="294">
        <v>0</v>
      </c>
      <c r="I324" s="294">
        <v>0</v>
      </c>
      <c r="J324" s="294">
        <v>0</v>
      </c>
      <c r="K324" s="294">
        <v>0</v>
      </c>
      <c r="L324" s="294">
        <v>0</v>
      </c>
      <c r="M324" s="294">
        <v>0</v>
      </c>
      <c r="N324" s="294">
        <v>0</v>
      </c>
      <c r="O324" s="294">
        <v>0</v>
      </c>
      <c r="P324" s="294">
        <v>0</v>
      </c>
      <c r="Q324" s="294">
        <v>0</v>
      </c>
      <c r="R324" s="294">
        <v>0</v>
      </c>
      <c r="S324" s="294">
        <v>0</v>
      </c>
      <c r="T324" s="294">
        <v>0</v>
      </c>
      <c r="U324" s="294">
        <v>0</v>
      </c>
      <c r="V324" s="294">
        <v>0</v>
      </c>
      <c r="W324" s="295">
        <f t="shared" si="14"/>
        <v>0</v>
      </c>
      <c r="AI324" s="276"/>
    </row>
    <row r="325" spans="1:35" ht="15" customHeight="1">
      <c r="A325" s="604"/>
      <c r="B325" s="318" t="s">
        <v>658</v>
      </c>
      <c r="C325" s="294">
        <v>0</v>
      </c>
      <c r="D325" s="294">
        <v>0</v>
      </c>
      <c r="E325" s="294">
        <v>0</v>
      </c>
      <c r="F325" s="294">
        <v>0</v>
      </c>
      <c r="G325" s="294">
        <v>0</v>
      </c>
      <c r="H325" s="294">
        <v>0</v>
      </c>
      <c r="I325" s="294">
        <v>0</v>
      </c>
      <c r="J325" s="294">
        <v>0</v>
      </c>
      <c r="K325" s="294">
        <v>0</v>
      </c>
      <c r="L325" s="294">
        <v>0</v>
      </c>
      <c r="M325" s="294">
        <v>0</v>
      </c>
      <c r="N325" s="294">
        <v>0</v>
      </c>
      <c r="O325" s="294">
        <v>0</v>
      </c>
      <c r="P325" s="294">
        <v>0</v>
      </c>
      <c r="Q325" s="294">
        <v>0</v>
      </c>
      <c r="R325" s="294">
        <v>0</v>
      </c>
      <c r="S325" s="294">
        <v>0</v>
      </c>
      <c r="T325" s="294">
        <v>0</v>
      </c>
      <c r="U325" s="294">
        <v>0</v>
      </c>
      <c r="V325" s="294">
        <v>0</v>
      </c>
      <c r="W325" s="295">
        <f t="shared" si="14"/>
        <v>0</v>
      </c>
      <c r="AI325" s="276"/>
    </row>
    <row r="326" spans="1:35" ht="15" customHeight="1">
      <c r="A326" s="604"/>
      <c r="B326" s="318" t="s">
        <v>659</v>
      </c>
      <c r="C326" s="294">
        <v>0</v>
      </c>
      <c r="D326" s="294">
        <v>0</v>
      </c>
      <c r="E326" s="294">
        <v>0</v>
      </c>
      <c r="F326" s="294">
        <v>0</v>
      </c>
      <c r="G326" s="294">
        <v>0</v>
      </c>
      <c r="H326" s="294">
        <v>0</v>
      </c>
      <c r="I326" s="294">
        <v>0</v>
      </c>
      <c r="J326" s="294">
        <v>0</v>
      </c>
      <c r="K326" s="294">
        <v>0</v>
      </c>
      <c r="L326" s="294">
        <v>0</v>
      </c>
      <c r="M326" s="294">
        <v>0</v>
      </c>
      <c r="N326" s="294">
        <v>0</v>
      </c>
      <c r="O326" s="294">
        <v>0</v>
      </c>
      <c r="P326" s="294">
        <v>0</v>
      </c>
      <c r="Q326" s="294">
        <v>0</v>
      </c>
      <c r="R326" s="294">
        <v>0</v>
      </c>
      <c r="S326" s="294">
        <v>0</v>
      </c>
      <c r="T326" s="294">
        <v>0</v>
      </c>
      <c r="U326" s="294">
        <v>0</v>
      </c>
      <c r="V326" s="294">
        <v>0</v>
      </c>
      <c r="W326" s="295">
        <f t="shared" si="14"/>
        <v>0</v>
      </c>
      <c r="AI326" s="276"/>
    </row>
    <row r="327" spans="1:35" ht="15" customHeight="1">
      <c r="A327" s="604"/>
      <c r="B327" s="318" t="s">
        <v>660</v>
      </c>
      <c r="C327" s="294">
        <v>0</v>
      </c>
      <c r="D327" s="294">
        <v>0</v>
      </c>
      <c r="E327" s="294">
        <v>0</v>
      </c>
      <c r="F327" s="294">
        <v>0</v>
      </c>
      <c r="G327" s="294">
        <v>0</v>
      </c>
      <c r="H327" s="294">
        <v>0</v>
      </c>
      <c r="I327" s="294">
        <v>0</v>
      </c>
      <c r="J327" s="294">
        <v>0</v>
      </c>
      <c r="K327" s="294">
        <v>0</v>
      </c>
      <c r="L327" s="294">
        <v>0</v>
      </c>
      <c r="M327" s="294">
        <v>0</v>
      </c>
      <c r="N327" s="294">
        <v>0</v>
      </c>
      <c r="O327" s="294">
        <v>0</v>
      </c>
      <c r="P327" s="294">
        <v>0</v>
      </c>
      <c r="Q327" s="294">
        <v>0</v>
      </c>
      <c r="R327" s="294">
        <v>0</v>
      </c>
      <c r="S327" s="294">
        <v>0</v>
      </c>
      <c r="T327" s="294">
        <v>0</v>
      </c>
      <c r="U327" s="294">
        <v>0</v>
      </c>
      <c r="V327" s="294">
        <v>0</v>
      </c>
      <c r="W327" s="295">
        <f t="shared" si="14"/>
        <v>0</v>
      </c>
      <c r="AI327" s="276"/>
    </row>
    <row r="328" spans="1:35" ht="15" customHeight="1">
      <c r="A328" s="604"/>
      <c r="B328" s="318" t="s">
        <v>661</v>
      </c>
      <c r="C328" s="294">
        <v>0</v>
      </c>
      <c r="D328" s="294">
        <v>0</v>
      </c>
      <c r="E328" s="294">
        <v>0</v>
      </c>
      <c r="F328" s="294">
        <v>0</v>
      </c>
      <c r="G328" s="294">
        <v>0</v>
      </c>
      <c r="H328" s="294">
        <v>0</v>
      </c>
      <c r="I328" s="294">
        <v>0</v>
      </c>
      <c r="J328" s="294">
        <v>0</v>
      </c>
      <c r="K328" s="294">
        <v>0</v>
      </c>
      <c r="L328" s="294">
        <v>0</v>
      </c>
      <c r="M328" s="294">
        <v>0</v>
      </c>
      <c r="N328" s="294">
        <v>0</v>
      </c>
      <c r="O328" s="294">
        <v>0</v>
      </c>
      <c r="P328" s="294">
        <v>0</v>
      </c>
      <c r="Q328" s="294">
        <v>0</v>
      </c>
      <c r="R328" s="294">
        <v>0</v>
      </c>
      <c r="S328" s="294">
        <v>0</v>
      </c>
      <c r="T328" s="294">
        <v>0</v>
      </c>
      <c r="U328" s="294">
        <v>0</v>
      </c>
      <c r="V328" s="294">
        <v>0</v>
      </c>
      <c r="W328" s="295">
        <f t="shared" si="14"/>
        <v>0</v>
      </c>
      <c r="AI328" s="276"/>
    </row>
    <row r="329" spans="1:35" ht="15" customHeight="1">
      <c r="A329" s="604"/>
      <c r="B329" s="318" t="s">
        <v>662</v>
      </c>
      <c r="C329" s="294">
        <v>0</v>
      </c>
      <c r="D329" s="294">
        <v>0</v>
      </c>
      <c r="E329" s="294">
        <v>0</v>
      </c>
      <c r="F329" s="294">
        <v>0</v>
      </c>
      <c r="G329" s="294">
        <v>0</v>
      </c>
      <c r="H329" s="294">
        <v>0</v>
      </c>
      <c r="I329" s="294">
        <v>0</v>
      </c>
      <c r="J329" s="294">
        <v>0</v>
      </c>
      <c r="K329" s="294">
        <v>0</v>
      </c>
      <c r="L329" s="294">
        <v>0</v>
      </c>
      <c r="M329" s="294">
        <v>0</v>
      </c>
      <c r="N329" s="294">
        <v>0</v>
      </c>
      <c r="O329" s="294">
        <v>0</v>
      </c>
      <c r="P329" s="294">
        <v>0</v>
      </c>
      <c r="Q329" s="294">
        <v>0</v>
      </c>
      <c r="R329" s="294">
        <v>0</v>
      </c>
      <c r="S329" s="294">
        <v>0</v>
      </c>
      <c r="T329" s="294">
        <v>0</v>
      </c>
      <c r="U329" s="294">
        <v>0</v>
      </c>
      <c r="V329" s="294">
        <v>0</v>
      </c>
      <c r="W329" s="295">
        <f t="shared" si="14"/>
        <v>0</v>
      </c>
      <c r="AI329" s="276"/>
    </row>
    <row r="330" spans="1:35" ht="15" customHeight="1">
      <c r="A330" s="604"/>
      <c r="B330" s="318" t="s">
        <v>663</v>
      </c>
      <c r="C330" s="294">
        <v>0</v>
      </c>
      <c r="D330" s="294">
        <v>0</v>
      </c>
      <c r="E330" s="294">
        <v>0</v>
      </c>
      <c r="F330" s="294">
        <v>0</v>
      </c>
      <c r="G330" s="294">
        <v>0</v>
      </c>
      <c r="H330" s="294">
        <v>0</v>
      </c>
      <c r="I330" s="294">
        <v>0</v>
      </c>
      <c r="J330" s="294">
        <v>0</v>
      </c>
      <c r="K330" s="294">
        <v>0</v>
      </c>
      <c r="L330" s="294">
        <v>0</v>
      </c>
      <c r="M330" s="294">
        <v>0</v>
      </c>
      <c r="N330" s="294">
        <v>0</v>
      </c>
      <c r="O330" s="294">
        <v>0</v>
      </c>
      <c r="P330" s="294">
        <v>0</v>
      </c>
      <c r="Q330" s="294">
        <v>0</v>
      </c>
      <c r="R330" s="294">
        <v>0</v>
      </c>
      <c r="S330" s="294">
        <v>0</v>
      </c>
      <c r="T330" s="294">
        <v>0</v>
      </c>
      <c r="U330" s="294">
        <v>0</v>
      </c>
      <c r="V330" s="294">
        <v>0</v>
      </c>
      <c r="W330" s="295">
        <f t="shared" si="14"/>
        <v>0</v>
      </c>
      <c r="AI330" s="276"/>
    </row>
    <row r="331" spans="1:35" ht="15" customHeight="1">
      <c r="A331" s="604"/>
      <c r="B331" s="318" t="s">
        <v>664</v>
      </c>
      <c r="C331" s="294">
        <v>0</v>
      </c>
      <c r="D331" s="294">
        <v>0</v>
      </c>
      <c r="E331" s="294">
        <v>0</v>
      </c>
      <c r="F331" s="294">
        <v>0</v>
      </c>
      <c r="G331" s="294">
        <v>0</v>
      </c>
      <c r="H331" s="294">
        <v>0</v>
      </c>
      <c r="I331" s="294">
        <v>0</v>
      </c>
      <c r="J331" s="294">
        <v>0</v>
      </c>
      <c r="K331" s="294">
        <v>0</v>
      </c>
      <c r="L331" s="294">
        <v>0</v>
      </c>
      <c r="M331" s="294">
        <v>0</v>
      </c>
      <c r="N331" s="294">
        <v>0</v>
      </c>
      <c r="O331" s="294">
        <v>0</v>
      </c>
      <c r="P331" s="294">
        <v>0</v>
      </c>
      <c r="Q331" s="294">
        <v>0</v>
      </c>
      <c r="R331" s="294">
        <v>0</v>
      </c>
      <c r="S331" s="294">
        <v>0</v>
      </c>
      <c r="T331" s="294">
        <v>0</v>
      </c>
      <c r="U331" s="294">
        <v>0</v>
      </c>
      <c r="V331" s="294">
        <v>0</v>
      </c>
      <c r="W331" s="295">
        <f t="shared" si="14"/>
        <v>0</v>
      </c>
      <c r="AI331" s="276"/>
    </row>
    <row r="332" spans="1:35" ht="15" customHeight="1">
      <c r="A332" s="604"/>
      <c r="B332" s="318" t="s">
        <v>936</v>
      </c>
      <c r="C332" s="294">
        <v>0</v>
      </c>
      <c r="D332" s="294">
        <v>0</v>
      </c>
      <c r="E332" s="294">
        <v>0</v>
      </c>
      <c r="F332" s="294">
        <v>0</v>
      </c>
      <c r="G332" s="294">
        <v>0</v>
      </c>
      <c r="H332" s="294">
        <v>0</v>
      </c>
      <c r="I332" s="294">
        <v>0</v>
      </c>
      <c r="J332" s="294">
        <v>0</v>
      </c>
      <c r="K332" s="294">
        <v>0</v>
      </c>
      <c r="L332" s="294">
        <v>0</v>
      </c>
      <c r="M332" s="294">
        <v>0</v>
      </c>
      <c r="N332" s="294">
        <v>0</v>
      </c>
      <c r="O332" s="294">
        <v>0</v>
      </c>
      <c r="P332" s="294">
        <v>0</v>
      </c>
      <c r="Q332" s="294">
        <v>0</v>
      </c>
      <c r="R332" s="294">
        <v>0</v>
      </c>
      <c r="S332" s="294">
        <v>0</v>
      </c>
      <c r="T332" s="294">
        <v>0</v>
      </c>
      <c r="U332" s="294">
        <v>0</v>
      </c>
      <c r="V332" s="294">
        <v>0</v>
      </c>
      <c r="W332" s="295">
        <f t="shared" si="14"/>
        <v>0</v>
      </c>
      <c r="AI332" s="276"/>
    </row>
    <row r="333" spans="1:35" ht="15" customHeight="1">
      <c r="A333" s="604"/>
      <c r="B333" s="318" t="s">
        <v>937</v>
      </c>
      <c r="C333" s="294">
        <v>0</v>
      </c>
      <c r="D333" s="294">
        <v>0</v>
      </c>
      <c r="E333" s="294">
        <v>0</v>
      </c>
      <c r="F333" s="294">
        <v>0</v>
      </c>
      <c r="G333" s="294">
        <v>0</v>
      </c>
      <c r="H333" s="294">
        <v>0</v>
      </c>
      <c r="I333" s="294">
        <v>0</v>
      </c>
      <c r="J333" s="294">
        <v>0</v>
      </c>
      <c r="K333" s="294">
        <v>0</v>
      </c>
      <c r="L333" s="294">
        <v>0</v>
      </c>
      <c r="M333" s="294">
        <v>0</v>
      </c>
      <c r="N333" s="294">
        <v>0</v>
      </c>
      <c r="O333" s="294">
        <v>0</v>
      </c>
      <c r="P333" s="294">
        <v>0</v>
      </c>
      <c r="Q333" s="294">
        <v>0</v>
      </c>
      <c r="R333" s="294">
        <v>0</v>
      </c>
      <c r="S333" s="294">
        <v>0</v>
      </c>
      <c r="T333" s="294">
        <v>0</v>
      </c>
      <c r="U333" s="294">
        <v>0</v>
      </c>
      <c r="V333" s="294">
        <v>0</v>
      </c>
      <c r="W333" s="295">
        <f t="shared" si="14"/>
        <v>0</v>
      </c>
      <c r="AI333" s="276"/>
    </row>
    <row r="334" spans="1:35" ht="15" customHeight="1">
      <c r="A334" s="604"/>
      <c r="B334" s="318" t="s">
        <v>938</v>
      </c>
      <c r="C334" s="294">
        <v>0</v>
      </c>
      <c r="D334" s="294">
        <v>0</v>
      </c>
      <c r="E334" s="294">
        <v>0</v>
      </c>
      <c r="F334" s="294">
        <v>0</v>
      </c>
      <c r="G334" s="294">
        <v>0</v>
      </c>
      <c r="H334" s="294">
        <v>0</v>
      </c>
      <c r="I334" s="294">
        <v>0</v>
      </c>
      <c r="J334" s="294">
        <v>0</v>
      </c>
      <c r="K334" s="294">
        <v>0</v>
      </c>
      <c r="L334" s="294">
        <v>0</v>
      </c>
      <c r="M334" s="294">
        <v>0</v>
      </c>
      <c r="N334" s="294">
        <v>0</v>
      </c>
      <c r="O334" s="294">
        <v>0</v>
      </c>
      <c r="P334" s="294">
        <v>0</v>
      </c>
      <c r="Q334" s="294">
        <v>0</v>
      </c>
      <c r="R334" s="294">
        <v>0</v>
      </c>
      <c r="S334" s="294">
        <v>0</v>
      </c>
      <c r="T334" s="294">
        <v>0</v>
      </c>
      <c r="U334" s="294">
        <v>0</v>
      </c>
      <c r="V334" s="294">
        <v>0</v>
      </c>
      <c r="W334" s="295">
        <f t="shared" si="14"/>
        <v>0</v>
      </c>
      <c r="AI334" s="276"/>
    </row>
    <row r="335" spans="1:35" ht="15" customHeight="1">
      <c r="A335" s="604"/>
      <c r="B335" s="318" t="s">
        <v>939</v>
      </c>
      <c r="C335" s="294">
        <v>0</v>
      </c>
      <c r="D335" s="294">
        <v>0</v>
      </c>
      <c r="E335" s="294">
        <v>0</v>
      </c>
      <c r="F335" s="294">
        <v>0</v>
      </c>
      <c r="G335" s="294">
        <v>0</v>
      </c>
      <c r="H335" s="294">
        <v>0</v>
      </c>
      <c r="I335" s="294">
        <v>0</v>
      </c>
      <c r="J335" s="294">
        <v>0</v>
      </c>
      <c r="K335" s="294">
        <v>0</v>
      </c>
      <c r="L335" s="294">
        <v>0</v>
      </c>
      <c r="M335" s="294">
        <v>0</v>
      </c>
      <c r="N335" s="294">
        <v>0</v>
      </c>
      <c r="O335" s="294">
        <v>0</v>
      </c>
      <c r="P335" s="294">
        <v>0</v>
      </c>
      <c r="Q335" s="294">
        <v>0</v>
      </c>
      <c r="R335" s="294">
        <v>0</v>
      </c>
      <c r="S335" s="294">
        <v>0</v>
      </c>
      <c r="T335" s="294">
        <v>0</v>
      </c>
      <c r="U335" s="294">
        <v>0</v>
      </c>
      <c r="V335" s="294">
        <v>0</v>
      </c>
      <c r="W335" s="295">
        <f t="shared" si="14"/>
        <v>0</v>
      </c>
      <c r="AI335" s="276"/>
    </row>
    <row r="336" spans="1:35" ht="15" customHeight="1">
      <c r="A336" s="604"/>
      <c r="B336" s="318" t="s">
        <v>940</v>
      </c>
      <c r="C336" s="294">
        <v>0</v>
      </c>
      <c r="D336" s="294">
        <v>0</v>
      </c>
      <c r="E336" s="294">
        <v>0</v>
      </c>
      <c r="F336" s="294">
        <v>0</v>
      </c>
      <c r="G336" s="294">
        <v>0</v>
      </c>
      <c r="H336" s="294">
        <v>0</v>
      </c>
      <c r="I336" s="294">
        <v>0</v>
      </c>
      <c r="J336" s="294">
        <v>0</v>
      </c>
      <c r="K336" s="294">
        <v>0</v>
      </c>
      <c r="L336" s="294">
        <v>0</v>
      </c>
      <c r="M336" s="294">
        <v>0</v>
      </c>
      <c r="N336" s="294">
        <v>0</v>
      </c>
      <c r="O336" s="294">
        <v>0</v>
      </c>
      <c r="P336" s="294">
        <v>0</v>
      </c>
      <c r="Q336" s="294">
        <v>0</v>
      </c>
      <c r="R336" s="294">
        <v>0</v>
      </c>
      <c r="S336" s="294">
        <v>0</v>
      </c>
      <c r="T336" s="294">
        <v>0</v>
      </c>
      <c r="U336" s="294">
        <v>0</v>
      </c>
      <c r="V336" s="294">
        <v>0</v>
      </c>
      <c r="W336" s="295">
        <f t="shared" si="14"/>
        <v>0</v>
      </c>
      <c r="AI336" s="276"/>
    </row>
    <row r="337" spans="1:35" ht="15" customHeight="1" thickBot="1">
      <c r="A337" s="605"/>
      <c r="B337" s="318" t="s">
        <v>941</v>
      </c>
      <c r="C337" s="294">
        <v>0</v>
      </c>
      <c r="D337" s="294">
        <v>0</v>
      </c>
      <c r="E337" s="294">
        <v>0</v>
      </c>
      <c r="F337" s="294">
        <v>0</v>
      </c>
      <c r="G337" s="294">
        <v>0</v>
      </c>
      <c r="H337" s="294">
        <v>0</v>
      </c>
      <c r="I337" s="294">
        <v>0</v>
      </c>
      <c r="J337" s="294">
        <v>0</v>
      </c>
      <c r="K337" s="294">
        <v>0</v>
      </c>
      <c r="L337" s="294">
        <v>0</v>
      </c>
      <c r="M337" s="294">
        <v>0</v>
      </c>
      <c r="N337" s="294">
        <v>0</v>
      </c>
      <c r="O337" s="294">
        <v>0</v>
      </c>
      <c r="P337" s="294">
        <v>0</v>
      </c>
      <c r="Q337" s="294">
        <v>0</v>
      </c>
      <c r="R337" s="294">
        <v>0</v>
      </c>
      <c r="S337" s="294">
        <v>0</v>
      </c>
      <c r="T337" s="294">
        <v>0</v>
      </c>
      <c r="U337" s="294">
        <v>0</v>
      </c>
      <c r="V337" s="294">
        <v>0</v>
      </c>
      <c r="W337" s="295">
        <f t="shared" si="14"/>
        <v>0</v>
      </c>
      <c r="AI337" s="276"/>
    </row>
    <row r="338" spans="1:35" ht="15" customHeight="1">
      <c r="A338" s="604" t="s">
        <v>943</v>
      </c>
      <c r="B338" s="318" t="s">
        <v>648</v>
      </c>
      <c r="C338" s="294">
        <v>0</v>
      </c>
      <c r="D338" s="294">
        <v>0</v>
      </c>
      <c r="E338" s="294">
        <v>0</v>
      </c>
      <c r="F338" s="294">
        <v>0</v>
      </c>
      <c r="G338" s="294">
        <v>0</v>
      </c>
      <c r="H338" s="294">
        <v>0</v>
      </c>
      <c r="I338" s="294">
        <v>0</v>
      </c>
      <c r="J338" s="294">
        <v>0</v>
      </c>
      <c r="K338" s="294">
        <v>0</v>
      </c>
      <c r="L338" s="294">
        <v>0</v>
      </c>
      <c r="M338" s="294">
        <v>0</v>
      </c>
      <c r="N338" s="294">
        <v>0</v>
      </c>
      <c r="O338" s="294">
        <v>0</v>
      </c>
      <c r="P338" s="294">
        <v>0</v>
      </c>
      <c r="Q338" s="294">
        <v>0</v>
      </c>
      <c r="R338" s="294">
        <v>0</v>
      </c>
      <c r="S338" s="294">
        <v>0</v>
      </c>
      <c r="T338" s="294">
        <v>0</v>
      </c>
      <c r="U338" s="294">
        <v>0</v>
      </c>
      <c r="V338" s="294">
        <v>0</v>
      </c>
      <c r="W338" s="295">
        <f t="shared" si="14"/>
        <v>0</v>
      </c>
      <c r="AI338" s="276"/>
    </row>
    <row r="339" spans="1:35" ht="15" customHeight="1">
      <c r="A339" s="604"/>
      <c r="B339" s="318" t="s">
        <v>649</v>
      </c>
      <c r="C339" s="294">
        <v>0</v>
      </c>
      <c r="D339" s="294">
        <v>0</v>
      </c>
      <c r="E339" s="294">
        <v>0</v>
      </c>
      <c r="F339" s="294">
        <v>0</v>
      </c>
      <c r="G339" s="294">
        <v>0</v>
      </c>
      <c r="H339" s="294">
        <v>0</v>
      </c>
      <c r="I339" s="294">
        <v>0</v>
      </c>
      <c r="J339" s="294">
        <v>0</v>
      </c>
      <c r="K339" s="294">
        <v>0</v>
      </c>
      <c r="L339" s="294">
        <v>0</v>
      </c>
      <c r="M339" s="294">
        <v>0</v>
      </c>
      <c r="N339" s="294">
        <v>0</v>
      </c>
      <c r="O339" s="294">
        <v>0</v>
      </c>
      <c r="P339" s="294">
        <v>0</v>
      </c>
      <c r="Q339" s="294">
        <v>0</v>
      </c>
      <c r="R339" s="294">
        <v>0</v>
      </c>
      <c r="S339" s="294">
        <v>0</v>
      </c>
      <c r="T339" s="294">
        <v>0</v>
      </c>
      <c r="U339" s="294">
        <v>0</v>
      </c>
      <c r="V339" s="294">
        <v>0</v>
      </c>
      <c r="W339" s="295">
        <f t="shared" si="14"/>
        <v>0</v>
      </c>
      <c r="AI339" s="276"/>
    </row>
    <row r="340" spans="1:35" ht="15" customHeight="1">
      <c r="A340" s="604"/>
      <c r="B340" s="318" t="s">
        <v>650</v>
      </c>
      <c r="C340" s="294">
        <v>0</v>
      </c>
      <c r="D340" s="294">
        <v>0</v>
      </c>
      <c r="E340" s="294">
        <v>0</v>
      </c>
      <c r="F340" s="294">
        <v>0</v>
      </c>
      <c r="G340" s="294">
        <v>0</v>
      </c>
      <c r="H340" s="294">
        <v>0</v>
      </c>
      <c r="I340" s="294">
        <v>0</v>
      </c>
      <c r="J340" s="294">
        <v>0</v>
      </c>
      <c r="K340" s="294">
        <v>0</v>
      </c>
      <c r="L340" s="294">
        <v>0</v>
      </c>
      <c r="M340" s="294">
        <v>0</v>
      </c>
      <c r="N340" s="294">
        <v>0</v>
      </c>
      <c r="O340" s="294">
        <v>0</v>
      </c>
      <c r="P340" s="294">
        <v>0</v>
      </c>
      <c r="Q340" s="294">
        <v>0</v>
      </c>
      <c r="R340" s="294">
        <v>0</v>
      </c>
      <c r="S340" s="294">
        <v>0</v>
      </c>
      <c r="T340" s="294">
        <v>0</v>
      </c>
      <c r="U340" s="294">
        <v>0</v>
      </c>
      <c r="V340" s="294">
        <v>0</v>
      </c>
      <c r="W340" s="295">
        <f t="shared" si="14"/>
        <v>0</v>
      </c>
      <c r="AI340" s="276"/>
    </row>
    <row r="341" spans="1:35" ht="15" customHeight="1">
      <c r="A341" s="604"/>
      <c r="B341" s="318" t="s">
        <v>651</v>
      </c>
      <c r="C341" s="294">
        <v>0</v>
      </c>
      <c r="D341" s="294">
        <v>0</v>
      </c>
      <c r="E341" s="294">
        <v>0</v>
      </c>
      <c r="F341" s="294">
        <v>0</v>
      </c>
      <c r="G341" s="294">
        <v>0</v>
      </c>
      <c r="H341" s="294">
        <v>0</v>
      </c>
      <c r="I341" s="294">
        <v>0</v>
      </c>
      <c r="J341" s="294">
        <v>0</v>
      </c>
      <c r="K341" s="294">
        <v>0</v>
      </c>
      <c r="L341" s="294">
        <v>0</v>
      </c>
      <c r="M341" s="294">
        <v>0</v>
      </c>
      <c r="N341" s="294">
        <v>0</v>
      </c>
      <c r="O341" s="294">
        <v>0</v>
      </c>
      <c r="P341" s="294">
        <v>0</v>
      </c>
      <c r="Q341" s="294">
        <v>0</v>
      </c>
      <c r="R341" s="294">
        <v>0</v>
      </c>
      <c r="S341" s="294">
        <v>0</v>
      </c>
      <c r="T341" s="294">
        <v>0</v>
      </c>
      <c r="U341" s="294">
        <v>0</v>
      </c>
      <c r="V341" s="294">
        <v>0</v>
      </c>
      <c r="W341" s="295">
        <f t="shared" si="14"/>
        <v>0</v>
      </c>
      <c r="AI341" s="276"/>
    </row>
    <row r="342" spans="1:35" ht="15" customHeight="1">
      <c r="A342" s="604"/>
      <c r="B342" s="318" t="s">
        <v>652</v>
      </c>
      <c r="C342" s="294">
        <v>0</v>
      </c>
      <c r="D342" s="294">
        <v>0</v>
      </c>
      <c r="E342" s="294">
        <v>0</v>
      </c>
      <c r="F342" s="294">
        <v>0</v>
      </c>
      <c r="G342" s="294">
        <v>0</v>
      </c>
      <c r="H342" s="294">
        <v>0</v>
      </c>
      <c r="I342" s="294">
        <v>0</v>
      </c>
      <c r="J342" s="294">
        <v>0</v>
      </c>
      <c r="K342" s="294">
        <v>0</v>
      </c>
      <c r="L342" s="294">
        <v>0</v>
      </c>
      <c r="M342" s="294">
        <v>0</v>
      </c>
      <c r="N342" s="294">
        <v>0</v>
      </c>
      <c r="O342" s="294">
        <v>0</v>
      </c>
      <c r="P342" s="294">
        <v>0</v>
      </c>
      <c r="Q342" s="294">
        <v>0</v>
      </c>
      <c r="R342" s="294">
        <v>0</v>
      </c>
      <c r="S342" s="294">
        <v>0</v>
      </c>
      <c r="T342" s="294">
        <v>0</v>
      </c>
      <c r="U342" s="294">
        <v>0</v>
      </c>
      <c r="V342" s="294">
        <v>0</v>
      </c>
      <c r="W342" s="295">
        <f t="shared" si="14"/>
        <v>0</v>
      </c>
      <c r="AI342" s="276"/>
    </row>
    <row r="343" spans="1:35" ht="15" customHeight="1">
      <c r="A343" s="604"/>
      <c r="B343" s="318" t="s">
        <v>653</v>
      </c>
      <c r="C343" s="294">
        <v>0</v>
      </c>
      <c r="D343" s="294">
        <v>0</v>
      </c>
      <c r="E343" s="294">
        <v>0</v>
      </c>
      <c r="F343" s="294">
        <v>0</v>
      </c>
      <c r="G343" s="294">
        <v>0</v>
      </c>
      <c r="H343" s="294">
        <v>0</v>
      </c>
      <c r="I343" s="294">
        <v>0</v>
      </c>
      <c r="J343" s="294">
        <v>0</v>
      </c>
      <c r="K343" s="294">
        <v>0</v>
      </c>
      <c r="L343" s="294">
        <v>0</v>
      </c>
      <c r="M343" s="294">
        <v>0</v>
      </c>
      <c r="N343" s="294">
        <v>0</v>
      </c>
      <c r="O343" s="294">
        <v>0</v>
      </c>
      <c r="P343" s="294">
        <v>0</v>
      </c>
      <c r="Q343" s="294">
        <v>0</v>
      </c>
      <c r="R343" s="294">
        <v>0</v>
      </c>
      <c r="S343" s="294">
        <v>0</v>
      </c>
      <c r="T343" s="294">
        <v>0</v>
      </c>
      <c r="U343" s="294">
        <v>0</v>
      </c>
      <c r="V343" s="294">
        <v>0</v>
      </c>
      <c r="W343" s="295">
        <f t="shared" si="14"/>
        <v>0</v>
      </c>
      <c r="AI343" s="276"/>
    </row>
    <row r="344" spans="1:35" ht="15" customHeight="1">
      <c r="A344" s="604"/>
      <c r="B344" s="318" t="s">
        <v>654</v>
      </c>
      <c r="C344" s="294">
        <v>0</v>
      </c>
      <c r="D344" s="294">
        <v>0</v>
      </c>
      <c r="E344" s="294">
        <v>0</v>
      </c>
      <c r="F344" s="294">
        <v>0</v>
      </c>
      <c r="G344" s="294">
        <v>0</v>
      </c>
      <c r="H344" s="294">
        <v>0</v>
      </c>
      <c r="I344" s="294">
        <v>0</v>
      </c>
      <c r="J344" s="294">
        <v>0</v>
      </c>
      <c r="K344" s="294">
        <v>0</v>
      </c>
      <c r="L344" s="294">
        <v>0</v>
      </c>
      <c r="M344" s="294">
        <v>0</v>
      </c>
      <c r="N344" s="294">
        <v>0</v>
      </c>
      <c r="O344" s="294">
        <v>0</v>
      </c>
      <c r="P344" s="294">
        <v>0</v>
      </c>
      <c r="Q344" s="294">
        <v>0</v>
      </c>
      <c r="R344" s="294">
        <v>0</v>
      </c>
      <c r="S344" s="294">
        <v>0</v>
      </c>
      <c r="T344" s="294">
        <v>0</v>
      </c>
      <c r="U344" s="294">
        <v>0</v>
      </c>
      <c r="V344" s="294">
        <v>0</v>
      </c>
      <c r="W344" s="295">
        <f t="shared" si="14"/>
        <v>0</v>
      </c>
      <c r="AI344" s="276"/>
    </row>
    <row r="345" spans="1:35" ht="15" customHeight="1">
      <c r="A345" s="604"/>
      <c r="B345" s="318" t="s">
        <v>655</v>
      </c>
      <c r="C345" s="294">
        <v>0</v>
      </c>
      <c r="D345" s="294">
        <v>0</v>
      </c>
      <c r="E345" s="294">
        <v>0</v>
      </c>
      <c r="F345" s="294">
        <v>0</v>
      </c>
      <c r="G345" s="294">
        <v>0</v>
      </c>
      <c r="H345" s="294">
        <v>0</v>
      </c>
      <c r="I345" s="294">
        <v>0</v>
      </c>
      <c r="J345" s="294">
        <v>0</v>
      </c>
      <c r="K345" s="294">
        <v>0</v>
      </c>
      <c r="L345" s="294">
        <v>0</v>
      </c>
      <c r="M345" s="294">
        <v>0</v>
      </c>
      <c r="N345" s="294">
        <v>0</v>
      </c>
      <c r="O345" s="294">
        <v>0</v>
      </c>
      <c r="P345" s="294">
        <v>0</v>
      </c>
      <c r="Q345" s="294">
        <v>0</v>
      </c>
      <c r="R345" s="294">
        <v>0</v>
      </c>
      <c r="S345" s="294">
        <v>0</v>
      </c>
      <c r="T345" s="294">
        <v>0</v>
      </c>
      <c r="U345" s="294">
        <v>0</v>
      </c>
      <c r="V345" s="294">
        <v>0</v>
      </c>
      <c r="W345" s="295">
        <f t="shared" si="14"/>
        <v>0</v>
      </c>
      <c r="AI345" s="276"/>
    </row>
    <row r="346" spans="1:35" ht="15" customHeight="1">
      <c r="A346" s="604"/>
      <c r="B346" s="318" t="s">
        <v>656</v>
      </c>
      <c r="C346" s="294">
        <v>0</v>
      </c>
      <c r="D346" s="294">
        <v>0</v>
      </c>
      <c r="E346" s="294">
        <v>0</v>
      </c>
      <c r="F346" s="294">
        <v>0</v>
      </c>
      <c r="G346" s="294">
        <v>0</v>
      </c>
      <c r="H346" s="294">
        <v>0</v>
      </c>
      <c r="I346" s="294">
        <v>0</v>
      </c>
      <c r="J346" s="294">
        <v>0</v>
      </c>
      <c r="K346" s="294">
        <v>0</v>
      </c>
      <c r="L346" s="294">
        <v>0</v>
      </c>
      <c r="M346" s="294">
        <v>0</v>
      </c>
      <c r="N346" s="294">
        <v>0</v>
      </c>
      <c r="O346" s="294">
        <v>0</v>
      </c>
      <c r="P346" s="294">
        <v>0</v>
      </c>
      <c r="Q346" s="294">
        <v>0</v>
      </c>
      <c r="R346" s="294">
        <v>0</v>
      </c>
      <c r="S346" s="294">
        <v>0</v>
      </c>
      <c r="T346" s="294">
        <v>0</v>
      </c>
      <c r="U346" s="294">
        <v>0</v>
      </c>
      <c r="V346" s="294">
        <v>0</v>
      </c>
      <c r="W346" s="295">
        <f t="shared" si="14"/>
        <v>0</v>
      </c>
      <c r="AI346" s="276"/>
    </row>
    <row r="347" spans="1:35" ht="15" customHeight="1">
      <c r="A347" s="604"/>
      <c r="B347" s="318" t="s">
        <v>657</v>
      </c>
      <c r="C347" s="294">
        <v>0</v>
      </c>
      <c r="D347" s="294">
        <v>0</v>
      </c>
      <c r="E347" s="294">
        <v>0</v>
      </c>
      <c r="F347" s="294">
        <v>0</v>
      </c>
      <c r="G347" s="294">
        <v>0</v>
      </c>
      <c r="H347" s="294">
        <v>0</v>
      </c>
      <c r="I347" s="294">
        <v>0</v>
      </c>
      <c r="J347" s="294">
        <v>0</v>
      </c>
      <c r="K347" s="294">
        <v>0</v>
      </c>
      <c r="L347" s="294">
        <v>0</v>
      </c>
      <c r="M347" s="294">
        <v>0</v>
      </c>
      <c r="N347" s="294">
        <v>0</v>
      </c>
      <c r="O347" s="294">
        <v>0</v>
      </c>
      <c r="P347" s="294">
        <v>0</v>
      </c>
      <c r="Q347" s="294">
        <v>0</v>
      </c>
      <c r="R347" s="294">
        <v>0</v>
      </c>
      <c r="S347" s="294">
        <v>0</v>
      </c>
      <c r="T347" s="294">
        <v>0</v>
      </c>
      <c r="U347" s="294">
        <v>0</v>
      </c>
      <c r="V347" s="294">
        <v>0</v>
      </c>
      <c r="W347" s="295">
        <f t="shared" si="14"/>
        <v>0</v>
      </c>
      <c r="AI347" s="276"/>
    </row>
    <row r="348" spans="1:35" ht="15" customHeight="1">
      <c r="A348" s="604"/>
      <c r="B348" s="318" t="s">
        <v>658</v>
      </c>
      <c r="C348" s="294">
        <v>0</v>
      </c>
      <c r="D348" s="294">
        <v>0</v>
      </c>
      <c r="E348" s="294">
        <v>0</v>
      </c>
      <c r="F348" s="294">
        <v>0</v>
      </c>
      <c r="G348" s="294">
        <v>0</v>
      </c>
      <c r="H348" s="294">
        <v>0</v>
      </c>
      <c r="I348" s="294">
        <v>0</v>
      </c>
      <c r="J348" s="294">
        <v>0</v>
      </c>
      <c r="K348" s="294">
        <v>0</v>
      </c>
      <c r="L348" s="294">
        <v>0</v>
      </c>
      <c r="M348" s="294">
        <v>0</v>
      </c>
      <c r="N348" s="294">
        <v>0</v>
      </c>
      <c r="O348" s="294">
        <v>0</v>
      </c>
      <c r="P348" s="294">
        <v>0</v>
      </c>
      <c r="Q348" s="294">
        <v>0</v>
      </c>
      <c r="R348" s="294">
        <v>0</v>
      </c>
      <c r="S348" s="294">
        <v>0</v>
      </c>
      <c r="T348" s="294">
        <v>0</v>
      </c>
      <c r="U348" s="294">
        <v>0</v>
      </c>
      <c r="V348" s="294">
        <v>0</v>
      </c>
      <c r="W348" s="295">
        <f t="shared" si="14"/>
        <v>0</v>
      </c>
      <c r="AI348" s="276"/>
    </row>
    <row r="349" spans="1:35" ht="15" customHeight="1">
      <c r="A349" s="604"/>
      <c r="B349" s="318" t="s">
        <v>659</v>
      </c>
      <c r="C349" s="294">
        <v>0</v>
      </c>
      <c r="D349" s="294">
        <v>0</v>
      </c>
      <c r="E349" s="294">
        <v>0</v>
      </c>
      <c r="F349" s="294">
        <v>0</v>
      </c>
      <c r="G349" s="294">
        <v>0</v>
      </c>
      <c r="H349" s="294">
        <v>0</v>
      </c>
      <c r="I349" s="294">
        <v>0</v>
      </c>
      <c r="J349" s="294">
        <v>0</v>
      </c>
      <c r="K349" s="294">
        <v>0</v>
      </c>
      <c r="L349" s="294">
        <v>0</v>
      </c>
      <c r="M349" s="294">
        <v>0</v>
      </c>
      <c r="N349" s="294">
        <v>0</v>
      </c>
      <c r="O349" s="294">
        <v>0</v>
      </c>
      <c r="P349" s="294">
        <v>0</v>
      </c>
      <c r="Q349" s="294">
        <v>0</v>
      </c>
      <c r="R349" s="294">
        <v>0</v>
      </c>
      <c r="S349" s="294">
        <v>0</v>
      </c>
      <c r="T349" s="294">
        <v>0</v>
      </c>
      <c r="U349" s="294">
        <v>0</v>
      </c>
      <c r="V349" s="294">
        <v>0</v>
      </c>
      <c r="W349" s="295">
        <f t="shared" si="14"/>
        <v>0</v>
      </c>
      <c r="AI349" s="276"/>
    </row>
    <row r="350" spans="1:35" ht="15" customHeight="1">
      <c r="A350" s="604"/>
      <c r="B350" s="318" t="s">
        <v>660</v>
      </c>
      <c r="C350" s="294">
        <v>0</v>
      </c>
      <c r="D350" s="294">
        <v>0</v>
      </c>
      <c r="E350" s="294">
        <v>0</v>
      </c>
      <c r="F350" s="294">
        <v>0</v>
      </c>
      <c r="G350" s="294">
        <v>0</v>
      </c>
      <c r="H350" s="294">
        <v>0</v>
      </c>
      <c r="I350" s="294">
        <v>0</v>
      </c>
      <c r="J350" s="294">
        <v>0</v>
      </c>
      <c r="K350" s="294">
        <v>0</v>
      </c>
      <c r="L350" s="294">
        <v>0</v>
      </c>
      <c r="M350" s="294">
        <v>0</v>
      </c>
      <c r="N350" s="294">
        <v>0</v>
      </c>
      <c r="O350" s="294">
        <v>0</v>
      </c>
      <c r="P350" s="294">
        <v>0</v>
      </c>
      <c r="Q350" s="294">
        <v>0</v>
      </c>
      <c r="R350" s="294">
        <v>0</v>
      </c>
      <c r="S350" s="294">
        <v>0</v>
      </c>
      <c r="T350" s="294">
        <v>0</v>
      </c>
      <c r="U350" s="294">
        <v>0</v>
      </c>
      <c r="V350" s="294">
        <v>0</v>
      </c>
      <c r="W350" s="295">
        <f t="shared" si="14"/>
        <v>0</v>
      </c>
      <c r="AI350" s="276"/>
    </row>
    <row r="351" spans="1:35" ht="15" customHeight="1">
      <c r="A351" s="604"/>
      <c r="B351" s="318" t="s">
        <v>661</v>
      </c>
      <c r="C351" s="294">
        <v>0</v>
      </c>
      <c r="D351" s="294">
        <v>0</v>
      </c>
      <c r="E351" s="294">
        <v>0</v>
      </c>
      <c r="F351" s="294">
        <v>0</v>
      </c>
      <c r="G351" s="294">
        <v>0</v>
      </c>
      <c r="H351" s="294">
        <v>0</v>
      </c>
      <c r="I351" s="294">
        <v>0</v>
      </c>
      <c r="J351" s="294">
        <v>0</v>
      </c>
      <c r="K351" s="294">
        <v>0</v>
      </c>
      <c r="L351" s="294">
        <v>0</v>
      </c>
      <c r="M351" s="294">
        <v>0</v>
      </c>
      <c r="N351" s="294">
        <v>0</v>
      </c>
      <c r="O351" s="294">
        <v>0</v>
      </c>
      <c r="P351" s="294">
        <v>0</v>
      </c>
      <c r="Q351" s="294">
        <v>0</v>
      </c>
      <c r="R351" s="294">
        <v>0</v>
      </c>
      <c r="S351" s="294">
        <v>0</v>
      </c>
      <c r="T351" s="294">
        <v>0</v>
      </c>
      <c r="U351" s="294">
        <v>0</v>
      </c>
      <c r="V351" s="294">
        <v>0</v>
      </c>
      <c r="W351" s="295">
        <f t="shared" si="14"/>
        <v>0</v>
      </c>
      <c r="AI351" s="276"/>
    </row>
    <row r="352" spans="1:35" ht="15" customHeight="1">
      <c r="A352" s="604"/>
      <c r="B352" s="318" t="s">
        <v>662</v>
      </c>
      <c r="C352" s="294">
        <v>0</v>
      </c>
      <c r="D352" s="294">
        <v>0</v>
      </c>
      <c r="E352" s="294">
        <v>0</v>
      </c>
      <c r="F352" s="294">
        <v>0</v>
      </c>
      <c r="G352" s="294">
        <v>0</v>
      </c>
      <c r="H352" s="294">
        <v>0</v>
      </c>
      <c r="I352" s="294">
        <v>0</v>
      </c>
      <c r="J352" s="294">
        <v>0</v>
      </c>
      <c r="K352" s="294">
        <v>0</v>
      </c>
      <c r="L352" s="294">
        <v>0</v>
      </c>
      <c r="M352" s="294">
        <v>0</v>
      </c>
      <c r="N352" s="294">
        <v>0</v>
      </c>
      <c r="O352" s="294">
        <v>0</v>
      </c>
      <c r="P352" s="294">
        <v>0</v>
      </c>
      <c r="Q352" s="294">
        <v>0</v>
      </c>
      <c r="R352" s="294">
        <v>0</v>
      </c>
      <c r="S352" s="294">
        <v>0</v>
      </c>
      <c r="T352" s="294">
        <v>0</v>
      </c>
      <c r="U352" s="294">
        <v>0</v>
      </c>
      <c r="V352" s="294">
        <v>0</v>
      </c>
      <c r="W352" s="295">
        <f t="shared" si="14"/>
        <v>0</v>
      </c>
      <c r="AI352" s="276"/>
    </row>
    <row r="353" spans="1:35" ht="15" customHeight="1">
      <c r="A353" s="604"/>
      <c r="B353" s="318" t="s">
        <v>663</v>
      </c>
      <c r="C353" s="294">
        <v>0</v>
      </c>
      <c r="D353" s="294">
        <v>0</v>
      </c>
      <c r="E353" s="294">
        <v>0</v>
      </c>
      <c r="F353" s="294">
        <v>0</v>
      </c>
      <c r="G353" s="294">
        <v>0</v>
      </c>
      <c r="H353" s="294">
        <v>0</v>
      </c>
      <c r="I353" s="294">
        <v>0</v>
      </c>
      <c r="J353" s="294">
        <v>0</v>
      </c>
      <c r="K353" s="294">
        <v>0</v>
      </c>
      <c r="L353" s="294">
        <v>0</v>
      </c>
      <c r="M353" s="294">
        <v>0</v>
      </c>
      <c r="N353" s="294">
        <v>0</v>
      </c>
      <c r="O353" s="294">
        <v>0</v>
      </c>
      <c r="P353" s="294">
        <v>0</v>
      </c>
      <c r="Q353" s="294">
        <v>0</v>
      </c>
      <c r="R353" s="294">
        <v>0</v>
      </c>
      <c r="S353" s="294">
        <v>0</v>
      </c>
      <c r="T353" s="294">
        <v>0</v>
      </c>
      <c r="U353" s="294">
        <v>0</v>
      </c>
      <c r="V353" s="294">
        <v>0</v>
      </c>
      <c r="W353" s="295">
        <f t="shared" si="14"/>
        <v>0</v>
      </c>
      <c r="AI353" s="276"/>
    </row>
    <row r="354" spans="1:35" ht="15" customHeight="1">
      <c r="A354" s="604"/>
      <c r="B354" s="318" t="s">
        <v>664</v>
      </c>
      <c r="C354" s="294">
        <v>0</v>
      </c>
      <c r="D354" s="294">
        <v>0</v>
      </c>
      <c r="E354" s="294">
        <v>0</v>
      </c>
      <c r="F354" s="294">
        <v>0</v>
      </c>
      <c r="G354" s="294">
        <v>0</v>
      </c>
      <c r="H354" s="294">
        <v>0</v>
      </c>
      <c r="I354" s="294">
        <v>0</v>
      </c>
      <c r="J354" s="294">
        <v>0</v>
      </c>
      <c r="K354" s="294">
        <v>0</v>
      </c>
      <c r="L354" s="294">
        <v>0</v>
      </c>
      <c r="M354" s="294">
        <v>0</v>
      </c>
      <c r="N354" s="294">
        <v>0</v>
      </c>
      <c r="O354" s="294">
        <v>0</v>
      </c>
      <c r="P354" s="294">
        <v>0</v>
      </c>
      <c r="Q354" s="294">
        <v>0</v>
      </c>
      <c r="R354" s="294">
        <v>0</v>
      </c>
      <c r="S354" s="294">
        <v>0</v>
      </c>
      <c r="T354" s="294">
        <v>0</v>
      </c>
      <c r="U354" s="294">
        <v>0</v>
      </c>
      <c r="V354" s="294">
        <v>0</v>
      </c>
      <c r="W354" s="295">
        <f t="shared" si="14"/>
        <v>0</v>
      </c>
      <c r="AI354" s="276"/>
    </row>
    <row r="355" spans="1:35" ht="15" customHeight="1">
      <c r="A355" s="604"/>
      <c r="B355" s="318" t="s">
        <v>936</v>
      </c>
      <c r="C355" s="294">
        <v>0</v>
      </c>
      <c r="D355" s="294">
        <v>0</v>
      </c>
      <c r="E355" s="294">
        <v>0</v>
      </c>
      <c r="F355" s="294">
        <v>0</v>
      </c>
      <c r="G355" s="294">
        <v>0</v>
      </c>
      <c r="H355" s="294">
        <v>0</v>
      </c>
      <c r="I355" s="294">
        <v>0</v>
      </c>
      <c r="J355" s="294">
        <v>0</v>
      </c>
      <c r="K355" s="294">
        <v>0</v>
      </c>
      <c r="L355" s="294">
        <v>0</v>
      </c>
      <c r="M355" s="294">
        <v>0</v>
      </c>
      <c r="N355" s="294">
        <v>0</v>
      </c>
      <c r="O355" s="294">
        <v>0</v>
      </c>
      <c r="P355" s="294">
        <v>0</v>
      </c>
      <c r="Q355" s="294">
        <v>0</v>
      </c>
      <c r="R355" s="294">
        <v>0</v>
      </c>
      <c r="S355" s="294">
        <v>0</v>
      </c>
      <c r="T355" s="294">
        <v>0</v>
      </c>
      <c r="U355" s="294">
        <v>0</v>
      </c>
      <c r="V355" s="294">
        <v>0</v>
      </c>
      <c r="W355" s="295">
        <f t="shared" si="14"/>
        <v>0</v>
      </c>
      <c r="AI355" s="276"/>
    </row>
    <row r="356" spans="1:35" ht="15" customHeight="1">
      <c r="A356" s="604"/>
      <c r="B356" s="318" t="s">
        <v>937</v>
      </c>
      <c r="C356" s="294">
        <v>0</v>
      </c>
      <c r="D356" s="294">
        <v>0</v>
      </c>
      <c r="E356" s="294">
        <v>0</v>
      </c>
      <c r="F356" s="294">
        <v>0</v>
      </c>
      <c r="G356" s="294">
        <v>0</v>
      </c>
      <c r="H356" s="294">
        <v>0</v>
      </c>
      <c r="I356" s="294">
        <v>0</v>
      </c>
      <c r="J356" s="294">
        <v>0</v>
      </c>
      <c r="K356" s="294">
        <v>0</v>
      </c>
      <c r="L356" s="294">
        <v>0</v>
      </c>
      <c r="M356" s="294">
        <v>0</v>
      </c>
      <c r="N356" s="294">
        <v>0</v>
      </c>
      <c r="O356" s="294">
        <v>0</v>
      </c>
      <c r="P356" s="294">
        <v>0</v>
      </c>
      <c r="Q356" s="294">
        <v>0</v>
      </c>
      <c r="R356" s="294">
        <v>0</v>
      </c>
      <c r="S356" s="294">
        <v>0</v>
      </c>
      <c r="T356" s="294">
        <v>0</v>
      </c>
      <c r="U356" s="294">
        <v>0</v>
      </c>
      <c r="V356" s="294">
        <v>0</v>
      </c>
      <c r="W356" s="295">
        <f t="shared" si="14"/>
        <v>0</v>
      </c>
      <c r="AI356" s="276"/>
    </row>
    <row r="357" spans="1:35" ht="15" customHeight="1">
      <c r="A357" s="604"/>
      <c r="B357" s="318" t="s">
        <v>938</v>
      </c>
      <c r="C357" s="294">
        <v>0</v>
      </c>
      <c r="D357" s="294">
        <v>0</v>
      </c>
      <c r="E357" s="294">
        <v>0</v>
      </c>
      <c r="F357" s="294">
        <v>0</v>
      </c>
      <c r="G357" s="294">
        <v>0</v>
      </c>
      <c r="H357" s="294">
        <v>0</v>
      </c>
      <c r="I357" s="294">
        <v>0</v>
      </c>
      <c r="J357" s="294">
        <v>0</v>
      </c>
      <c r="K357" s="294">
        <v>0</v>
      </c>
      <c r="L357" s="294">
        <v>0</v>
      </c>
      <c r="M357" s="294">
        <v>0</v>
      </c>
      <c r="N357" s="294">
        <v>0</v>
      </c>
      <c r="O357" s="294">
        <v>0</v>
      </c>
      <c r="P357" s="294">
        <v>0</v>
      </c>
      <c r="Q357" s="294">
        <v>0</v>
      </c>
      <c r="R357" s="294">
        <v>0</v>
      </c>
      <c r="S357" s="294">
        <v>0</v>
      </c>
      <c r="T357" s="294">
        <v>0</v>
      </c>
      <c r="U357" s="294">
        <v>0</v>
      </c>
      <c r="V357" s="294">
        <v>0</v>
      </c>
      <c r="W357" s="295">
        <f t="shared" si="14"/>
        <v>0</v>
      </c>
      <c r="AI357" s="276"/>
    </row>
    <row r="358" spans="1:35" ht="15" customHeight="1" thickBot="1">
      <c r="A358" s="605"/>
      <c r="B358" s="318" t="s">
        <v>939</v>
      </c>
      <c r="C358" s="294">
        <v>0</v>
      </c>
      <c r="D358" s="294">
        <v>0</v>
      </c>
      <c r="E358" s="294">
        <v>0</v>
      </c>
      <c r="F358" s="294">
        <v>0</v>
      </c>
      <c r="G358" s="294">
        <v>0</v>
      </c>
      <c r="H358" s="294">
        <v>0</v>
      </c>
      <c r="I358" s="294">
        <v>0</v>
      </c>
      <c r="J358" s="294">
        <v>0</v>
      </c>
      <c r="K358" s="294">
        <v>0</v>
      </c>
      <c r="L358" s="294">
        <v>0</v>
      </c>
      <c r="M358" s="294">
        <v>0</v>
      </c>
      <c r="N358" s="294">
        <v>0</v>
      </c>
      <c r="O358" s="294">
        <v>0</v>
      </c>
      <c r="P358" s="294">
        <v>0</v>
      </c>
      <c r="Q358" s="294">
        <v>0</v>
      </c>
      <c r="R358" s="294">
        <v>0</v>
      </c>
      <c r="S358" s="294">
        <v>0</v>
      </c>
      <c r="T358" s="294">
        <v>0</v>
      </c>
      <c r="U358" s="294">
        <v>0</v>
      </c>
      <c r="V358" s="294">
        <v>0</v>
      </c>
      <c r="W358" s="295">
        <f t="shared" si="14"/>
        <v>0</v>
      </c>
      <c r="AI358" s="276"/>
    </row>
    <row r="359" spans="1:35" ht="20.100000000000001" customHeight="1" thickBot="1">
      <c r="A359" s="600" t="s">
        <v>755</v>
      </c>
      <c r="B359" s="601"/>
      <c r="C359" s="296"/>
      <c r="D359" s="296"/>
      <c r="E359" s="296"/>
      <c r="F359" s="296"/>
      <c r="G359" s="296"/>
      <c r="H359" s="296"/>
      <c r="I359" s="296"/>
      <c r="J359" s="296"/>
      <c r="K359" s="296"/>
      <c r="L359" s="296"/>
      <c r="M359" s="296"/>
      <c r="N359" s="296"/>
      <c r="O359" s="296"/>
      <c r="P359" s="296"/>
      <c r="Q359" s="296"/>
      <c r="R359" s="296"/>
      <c r="S359" s="296"/>
      <c r="T359" s="296"/>
      <c r="U359" s="296"/>
      <c r="V359" s="297"/>
      <c r="W359" s="560"/>
      <c r="AI359" s="276"/>
    </row>
    <row r="360" spans="1:35" ht="20.100000000000001" customHeight="1" thickBot="1">
      <c r="A360" s="600" t="s">
        <v>754</v>
      </c>
      <c r="B360" s="601"/>
      <c r="C360" s="296">
        <f t="shared" ref="C360:V360" si="15">+AVERAGE(C315:C358)</f>
        <v>0</v>
      </c>
      <c r="D360" s="296">
        <f t="shared" si="15"/>
        <v>0</v>
      </c>
      <c r="E360" s="296">
        <f t="shared" si="15"/>
        <v>0</v>
      </c>
      <c r="F360" s="296">
        <f t="shared" si="15"/>
        <v>0</v>
      </c>
      <c r="G360" s="296">
        <f t="shared" si="15"/>
        <v>0</v>
      </c>
      <c r="H360" s="296">
        <f t="shared" si="15"/>
        <v>0</v>
      </c>
      <c r="I360" s="296">
        <f t="shared" si="15"/>
        <v>0</v>
      </c>
      <c r="J360" s="296">
        <f t="shared" si="15"/>
        <v>0</v>
      </c>
      <c r="K360" s="296">
        <f t="shared" si="15"/>
        <v>0</v>
      </c>
      <c r="L360" s="296">
        <f t="shared" si="15"/>
        <v>0</v>
      </c>
      <c r="M360" s="296">
        <f t="shared" si="15"/>
        <v>0</v>
      </c>
      <c r="N360" s="296">
        <f t="shared" si="15"/>
        <v>0</v>
      </c>
      <c r="O360" s="296">
        <f t="shared" si="15"/>
        <v>0</v>
      </c>
      <c r="P360" s="296">
        <f t="shared" si="15"/>
        <v>0</v>
      </c>
      <c r="Q360" s="296">
        <f t="shared" si="15"/>
        <v>0</v>
      </c>
      <c r="R360" s="296">
        <f t="shared" si="15"/>
        <v>0</v>
      </c>
      <c r="S360" s="296">
        <f t="shared" si="15"/>
        <v>0</v>
      </c>
      <c r="T360" s="296">
        <f t="shared" si="15"/>
        <v>0</v>
      </c>
      <c r="U360" s="296">
        <f t="shared" si="15"/>
        <v>0</v>
      </c>
      <c r="V360" s="296">
        <f t="shared" si="15"/>
        <v>0</v>
      </c>
      <c r="W360" s="561"/>
      <c r="AI360" s="276"/>
    </row>
    <row r="361" spans="1:35" ht="20.100000000000001" customHeight="1" thickBot="1">
      <c r="A361" s="600" t="s">
        <v>762</v>
      </c>
      <c r="B361" s="602"/>
      <c r="C361" s="516">
        <f>AVERAGE(C360:V360)</f>
        <v>0</v>
      </c>
      <c r="D361" s="517"/>
      <c r="E361" s="517"/>
      <c r="F361" s="517"/>
      <c r="G361" s="517"/>
      <c r="H361" s="517"/>
      <c r="I361" s="517"/>
      <c r="J361" s="517"/>
      <c r="K361" s="517"/>
      <c r="L361" s="517"/>
      <c r="M361" s="517"/>
      <c r="N361" s="517"/>
      <c r="O361" s="517"/>
      <c r="P361" s="517"/>
      <c r="Q361" s="517"/>
      <c r="R361" s="516"/>
      <c r="S361" s="517"/>
      <c r="T361" s="517"/>
      <c r="U361" s="517"/>
      <c r="V361" s="517"/>
      <c r="W361" s="562"/>
      <c r="AI361" s="276"/>
    </row>
    <row r="362" spans="1:35" ht="15" customHeight="1">
      <c r="A362" s="606" t="s">
        <v>949</v>
      </c>
      <c r="B362" s="320" t="s">
        <v>665</v>
      </c>
      <c r="C362" s="301">
        <v>0</v>
      </c>
      <c r="D362" s="301">
        <v>0</v>
      </c>
      <c r="E362" s="301">
        <v>0</v>
      </c>
      <c r="F362" s="301">
        <v>0</v>
      </c>
      <c r="G362" s="301">
        <v>0</v>
      </c>
      <c r="H362" s="301">
        <v>0</v>
      </c>
      <c r="I362" s="301">
        <v>0</v>
      </c>
      <c r="J362" s="301">
        <v>0</v>
      </c>
      <c r="K362" s="301">
        <v>0</v>
      </c>
      <c r="L362" s="301">
        <v>0</v>
      </c>
      <c r="M362" s="301">
        <v>0</v>
      </c>
      <c r="N362" s="301">
        <v>0</v>
      </c>
      <c r="O362" s="301">
        <v>0</v>
      </c>
      <c r="P362" s="301">
        <v>0</v>
      </c>
      <c r="Q362" s="301">
        <v>0</v>
      </c>
      <c r="R362" s="301">
        <v>0</v>
      </c>
      <c r="S362" s="301">
        <v>0</v>
      </c>
      <c r="T362" s="301">
        <v>0</v>
      </c>
      <c r="U362" s="301">
        <v>0</v>
      </c>
      <c r="V362" s="301">
        <v>0</v>
      </c>
      <c r="W362" s="295">
        <f t="shared" ref="W362:W402" si="16">+AVERAGE(C362:V362)</f>
        <v>0</v>
      </c>
      <c r="AI362" s="276"/>
    </row>
    <row r="363" spans="1:35" ht="15" customHeight="1">
      <c r="A363" s="607"/>
      <c r="B363" s="318" t="s">
        <v>666</v>
      </c>
      <c r="C363" s="302">
        <v>0</v>
      </c>
      <c r="D363" s="302">
        <v>0</v>
      </c>
      <c r="E363" s="302">
        <v>0</v>
      </c>
      <c r="F363" s="302">
        <v>0</v>
      </c>
      <c r="G363" s="302">
        <v>0</v>
      </c>
      <c r="H363" s="302">
        <v>0</v>
      </c>
      <c r="I363" s="302">
        <v>0</v>
      </c>
      <c r="J363" s="302">
        <v>0</v>
      </c>
      <c r="K363" s="302">
        <v>0</v>
      </c>
      <c r="L363" s="302">
        <v>0</v>
      </c>
      <c r="M363" s="302">
        <v>0</v>
      </c>
      <c r="N363" s="302">
        <v>0</v>
      </c>
      <c r="O363" s="302">
        <v>0</v>
      </c>
      <c r="P363" s="302">
        <v>0</v>
      </c>
      <c r="Q363" s="302">
        <v>0</v>
      </c>
      <c r="R363" s="302">
        <v>0</v>
      </c>
      <c r="S363" s="302">
        <v>0</v>
      </c>
      <c r="T363" s="302">
        <v>0</v>
      </c>
      <c r="U363" s="302">
        <v>0</v>
      </c>
      <c r="V363" s="302">
        <v>0</v>
      </c>
      <c r="W363" s="295">
        <f t="shared" si="16"/>
        <v>0</v>
      </c>
      <c r="AI363" s="276"/>
    </row>
    <row r="364" spans="1:35" ht="15" customHeight="1">
      <c r="A364" s="607"/>
      <c r="B364" s="318" t="s">
        <v>667</v>
      </c>
      <c r="C364" s="302">
        <v>0</v>
      </c>
      <c r="D364" s="302">
        <v>0</v>
      </c>
      <c r="E364" s="302">
        <v>0</v>
      </c>
      <c r="F364" s="302">
        <v>0</v>
      </c>
      <c r="G364" s="302">
        <v>0</v>
      </c>
      <c r="H364" s="302">
        <v>0</v>
      </c>
      <c r="I364" s="302">
        <v>0</v>
      </c>
      <c r="J364" s="302">
        <v>0</v>
      </c>
      <c r="K364" s="302">
        <v>0</v>
      </c>
      <c r="L364" s="302">
        <v>0</v>
      </c>
      <c r="M364" s="302">
        <v>0</v>
      </c>
      <c r="N364" s="302">
        <v>0</v>
      </c>
      <c r="O364" s="302">
        <v>0</v>
      </c>
      <c r="P364" s="302">
        <v>0</v>
      </c>
      <c r="Q364" s="302">
        <v>0</v>
      </c>
      <c r="R364" s="302">
        <v>0</v>
      </c>
      <c r="S364" s="302">
        <v>0</v>
      </c>
      <c r="T364" s="302">
        <v>0</v>
      </c>
      <c r="U364" s="302">
        <v>0</v>
      </c>
      <c r="V364" s="302">
        <v>0</v>
      </c>
      <c r="W364" s="295">
        <f t="shared" si="16"/>
        <v>0</v>
      </c>
      <c r="AI364" s="276"/>
    </row>
    <row r="365" spans="1:35" ht="15" customHeight="1">
      <c r="A365" s="607"/>
      <c r="B365" s="318" t="s">
        <v>668</v>
      </c>
      <c r="C365" s="302">
        <v>0</v>
      </c>
      <c r="D365" s="302">
        <v>0</v>
      </c>
      <c r="E365" s="302">
        <v>0</v>
      </c>
      <c r="F365" s="302">
        <v>0</v>
      </c>
      <c r="G365" s="302">
        <v>0</v>
      </c>
      <c r="H365" s="302">
        <v>0</v>
      </c>
      <c r="I365" s="302">
        <v>0</v>
      </c>
      <c r="J365" s="302">
        <v>0</v>
      </c>
      <c r="K365" s="302">
        <v>0</v>
      </c>
      <c r="L365" s="302">
        <v>0</v>
      </c>
      <c r="M365" s="302">
        <v>0</v>
      </c>
      <c r="N365" s="302">
        <v>0</v>
      </c>
      <c r="O365" s="302">
        <v>0</v>
      </c>
      <c r="P365" s="302">
        <v>0</v>
      </c>
      <c r="Q365" s="302">
        <v>0</v>
      </c>
      <c r="R365" s="302">
        <v>0</v>
      </c>
      <c r="S365" s="302">
        <v>0</v>
      </c>
      <c r="T365" s="302">
        <v>0</v>
      </c>
      <c r="U365" s="302">
        <v>0</v>
      </c>
      <c r="V365" s="302">
        <v>0</v>
      </c>
      <c r="W365" s="295">
        <f t="shared" si="16"/>
        <v>0</v>
      </c>
      <c r="AI365" s="276"/>
    </row>
    <row r="366" spans="1:35" ht="15" customHeight="1">
      <c r="A366" s="607"/>
      <c r="B366" s="318" t="s">
        <v>669</v>
      </c>
      <c r="C366" s="302">
        <v>0</v>
      </c>
      <c r="D366" s="302">
        <v>0</v>
      </c>
      <c r="E366" s="302">
        <v>0</v>
      </c>
      <c r="F366" s="302">
        <v>0</v>
      </c>
      <c r="G366" s="302">
        <v>0</v>
      </c>
      <c r="H366" s="302">
        <v>0</v>
      </c>
      <c r="I366" s="302">
        <v>0</v>
      </c>
      <c r="J366" s="302">
        <v>0</v>
      </c>
      <c r="K366" s="302">
        <v>0</v>
      </c>
      <c r="L366" s="302">
        <v>0</v>
      </c>
      <c r="M366" s="302">
        <v>0</v>
      </c>
      <c r="N366" s="302">
        <v>0</v>
      </c>
      <c r="O366" s="302">
        <v>0</v>
      </c>
      <c r="P366" s="302">
        <v>0</v>
      </c>
      <c r="Q366" s="302">
        <v>0</v>
      </c>
      <c r="R366" s="302">
        <v>0</v>
      </c>
      <c r="S366" s="302">
        <v>0</v>
      </c>
      <c r="T366" s="302">
        <v>0</v>
      </c>
      <c r="U366" s="302">
        <v>0</v>
      </c>
      <c r="V366" s="302">
        <v>0</v>
      </c>
      <c r="W366" s="295">
        <f t="shared" si="16"/>
        <v>0</v>
      </c>
      <c r="AI366" s="276"/>
    </row>
    <row r="367" spans="1:35" ht="15" customHeight="1">
      <c r="A367" s="607"/>
      <c r="B367" s="318" t="s">
        <v>670</v>
      </c>
      <c r="C367" s="302">
        <v>0</v>
      </c>
      <c r="D367" s="302">
        <v>0</v>
      </c>
      <c r="E367" s="302">
        <v>0</v>
      </c>
      <c r="F367" s="302">
        <v>0</v>
      </c>
      <c r="G367" s="302">
        <v>0</v>
      </c>
      <c r="H367" s="302">
        <v>0</v>
      </c>
      <c r="I367" s="302">
        <v>0</v>
      </c>
      <c r="J367" s="302">
        <v>0</v>
      </c>
      <c r="K367" s="302">
        <v>0</v>
      </c>
      <c r="L367" s="302">
        <v>0</v>
      </c>
      <c r="M367" s="302">
        <v>0</v>
      </c>
      <c r="N367" s="302">
        <v>0</v>
      </c>
      <c r="O367" s="302">
        <v>0</v>
      </c>
      <c r="P367" s="302">
        <v>0</v>
      </c>
      <c r="Q367" s="302">
        <v>0</v>
      </c>
      <c r="R367" s="302">
        <v>0</v>
      </c>
      <c r="S367" s="302">
        <v>0</v>
      </c>
      <c r="T367" s="302">
        <v>0</v>
      </c>
      <c r="U367" s="302">
        <v>0</v>
      </c>
      <c r="V367" s="302">
        <v>0</v>
      </c>
      <c r="W367" s="295">
        <f t="shared" si="16"/>
        <v>0</v>
      </c>
      <c r="AI367" s="276"/>
    </row>
    <row r="368" spans="1:35" ht="15" customHeight="1">
      <c r="A368" s="607"/>
      <c r="B368" s="318" t="s">
        <v>671</v>
      </c>
      <c r="C368" s="302">
        <v>0</v>
      </c>
      <c r="D368" s="302">
        <v>0</v>
      </c>
      <c r="E368" s="302">
        <v>0</v>
      </c>
      <c r="F368" s="302">
        <v>0</v>
      </c>
      <c r="G368" s="302">
        <v>0</v>
      </c>
      <c r="H368" s="302">
        <v>0</v>
      </c>
      <c r="I368" s="302">
        <v>0</v>
      </c>
      <c r="J368" s="302">
        <v>0</v>
      </c>
      <c r="K368" s="302">
        <v>0</v>
      </c>
      <c r="L368" s="302">
        <v>0</v>
      </c>
      <c r="M368" s="302">
        <v>0</v>
      </c>
      <c r="N368" s="302">
        <v>0</v>
      </c>
      <c r="O368" s="302">
        <v>0</v>
      </c>
      <c r="P368" s="302">
        <v>0</v>
      </c>
      <c r="Q368" s="302">
        <v>0</v>
      </c>
      <c r="R368" s="302">
        <v>0</v>
      </c>
      <c r="S368" s="302">
        <v>0</v>
      </c>
      <c r="T368" s="302">
        <v>0</v>
      </c>
      <c r="U368" s="302">
        <v>0</v>
      </c>
      <c r="V368" s="302">
        <v>0</v>
      </c>
      <c r="W368" s="295">
        <f t="shared" si="16"/>
        <v>0</v>
      </c>
      <c r="AI368" s="276"/>
    </row>
    <row r="369" spans="1:35" ht="15" customHeight="1">
      <c r="A369" s="607"/>
      <c r="B369" s="318" t="s">
        <v>672</v>
      </c>
      <c r="C369" s="302">
        <v>0</v>
      </c>
      <c r="D369" s="302">
        <v>0</v>
      </c>
      <c r="E369" s="302">
        <v>0</v>
      </c>
      <c r="F369" s="302">
        <v>0</v>
      </c>
      <c r="G369" s="302">
        <v>0</v>
      </c>
      <c r="H369" s="302">
        <v>0</v>
      </c>
      <c r="I369" s="302">
        <v>0</v>
      </c>
      <c r="J369" s="302">
        <v>0</v>
      </c>
      <c r="K369" s="302">
        <v>0</v>
      </c>
      <c r="L369" s="302">
        <v>0</v>
      </c>
      <c r="M369" s="302">
        <v>0</v>
      </c>
      <c r="N369" s="302">
        <v>0</v>
      </c>
      <c r="O369" s="302">
        <v>0</v>
      </c>
      <c r="P369" s="302">
        <v>0</v>
      </c>
      <c r="Q369" s="302">
        <v>0</v>
      </c>
      <c r="R369" s="302">
        <v>0</v>
      </c>
      <c r="S369" s="302">
        <v>0</v>
      </c>
      <c r="T369" s="302">
        <v>0</v>
      </c>
      <c r="U369" s="302">
        <v>0</v>
      </c>
      <c r="V369" s="302">
        <v>0</v>
      </c>
      <c r="W369" s="295">
        <f t="shared" si="16"/>
        <v>0</v>
      </c>
      <c r="AI369" s="276"/>
    </row>
    <row r="370" spans="1:35" ht="15" customHeight="1">
      <c r="A370" s="607"/>
      <c r="B370" s="318" t="s">
        <v>673</v>
      </c>
      <c r="C370" s="302">
        <v>0</v>
      </c>
      <c r="D370" s="302">
        <v>0</v>
      </c>
      <c r="E370" s="302">
        <v>0</v>
      </c>
      <c r="F370" s="302">
        <v>0</v>
      </c>
      <c r="G370" s="302">
        <v>0</v>
      </c>
      <c r="H370" s="302">
        <v>0</v>
      </c>
      <c r="I370" s="302">
        <v>0</v>
      </c>
      <c r="J370" s="302">
        <v>0</v>
      </c>
      <c r="K370" s="302">
        <v>0</v>
      </c>
      <c r="L370" s="302">
        <v>0</v>
      </c>
      <c r="M370" s="302">
        <v>0</v>
      </c>
      <c r="N370" s="302">
        <v>0</v>
      </c>
      <c r="O370" s="302">
        <v>0</v>
      </c>
      <c r="P370" s="302">
        <v>0</v>
      </c>
      <c r="Q370" s="302">
        <v>0</v>
      </c>
      <c r="R370" s="302">
        <v>0</v>
      </c>
      <c r="S370" s="302">
        <v>0</v>
      </c>
      <c r="T370" s="302">
        <v>0</v>
      </c>
      <c r="U370" s="302">
        <v>0</v>
      </c>
      <c r="V370" s="302">
        <v>0</v>
      </c>
      <c r="W370" s="295">
        <f t="shared" si="16"/>
        <v>0</v>
      </c>
      <c r="AI370" s="276"/>
    </row>
    <row r="371" spans="1:35" ht="15" customHeight="1">
      <c r="A371" s="607"/>
      <c r="B371" s="318" t="s">
        <v>674</v>
      </c>
      <c r="C371" s="302">
        <v>0</v>
      </c>
      <c r="D371" s="302">
        <v>0</v>
      </c>
      <c r="E371" s="302">
        <v>0</v>
      </c>
      <c r="F371" s="302">
        <v>0</v>
      </c>
      <c r="G371" s="302">
        <v>0</v>
      </c>
      <c r="H371" s="302">
        <v>0</v>
      </c>
      <c r="I371" s="302">
        <v>0</v>
      </c>
      <c r="J371" s="302">
        <v>0</v>
      </c>
      <c r="K371" s="302">
        <v>0</v>
      </c>
      <c r="L371" s="302">
        <v>0</v>
      </c>
      <c r="M371" s="302">
        <v>0</v>
      </c>
      <c r="N371" s="302">
        <v>0</v>
      </c>
      <c r="O371" s="302">
        <v>0</v>
      </c>
      <c r="P371" s="302">
        <v>0</v>
      </c>
      <c r="Q371" s="302">
        <v>0</v>
      </c>
      <c r="R371" s="302">
        <v>0</v>
      </c>
      <c r="S371" s="302">
        <v>0</v>
      </c>
      <c r="T371" s="302">
        <v>0</v>
      </c>
      <c r="U371" s="302">
        <v>0</v>
      </c>
      <c r="V371" s="302">
        <v>0</v>
      </c>
      <c r="W371" s="295">
        <f t="shared" si="16"/>
        <v>0</v>
      </c>
      <c r="AI371" s="276"/>
    </row>
    <row r="372" spans="1:35" ht="15" customHeight="1">
      <c r="A372" s="607"/>
      <c r="B372" s="318" t="s">
        <v>675</v>
      </c>
      <c r="C372" s="302">
        <v>0</v>
      </c>
      <c r="D372" s="302">
        <v>0</v>
      </c>
      <c r="E372" s="302">
        <v>0</v>
      </c>
      <c r="F372" s="302">
        <v>0</v>
      </c>
      <c r="G372" s="302">
        <v>0</v>
      </c>
      <c r="H372" s="302">
        <v>0</v>
      </c>
      <c r="I372" s="302">
        <v>0</v>
      </c>
      <c r="J372" s="302">
        <v>0</v>
      </c>
      <c r="K372" s="302">
        <v>0</v>
      </c>
      <c r="L372" s="302">
        <v>0</v>
      </c>
      <c r="M372" s="302">
        <v>0</v>
      </c>
      <c r="N372" s="302">
        <v>0</v>
      </c>
      <c r="O372" s="302">
        <v>0</v>
      </c>
      <c r="P372" s="302">
        <v>0</v>
      </c>
      <c r="Q372" s="302">
        <v>0</v>
      </c>
      <c r="R372" s="302">
        <v>0</v>
      </c>
      <c r="S372" s="302">
        <v>0</v>
      </c>
      <c r="T372" s="302">
        <v>0</v>
      </c>
      <c r="U372" s="302">
        <v>0</v>
      </c>
      <c r="V372" s="302">
        <v>0</v>
      </c>
      <c r="W372" s="295">
        <f t="shared" si="16"/>
        <v>0</v>
      </c>
      <c r="AI372" s="276"/>
    </row>
    <row r="373" spans="1:35" ht="15" customHeight="1">
      <c r="A373" s="607"/>
      <c r="B373" s="318" t="s">
        <v>676</v>
      </c>
      <c r="C373" s="302">
        <v>0</v>
      </c>
      <c r="D373" s="302">
        <v>0</v>
      </c>
      <c r="E373" s="302">
        <v>0</v>
      </c>
      <c r="F373" s="302">
        <v>0</v>
      </c>
      <c r="G373" s="302">
        <v>0</v>
      </c>
      <c r="H373" s="302">
        <v>0</v>
      </c>
      <c r="I373" s="302">
        <v>0</v>
      </c>
      <c r="J373" s="302">
        <v>0</v>
      </c>
      <c r="K373" s="302">
        <v>0</v>
      </c>
      <c r="L373" s="302">
        <v>0</v>
      </c>
      <c r="M373" s="302">
        <v>0</v>
      </c>
      <c r="N373" s="302">
        <v>0</v>
      </c>
      <c r="O373" s="302">
        <v>0</v>
      </c>
      <c r="P373" s="302">
        <v>0</v>
      </c>
      <c r="Q373" s="302">
        <v>0</v>
      </c>
      <c r="R373" s="302">
        <v>0</v>
      </c>
      <c r="S373" s="302">
        <v>0</v>
      </c>
      <c r="T373" s="302">
        <v>0</v>
      </c>
      <c r="U373" s="302">
        <v>0</v>
      </c>
      <c r="V373" s="302">
        <v>0</v>
      </c>
      <c r="W373" s="295">
        <f t="shared" si="16"/>
        <v>0</v>
      </c>
      <c r="AI373" s="276"/>
    </row>
    <row r="374" spans="1:35" ht="15" customHeight="1">
      <c r="A374" s="607"/>
      <c r="B374" s="318" t="s">
        <v>677</v>
      </c>
      <c r="C374" s="302">
        <v>0</v>
      </c>
      <c r="D374" s="302">
        <v>0</v>
      </c>
      <c r="E374" s="302">
        <v>0</v>
      </c>
      <c r="F374" s="302">
        <v>0</v>
      </c>
      <c r="G374" s="302">
        <v>0</v>
      </c>
      <c r="H374" s="302">
        <v>0</v>
      </c>
      <c r="I374" s="302">
        <v>0</v>
      </c>
      <c r="J374" s="302">
        <v>0</v>
      </c>
      <c r="K374" s="302">
        <v>0</v>
      </c>
      <c r="L374" s="302">
        <v>0</v>
      </c>
      <c r="M374" s="302">
        <v>0</v>
      </c>
      <c r="N374" s="302">
        <v>0</v>
      </c>
      <c r="O374" s="302">
        <v>0</v>
      </c>
      <c r="P374" s="302">
        <v>0</v>
      </c>
      <c r="Q374" s="302">
        <v>0</v>
      </c>
      <c r="R374" s="302">
        <v>0</v>
      </c>
      <c r="S374" s="302">
        <v>0</v>
      </c>
      <c r="T374" s="302">
        <v>0</v>
      </c>
      <c r="U374" s="302">
        <v>0</v>
      </c>
      <c r="V374" s="302">
        <v>0</v>
      </c>
      <c r="W374" s="295">
        <f t="shared" si="16"/>
        <v>0</v>
      </c>
      <c r="AI374" s="276"/>
    </row>
    <row r="375" spans="1:35" ht="15" customHeight="1">
      <c r="A375" s="607"/>
      <c r="B375" s="318" t="s">
        <v>678</v>
      </c>
      <c r="C375" s="302">
        <v>0</v>
      </c>
      <c r="D375" s="302">
        <v>0</v>
      </c>
      <c r="E375" s="302">
        <v>0</v>
      </c>
      <c r="F375" s="302">
        <v>0</v>
      </c>
      <c r="G375" s="302">
        <v>0</v>
      </c>
      <c r="H375" s="302">
        <v>0</v>
      </c>
      <c r="I375" s="302">
        <v>0</v>
      </c>
      <c r="J375" s="302">
        <v>0</v>
      </c>
      <c r="K375" s="302">
        <v>0</v>
      </c>
      <c r="L375" s="302">
        <v>0</v>
      </c>
      <c r="M375" s="302">
        <v>0</v>
      </c>
      <c r="N375" s="302">
        <v>0</v>
      </c>
      <c r="O375" s="302">
        <v>0</v>
      </c>
      <c r="P375" s="302">
        <v>0</v>
      </c>
      <c r="Q375" s="302">
        <v>0</v>
      </c>
      <c r="R375" s="302">
        <v>0</v>
      </c>
      <c r="S375" s="302">
        <v>0</v>
      </c>
      <c r="T375" s="302">
        <v>0</v>
      </c>
      <c r="U375" s="302">
        <v>0</v>
      </c>
      <c r="V375" s="302">
        <v>0</v>
      </c>
      <c r="W375" s="295">
        <f t="shared" si="16"/>
        <v>0</v>
      </c>
      <c r="AI375" s="276"/>
    </row>
    <row r="376" spans="1:35" ht="15" customHeight="1">
      <c r="A376" s="607"/>
      <c r="B376" s="318" t="s">
        <v>679</v>
      </c>
      <c r="C376" s="302">
        <v>0</v>
      </c>
      <c r="D376" s="302">
        <v>0</v>
      </c>
      <c r="E376" s="302">
        <v>0</v>
      </c>
      <c r="F376" s="302">
        <v>0</v>
      </c>
      <c r="G376" s="302">
        <v>0</v>
      </c>
      <c r="H376" s="302">
        <v>0</v>
      </c>
      <c r="I376" s="302">
        <v>0</v>
      </c>
      <c r="J376" s="302">
        <v>0</v>
      </c>
      <c r="K376" s="302">
        <v>0</v>
      </c>
      <c r="L376" s="302">
        <v>0</v>
      </c>
      <c r="M376" s="302">
        <v>0</v>
      </c>
      <c r="N376" s="302">
        <v>0</v>
      </c>
      <c r="O376" s="302">
        <v>0</v>
      </c>
      <c r="P376" s="302">
        <v>0</v>
      </c>
      <c r="Q376" s="302">
        <v>0</v>
      </c>
      <c r="R376" s="302">
        <v>0</v>
      </c>
      <c r="S376" s="302">
        <v>0</v>
      </c>
      <c r="T376" s="302">
        <v>0</v>
      </c>
      <c r="U376" s="302">
        <v>0</v>
      </c>
      <c r="V376" s="302">
        <v>0</v>
      </c>
      <c r="W376" s="295">
        <f t="shared" si="16"/>
        <v>0</v>
      </c>
      <c r="AI376" s="276"/>
    </row>
    <row r="377" spans="1:35" ht="15" customHeight="1">
      <c r="A377" s="607"/>
      <c r="B377" s="318" t="s">
        <v>680</v>
      </c>
      <c r="C377" s="302">
        <v>0</v>
      </c>
      <c r="D377" s="302">
        <v>0</v>
      </c>
      <c r="E377" s="302">
        <v>0</v>
      </c>
      <c r="F377" s="302">
        <v>0</v>
      </c>
      <c r="G377" s="302">
        <v>0</v>
      </c>
      <c r="H377" s="302">
        <v>0</v>
      </c>
      <c r="I377" s="302">
        <v>0</v>
      </c>
      <c r="J377" s="302">
        <v>0</v>
      </c>
      <c r="K377" s="302">
        <v>0</v>
      </c>
      <c r="L377" s="302">
        <v>0</v>
      </c>
      <c r="M377" s="302">
        <v>0</v>
      </c>
      <c r="N377" s="302">
        <v>0</v>
      </c>
      <c r="O377" s="302">
        <v>0</v>
      </c>
      <c r="P377" s="302">
        <v>0</v>
      </c>
      <c r="Q377" s="302">
        <v>0</v>
      </c>
      <c r="R377" s="302">
        <v>0</v>
      </c>
      <c r="S377" s="302">
        <v>0</v>
      </c>
      <c r="T377" s="302">
        <v>0</v>
      </c>
      <c r="U377" s="302">
        <v>0</v>
      </c>
      <c r="V377" s="302">
        <v>0</v>
      </c>
      <c r="W377" s="295">
        <f t="shared" si="16"/>
        <v>0</v>
      </c>
      <c r="AI377" s="276"/>
    </row>
    <row r="378" spans="1:35" ht="15" customHeight="1">
      <c r="A378" s="607"/>
      <c r="B378" s="318" t="s">
        <v>681</v>
      </c>
      <c r="C378" s="302">
        <v>0</v>
      </c>
      <c r="D378" s="302">
        <v>0</v>
      </c>
      <c r="E378" s="302">
        <v>0</v>
      </c>
      <c r="F378" s="302">
        <v>0</v>
      </c>
      <c r="G378" s="302">
        <v>0</v>
      </c>
      <c r="H378" s="302">
        <v>0</v>
      </c>
      <c r="I378" s="302">
        <v>0</v>
      </c>
      <c r="J378" s="302">
        <v>0</v>
      </c>
      <c r="K378" s="302">
        <v>0</v>
      </c>
      <c r="L378" s="302">
        <v>0</v>
      </c>
      <c r="M378" s="302">
        <v>0</v>
      </c>
      <c r="N378" s="302">
        <v>0</v>
      </c>
      <c r="O378" s="302">
        <v>0</v>
      </c>
      <c r="P378" s="302">
        <v>0</v>
      </c>
      <c r="Q378" s="302">
        <v>0</v>
      </c>
      <c r="R378" s="302">
        <v>0</v>
      </c>
      <c r="S378" s="302">
        <v>0</v>
      </c>
      <c r="T378" s="302">
        <v>0</v>
      </c>
      <c r="U378" s="302">
        <v>0</v>
      </c>
      <c r="V378" s="302">
        <v>0</v>
      </c>
      <c r="W378" s="295">
        <f t="shared" si="16"/>
        <v>0</v>
      </c>
      <c r="AI378" s="276"/>
    </row>
    <row r="379" spans="1:35" ht="15" customHeight="1">
      <c r="A379" s="607"/>
      <c r="B379" s="318" t="s">
        <v>944</v>
      </c>
      <c r="C379" s="302">
        <v>0</v>
      </c>
      <c r="D379" s="302">
        <v>0</v>
      </c>
      <c r="E379" s="302">
        <v>0</v>
      </c>
      <c r="F379" s="302">
        <v>0</v>
      </c>
      <c r="G379" s="302">
        <v>0</v>
      </c>
      <c r="H379" s="302">
        <v>0</v>
      </c>
      <c r="I379" s="302">
        <v>0</v>
      </c>
      <c r="J379" s="302">
        <v>0</v>
      </c>
      <c r="K379" s="302">
        <v>0</v>
      </c>
      <c r="L379" s="302">
        <v>0</v>
      </c>
      <c r="M379" s="302">
        <v>0</v>
      </c>
      <c r="N379" s="302">
        <v>0</v>
      </c>
      <c r="O379" s="302">
        <v>0</v>
      </c>
      <c r="P379" s="302">
        <v>0</v>
      </c>
      <c r="Q379" s="302">
        <v>0</v>
      </c>
      <c r="R379" s="302">
        <v>0</v>
      </c>
      <c r="S379" s="302">
        <v>0</v>
      </c>
      <c r="T379" s="302">
        <v>0</v>
      </c>
      <c r="U379" s="302">
        <v>0</v>
      </c>
      <c r="V379" s="302">
        <v>0</v>
      </c>
      <c r="W379" s="295">
        <f t="shared" si="16"/>
        <v>0</v>
      </c>
      <c r="AI379" s="276"/>
    </row>
    <row r="380" spans="1:35" ht="15" customHeight="1">
      <c r="A380" s="607"/>
      <c r="B380" s="318" t="s">
        <v>945</v>
      </c>
      <c r="C380" s="302">
        <v>0</v>
      </c>
      <c r="D380" s="302">
        <v>0</v>
      </c>
      <c r="E380" s="302">
        <v>0</v>
      </c>
      <c r="F380" s="302">
        <v>0</v>
      </c>
      <c r="G380" s="302">
        <v>0</v>
      </c>
      <c r="H380" s="302">
        <v>0</v>
      </c>
      <c r="I380" s="302">
        <v>0</v>
      </c>
      <c r="J380" s="302">
        <v>0</v>
      </c>
      <c r="K380" s="302">
        <v>0</v>
      </c>
      <c r="L380" s="302">
        <v>0</v>
      </c>
      <c r="M380" s="302">
        <v>0</v>
      </c>
      <c r="N380" s="302">
        <v>0</v>
      </c>
      <c r="O380" s="302">
        <v>0</v>
      </c>
      <c r="P380" s="302">
        <v>0</v>
      </c>
      <c r="Q380" s="302">
        <v>0</v>
      </c>
      <c r="R380" s="302">
        <v>0</v>
      </c>
      <c r="S380" s="302">
        <v>0</v>
      </c>
      <c r="T380" s="302">
        <v>0</v>
      </c>
      <c r="U380" s="302">
        <v>0</v>
      </c>
      <c r="V380" s="302">
        <v>0</v>
      </c>
      <c r="W380" s="295">
        <f t="shared" si="16"/>
        <v>0</v>
      </c>
      <c r="AI380" s="276"/>
    </row>
    <row r="381" spans="1:35" ht="15" customHeight="1" thickBot="1">
      <c r="A381" s="607"/>
      <c r="B381" s="318" t="s">
        <v>948</v>
      </c>
      <c r="C381" s="302">
        <v>0</v>
      </c>
      <c r="D381" s="302">
        <v>0</v>
      </c>
      <c r="E381" s="302">
        <v>0</v>
      </c>
      <c r="F381" s="302">
        <v>0</v>
      </c>
      <c r="G381" s="302">
        <v>0</v>
      </c>
      <c r="H381" s="302">
        <v>0</v>
      </c>
      <c r="I381" s="302">
        <v>0</v>
      </c>
      <c r="J381" s="302">
        <v>0</v>
      </c>
      <c r="K381" s="302">
        <v>0</v>
      </c>
      <c r="L381" s="302">
        <v>0</v>
      </c>
      <c r="M381" s="302">
        <v>0</v>
      </c>
      <c r="N381" s="302">
        <v>0</v>
      </c>
      <c r="O381" s="302">
        <v>0</v>
      </c>
      <c r="P381" s="302">
        <v>0</v>
      </c>
      <c r="Q381" s="302">
        <v>0</v>
      </c>
      <c r="R381" s="302">
        <v>0</v>
      </c>
      <c r="S381" s="302">
        <v>0</v>
      </c>
      <c r="T381" s="302">
        <v>0</v>
      </c>
      <c r="U381" s="302">
        <v>0</v>
      </c>
      <c r="V381" s="302">
        <v>0</v>
      </c>
      <c r="W381" s="295">
        <f t="shared" si="16"/>
        <v>0</v>
      </c>
      <c r="AI381" s="276"/>
    </row>
    <row r="382" spans="1:35" ht="15" customHeight="1">
      <c r="A382" s="606" t="s">
        <v>950</v>
      </c>
      <c r="B382" s="318" t="s">
        <v>665</v>
      </c>
      <c r="C382" s="302">
        <v>0</v>
      </c>
      <c r="D382" s="302">
        <v>0</v>
      </c>
      <c r="E382" s="302">
        <v>0</v>
      </c>
      <c r="F382" s="302">
        <v>0</v>
      </c>
      <c r="G382" s="302">
        <v>0</v>
      </c>
      <c r="H382" s="302">
        <v>0</v>
      </c>
      <c r="I382" s="302">
        <v>0</v>
      </c>
      <c r="J382" s="302">
        <v>0</v>
      </c>
      <c r="K382" s="302">
        <v>0</v>
      </c>
      <c r="L382" s="302">
        <v>0</v>
      </c>
      <c r="M382" s="302">
        <v>0</v>
      </c>
      <c r="N382" s="302">
        <v>0</v>
      </c>
      <c r="O382" s="302">
        <v>0</v>
      </c>
      <c r="P382" s="302">
        <v>0</v>
      </c>
      <c r="Q382" s="302">
        <v>0</v>
      </c>
      <c r="R382" s="302">
        <v>0</v>
      </c>
      <c r="S382" s="302">
        <v>0</v>
      </c>
      <c r="T382" s="302">
        <v>0</v>
      </c>
      <c r="U382" s="302">
        <v>0</v>
      </c>
      <c r="V382" s="302">
        <v>0</v>
      </c>
      <c r="W382" s="295">
        <f t="shared" si="16"/>
        <v>0</v>
      </c>
      <c r="AI382" s="276"/>
    </row>
    <row r="383" spans="1:35" ht="15" customHeight="1">
      <c r="A383" s="607"/>
      <c r="B383" s="318" t="s">
        <v>666</v>
      </c>
      <c r="C383" s="302">
        <v>0</v>
      </c>
      <c r="D383" s="302">
        <v>0</v>
      </c>
      <c r="E383" s="302">
        <v>0</v>
      </c>
      <c r="F383" s="302">
        <v>0</v>
      </c>
      <c r="G383" s="302">
        <v>0</v>
      </c>
      <c r="H383" s="302">
        <v>0</v>
      </c>
      <c r="I383" s="302">
        <v>0</v>
      </c>
      <c r="J383" s="302">
        <v>0</v>
      </c>
      <c r="K383" s="302">
        <v>0</v>
      </c>
      <c r="L383" s="302">
        <v>0</v>
      </c>
      <c r="M383" s="302">
        <v>0</v>
      </c>
      <c r="N383" s="302">
        <v>0</v>
      </c>
      <c r="O383" s="302">
        <v>0</v>
      </c>
      <c r="P383" s="302">
        <v>0</v>
      </c>
      <c r="Q383" s="302">
        <v>0</v>
      </c>
      <c r="R383" s="302">
        <v>0</v>
      </c>
      <c r="S383" s="302">
        <v>0</v>
      </c>
      <c r="T383" s="302">
        <v>0</v>
      </c>
      <c r="U383" s="302">
        <v>0</v>
      </c>
      <c r="V383" s="302">
        <v>0</v>
      </c>
      <c r="W383" s="295">
        <f t="shared" si="16"/>
        <v>0</v>
      </c>
      <c r="AI383" s="276"/>
    </row>
    <row r="384" spans="1:35" ht="15" customHeight="1">
      <c r="A384" s="607"/>
      <c r="B384" s="318" t="s">
        <v>667</v>
      </c>
      <c r="C384" s="302">
        <v>0</v>
      </c>
      <c r="D384" s="302">
        <v>0</v>
      </c>
      <c r="E384" s="302">
        <v>0</v>
      </c>
      <c r="F384" s="302">
        <v>0</v>
      </c>
      <c r="G384" s="302">
        <v>0</v>
      </c>
      <c r="H384" s="302">
        <v>0</v>
      </c>
      <c r="I384" s="302">
        <v>0</v>
      </c>
      <c r="J384" s="302">
        <v>0</v>
      </c>
      <c r="K384" s="302">
        <v>0</v>
      </c>
      <c r="L384" s="302">
        <v>0</v>
      </c>
      <c r="M384" s="302">
        <v>0</v>
      </c>
      <c r="N384" s="302">
        <v>0</v>
      </c>
      <c r="O384" s="302">
        <v>0</v>
      </c>
      <c r="P384" s="302">
        <v>0</v>
      </c>
      <c r="Q384" s="302">
        <v>0</v>
      </c>
      <c r="R384" s="302">
        <v>0</v>
      </c>
      <c r="S384" s="302">
        <v>0</v>
      </c>
      <c r="T384" s="302">
        <v>0</v>
      </c>
      <c r="U384" s="302">
        <v>0</v>
      </c>
      <c r="V384" s="302">
        <v>0</v>
      </c>
      <c r="W384" s="295">
        <f t="shared" si="16"/>
        <v>0</v>
      </c>
      <c r="AI384" s="276"/>
    </row>
    <row r="385" spans="1:35" ht="15" customHeight="1">
      <c r="A385" s="607"/>
      <c r="B385" s="318" t="s">
        <v>668</v>
      </c>
      <c r="C385" s="302">
        <v>0</v>
      </c>
      <c r="D385" s="302">
        <v>0</v>
      </c>
      <c r="E385" s="302">
        <v>0</v>
      </c>
      <c r="F385" s="302">
        <v>0</v>
      </c>
      <c r="G385" s="302">
        <v>0</v>
      </c>
      <c r="H385" s="302">
        <v>0</v>
      </c>
      <c r="I385" s="302">
        <v>0</v>
      </c>
      <c r="J385" s="302">
        <v>0</v>
      </c>
      <c r="K385" s="302">
        <v>0</v>
      </c>
      <c r="L385" s="302">
        <v>0</v>
      </c>
      <c r="M385" s="302">
        <v>0</v>
      </c>
      <c r="N385" s="302">
        <v>0</v>
      </c>
      <c r="O385" s="302">
        <v>0</v>
      </c>
      <c r="P385" s="302">
        <v>0</v>
      </c>
      <c r="Q385" s="302">
        <v>0</v>
      </c>
      <c r="R385" s="302">
        <v>0</v>
      </c>
      <c r="S385" s="302">
        <v>0</v>
      </c>
      <c r="T385" s="302">
        <v>0</v>
      </c>
      <c r="U385" s="302">
        <v>0</v>
      </c>
      <c r="V385" s="302">
        <v>0</v>
      </c>
      <c r="W385" s="295">
        <f t="shared" si="16"/>
        <v>0</v>
      </c>
      <c r="AI385" s="276"/>
    </row>
    <row r="386" spans="1:35" ht="15" customHeight="1">
      <c r="A386" s="607"/>
      <c r="B386" s="318" t="s">
        <v>669</v>
      </c>
      <c r="C386" s="302">
        <v>0</v>
      </c>
      <c r="D386" s="302">
        <v>0</v>
      </c>
      <c r="E386" s="302">
        <v>0</v>
      </c>
      <c r="F386" s="302">
        <v>0</v>
      </c>
      <c r="G386" s="302">
        <v>0</v>
      </c>
      <c r="H386" s="302">
        <v>0</v>
      </c>
      <c r="I386" s="302">
        <v>0</v>
      </c>
      <c r="J386" s="302">
        <v>0</v>
      </c>
      <c r="K386" s="302">
        <v>0</v>
      </c>
      <c r="L386" s="302">
        <v>0</v>
      </c>
      <c r="M386" s="302">
        <v>0</v>
      </c>
      <c r="N386" s="302">
        <v>0</v>
      </c>
      <c r="O386" s="302">
        <v>0</v>
      </c>
      <c r="P386" s="302">
        <v>0</v>
      </c>
      <c r="Q386" s="302">
        <v>0</v>
      </c>
      <c r="R386" s="302">
        <v>0</v>
      </c>
      <c r="S386" s="302">
        <v>0</v>
      </c>
      <c r="T386" s="302">
        <v>0</v>
      </c>
      <c r="U386" s="302">
        <v>0</v>
      </c>
      <c r="V386" s="302">
        <v>0</v>
      </c>
      <c r="W386" s="295">
        <f t="shared" si="16"/>
        <v>0</v>
      </c>
      <c r="AI386" s="276"/>
    </row>
    <row r="387" spans="1:35" ht="15" customHeight="1">
      <c r="A387" s="607"/>
      <c r="B387" s="318" t="s">
        <v>670</v>
      </c>
      <c r="C387" s="302">
        <v>0</v>
      </c>
      <c r="D387" s="302">
        <v>0</v>
      </c>
      <c r="E387" s="302">
        <v>0</v>
      </c>
      <c r="F387" s="302">
        <v>0</v>
      </c>
      <c r="G387" s="302">
        <v>0</v>
      </c>
      <c r="H387" s="302">
        <v>0</v>
      </c>
      <c r="I387" s="302">
        <v>0</v>
      </c>
      <c r="J387" s="302">
        <v>0</v>
      </c>
      <c r="K387" s="302">
        <v>0</v>
      </c>
      <c r="L387" s="302">
        <v>0</v>
      </c>
      <c r="M387" s="302">
        <v>0</v>
      </c>
      <c r="N387" s="302">
        <v>0</v>
      </c>
      <c r="O387" s="302">
        <v>0</v>
      </c>
      <c r="P387" s="302">
        <v>0</v>
      </c>
      <c r="Q387" s="302">
        <v>0</v>
      </c>
      <c r="R387" s="302">
        <v>0</v>
      </c>
      <c r="S387" s="302">
        <v>0</v>
      </c>
      <c r="T387" s="302">
        <v>0</v>
      </c>
      <c r="U387" s="302">
        <v>0</v>
      </c>
      <c r="V387" s="302">
        <v>0</v>
      </c>
      <c r="W387" s="295">
        <f t="shared" si="16"/>
        <v>0</v>
      </c>
      <c r="AI387" s="276"/>
    </row>
    <row r="388" spans="1:35" ht="15" customHeight="1">
      <c r="A388" s="607"/>
      <c r="B388" s="318" t="s">
        <v>671</v>
      </c>
      <c r="C388" s="302">
        <v>0</v>
      </c>
      <c r="D388" s="302">
        <v>0</v>
      </c>
      <c r="E388" s="302">
        <v>0</v>
      </c>
      <c r="F388" s="302">
        <v>0</v>
      </c>
      <c r="G388" s="302">
        <v>0</v>
      </c>
      <c r="H388" s="302">
        <v>0</v>
      </c>
      <c r="I388" s="302">
        <v>0</v>
      </c>
      <c r="J388" s="302">
        <v>0</v>
      </c>
      <c r="K388" s="302">
        <v>0</v>
      </c>
      <c r="L388" s="302">
        <v>0</v>
      </c>
      <c r="M388" s="302">
        <v>0</v>
      </c>
      <c r="N388" s="302">
        <v>0</v>
      </c>
      <c r="O388" s="302">
        <v>0</v>
      </c>
      <c r="P388" s="302">
        <v>0</v>
      </c>
      <c r="Q388" s="302">
        <v>0</v>
      </c>
      <c r="R388" s="302">
        <v>0</v>
      </c>
      <c r="S388" s="302">
        <v>0</v>
      </c>
      <c r="T388" s="302">
        <v>0</v>
      </c>
      <c r="U388" s="302">
        <v>0</v>
      </c>
      <c r="V388" s="302">
        <v>0</v>
      </c>
      <c r="W388" s="295">
        <f t="shared" si="16"/>
        <v>0</v>
      </c>
      <c r="AI388" s="276"/>
    </row>
    <row r="389" spans="1:35" ht="15" customHeight="1">
      <c r="A389" s="607"/>
      <c r="B389" s="318" t="s">
        <v>672</v>
      </c>
      <c r="C389" s="302">
        <v>0</v>
      </c>
      <c r="D389" s="302">
        <v>0</v>
      </c>
      <c r="E389" s="302">
        <v>0</v>
      </c>
      <c r="F389" s="302">
        <v>0</v>
      </c>
      <c r="G389" s="302">
        <v>0</v>
      </c>
      <c r="H389" s="302">
        <v>0</v>
      </c>
      <c r="I389" s="302">
        <v>0</v>
      </c>
      <c r="J389" s="302">
        <v>0</v>
      </c>
      <c r="K389" s="302">
        <v>0</v>
      </c>
      <c r="L389" s="302">
        <v>0</v>
      </c>
      <c r="M389" s="302">
        <v>0</v>
      </c>
      <c r="N389" s="302">
        <v>0</v>
      </c>
      <c r="O389" s="302">
        <v>0</v>
      </c>
      <c r="P389" s="302">
        <v>0</v>
      </c>
      <c r="Q389" s="302">
        <v>0</v>
      </c>
      <c r="R389" s="302">
        <v>0</v>
      </c>
      <c r="S389" s="302">
        <v>0</v>
      </c>
      <c r="T389" s="302">
        <v>0</v>
      </c>
      <c r="U389" s="302">
        <v>0</v>
      </c>
      <c r="V389" s="302">
        <v>0</v>
      </c>
      <c r="W389" s="295">
        <f t="shared" si="16"/>
        <v>0</v>
      </c>
      <c r="AI389" s="276"/>
    </row>
    <row r="390" spans="1:35" ht="15" customHeight="1">
      <c r="A390" s="607"/>
      <c r="B390" s="318" t="s">
        <v>673</v>
      </c>
      <c r="C390" s="302">
        <v>0</v>
      </c>
      <c r="D390" s="302">
        <v>0</v>
      </c>
      <c r="E390" s="302">
        <v>0</v>
      </c>
      <c r="F390" s="302">
        <v>0</v>
      </c>
      <c r="G390" s="302">
        <v>0</v>
      </c>
      <c r="H390" s="302">
        <v>0</v>
      </c>
      <c r="I390" s="302">
        <v>0</v>
      </c>
      <c r="J390" s="302">
        <v>0</v>
      </c>
      <c r="K390" s="302">
        <v>0</v>
      </c>
      <c r="L390" s="302">
        <v>0</v>
      </c>
      <c r="M390" s="302">
        <v>0</v>
      </c>
      <c r="N390" s="302">
        <v>0</v>
      </c>
      <c r="O390" s="302">
        <v>0</v>
      </c>
      <c r="P390" s="302">
        <v>0</v>
      </c>
      <c r="Q390" s="302">
        <v>0</v>
      </c>
      <c r="R390" s="302">
        <v>0</v>
      </c>
      <c r="S390" s="302">
        <v>0</v>
      </c>
      <c r="T390" s="302">
        <v>0</v>
      </c>
      <c r="U390" s="302">
        <v>0</v>
      </c>
      <c r="V390" s="302">
        <v>0</v>
      </c>
      <c r="W390" s="295">
        <f t="shared" si="16"/>
        <v>0</v>
      </c>
      <c r="AI390" s="276"/>
    </row>
    <row r="391" spans="1:35" ht="15" customHeight="1">
      <c r="A391" s="607"/>
      <c r="B391" s="318" t="s">
        <v>674</v>
      </c>
      <c r="C391" s="302">
        <v>0</v>
      </c>
      <c r="D391" s="302">
        <v>0</v>
      </c>
      <c r="E391" s="302">
        <v>0</v>
      </c>
      <c r="F391" s="302">
        <v>0</v>
      </c>
      <c r="G391" s="302">
        <v>0</v>
      </c>
      <c r="H391" s="302">
        <v>0</v>
      </c>
      <c r="I391" s="302">
        <v>0</v>
      </c>
      <c r="J391" s="302">
        <v>0</v>
      </c>
      <c r="K391" s="302">
        <v>0</v>
      </c>
      <c r="L391" s="302">
        <v>0</v>
      </c>
      <c r="M391" s="302">
        <v>0</v>
      </c>
      <c r="N391" s="302">
        <v>0</v>
      </c>
      <c r="O391" s="302">
        <v>0</v>
      </c>
      <c r="P391" s="302">
        <v>0</v>
      </c>
      <c r="Q391" s="302">
        <v>0</v>
      </c>
      <c r="R391" s="302">
        <v>0</v>
      </c>
      <c r="S391" s="302">
        <v>0</v>
      </c>
      <c r="T391" s="302">
        <v>0</v>
      </c>
      <c r="U391" s="302">
        <v>0</v>
      </c>
      <c r="V391" s="302">
        <v>0</v>
      </c>
      <c r="W391" s="295">
        <f t="shared" si="16"/>
        <v>0</v>
      </c>
      <c r="AI391" s="276"/>
    </row>
    <row r="392" spans="1:35" ht="15" customHeight="1">
      <c r="A392" s="607"/>
      <c r="B392" s="318" t="s">
        <v>675</v>
      </c>
      <c r="C392" s="302">
        <v>0</v>
      </c>
      <c r="D392" s="302">
        <v>0</v>
      </c>
      <c r="E392" s="302">
        <v>0</v>
      </c>
      <c r="F392" s="302">
        <v>0</v>
      </c>
      <c r="G392" s="302">
        <v>0</v>
      </c>
      <c r="H392" s="302">
        <v>0</v>
      </c>
      <c r="I392" s="302">
        <v>0</v>
      </c>
      <c r="J392" s="302">
        <v>0</v>
      </c>
      <c r="K392" s="302">
        <v>0</v>
      </c>
      <c r="L392" s="302">
        <v>0</v>
      </c>
      <c r="M392" s="302">
        <v>0</v>
      </c>
      <c r="N392" s="302">
        <v>0</v>
      </c>
      <c r="O392" s="302">
        <v>0</v>
      </c>
      <c r="P392" s="302">
        <v>0</v>
      </c>
      <c r="Q392" s="302">
        <v>0</v>
      </c>
      <c r="R392" s="302">
        <v>0</v>
      </c>
      <c r="S392" s="302">
        <v>0</v>
      </c>
      <c r="T392" s="302">
        <v>0</v>
      </c>
      <c r="U392" s="302">
        <v>0</v>
      </c>
      <c r="V392" s="302">
        <v>0</v>
      </c>
      <c r="W392" s="295">
        <f t="shared" si="16"/>
        <v>0</v>
      </c>
      <c r="AI392" s="276"/>
    </row>
    <row r="393" spans="1:35" ht="15" customHeight="1">
      <c r="A393" s="607"/>
      <c r="B393" s="318" t="s">
        <v>676</v>
      </c>
      <c r="C393" s="302">
        <v>0</v>
      </c>
      <c r="D393" s="302">
        <v>0</v>
      </c>
      <c r="E393" s="302">
        <v>0</v>
      </c>
      <c r="F393" s="302">
        <v>0</v>
      </c>
      <c r="G393" s="302">
        <v>0</v>
      </c>
      <c r="H393" s="302">
        <v>0</v>
      </c>
      <c r="I393" s="302">
        <v>0</v>
      </c>
      <c r="J393" s="302">
        <v>0</v>
      </c>
      <c r="K393" s="302">
        <v>0</v>
      </c>
      <c r="L393" s="302">
        <v>0</v>
      </c>
      <c r="M393" s="302">
        <v>0</v>
      </c>
      <c r="N393" s="302">
        <v>0</v>
      </c>
      <c r="O393" s="302">
        <v>0</v>
      </c>
      <c r="P393" s="302">
        <v>0</v>
      </c>
      <c r="Q393" s="302">
        <v>0</v>
      </c>
      <c r="R393" s="302">
        <v>0</v>
      </c>
      <c r="S393" s="302">
        <v>0</v>
      </c>
      <c r="T393" s="302">
        <v>0</v>
      </c>
      <c r="U393" s="302">
        <v>0</v>
      </c>
      <c r="V393" s="302">
        <v>0</v>
      </c>
      <c r="W393" s="295">
        <f t="shared" si="16"/>
        <v>0</v>
      </c>
      <c r="AI393" s="276"/>
    </row>
    <row r="394" spans="1:35" ht="15" customHeight="1">
      <c r="A394" s="607"/>
      <c r="B394" s="318" t="s">
        <v>677</v>
      </c>
      <c r="C394" s="302">
        <v>0</v>
      </c>
      <c r="D394" s="302">
        <v>0</v>
      </c>
      <c r="E394" s="302">
        <v>0</v>
      </c>
      <c r="F394" s="302">
        <v>0</v>
      </c>
      <c r="G394" s="302">
        <v>0</v>
      </c>
      <c r="H394" s="302">
        <v>0</v>
      </c>
      <c r="I394" s="302">
        <v>0</v>
      </c>
      <c r="J394" s="302">
        <v>0</v>
      </c>
      <c r="K394" s="302">
        <v>0</v>
      </c>
      <c r="L394" s="302">
        <v>0</v>
      </c>
      <c r="M394" s="302">
        <v>0</v>
      </c>
      <c r="N394" s="302">
        <v>0</v>
      </c>
      <c r="O394" s="302">
        <v>0</v>
      </c>
      <c r="P394" s="302">
        <v>0</v>
      </c>
      <c r="Q394" s="302">
        <v>0</v>
      </c>
      <c r="R394" s="302">
        <v>0</v>
      </c>
      <c r="S394" s="302">
        <v>0</v>
      </c>
      <c r="T394" s="302">
        <v>0</v>
      </c>
      <c r="U394" s="302">
        <v>0</v>
      </c>
      <c r="V394" s="302">
        <v>0</v>
      </c>
      <c r="W394" s="295">
        <f t="shared" si="16"/>
        <v>0</v>
      </c>
      <c r="AI394" s="276"/>
    </row>
    <row r="395" spans="1:35" ht="15" customHeight="1">
      <c r="A395" s="607"/>
      <c r="B395" s="318" t="s">
        <v>678</v>
      </c>
      <c r="C395" s="302">
        <v>0</v>
      </c>
      <c r="D395" s="302">
        <v>0</v>
      </c>
      <c r="E395" s="302">
        <v>0</v>
      </c>
      <c r="F395" s="302">
        <v>0</v>
      </c>
      <c r="G395" s="302">
        <v>0</v>
      </c>
      <c r="H395" s="302">
        <v>0</v>
      </c>
      <c r="I395" s="302">
        <v>0</v>
      </c>
      <c r="J395" s="302">
        <v>0</v>
      </c>
      <c r="K395" s="302">
        <v>0</v>
      </c>
      <c r="L395" s="302">
        <v>0</v>
      </c>
      <c r="M395" s="302">
        <v>0</v>
      </c>
      <c r="N395" s="302">
        <v>0</v>
      </c>
      <c r="O395" s="302">
        <v>0</v>
      </c>
      <c r="P395" s="302">
        <v>0</v>
      </c>
      <c r="Q395" s="302">
        <v>0</v>
      </c>
      <c r="R395" s="302">
        <v>0</v>
      </c>
      <c r="S395" s="302">
        <v>0</v>
      </c>
      <c r="T395" s="302">
        <v>0</v>
      </c>
      <c r="U395" s="302">
        <v>0</v>
      </c>
      <c r="V395" s="302">
        <v>0</v>
      </c>
      <c r="W395" s="295">
        <f t="shared" si="16"/>
        <v>0</v>
      </c>
      <c r="AI395" s="276"/>
    </row>
    <row r="396" spans="1:35" ht="15" customHeight="1">
      <c r="A396" s="607"/>
      <c r="B396" s="318" t="s">
        <v>679</v>
      </c>
      <c r="C396" s="302">
        <v>0</v>
      </c>
      <c r="D396" s="302">
        <v>0</v>
      </c>
      <c r="E396" s="302">
        <v>0</v>
      </c>
      <c r="F396" s="302">
        <v>0</v>
      </c>
      <c r="G396" s="302">
        <v>0</v>
      </c>
      <c r="H396" s="302">
        <v>0</v>
      </c>
      <c r="I396" s="302">
        <v>0</v>
      </c>
      <c r="J396" s="302">
        <v>0</v>
      </c>
      <c r="K396" s="302">
        <v>0</v>
      </c>
      <c r="L396" s="302">
        <v>0</v>
      </c>
      <c r="M396" s="302">
        <v>0</v>
      </c>
      <c r="N396" s="302">
        <v>0</v>
      </c>
      <c r="O396" s="302">
        <v>0</v>
      </c>
      <c r="P396" s="302">
        <v>0</v>
      </c>
      <c r="Q396" s="302">
        <v>0</v>
      </c>
      <c r="R396" s="302">
        <v>0</v>
      </c>
      <c r="S396" s="302">
        <v>0</v>
      </c>
      <c r="T396" s="302">
        <v>0</v>
      </c>
      <c r="U396" s="302">
        <v>0</v>
      </c>
      <c r="V396" s="302">
        <v>0</v>
      </c>
      <c r="W396" s="295">
        <f t="shared" si="16"/>
        <v>0</v>
      </c>
      <c r="AI396" s="276"/>
    </row>
    <row r="397" spans="1:35" ht="15" customHeight="1">
      <c r="A397" s="607"/>
      <c r="B397" s="318" t="s">
        <v>680</v>
      </c>
      <c r="C397" s="302">
        <v>0</v>
      </c>
      <c r="D397" s="302">
        <v>0</v>
      </c>
      <c r="E397" s="302">
        <v>0</v>
      </c>
      <c r="F397" s="302">
        <v>0</v>
      </c>
      <c r="G397" s="302">
        <v>0</v>
      </c>
      <c r="H397" s="302">
        <v>0</v>
      </c>
      <c r="I397" s="302">
        <v>0</v>
      </c>
      <c r="J397" s="302">
        <v>0</v>
      </c>
      <c r="K397" s="302">
        <v>0</v>
      </c>
      <c r="L397" s="302">
        <v>0</v>
      </c>
      <c r="M397" s="302">
        <v>0</v>
      </c>
      <c r="N397" s="302">
        <v>0</v>
      </c>
      <c r="O397" s="302">
        <v>0</v>
      </c>
      <c r="P397" s="302">
        <v>0</v>
      </c>
      <c r="Q397" s="302">
        <v>0</v>
      </c>
      <c r="R397" s="302">
        <v>0</v>
      </c>
      <c r="S397" s="302">
        <v>0</v>
      </c>
      <c r="T397" s="302">
        <v>0</v>
      </c>
      <c r="U397" s="302">
        <v>0</v>
      </c>
      <c r="V397" s="302">
        <v>0</v>
      </c>
      <c r="W397" s="295">
        <f t="shared" si="16"/>
        <v>0</v>
      </c>
      <c r="AI397" s="276"/>
    </row>
    <row r="398" spans="1:35" ht="15" customHeight="1">
      <c r="A398" s="607"/>
      <c r="B398" s="318" t="s">
        <v>681</v>
      </c>
      <c r="C398" s="302">
        <v>0</v>
      </c>
      <c r="D398" s="302">
        <v>0</v>
      </c>
      <c r="E398" s="302">
        <v>0</v>
      </c>
      <c r="F398" s="302">
        <v>0</v>
      </c>
      <c r="G398" s="302">
        <v>0</v>
      </c>
      <c r="H398" s="302">
        <v>0</v>
      </c>
      <c r="I398" s="302">
        <v>0</v>
      </c>
      <c r="J398" s="302">
        <v>0</v>
      </c>
      <c r="K398" s="302">
        <v>0</v>
      </c>
      <c r="L398" s="302">
        <v>0</v>
      </c>
      <c r="M398" s="302">
        <v>0</v>
      </c>
      <c r="N398" s="302">
        <v>0</v>
      </c>
      <c r="O398" s="302">
        <v>0</v>
      </c>
      <c r="P398" s="302">
        <v>0</v>
      </c>
      <c r="Q398" s="302">
        <v>0</v>
      </c>
      <c r="R398" s="302">
        <v>0</v>
      </c>
      <c r="S398" s="302">
        <v>0</v>
      </c>
      <c r="T398" s="302">
        <v>0</v>
      </c>
      <c r="U398" s="302">
        <v>0</v>
      </c>
      <c r="V398" s="302">
        <v>0</v>
      </c>
      <c r="W398" s="295">
        <f t="shared" si="16"/>
        <v>0</v>
      </c>
      <c r="AI398" s="276"/>
    </row>
    <row r="399" spans="1:35" ht="15" customHeight="1">
      <c r="A399" s="607"/>
      <c r="B399" s="318" t="s">
        <v>944</v>
      </c>
      <c r="C399" s="302">
        <v>0</v>
      </c>
      <c r="D399" s="302">
        <v>0</v>
      </c>
      <c r="E399" s="302">
        <v>0</v>
      </c>
      <c r="F399" s="302">
        <v>0</v>
      </c>
      <c r="G399" s="302">
        <v>0</v>
      </c>
      <c r="H399" s="302">
        <v>0</v>
      </c>
      <c r="I399" s="302">
        <v>0</v>
      </c>
      <c r="J399" s="302">
        <v>0</v>
      </c>
      <c r="K399" s="302">
        <v>0</v>
      </c>
      <c r="L399" s="302">
        <v>0</v>
      </c>
      <c r="M399" s="302">
        <v>0</v>
      </c>
      <c r="N399" s="302">
        <v>0</v>
      </c>
      <c r="O399" s="302">
        <v>0</v>
      </c>
      <c r="P399" s="302">
        <v>0</v>
      </c>
      <c r="Q399" s="302">
        <v>0</v>
      </c>
      <c r="R399" s="302">
        <v>0</v>
      </c>
      <c r="S399" s="302">
        <v>0</v>
      </c>
      <c r="T399" s="302">
        <v>0</v>
      </c>
      <c r="U399" s="302">
        <v>0</v>
      </c>
      <c r="V399" s="302">
        <v>0</v>
      </c>
      <c r="W399" s="295">
        <f t="shared" si="16"/>
        <v>0</v>
      </c>
      <c r="AI399" s="276"/>
    </row>
    <row r="400" spans="1:35" ht="15" customHeight="1">
      <c r="A400" s="607"/>
      <c r="B400" s="318" t="s">
        <v>945</v>
      </c>
      <c r="C400" s="302">
        <v>0</v>
      </c>
      <c r="D400" s="302">
        <v>0</v>
      </c>
      <c r="E400" s="302">
        <v>0</v>
      </c>
      <c r="F400" s="302">
        <v>0</v>
      </c>
      <c r="G400" s="302">
        <v>0</v>
      </c>
      <c r="H400" s="302">
        <v>0</v>
      </c>
      <c r="I400" s="302">
        <v>0</v>
      </c>
      <c r="J400" s="302">
        <v>0</v>
      </c>
      <c r="K400" s="302">
        <v>0</v>
      </c>
      <c r="L400" s="302">
        <v>0</v>
      </c>
      <c r="M400" s="302">
        <v>0</v>
      </c>
      <c r="N400" s="302">
        <v>0</v>
      </c>
      <c r="O400" s="302">
        <v>0</v>
      </c>
      <c r="P400" s="302">
        <v>0</v>
      </c>
      <c r="Q400" s="302">
        <v>0</v>
      </c>
      <c r="R400" s="302">
        <v>0</v>
      </c>
      <c r="S400" s="302">
        <v>0</v>
      </c>
      <c r="T400" s="302">
        <v>0</v>
      </c>
      <c r="U400" s="302">
        <v>0</v>
      </c>
      <c r="V400" s="302">
        <v>0</v>
      </c>
      <c r="W400" s="295">
        <f t="shared" si="16"/>
        <v>0</v>
      </c>
      <c r="AI400" s="276"/>
    </row>
    <row r="401" spans="1:35" ht="15" customHeight="1">
      <c r="A401" s="607"/>
      <c r="B401" s="318" t="s">
        <v>946</v>
      </c>
      <c r="C401" s="302">
        <v>0</v>
      </c>
      <c r="D401" s="302">
        <v>0</v>
      </c>
      <c r="E401" s="302">
        <v>0</v>
      </c>
      <c r="F401" s="302">
        <v>0</v>
      </c>
      <c r="G401" s="302">
        <v>0</v>
      </c>
      <c r="H401" s="302">
        <v>0</v>
      </c>
      <c r="I401" s="302">
        <v>0</v>
      </c>
      <c r="J401" s="302">
        <v>0</v>
      </c>
      <c r="K401" s="302">
        <v>0</v>
      </c>
      <c r="L401" s="302">
        <v>0</v>
      </c>
      <c r="M401" s="302">
        <v>0</v>
      </c>
      <c r="N401" s="302">
        <v>0</v>
      </c>
      <c r="O401" s="302">
        <v>0</v>
      </c>
      <c r="P401" s="302">
        <v>0</v>
      </c>
      <c r="Q401" s="302">
        <v>0</v>
      </c>
      <c r="R401" s="302">
        <v>0</v>
      </c>
      <c r="S401" s="302">
        <v>0</v>
      </c>
      <c r="T401" s="302">
        <v>0</v>
      </c>
      <c r="U401" s="302">
        <v>0</v>
      </c>
      <c r="V401" s="302">
        <v>0</v>
      </c>
      <c r="W401" s="295">
        <f t="shared" si="16"/>
        <v>0</v>
      </c>
      <c r="AI401" s="276"/>
    </row>
    <row r="402" spans="1:35" ht="15" customHeight="1" thickBot="1">
      <c r="A402" s="608"/>
      <c r="B402" s="318" t="s">
        <v>947</v>
      </c>
      <c r="C402" s="302">
        <v>0</v>
      </c>
      <c r="D402" s="302">
        <v>0</v>
      </c>
      <c r="E402" s="302">
        <v>0</v>
      </c>
      <c r="F402" s="302">
        <v>0</v>
      </c>
      <c r="G402" s="302">
        <v>0</v>
      </c>
      <c r="H402" s="302">
        <v>0</v>
      </c>
      <c r="I402" s="302">
        <v>0</v>
      </c>
      <c r="J402" s="302">
        <v>0</v>
      </c>
      <c r="K402" s="302">
        <v>0</v>
      </c>
      <c r="L402" s="302">
        <v>0</v>
      </c>
      <c r="M402" s="302">
        <v>0</v>
      </c>
      <c r="N402" s="302">
        <v>0</v>
      </c>
      <c r="O402" s="302">
        <v>0</v>
      </c>
      <c r="P402" s="302">
        <v>0</v>
      </c>
      <c r="Q402" s="302">
        <v>0</v>
      </c>
      <c r="R402" s="302">
        <v>0</v>
      </c>
      <c r="S402" s="302">
        <v>0</v>
      </c>
      <c r="T402" s="302">
        <v>0</v>
      </c>
      <c r="U402" s="302">
        <v>0</v>
      </c>
      <c r="V402" s="302">
        <v>0</v>
      </c>
      <c r="W402" s="295">
        <f t="shared" si="16"/>
        <v>0</v>
      </c>
      <c r="AI402" s="276"/>
    </row>
    <row r="403" spans="1:35" ht="20.100000000000001" customHeight="1" thickBot="1">
      <c r="A403" s="600" t="s">
        <v>755</v>
      </c>
      <c r="B403" s="601"/>
      <c r="C403" s="296"/>
      <c r="D403" s="296"/>
      <c r="E403" s="296"/>
      <c r="F403" s="296"/>
      <c r="G403" s="296"/>
      <c r="H403" s="296"/>
      <c r="I403" s="296"/>
      <c r="J403" s="296"/>
      <c r="K403" s="296"/>
      <c r="L403" s="296"/>
      <c r="M403" s="296"/>
      <c r="N403" s="296"/>
      <c r="O403" s="296"/>
      <c r="P403" s="296"/>
      <c r="Q403" s="296"/>
      <c r="R403" s="296"/>
      <c r="S403" s="296"/>
      <c r="T403" s="296"/>
      <c r="U403" s="296"/>
      <c r="V403" s="297"/>
      <c r="W403" s="560"/>
      <c r="AI403" s="276"/>
    </row>
    <row r="404" spans="1:35" ht="20.100000000000001" customHeight="1" thickBot="1">
      <c r="A404" s="600" t="s">
        <v>754</v>
      </c>
      <c r="B404" s="601"/>
      <c r="C404" s="296">
        <f t="shared" ref="C404:V404" si="17">+AVERAGE(C362:C402)</f>
        <v>0</v>
      </c>
      <c r="D404" s="296">
        <f t="shared" si="17"/>
        <v>0</v>
      </c>
      <c r="E404" s="296">
        <f t="shared" si="17"/>
        <v>0</v>
      </c>
      <c r="F404" s="296">
        <f t="shared" si="17"/>
        <v>0</v>
      </c>
      <c r="G404" s="296">
        <f t="shared" si="17"/>
        <v>0</v>
      </c>
      <c r="H404" s="296">
        <f t="shared" si="17"/>
        <v>0</v>
      </c>
      <c r="I404" s="296">
        <f t="shared" si="17"/>
        <v>0</v>
      </c>
      <c r="J404" s="296">
        <f t="shared" si="17"/>
        <v>0</v>
      </c>
      <c r="K404" s="296">
        <f t="shared" si="17"/>
        <v>0</v>
      </c>
      <c r="L404" s="296">
        <f t="shared" si="17"/>
        <v>0</v>
      </c>
      <c r="M404" s="296">
        <f t="shared" si="17"/>
        <v>0</v>
      </c>
      <c r="N404" s="296">
        <f t="shared" si="17"/>
        <v>0</v>
      </c>
      <c r="O404" s="296">
        <f t="shared" si="17"/>
        <v>0</v>
      </c>
      <c r="P404" s="296">
        <f t="shared" si="17"/>
        <v>0</v>
      </c>
      <c r="Q404" s="296">
        <f t="shared" si="17"/>
        <v>0</v>
      </c>
      <c r="R404" s="296">
        <f t="shared" si="17"/>
        <v>0</v>
      </c>
      <c r="S404" s="296">
        <f t="shared" si="17"/>
        <v>0</v>
      </c>
      <c r="T404" s="296">
        <f t="shared" si="17"/>
        <v>0</v>
      </c>
      <c r="U404" s="296">
        <f t="shared" si="17"/>
        <v>0</v>
      </c>
      <c r="V404" s="297">
        <f t="shared" si="17"/>
        <v>0</v>
      </c>
      <c r="W404" s="561"/>
      <c r="AI404" s="276"/>
    </row>
    <row r="405" spans="1:35" ht="20.100000000000001" customHeight="1" thickBot="1">
      <c r="A405" s="600" t="s">
        <v>763</v>
      </c>
      <c r="B405" s="602"/>
      <c r="C405" s="516">
        <f>AVERAGE(C404:V404)</f>
        <v>0</v>
      </c>
      <c r="D405" s="517"/>
      <c r="E405" s="517"/>
      <c r="F405" s="517"/>
      <c r="G405" s="517"/>
      <c r="H405" s="517"/>
      <c r="I405" s="517"/>
      <c r="J405" s="517"/>
      <c r="K405" s="517"/>
      <c r="L405" s="517"/>
      <c r="M405" s="517"/>
      <c r="N405" s="517"/>
      <c r="O405" s="517"/>
      <c r="P405" s="517"/>
      <c r="Q405" s="517"/>
      <c r="R405" s="516"/>
      <c r="S405" s="517"/>
      <c r="T405" s="517"/>
      <c r="U405" s="517"/>
      <c r="V405" s="517"/>
      <c r="W405" s="562"/>
      <c r="AI405" s="276"/>
    </row>
    <row r="406" spans="1:35" ht="20.25" customHeight="1"/>
    <row r="407" spans="1:35" ht="45" hidden="1" customHeight="1">
      <c r="C407" s="289" t="s">
        <v>685</v>
      </c>
      <c r="D407" s="289" t="s">
        <v>686</v>
      </c>
      <c r="E407" s="289" t="s">
        <v>687</v>
      </c>
      <c r="F407" s="289" t="s">
        <v>688</v>
      </c>
      <c r="G407" s="289" t="s">
        <v>689</v>
      </c>
      <c r="H407" s="289" t="s">
        <v>691</v>
      </c>
      <c r="I407" s="289" t="s">
        <v>692</v>
      </c>
      <c r="J407" s="289" t="s">
        <v>693</v>
      </c>
      <c r="K407" s="289" t="s">
        <v>694</v>
      </c>
      <c r="L407" s="289" t="s">
        <v>695</v>
      </c>
      <c r="M407" s="289" t="s">
        <v>752</v>
      </c>
      <c r="N407" s="289" t="s">
        <v>748</v>
      </c>
      <c r="O407" s="289" t="s">
        <v>696</v>
      </c>
      <c r="P407" s="289" t="s">
        <v>697</v>
      </c>
      <c r="Q407" s="289" t="s">
        <v>698</v>
      </c>
      <c r="R407" s="289"/>
      <c r="S407" s="289" t="s">
        <v>699</v>
      </c>
      <c r="T407" s="289" t="s">
        <v>700</v>
      </c>
      <c r="U407" s="289" t="s">
        <v>701</v>
      </c>
      <c r="V407" s="289" t="s">
        <v>702</v>
      </c>
      <c r="X407" s="148" t="s">
        <v>767</v>
      </c>
      <c r="Y407" s="148" t="s">
        <v>768</v>
      </c>
    </row>
    <row r="408" spans="1:35" ht="20.25" hidden="1" customHeight="1" thickBot="1">
      <c r="C408" s="277" t="e">
        <f>+IF(AND(C$416&gt;=#REF!,C$416&lt;=$X408),C$416,NA())</f>
        <v>#REF!</v>
      </c>
      <c r="D408" s="277" t="e">
        <f>+IF(AND(D$416&gt;=#REF!,D$416&lt;=$X408),D$416,NA())</f>
        <v>#REF!</v>
      </c>
      <c r="E408" s="277" t="e">
        <f>+IF(AND(E$416&gt;=#REF!,E$416&lt;=$X408),E$416,NA())</f>
        <v>#REF!</v>
      </c>
      <c r="F408" s="277" t="e">
        <f>+IF(AND(F$416&gt;=#REF!,F$416&lt;=$X408),F$416,NA())</f>
        <v>#REF!</v>
      </c>
      <c r="G408" s="277" t="e">
        <f>+IF(AND(G$416&gt;=#REF!,G$416&lt;=$X408),G$416,NA())</f>
        <v>#REF!</v>
      </c>
      <c r="H408" s="277" t="e">
        <f>+IF(AND(H$416&gt;=#REF!,H$416&lt;=$X408),H$416,NA())</f>
        <v>#REF!</v>
      </c>
      <c r="I408" s="277" t="e">
        <f>+IF(AND(I$416&gt;=#REF!,I$416&lt;=$X408),I$416,NA())</f>
        <v>#REF!</v>
      </c>
      <c r="J408" s="277" t="e">
        <f>+IF(AND(J$416&gt;=#REF!,J$416&lt;=$X408),J$416,NA())</f>
        <v>#REF!</v>
      </c>
      <c r="K408" s="277" t="e">
        <f>+IF(AND(K$416&gt;=#REF!,K$416&lt;=$X408),K$416,NA())</f>
        <v>#REF!</v>
      </c>
      <c r="L408" s="277" t="e">
        <f>+IF(AND(L$416&gt;=#REF!,L$416&lt;=$X408),L$416,NA())</f>
        <v>#REF!</v>
      </c>
      <c r="M408" s="277" t="e">
        <f>+IF(AND(M$416&gt;=#REF!,M$416&lt;=$X408),M$416,NA())</f>
        <v>#REF!</v>
      </c>
      <c r="N408" s="277" t="e">
        <f>+IF(AND(N$416&gt;=#REF!,N$416&lt;=$X408),N$416,NA())</f>
        <v>#REF!</v>
      </c>
      <c r="O408" s="277" t="e">
        <f>+IF(AND(O$416&gt;=#REF!,O$416&lt;=$X408),O$416,NA())</f>
        <v>#REF!</v>
      </c>
      <c r="P408" s="277" t="e">
        <f>+IF(AND(P$416&gt;=#REF!,P$416&lt;=$X408),P$416,NA())</f>
        <v>#REF!</v>
      </c>
      <c r="Q408" s="277" t="e">
        <f>+IF(AND(Q$416&gt;=#REF!,Q$416&lt;=$X408),Q$416,NA())</f>
        <v>#REF!</v>
      </c>
      <c r="R408" s="277"/>
      <c r="S408" s="277" t="e">
        <f>+IF(AND(S$416&gt;=#REF!,S$416&lt;=$X408),S$416,NA())</f>
        <v>#REF!</v>
      </c>
      <c r="T408" s="277" t="e">
        <f>+IF(AND(T$416&gt;=#REF!,T$416&lt;=$X408),T$416,NA())</f>
        <v>#REF!</v>
      </c>
      <c r="U408" s="277" t="e">
        <f>+IF(AND(U$416&gt;=#REF!,U$416&lt;=$X408),U$416,NA())</f>
        <v>#REF!</v>
      </c>
      <c r="V408" s="277" t="e">
        <f>+IF(AND(V$416&gt;=#REF!,V$416&lt;=$X408),V$416,NA())</f>
        <v>#REF!</v>
      </c>
      <c r="X408" s="275">
        <v>67</v>
      </c>
      <c r="Y408" s="148" t="s">
        <v>769</v>
      </c>
    </row>
    <row r="409" spans="1:35" ht="20.25" hidden="1" customHeight="1" thickBot="1">
      <c r="C409" s="277" t="e">
        <f>+IF(AND(C$416&gt;=#REF!,C$416&lt;=$X409),C$416,NA())</f>
        <v>#REF!</v>
      </c>
      <c r="D409" s="277" t="e">
        <f>+IF(AND(D$416&gt;=#REF!,D$416&lt;=$X409),D$416,NA())</f>
        <v>#REF!</v>
      </c>
      <c r="E409" s="277" t="e">
        <f>+IF(AND(E$416&gt;=#REF!,E$416&lt;=$X409),E$416,NA())</f>
        <v>#REF!</v>
      </c>
      <c r="F409" s="277" t="e">
        <f>+IF(AND(F$416&gt;=#REF!,F$416&lt;=$X409),F$416,NA())</f>
        <v>#REF!</v>
      </c>
      <c r="G409" s="277" t="e">
        <f>+IF(AND(G$416&gt;=#REF!,G$416&lt;=$X409),G$416,NA())</f>
        <v>#REF!</v>
      </c>
      <c r="H409" s="277" t="e">
        <f>+IF(AND(H$416&gt;=#REF!,H$416&lt;=$X409),H$416,NA())</f>
        <v>#REF!</v>
      </c>
      <c r="I409" s="277" t="e">
        <f>+IF(AND(I$416&gt;=#REF!,I$416&lt;=$X409),I$416,NA())</f>
        <v>#REF!</v>
      </c>
      <c r="J409" s="277" t="e">
        <f>+IF(AND(J$416&gt;=#REF!,J$416&lt;=$X409),J$416,NA())</f>
        <v>#REF!</v>
      </c>
      <c r="K409" s="277" t="e">
        <f>+IF(AND(K$416&gt;=#REF!,K$416&lt;=$X409),K$416,NA())</f>
        <v>#REF!</v>
      </c>
      <c r="L409" s="277" t="e">
        <f>+IF(AND(L$416&gt;=#REF!,L$416&lt;=$X409),L$416,NA())</f>
        <v>#REF!</v>
      </c>
      <c r="M409" s="277" t="e">
        <f>+IF(AND(M$416&gt;=#REF!,M$416&lt;=$X409),M$416,NA())</f>
        <v>#REF!</v>
      </c>
      <c r="N409" s="277" t="e">
        <f>+IF(AND(N$416&gt;=#REF!,N$416&lt;=$X409),N$416,NA())</f>
        <v>#REF!</v>
      </c>
      <c r="O409" s="277" t="e">
        <f>+IF(AND(O$416&gt;=#REF!,O$416&lt;=$X409),O$416,NA())</f>
        <v>#REF!</v>
      </c>
      <c r="P409" s="277" t="e">
        <f>+IF(AND(P$416&gt;=#REF!,P$416&lt;=$X409),P$416,NA())</f>
        <v>#REF!</v>
      </c>
      <c r="Q409" s="277" t="e">
        <f>+IF(AND(Q$416&gt;=#REF!,Q$416&lt;=$X409),Q$416,NA())</f>
        <v>#REF!</v>
      </c>
      <c r="R409" s="277"/>
      <c r="S409" s="277" t="e">
        <f>+IF(AND(S$416&gt;=#REF!,S$416&lt;=$X409),S$416,NA())</f>
        <v>#REF!</v>
      </c>
      <c r="T409" s="277" t="e">
        <f>+IF(AND(T$416&gt;=#REF!,T$416&lt;=$X409),T$416,NA())</f>
        <v>#REF!</v>
      </c>
      <c r="U409" s="277" t="e">
        <f>+IF(AND(U$416&gt;=#REF!,U$416&lt;=$X409),U$416,NA())</f>
        <v>#REF!</v>
      </c>
      <c r="V409" s="277" t="e">
        <f>+IF(AND(V$416&gt;=#REF!,V$416&lt;=$X409),V$416,NA())</f>
        <v>#REF!</v>
      </c>
      <c r="X409" s="148">
        <f>68+67</f>
        <v>135</v>
      </c>
      <c r="Y409" s="148" t="s">
        <v>770</v>
      </c>
    </row>
    <row r="410" spans="1:35" ht="20.25" hidden="1" customHeight="1" thickBot="1">
      <c r="C410" s="277" t="e">
        <f>+IF(AND(C$416&gt;=#REF!,C$416&lt;=$X410),C$416,NA())</f>
        <v>#REF!</v>
      </c>
      <c r="D410" s="277" t="e">
        <f>+IF(AND(D$416&gt;=#REF!,D$416&lt;=$X410),D$416,NA())</f>
        <v>#REF!</v>
      </c>
      <c r="E410" s="277" t="e">
        <f>+IF(AND(E$416&gt;=#REF!,E$416&lt;=$X410),E$416,NA())</f>
        <v>#REF!</v>
      </c>
      <c r="F410" s="277" t="e">
        <f>+IF(AND(F$416&gt;=#REF!,F$416&lt;=$X410),F$416,NA())</f>
        <v>#REF!</v>
      </c>
      <c r="G410" s="277" t="e">
        <f>+IF(AND(G$416&gt;=#REF!,G$416&lt;=$X410),G$416,NA())</f>
        <v>#REF!</v>
      </c>
      <c r="H410" s="277" t="e">
        <f>+IF(AND(H$416&gt;=#REF!,H$416&lt;=$X410),H$416,NA())</f>
        <v>#REF!</v>
      </c>
      <c r="I410" s="277" t="e">
        <f>+IF(AND(I$416&gt;=#REF!,I$416&lt;=$X410),I$416,NA())</f>
        <v>#REF!</v>
      </c>
      <c r="J410" s="277" t="e">
        <f>+IF(AND(J$416&gt;=#REF!,J$416&lt;=$X410),J$416,NA())</f>
        <v>#REF!</v>
      </c>
      <c r="K410" s="277" t="e">
        <f>+IF(AND(K$416&gt;=#REF!,K$416&lt;=$X410),K$416,NA())</f>
        <v>#REF!</v>
      </c>
      <c r="L410" s="277" t="e">
        <f>+IF(AND(L$416&gt;=#REF!,L$416&lt;=$X410),L$416,NA())</f>
        <v>#REF!</v>
      </c>
      <c r="M410" s="277" t="e">
        <f>+IF(AND(M$416&gt;=#REF!,M$416&lt;=$X410),M$416,NA())</f>
        <v>#REF!</v>
      </c>
      <c r="N410" s="277" t="e">
        <f>+IF(AND(N$416&gt;=#REF!,N$416&lt;=$X410),N$416,NA())</f>
        <v>#REF!</v>
      </c>
      <c r="O410" s="277" t="e">
        <f>+IF(AND(O$416&gt;=#REF!,O$416&lt;=$X410),O$416,NA())</f>
        <v>#REF!</v>
      </c>
      <c r="P410" s="277" t="e">
        <f>+IF(AND(P$416&gt;=#REF!,P$416&lt;=$X410),P$416,NA())</f>
        <v>#REF!</v>
      </c>
      <c r="Q410" s="277" t="e">
        <f>+IF(AND(Q$416&gt;=#REF!,Q$416&lt;=$X410),Q$416,NA())</f>
        <v>#REF!</v>
      </c>
      <c r="R410" s="277"/>
      <c r="S410" s="277" t="e">
        <f>+IF(AND(S$416&gt;=#REF!,S$416&lt;=$X410),S$416,NA())</f>
        <v>#REF!</v>
      </c>
      <c r="T410" s="277" t="e">
        <f>+IF(AND(T$416&gt;=#REF!,T$416&lt;=$X410),T$416,NA())</f>
        <v>#REF!</v>
      </c>
      <c r="U410" s="277" t="e">
        <f>+IF(AND(U$416&gt;=#REF!,U$416&lt;=$X410),U$416,NA())</f>
        <v>#REF!</v>
      </c>
      <c r="V410" s="277" t="e">
        <f>+IF(AND(V$416&gt;=#REF!,V$416&lt;=$X410),V$416,NA())</f>
        <v>#REF!</v>
      </c>
      <c r="X410" s="148">
        <v>202</v>
      </c>
      <c r="Y410" s="148" t="s">
        <v>771</v>
      </c>
    </row>
    <row r="411" spans="1:35" ht="20.25" hidden="1" customHeight="1" thickBot="1"/>
    <row r="412" spans="1:35" ht="20.25" hidden="1" customHeight="1" thickBot="1">
      <c r="C412" s="148">
        <v>67</v>
      </c>
      <c r="D412" s="148">
        <v>67</v>
      </c>
      <c r="E412" s="148">
        <v>67</v>
      </c>
      <c r="F412" s="148">
        <v>67</v>
      </c>
      <c r="G412" s="148">
        <v>67</v>
      </c>
      <c r="H412" s="148">
        <v>67</v>
      </c>
      <c r="I412" s="148">
        <v>67</v>
      </c>
      <c r="J412" s="148">
        <v>67</v>
      </c>
      <c r="K412" s="148">
        <v>67</v>
      </c>
      <c r="L412" s="148">
        <v>67</v>
      </c>
      <c r="M412" s="148">
        <v>67</v>
      </c>
      <c r="N412" s="148">
        <v>67</v>
      </c>
      <c r="O412" s="148">
        <v>67</v>
      </c>
      <c r="P412" s="148">
        <v>67</v>
      </c>
      <c r="Q412" s="148">
        <v>67</v>
      </c>
      <c r="S412" s="148">
        <v>67</v>
      </c>
      <c r="T412" s="148">
        <v>67</v>
      </c>
      <c r="U412" s="148">
        <v>67</v>
      </c>
      <c r="V412" s="148">
        <v>67</v>
      </c>
    </row>
    <row r="413" spans="1:35" ht="20.25" hidden="1" customHeight="1" thickBot="1">
      <c r="C413" s="148">
        <v>134</v>
      </c>
      <c r="D413" s="148">
        <v>134</v>
      </c>
      <c r="E413" s="148">
        <v>134</v>
      </c>
      <c r="F413" s="148">
        <v>134</v>
      </c>
      <c r="G413" s="148">
        <v>134</v>
      </c>
      <c r="H413" s="148">
        <v>134</v>
      </c>
      <c r="I413" s="148">
        <v>134</v>
      </c>
      <c r="J413" s="148">
        <v>134</v>
      </c>
      <c r="K413" s="148">
        <v>134</v>
      </c>
      <c r="L413" s="148">
        <v>134</v>
      </c>
      <c r="M413" s="148">
        <v>134</v>
      </c>
      <c r="N413" s="148">
        <v>134</v>
      </c>
      <c r="O413" s="148">
        <v>134</v>
      </c>
      <c r="P413" s="148">
        <v>134</v>
      </c>
      <c r="Q413" s="148">
        <v>134</v>
      </c>
      <c r="S413" s="148">
        <v>134</v>
      </c>
      <c r="T413" s="148">
        <v>134</v>
      </c>
      <c r="U413" s="148">
        <v>134</v>
      </c>
      <c r="V413" s="148">
        <v>134</v>
      </c>
    </row>
    <row r="414" spans="1:35" ht="20.25" hidden="1" customHeight="1" thickBot="1"/>
    <row r="415" spans="1:35" ht="20.25" hidden="1" customHeight="1" thickBot="1"/>
    <row r="416" spans="1:35" ht="20.25" hidden="1" customHeight="1" thickBot="1">
      <c r="C416" s="277" t="e">
        <f>(SUM(C$7:C$30,C$34:C$76,C$80:C$123,C$127:C$170,C$174:C$217,C$221:C$264,C$268:C$311,C$315:C$358,C$362:C$402,#REF!,#REF!,#REF!))</f>
        <v>#REF!</v>
      </c>
      <c r="D416" s="277" t="e">
        <f>(SUM(D$7:D$30,D$34:D$76,D$80:D$123,D$127:D$170,D$174:D$217,D$221:D$264,D$268:D$311,D$315:D$358,D$362:D$402,#REF!,#REF!,#REF!))</f>
        <v>#REF!</v>
      </c>
      <c r="E416" s="277" t="e">
        <f>(SUM(E$7:E$30,E$34:E$76,E$80:E$123,E$127:E$170,E$174:E$217,E$221:E$264,E$268:E$311,E$315:E$358,E$362:E$402,#REF!,#REF!,#REF!))</f>
        <v>#REF!</v>
      </c>
      <c r="F416" s="277" t="e">
        <f>(SUM(F$7:F$30,F$34:F$76,F$80:F$123,F$127:F$170,F$174:F$217,F$221:F$264,F$268:F$311,F$315:F$358,F$362:F$402,#REF!,#REF!,#REF!))</f>
        <v>#REF!</v>
      </c>
      <c r="G416" s="277" t="e">
        <f>(SUM(G$7:G$30,G$34:G$76,G$80:G$123,G$127:G$170,G$174:G$217,G$221:G$264,G$268:G$311,G$315:G$358,G$362:G$402,#REF!,#REF!,#REF!))</f>
        <v>#REF!</v>
      </c>
      <c r="H416" s="277" t="e">
        <f>(SUM(H$7:H$30,H$34:H$76,H$80:H$123,H$127:H$170,H$174:H$217,H$221:H$264,H$268:H$311,H$315:H$358,H$362:H$402,#REF!,#REF!,#REF!))</f>
        <v>#REF!</v>
      </c>
      <c r="I416" s="277" t="e">
        <f>(SUM(I$7:I$30,I$34:I$76,I$80:I$123,I$127:I$170,I$174:I$217,I$221:I$264,I$268:I$311,I$315:I$358,I$362:I$402,#REF!,#REF!,#REF!))</f>
        <v>#REF!</v>
      </c>
      <c r="J416" s="277" t="e">
        <f>(SUM(J$7:J$30,J$34:J$76,J$80:J$123,J$127:J$170,J$174:J$217,J$221:J$264,J$268:J$311,J$315:J$358,J$362:J$402,#REF!,#REF!,#REF!))</f>
        <v>#REF!</v>
      </c>
      <c r="K416" s="277" t="e">
        <f>(SUM(K$7:K$30,K$34:K$76,K$80:K$123,K$127:K$170,K$174:K$217,K$221:K$264,K$268:K$311,K$315:K$358,K$362:K$402,#REF!,#REF!,#REF!))</f>
        <v>#REF!</v>
      </c>
      <c r="L416" s="277" t="e">
        <f>(SUM(L$7:L$30,L$34:L$76,L$80:L$123,L$127:L$170,L$174:L$217,L$221:L$264,L$268:L$311,L$315:L$358,L$362:L$402,#REF!,#REF!,#REF!))</f>
        <v>#REF!</v>
      </c>
      <c r="M416" s="277" t="e">
        <f>(SUM(M$7:M$30,M$34:M$76,M$80:M$123,M$127:M$170,M$174:M$217,M$221:M$264,M$268:M$311,M$315:M$358,M$362:M$402,#REF!,#REF!,#REF!))</f>
        <v>#REF!</v>
      </c>
      <c r="N416" s="277" t="e">
        <f>(SUM(N$7:N$30,N$34:N$76,N$80:N$123,N$127:N$170,N$174:N$217,N$221:N$264,N$268:N$311,N$315:N$358,N$362:N$402,#REF!,#REF!,#REF!))</f>
        <v>#REF!</v>
      </c>
      <c r="O416" s="277" t="e">
        <f>(SUM(O$7:O$30,O$34:O$76,O$80:O$123,O$127:O$170,O$174:O$217,O$221:O$264,O$268:O$311,O$315:O$358,O$362:O$402,#REF!,#REF!,#REF!))</f>
        <v>#REF!</v>
      </c>
      <c r="P416" s="277" t="e">
        <f>(SUM(P$7:P$30,P$34:P$76,P$80:P$123,P$127:P$170,P$174:P$217,P$221:P$264,P$268:P$311,P$315:P$358,P$362:P$402,#REF!,#REF!,#REF!))</f>
        <v>#REF!</v>
      </c>
      <c r="Q416" s="277" t="e">
        <f>(SUM(Q$7:Q$30,Q$34:Q$76,Q$80:Q$123,Q$127:Q$170,Q$174:Q$217,Q$221:Q$264,Q$268:Q$311,Q$315:Q$358,Q$362:Q$402,#REF!,#REF!,#REF!))</f>
        <v>#REF!</v>
      </c>
      <c r="R416" s="277"/>
      <c r="S416" s="277" t="e">
        <f>(SUM(S$7:S$30,S$34:S$76,S$80:S$123,S$127:S$170,S$174:S$217,S$221:S$264,S$268:S$311,S$315:S$358,S$362:S$402,#REF!,#REF!,#REF!))</f>
        <v>#REF!</v>
      </c>
      <c r="T416" s="277" t="e">
        <f>(SUM(T$7:T$30,T$34:T$76,T$80:T$123,T$127:T$170,T$174:T$217,T$221:T$264,T$268:T$311,T$315:T$358,T$362:T$402,#REF!,#REF!,#REF!))</f>
        <v>#REF!</v>
      </c>
      <c r="U416" s="277" t="e">
        <f>(SUM(U$7:U$30,U$34:U$76,U$80:U$123,U$127:U$170,U$174:U$217,U$221:U$264,U$268:U$311,U$315:U$358,U$362:U$402,#REF!,#REF!,#REF!))</f>
        <v>#REF!</v>
      </c>
      <c r="V416" s="277" t="e">
        <f>(SUM(V$7:V$30,V$34:V$76,V$80:V$123,V$127:V$170,V$174:V$217,V$221:V$264,V$268:V$311,V$315:V$358,V$362:V$402,#REF!,#REF!,#REF!))</f>
        <v>#REF!</v>
      </c>
      <c r="X416" s="148" t="s">
        <v>766</v>
      </c>
      <c r="Y416" s="148" t="s">
        <v>767</v>
      </c>
      <c r="Z416" s="148" t="s">
        <v>768</v>
      </c>
    </row>
    <row r="417" spans="2:26" ht="20.25" hidden="1" customHeight="1" thickBot="1">
      <c r="C417" s="278">
        <v>202</v>
      </c>
      <c r="D417" s="278">
        <v>202</v>
      </c>
      <c r="E417" s="278">
        <v>202</v>
      </c>
      <c r="F417" s="278">
        <v>202</v>
      </c>
      <c r="G417" s="278">
        <v>202</v>
      </c>
      <c r="H417" s="278">
        <v>202</v>
      </c>
      <c r="I417" s="278">
        <v>202</v>
      </c>
      <c r="J417" s="278">
        <v>202</v>
      </c>
      <c r="K417" s="278">
        <v>202</v>
      </c>
      <c r="L417" s="278">
        <v>202</v>
      </c>
      <c r="M417" s="278">
        <v>202</v>
      </c>
      <c r="N417" s="278">
        <v>202</v>
      </c>
      <c r="O417" s="278">
        <v>202</v>
      </c>
      <c r="P417" s="278">
        <v>202</v>
      </c>
      <c r="Q417" s="278">
        <v>202</v>
      </c>
      <c r="R417" s="278"/>
      <c r="S417" s="278">
        <v>202</v>
      </c>
      <c r="T417" s="278">
        <v>202</v>
      </c>
      <c r="U417" s="278">
        <v>202</v>
      </c>
      <c r="V417" s="278">
        <v>202</v>
      </c>
      <c r="X417" s="275">
        <v>0</v>
      </c>
      <c r="Y417" s="275">
        <v>30</v>
      </c>
      <c r="Z417" s="148" t="s">
        <v>769</v>
      </c>
    </row>
    <row r="418" spans="2:26" ht="20.25" hidden="1" customHeight="1" thickBot="1">
      <c r="C418" s="275"/>
      <c r="D418" s="275"/>
      <c r="E418" s="275"/>
      <c r="F418" s="275"/>
      <c r="G418" s="275"/>
      <c r="H418" s="275"/>
      <c r="I418" s="275"/>
      <c r="J418" s="275"/>
      <c r="K418" s="275"/>
      <c r="L418" s="275"/>
      <c r="M418" s="275"/>
      <c r="N418" s="275"/>
      <c r="O418" s="275"/>
      <c r="P418" s="275"/>
      <c r="Q418" s="275"/>
      <c r="R418" s="275"/>
      <c r="S418" s="275"/>
      <c r="T418" s="275"/>
      <c r="U418" s="275"/>
      <c r="V418" s="275"/>
      <c r="X418" s="148">
        <v>31</v>
      </c>
      <c r="Y418" s="148">
        <v>70</v>
      </c>
      <c r="Z418" s="148" t="s">
        <v>770</v>
      </c>
    </row>
    <row r="419" spans="2:26" ht="20.25" hidden="1" customHeight="1" thickBot="1">
      <c r="C419" s="279" t="e">
        <f t="shared" ref="C419:V419" si="18">C416/C417</f>
        <v>#REF!</v>
      </c>
      <c r="D419" s="279" t="e">
        <f t="shared" si="18"/>
        <v>#REF!</v>
      </c>
      <c r="E419" s="279" t="e">
        <f t="shared" si="18"/>
        <v>#REF!</v>
      </c>
      <c r="F419" s="279" t="e">
        <f t="shared" si="18"/>
        <v>#REF!</v>
      </c>
      <c r="G419" s="279" t="e">
        <f t="shared" si="18"/>
        <v>#REF!</v>
      </c>
      <c r="H419" s="279" t="e">
        <f t="shared" si="18"/>
        <v>#REF!</v>
      </c>
      <c r="I419" s="279" t="e">
        <f t="shared" si="18"/>
        <v>#REF!</v>
      </c>
      <c r="J419" s="279" t="e">
        <f t="shared" si="18"/>
        <v>#REF!</v>
      </c>
      <c r="K419" s="279" t="e">
        <f t="shared" si="18"/>
        <v>#REF!</v>
      </c>
      <c r="L419" s="279" t="e">
        <f t="shared" si="18"/>
        <v>#REF!</v>
      </c>
      <c r="M419" s="279" t="e">
        <f t="shared" si="18"/>
        <v>#REF!</v>
      </c>
      <c r="N419" s="279" t="e">
        <f t="shared" si="18"/>
        <v>#REF!</v>
      </c>
      <c r="O419" s="279" t="e">
        <f t="shared" si="18"/>
        <v>#REF!</v>
      </c>
      <c r="P419" s="279" t="e">
        <f t="shared" si="18"/>
        <v>#REF!</v>
      </c>
      <c r="Q419" s="279" t="e">
        <f t="shared" si="18"/>
        <v>#REF!</v>
      </c>
      <c r="R419" s="279"/>
      <c r="S419" s="279" t="e">
        <f t="shared" si="18"/>
        <v>#REF!</v>
      </c>
      <c r="T419" s="279" t="e">
        <f t="shared" si="18"/>
        <v>#REF!</v>
      </c>
      <c r="U419" s="279" t="e">
        <f t="shared" si="18"/>
        <v>#REF!</v>
      </c>
      <c r="V419" s="279" t="e">
        <f t="shared" si="18"/>
        <v>#REF!</v>
      </c>
      <c r="X419" s="148">
        <v>71</v>
      </c>
      <c r="Y419" s="148">
        <v>100</v>
      </c>
    </row>
    <row r="420" spans="2:26" ht="20.25" customHeight="1" thickBot="1">
      <c r="H420" s="276"/>
    </row>
    <row r="421" spans="2:26" ht="51.75" thickBot="1">
      <c r="B421" s="322" t="s">
        <v>39</v>
      </c>
      <c r="C421" s="322" t="str">
        <f t="shared" ref="C421:Q421" si="19">C6</f>
        <v>Retiro camisas / Tapado Pasadas</v>
      </c>
      <c r="D421" s="322" t="str">
        <f t="shared" si="19"/>
        <v>Pulido, descarachado y preparacion de muros</v>
      </c>
      <c r="E421" s="322" t="str">
        <f t="shared" si="19"/>
        <v>Trazado tabique/Yeso/auxiliares vent. Y puertas</v>
      </c>
      <c r="F421" s="322" t="str">
        <f t="shared" si="19"/>
        <v>Chequeo Rasgos Puerta Acceso</v>
      </c>
      <c r="G421" s="322" t="str">
        <f t="shared" si="19"/>
        <v>Grada Buque (9cm)</v>
      </c>
      <c r="H421" s="322" t="str">
        <f t="shared" si="19"/>
        <v>Rasgo ventana - terrazas</v>
      </c>
      <c r="I421" s="322" t="str">
        <f t="shared" si="19"/>
        <v xml:space="preserve">Despeje caja electricas </v>
      </c>
      <c r="J421" s="322" t="str">
        <f t="shared" si="19"/>
        <v>Yeso Muro</v>
      </c>
      <c r="K421" s="322" t="str">
        <f t="shared" si="19"/>
        <v>Yeso Cielo</v>
      </c>
      <c r="L421" s="322" t="str">
        <f t="shared" si="19"/>
        <v>Sanitario vertical y ramal</v>
      </c>
      <c r="M421" s="322" t="str">
        <f t="shared" si="19"/>
        <v xml:space="preserve">Instalación Lana Mineral Verticales Samitarias </v>
      </c>
      <c r="N421" s="322" t="str">
        <f t="shared" si="19"/>
        <v>Ductos de Extracción</v>
      </c>
      <c r="O421" s="322" t="str">
        <f t="shared" si="19"/>
        <v>Maquillaje de Terraza</v>
      </c>
      <c r="P421" s="322" t="str">
        <f t="shared" si="19"/>
        <v>Tabique 1° Cara</v>
      </c>
      <c r="Q421" s="322" t="str">
        <f t="shared" si="19"/>
        <v>Aislación Interior y Refuerzo Plasma</v>
      </c>
      <c r="R421" s="322" t="s">
        <v>773</v>
      </c>
      <c r="S421" s="322" t="str">
        <f>S6</f>
        <v>Instalaciones Interior Tabique</v>
      </c>
      <c r="T421" s="322" t="str">
        <f>T6</f>
        <v xml:space="preserve">Tabique 2° cara </v>
      </c>
      <c r="U421" s="322" t="str">
        <f>U6</f>
        <v>Shaft /Tabique</v>
      </c>
      <c r="V421" s="322" t="str">
        <f>V6</f>
        <v>Mochetas y Dinteles Puerta Acceso</v>
      </c>
      <c r="W421" s="314" t="s">
        <v>13</v>
      </c>
    </row>
    <row r="422" spans="2:26" ht="20.25" customHeight="1">
      <c r="B422" s="280"/>
      <c r="C422" s="281"/>
      <c r="D422" s="281"/>
      <c r="E422" s="281"/>
      <c r="F422" s="281"/>
      <c r="G422" s="281"/>
      <c r="H422" s="276"/>
    </row>
    <row r="423" spans="2:26" s="283" customFormat="1" ht="15" customHeight="1">
      <c r="B423" s="323" t="s">
        <v>548</v>
      </c>
      <c r="C423" s="282">
        <f>C32</f>
        <v>0.58333333333333337</v>
      </c>
      <c r="D423" s="282">
        <f t="shared" ref="D423:V423" si="20">D32</f>
        <v>0.58333333333333337</v>
      </c>
      <c r="E423" s="282">
        <f t="shared" si="20"/>
        <v>0.58333333333333337</v>
      </c>
      <c r="F423" s="282">
        <f t="shared" si="20"/>
        <v>0.3833333333333333</v>
      </c>
      <c r="G423" s="282">
        <f t="shared" si="20"/>
        <v>0.58333333333333337</v>
      </c>
      <c r="H423" s="282">
        <f t="shared" si="20"/>
        <v>0.57500000000000007</v>
      </c>
      <c r="I423" s="282">
        <f t="shared" si="20"/>
        <v>0.52083333333333337</v>
      </c>
      <c r="J423" s="282">
        <f t="shared" si="20"/>
        <v>0.58333333333333337</v>
      </c>
      <c r="K423" s="282">
        <f t="shared" si="20"/>
        <v>0.58333333333333337</v>
      </c>
      <c r="L423" s="282">
        <f t="shared" si="20"/>
        <v>0.31666666666666671</v>
      </c>
      <c r="M423" s="282">
        <f t="shared" si="20"/>
        <v>0.20833333333333334</v>
      </c>
      <c r="N423" s="282">
        <f t="shared" si="20"/>
        <v>0.22916666666666666</v>
      </c>
      <c r="O423" s="282">
        <f t="shared" si="20"/>
        <v>0.44166666666666665</v>
      </c>
      <c r="P423" s="282">
        <f t="shared" si="20"/>
        <v>0.52708333333333335</v>
      </c>
      <c r="Q423" s="282">
        <f t="shared" si="20"/>
        <v>0.45833333333333331</v>
      </c>
      <c r="R423" s="282">
        <f t="shared" si="20"/>
        <v>8.3333333333333329E-2</v>
      </c>
      <c r="S423" s="282">
        <f t="shared" si="20"/>
        <v>0.45</v>
      </c>
      <c r="T423" s="282">
        <f t="shared" si="20"/>
        <v>0.36041666666666666</v>
      </c>
      <c r="U423" s="282">
        <f t="shared" si="20"/>
        <v>0.13333333333333333</v>
      </c>
      <c r="V423" s="282">
        <f t="shared" si="20"/>
        <v>0.11666666666666665</v>
      </c>
      <c r="W423" s="303">
        <f t="shared" ref="W423:W432" si="21">AVERAGE(C423:V423)</f>
        <v>0.41520833333333335</v>
      </c>
    </row>
    <row r="424" spans="2:26" ht="15" customHeight="1">
      <c r="B424" s="324" t="s">
        <v>14</v>
      </c>
      <c r="C424" s="284">
        <f>C78</f>
        <v>0.97674418604651159</v>
      </c>
      <c r="D424" s="284">
        <f t="shared" ref="D424:V424" si="22">D78</f>
        <v>0.95348837209302328</v>
      </c>
      <c r="E424" s="284">
        <f t="shared" si="22"/>
        <v>0.26511627906976726</v>
      </c>
      <c r="F424" s="284">
        <f t="shared" si="22"/>
        <v>0.29767441860465116</v>
      </c>
      <c r="G424" s="284">
        <f t="shared" si="22"/>
        <v>0.46511627906976744</v>
      </c>
      <c r="H424" s="284">
        <f t="shared" si="22"/>
        <v>0.1988372093023256</v>
      </c>
      <c r="I424" s="284">
        <f t="shared" si="22"/>
        <v>0.48837209302325579</v>
      </c>
      <c r="J424" s="284">
        <f t="shared" si="22"/>
        <v>0.45348837209302323</v>
      </c>
      <c r="K424" s="284">
        <f t="shared" si="22"/>
        <v>0.18604651162790697</v>
      </c>
      <c r="L424" s="284">
        <f t="shared" si="22"/>
        <v>0</v>
      </c>
      <c r="M424" s="284">
        <f t="shared" si="22"/>
        <v>0</v>
      </c>
      <c r="N424" s="284">
        <f t="shared" si="22"/>
        <v>3.7209302325581395E-2</v>
      </c>
      <c r="O424" s="284">
        <f t="shared" si="22"/>
        <v>0.14651162790697675</v>
      </c>
      <c r="P424" s="284">
        <f t="shared" si="22"/>
        <v>0</v>
      </c>
      <c r="Q424" s="284">
        <f t="shared" si="22"/>
        <v>0</v>
      </c>
      <c r="R424" s="284">
        <f t="shared" si="22"/>
        <v>0</v>
      </c>
      <c r="S424" s="284">
        <f t="shared" si="22"/>
        <v>0</v>
      </c>
      <c r="T424" s="284">
        <f t="shared" si="22"/>
        <v>0</v>
      </c>
      <c r="U424" s="284">
        <f t="shared" si="22"/>
        <v>0</v>
      </c>
      <c r="V424" s="284">
        <f t="shared" si="22"/>
        <v>0</v>
      </c>
      <c r="W424" s="303">
        <f t="shared" si="21"/>
        <v>0.22343023255813951</v>
      </c>
    </row>
    <row r="425" spans="2:26" ht="15" customHeight="1">
      <c r="B425" s="324" t="s">
        <v>15</v>
      </c>
      <c r="C425" s="284">
        <f>C125</f>
        <v>0.47727272727272729</v>
      </c>
      <c r="D425" s="284">
        <f t="shared" ref="D425:V425" si="23">D125</f>
        <v>0.18181818181818182</v>
      </c>
      <c r="E425" s="284">
        <f t="shared" si="23"/>
        <v>0.18181818181818182</v>
      </c>
      <c r="F425" s="284">
        <f t="shared" si="23"/>
        <v>0.18181818181818182</v>
      </c>
      <c r="G425" s="284">
        <f t="shared" si="23"/>
        <v>0</v>
      </c>
      <c r="H425" s="284">
        <f t="shared" si="23"/>
        <v>0</v>
      </c>
      <c r="I425" s="284">
        <f t="shared" si="23"/>
        <v>0.12272727272727274</v>
      </c>
      <c r="J425" s="284">
        <f t="shared" si="23"/>
        <v>0.18181818181818182</v>
      </c>
      <c r="K425" s="284">
        <f t="shared" si="23"/>
        <v>0</v>
      </c>
      <c r="L425" s="284">
        <f t="shared" si="23"/>
        <v>0</v>
      </c>
      <c r="M425" s="284">
        <f t="shared" si="23"/>
        <v>0</v>
      </c>
      <c r="N425" s="284">
        <f t="shared" si="23"/>
        <v>0</v>
      </c>
      <c r="O425" s="284">
        <f t="shared" si="23"/>
        <v>0</v>
      </c>
      <c r="P425" s="284">
        <f t="shared" si="23"/>
        <v>0</v>
      </c>
      <c r="Q425" s="284">
        <f t="shared" si="23"/>
        <v>0</v>
      </c>
      <c r="R425" s="284">
        <f t="shared" si="23"/>
        <v>0</v>
      </c>
      <c r="S425" s="284">
        <f t="shared" si="23"/>
        <v>0</v>
      </c>
      <c r="T425" s="284">
        <f t="shared" si="23"/>
        <v>0</v>
      </c>
      <c r="U425" s="284">
        <f t="shared" si="23"/>
        <v>0</v>
      </c>
      <c r="V425" s="284">
        <f t="shared" si="23"/>
        <v>0</v>
      </c>
      <c r="W425" s="303">
        <f t="shared" si="21"/>
        <v>6.6363636363636375E-2</v>
      </c>
    </row>
    <row r="426" spans="2:26" ht="15" customHeight="1">
      <c r="B426" s="324" t="s">
        <v>16</v>
      </c>
      <c r="C426" s="284">
        <f>C172</f>
        <v>0</v>
      </c>
      <c r="D426" s="284">
        <f t="shared" ref="D426:V426" si="24">D172</f>
        <v>0</v>
      </c>
      <c r="E426" s="284">
        <f t="shared" si="24"/>
        <v>0</v>
      </c>
      <c r="F426" s="284">
        <f t="shared" si="24"/>
        <v>0</v>
      </c>
      <c r="G426" s="284">
        <f t="shared" si="24"/>
        <v>0</v>
      </c>
      <c r="H426" s="284">
        <f t="shared" si="24"/>
        <v>0</v>
      </c>
      <c r="I426" s="284">
        <f t="shared" si="24"/>
        <v>0</v>
      </c>
      <c r="J426" s="284">
        <f t="shared" si="24"/>
        <v>0</v>
      </c>
      <c r="K426" s="284">
        <f t="shared" si="24"/>
        <v>0</v>
      </c>
      <c r="L426" s="284">
        <f t="shared" si="24"/>
        <v>0</v>
      </c>
      <c r="M426" s="284">
        <f t="shared" si="24"/>
        <v>0</v>
      </c>
      <c r="N426" s="284">
        <f t="shared" si="24"/>
        <v>0</v>
      </c>
      <c r="O426" s="284">
        <f t="shared" si="24"/>
        <v>0</v>
      </c>
      <c r="P426" s="284">
        <f t="shared" si="24"/>
        <v>0</v>
      </c>
      <c r="Q426" s="284">
        <f t="shared" si="24"/>
        <v>0</v>
      </c>
      <c r="R426" s="284">
        <f t="shared" si="24"/>
        <v>0</v>
      </c>
      <c r="S426" s="284">
        <f t="shared" si="24"/>
        <v>0</v>
      </c>
      <c r="T426" s="284">
        <f t="shared" si="24"/>
        <v>0</v>
      </c>
      <c r="U426" s="284">
        <f t="shared" si="24"/>
        <v>0</v>
      </c>
      <c r="V426" s="284">
        <f t="shared" si="24"/>
        <v>0</v>
      </c>
      <c r="W426" s="303">
        <f t="shared" si="21"/>
        <v>0</v>
      </c>
    </row>
    <row r="427" spans="2:26" ht="15" customHeight="1">
      <c r="B427" s="324" t="s">
        <v>17</v>
      </c>
      <c r="C427" s="284">
        <f>C219</f>
        <v>0</v>
      </c>
      <c r="D427" s="284">
        <f t="shared" ref="D427:V427" si="25">D219</f>
        <v>0</v>
      </c>
      <c r="E427" s="284">
        <f t="shared" si="25"/>
        <v>0</v>
      </c>
      <c r="F427" s="284">
        <f t="shared" si="25"/>
        <v>0</v>
      </c>
      <c r="G427" s="284">
        <f t="shared" si="25"/>
        <v>0</v>
      </c>
      <c r="H427" s="284">
        <f t="shared" si="25"/>
        <v>0</v>
      </c>
      <c r="I427" s="284">
        <f t="shared" si="25"/>
        <v>0</v>
      </c>
      <c r="J427" s="284">
        <f t="shared" si="25"/>
        <v>0</v>
      </c>
      <c r="K427" s="284">
        <f t="shared" si="25"/>
        <v>0</v>
      </c>
      <c r="L427" s="284">
        <f t="shared" si="25"/>
        <v>0</v>
      </c>
      <c r="M427" s="284">
        <f t="shared" si="25"/>
        <v>0</v>
      </c>
      <c r="N427" s="284">
        <f t="shared" si="25"/>
        <v>0</v>
      </c>
      <c r="O427" s="284">
        <f t="shared" si="25"/>
        <v>0</v>
      </c>
      <c r="P427" s="284">
        <f t="shared" si="25"/>
        <v>0</v>
      </c>
      <c r="Q427" s="284">
        <f t="shared" si="25"/>
        <v>0</v>
      </c>
      <c r="R427" s="284">
        <f t="shared" si="25"/>
        <v>0</v>
      </c>
      <c r="S427" s="284">
        <f t="shared" si="25"/>
        <v>0</v>
      </c>
      <c r="T427" s="284">
        <f t="shared" si="25"/>
        <v>0</v>
      </c>
      <c r="U427" s="284">
        <f t="shared" si="25"/>
        <v>0</v>
      </c>
      <c r="V427" s="284">
        <f t="shared" si="25"/>
        <v>0</v>
      </c>
      <c r="W427" s="303">
        <f t="shared" si="21"/>
        <v>0</v>
      </c>
    </row>
    <row r="428" spans="2:26" ht="15" customHeight="1">
      <c r="B428" s="324" t="s">
        <v>18</v>
      </c>
      <c r="C428" s="284">
        <f>C266</f>
        <v>0</v>
      </c>
      <c r="D428" s="284">
        <f t="shared" ref="D428:V428" si="26">D266</f>
        <v>0</v>
      </c>
      <c r="E428" s="284">
        <f t="shared" si="26"/>
        <v>0</v>
      </c>
      <c r="F428" s="284">
        <f t="shared" si="26"/>
        <v>0</v>
      </c>
      <c r="G428" s="284">
        <f t="shared" si="26"/>
        <v>0</v>
      </c>
      <c r="H428" s="284">
        <f t="shared" si="26"/>
        <v>0</v>
      </c>
      <c r="I428" s="284">
        <f t="shared" si="26"/>
        <v>0</v>
      </c>
      <c r="J428" s="284">
        <f t="shared" si="26"/>
        <v>0</v>
      </c>
      <c r="K428" s="284">
        <f t="shared" si="26"/>
        <v>0</v>
      </c>
      <c r="L428" s="284">
        <f t="shared" si="26"/>
        <v>0</v>
      </c>
      <c r="M428" s="284">
        <f t="shared" si="26"/>
        <v>0</v>
      </c>
      <c r="N428" s="284">
        <f t="shared" si="26"/>
        <v>0</v>
      </c>
      <c r="O428" s="284">
        <f t="shared" si="26"/>
        <v>0</v>
      </c>
      <c r="P428" s="284">
        <f t="shared" si="26"/>
        <v>0</v>
      </c>
      <c r="Q428" s="284">
        <f t="shared" si="26"/>
        <v>0</v>
      </c>
      <c r="R428" s="284">
        <f t="shared" si="26"/>
        <v>0</v>
      </c>
      <c r="S428" s="284">
        <f t="shared" si="26"/>
        <v>0</v>
      </c>
      <c r="T428" s="284">
        <f t="shared" si="26"/>
        <v>0</v>
      </c>
      <c r="U428" s="284">
        <f t="shared" si="26"/>
        <v>0</v>
      </c>
      <c r="V428" s="284">
        <f t="shared" si="26"/>
        <v>0</v>
      </c>
      <c r="W428" s="303">
        <f t="shared" si="21"/>
        <v>0</v>
      </c>
    </row>
    <row r="429" spans="2:26" ht="15" customHeight="1">
      <c r="B429" s="324" t="s">
        <v>19</v>
      </c>
      <c r="C429" s="284">
        <f>C313</f>
        <v>0</v>
      </c>
      <c r="D429" s="284">
        <f t="shared" ref="D429:V429" si="27">D313</f>
        <v>0</v>
      </c>
      <c r="E429" s="284">
        <f t="shared" si="27"/>
        <v>0</v>
      </c>
      <c r="F429" s="284">
        <f t="shared" si="27"/>
        <v>0</v>
      </c>
      <c r="G429" s="284">
        <f t="shared" si="27"/>
        <v>0</v>
      </c>
      <c r="H429" s="284">
        <f t="shared" si="27"/>
        <v>0</v>
      </c>
      <c r="I429" s="284">
        <f t="shared" si="27"/>
        <v>0</v>
      </c>
      <c r="J429" s="284">
        <f t="shared" si="27"/>
        <v>0</v>
      </c>
      <c r="K429" s="284">
        <f t="shared" si="27"/>
        <v>0</v>
      </c>
      <c r="L429" s="284">
        <f t="shared" si="27"/>
        <v>0</v>
      </c>
      <c r="M429" s="284">
        <f t="shared" si="27"/>
        <v>0</v>
      </c>
      <c r="N429" s="284">
        <f t="shared" si="27"/>
        <v>0</v>
      </c>
      <c r="O429" s="284">
        <f t="shared" si="27"/>
        <v>0</v>
      </c>
      <c r="P429" s="284">
        <f t="shared" si="27"/>
        <v>0</v>
      </c>
      <c r="Q429" s="284">
        <f t="shared" si="27"/>
        <v>0</v>
      </c>
      <c r="R429" s="284">
        <f t="shared" si="27"/>
        <v>0</v>
      </c>
      <c r="S429" s="284">
        <f t="shared" si="27"/>
        <v>0</v>
      </c>
      <c r="T429" s="284">
        <f t="shared" si="27"/>
        <v>0</v>
      </c>
      <c r="U429" s="284">
        <f t="shared" si="27"/>
        <v>0</v>
      </c>
      <c r="V429" s="284">
        <f t="shared" si="27"/>
        <v>0</v>
      </c>
      <c r="W429" s="303">
        <f t="shared" si="21"/>
        <v>0</v>
      </c>
    </row>
    <row r="430" spans="2:26" ht="15" customHeight="1">
      <c r="B430" s="324" t="s">
        <v>20</v>
      </c>
      <c r="C430" s="284">
        <f>C360</f>
        <v>0</v>
      </c>
      <c r="D430" s="284">
        <f t="shared" ref="D430:V430" si="28">D360</f>
        <v>0</v>
      </c>
      <c r="E430" s="284">
        <f t="shared" si="28"/>
        <v>0</v>
      </c>
      <c r="F430" s="284">
        <f t="shared" si="28"/>
        <v>0</v>
      </c>
      <c r="G430" s="284">
        <f t="shared" si="28"/>
        <v>0</v>
      </c>
      <c r="H430" s="284">
        <f t="shared" si="28"/>
        <v>0</v>
      </c>
      <c r="I430" s="284">
        <f t="shared" si="28"/>
        <v>0</v>
      </c>
      <c r="J430" s="284">
        <f t="shared" si="28"/>
        <v>0</v>
      </c>
      <c r="K430" s="284">
        <f t="shared" si="28"/>
        <v>0</v>
      </c>
      <c r="L430" s="284">
        <f t="shared" si="28"/>
        <v>0</v>
      </c>
      <c r="M430" s="284">
        <f t="shared" si="28"/>
        <v>0</v>
      </c>
      <c r="N430" s="284">
        <f t="shared" si="28"/>
        <v>0</v>
      </c>
      <c r="O430" s="284">
        <f t="shared" si="28"/>
        <v>0</v>
      </c>
      <c r="P430" s="284">
        <f t="shared" si="28"/>
        <v>0</v>
      </c>
      <c r="Q430" s="284">
        <f t="shared" si="28"/>
        <v>0</v>
      </c>
      <c r="R430" s="284">
        <f t="shared" si="28"/>
        <v>0</v>
      </c>
      <c r="S430" s="284">
        <f t="shared" si="28"/>
        <v>0</v>
      </c>
      <c r="T430" s="284">
        <f t="shared" si="28"/>
        <v>0</v>
      </c>
      <c r="U430" s="284">
        <f t="shared" si="28"/>
        <v>0</v>
      </c>
      <c r="V430" s="284">
        <f t="shared" si="28"/>
        <v>0</v>
      </c>
      <c r="W430" s="303">
        <f t="shared" si="21"/>
        <v>0</v>
      </c>
    </row>
    <row r="431" spans="2:26" ht="15" customHeight="1">
      <c r="B431" s="324" t="s">
        <v>21</v>
      </c>
      <c r="C431" s="284">
        <f>C404</f>
        <v>0</v>
      </c>
      <c r="D431" s="284">
        <f t="shared" ref="D431:V431" si="29">D404</f>
        <v>0</v>
      </c>
      <c r="E431" s="284">
        <f t="shared" si="29"/>
        <v>0</v>
      </c>
      <c r="F431" s="284">
        <f t="shared" si="29"/>
        <v>0</v>
      </c>
      <c r="G431" s="284">
        <f t="shared" si="29"/>
        <v>0</v>
      </c>
      <c r="H431" s="284">
        <f t="shared" si="29"/>
        <v>0</v>
      </c>
      <c r="I431" s="284">
        <f t="shared" si="29"/>
        <v>0</v>
      </c>
      <c r="J431" s="284">
        <f t="shared" si="29"/>
        <v>0</v>
      </c>
      <c r="K431" s="284">
        <f t="shared" si="29"/>
        <v>0</v>
      </c>
      <c r="L431" s="284">
        <f t="shared" si="29"/>
        <v>0</v>
      </c>
      <c r="M431" s="284">
        <f t="shared" si="29"/>
        <v>0</v>
      </c>
      <c r="N431" s="284">
        <f t="shared" si="29"/>
        <v>0</v>
      </c>
      <c r="O431" s="284">
        <f t="shared" si="29"/>
        <v>0</v>
      </c>
      <c r="P431" s="284">
        <f t="shared" si="29"/>
        <v>0</v>
      </c>
      <c r="Q431" s="284">
        <f t="shared" si="29"/>
        <v>0</v>
      </c>
      <c r="R431" s="284">
        <f t="shared" si="29"/>
        <v>0</v>
      </c>
      <c r="S431" s="284">
        <f t="shared" si="29"/>
        <v>0</v>
      </c>
      <c r="T431" s="284">
        <f t="shared" si="29"/>
        <v>0</v>
      </c>
      <c r="U431" s="284">
        <f t="shared" si="29"/>
        <v>0</v>
      </c>
      <c r="V431" s="284">
        <f t="shared" si="29"/>
        <v>0</v>
      </c>
      <c r="W431" s="303">
        <f t="shared" si="21"/>
        <v>0</v>
      </c>
    </row>
    <row r="432" spans="2:26" ht="15" customHeight="1">
      <c r="B432" s="325" t="s">
        <v>970</v>
      </c>
      <c r="C432" s="285">
        <f>AVERAGE(C423:C431)</f>
        <v>0.22637224962806357</v>
      </c>
      <c r="D432" s="285">
        <f t="shared" ref="D432:V432" si="30">AVERAGE(D423:D431)</f>
        <v>0.19095998747161538</v>
      </c>
      <c r="E432" s="285">
        <f t="shared" si="30"/>
        <v>0.11447419935792029</v>
      </c>
      <c r="F432" s="285">
        <f t="shared" si="30"/>
        <v>9.5869548195129592E-2</v>
      </c>
      <c r="G432" s="285">
        <f t="shared" si="30"/>
        <v>0.11649440137812232</v>
      </c>
      <c r="H432" s="285">
        <f t="shared" si="30"/>
        <v>8.5981912144702854E-2</v>
      </c>
      <c r="I432" s="285">
        <f t="shared" si="30"/>
        <v>0.1257702998982069</v>
      </c>
      <c r="J432" s="285">
        <f t="shared" si="30"/>
        <v>0.13540443191605983</v>
      </c>
      <c r="K432" s="285">
        <f t="shared" si="30"/>
        <v>8.5486649440137813E-2</v>
      </c>
      <c r="L432" s="285">
        <f t="shared" si="30"/>
        <v>3.5185185185185187E-2</v>
      </c>
      <c r="M432" s="285">
        <f t="shared" si="30"/>
        <v>2.314814814814815E-2</v>
      </c>
      <c r="N432" s="285">
        <f t="shared" si="30"/>
        <v>2.959732988802756E-2</v>
      </c>
      <c r="O432" s="285">
        <f t="shared" si="30"/>
        <v>6.5353143841515929E-2</v>
      </c>
      <c r="P432" s="285">
        <f t="shared" si="30"/>
        <v>5.856481481481482E-2</v>
      </c>
      <c r="Q432" s="285">
        <f t="shared" si="30"/>
        <v>5.0925925925925923E-2</v>
      </c>
      <c r="R432" s="285">
        <f t="shared" si="30"/>
        <v>9.2592592592592587E-3</v>
      </c>
      <c r="S432" s="285">
        <f t="shared" si="30"/>
        <v>0.05</v>
      </c>
      <c r="T432" s="285">
        <f t="shared" si="30"/>
        <v>4.0046296296296295E-2</v>
      </c>
      <c r="U432" s="285">
        <f t="shared" si="30"/>
        <v>1.4814814814814815E-2</v>
      </c>
      <c r="V432" s="285">
        <f t="shared" si="30"/>
        <v>1.2962962962962961E-2</v>
      </c>
      <c r="W432" s="303">
        <f t="shared" si="21"/>
        <v>7.833357802834548E-2</v>
      </c>
    </row>
    <row r="433" spans="8:23" ht="20.25" customHeight="1">
      <c r="H433" s="276"/>
      <c r="W433" s="286">
        <f>AVERAGE(W423:W432)</f>
        <v>7.833357802834548E-2</v>
      </c>
    </row>
    <row r="434" spans="8:23" ht="20.25" customHeight="1">
      <c r="H434" s="276"/>
    </row>
    <row r="435" spans="8:23" ht="20.25" customHeight="1">
      <c r="H435" s="276"/>
    </row>
    <row r="436" spans="8:23" ht="20.25" customHeight="1">
      <c r="H436" s="276"/>
    </row>
    <row r="437" spans="8:23" ht="20.25" customHeight="1">
      <c r="H437" s="276"/>
    </row>
    <row r="438" spans="8:23" ht="20.25" customHeight="1">
      <c r="H438" s="276"/>
    </row>
    <row r="439" spans="8:23" ht="20.25" customHeight="1">
      <c r="H439" s="276"/>
    </row>
    <row r="440" spans="8:23" ht="20.25" customHeight="1">
      <c r="H440" s="276"/>
    </row>
    <row r="441" spans="8:23" ht="20.25" customHeight="1">
      <c r="H441" s="276"/>
    </row>
    <row r="442" spans="8:23" ht="20.25" customHeight="1">
      <c r="H442" s="276"/>
    </row>
    <row r="443" spans="8:23" ht="20.25" customHeight="1">
      <c r="H443" s="276"/>
    </row>
    <row r="444" spans="8:23" ht="20.25" customHeight="1">
      <c r="H444" s="276"/>
    </row>
    <row r="445" spans="8:23" ht="20.25" customHeight="1">
      <c r="H445" s="276"/>
    </row>
    <row r="446" spans="8:23" ht="20.25" customHeight="1">
      <c r="H446" s="276"/>
    </row>
    <row r="447" spans="8:23" ht="20.25" customHeight="1">
      <c r="H447" s="276"/>
    </row>
    <row r="448" spans="8:23" ht="20.25" customHeight="1">
      <c r="H448" s="276"/>
    </row>
    <row r="449" spans="8:8" ht="20.25" customHeight="1">
      <c r="H449" s="276"/>
    </row>
    <row r="450" spans="8:8" ht="20.25" customHeight="1">
      <c r="H450" s="276"/>
    </row>
    <row r="451" spans="8:8" ht="20.25" customHeight="1">
      <c r="H451" s="276"/>
    </row>
    <row r="452" spans="8:8" ht="20.25" customHeight="1">
      <c r="H452" s="276"/>
    </row>
    <row r="453" spans="8:8" ht="20.25" customHeight="1">
      <c r="H453" s="276"/>
    </row>
    <row r="454" spans="8:8" ht="20.25" customHeight="1">
      <c r="H454" s="276"/>
    </row>
    <row r="455" spans="8:8" ht="20.25" customHeight="1">
      <c r="H455" s="276"/>
    </row>
    <row r="456" spans="8:8" ht="20.25" customHeight="1">
      <c r="H456" s="276"/>
    </row>
    <row r="457" spans="8:8" ht="20.25" customHeight="1">
      <c r="H457" s="276"/>
    </row>
    <row r="458" spans="8:8" ht="20.25" customHeight="1">
      <c r="H458" s="276"/>
    </row>
    <row r="459" spans="8:8" ht="20.25" customHeight="1">
      <c r="H459" s="276"/>
    </row>
    <row r="460" spans="8:8" ht="20.25" customHeight="1">
      <c r="H460" s="276"/>
    </row>
    <row r="461" spans="8:8" ht="20.25" customHeight="1">
      <c r="H461" s="276"/>
    </row>
    <row r="462" spans="8:8" ht="20.25" customHeight="1">
      <c r="H462" s="276"/>
    </row>
    <row r="463" spans="8:8" ht="20.25" customHeight="1">
      <c r="H463" s="276"/>
    </row>
    <row r="464" spans="8:8" ht="20.25" customHeight="1">
      <c r="H464" s="276"/>
    </row>
    <row r="465" spans="8:8" ht="20.25" customHeight="1">
      <c r="H465" s="276"/>
    </row>
    <row r="466" spans="8:8" ht="20.25" customHeight="1">
      <c r="H466" s="276"/>
    </row>
    <row r="467" spans="8:8" ht="20.25" customHeight="1"/>
    <row r="468" spans="8:8" ht="20.25" customHeight="1"/>
    <row r="469" spans="8:8" ht="20.25" customHeight="1"/>
    <row r="470" spans="8:8" ht="20.25" customHeight="1"/>
    <row r="471" spans="8:8" ht="20.25" customHeight="1"/>
    <row r="472" spans="8:8" ht="20.25" customHeight="1"/>
    <row r="473" spans="8:8" ht="20.25" customHeight="1"/>
    <row r="474" spans="8:8" ht="20.25" customHeight="1"/>
    <row r="475" spans="8:8" ht="20.25" customHeight="1"/>
    <row r="476" spans="8:8" ht="20.25" customHeight="1"/>
    <row r="477" spans="8:8" ht="20.25" customHeight="1"/>
    <row r="478" spans="8:8" ht="20.25" customHeight="1"/>
    <row r="479" spans="8:8" ht="20.25" customHeight="1"/>
    <row r="480" spans="8:8" ht="20.25" customHeight="1"/>
    <row r="481" ht="20.25" customHeight="1"/>
    <row r="482" ht="20.25" customHeight="1"/>
    <row r="483" ht="20.25" customHeight="1"/>
    <row r="484" ht="20.25" customHeight="1"/>
    <row r="485" ht="20.25" customHeight="1"/>
    <row r="486" ht="20.25" customHeight="1"/>
    <row r="487" ht="20.25" customHeight="1"/>
    <row r="488" ht="20.25" customHeight="1"/>
    <row r="489" ht="20.25" customHeight="1"/>
    <row r="490" ht="20.25" customHeight="1"/>
    <row r="491" ht="20.25" customHeight="1"/>
    <row r="492" ht="20.25" customHeight="1"/>
    <row r="493" ht="20.25" customHeight="1"/>
    <row r="494" ht="20.25" customHeight="1"/>
    <row r="495" ht="20.25" customHeight="1"/>
    <row r="496" ht="20.25" customHeight="1"/>
    <row r="497" ht="20.25" customHeight="1"/>
    <row r="498" ht="20.25" customHeight="1"/>
    <row r="499" ht="20.25" customHeight="1"/>
    <row r="500" ht="20.25" customHeight="1"/>
    <row r="501" ht="20.25" customHeight="1"/>
    <row r="502" ht="20.25" customHeight="1"/>
    <row r="503" ht="20.25" customHeight="1"/>
    <row r="504" ht="20.25" customHeight="1"/>
    <row r="505" ht="20.25" customHeight="1"/>
    <row r="506" ht="20.25" customHeight="1"/>
    <row r="507" ht="20.25" customHeight="1"/>
    <row r="508" ht="20.25" customHeight="1"/>
    <row r="509" ht="20.25" customHeight="1"/>
    <row r="510" ht="20.25" customHeight="1"/>
    <row r="511" ht="20.25" customHeight="1"/>
    <row r="512" ht="20.25" customHeight="1"/>
    <row r="513" ht="20.25" customHeight="1"/>
    <row r="514" ht="20.25" customHeight="1"/>
    <row r="515" ht="20.25" customHeight="1"/>
    <row r="516" ht="20.25" customHeight="1"/>
    <row r="517" ht="20.25" customHeight="1"/>
    <row r="518" ht="20.25" customHeight="1"/>
    <row r="519" ht="20.25" customHeight="1"/>
    <row r="520" ht="20.25" customHeight="1"/>
    <row r="521" ht="20.25" customHeight="1"/>
    <row r="522" ht="20.25" customHeight="1"/>
    <row r="523" ht="20.25" customHeight="1"/>
    <row r="524" ht="20.25" customHeight="1"/>
    <row r="525" ht="20.25" customHeight="1"/>
    <row r="526" ht="20.25" customHeight="1"/>
    <row r="527" ht="20.25" customHeight="1"/>
    <row r="528" ht="20.25" customHeight="1"/>
    <row r="529" ht="20.25" customHeight="1"/>
    <row r="530" ht="20.25" customHeight="1"/>
    <row r="531" ht="20.25" customHeight="1"/>
    <row r="532" ht="20.25" customHeight="1"/>
    <row r="533" ht="20.25" customHeight="1"/>
    <row r="534" ht="20.25" customHeight="1"/>
    <row r="535" ht="20.25" customHeight="1"/>
    <row r="536" ht="20.25" customHeight="1"/>
    <row r="537" ht="20.25" customHeight="1"/>
    <row r="538" ht="20.25" customHeight="1"/>
    <row r="539" ht="20.25" customHeight="1"/>
    <row r="540" ht="20.25" customHeight="1"/>
    <row r="541" ht="20.25" customHeight="1"/>
    <row r="542" ht="20.25" customHeight="1"/>
    <row r="543" ht="20.25" customHeight="1"/>
    <row r="544" ht="20.25" customHeight="1"/>
    <row r="545" ht="20.25" customHeight="1"/>
    <row r="546" ht="20.25" customHeight="1"/>
    <row r="547" ht="20.25" customHeight="1"/>
    <row r="548" ht="20.25" customHeight="1"/>
    <row r="549" ht="20.25" customHeight="1"/>
    <row r="550" ht="20.25" customHeight="1"/>
    <row r="551" ht="20.25" customHeight="1"/>
    <row r="552" ht="20.25" customHeight="1"/>
  </sheetData>
  <mergeCells count="76">
    <mergeCell ref="A7:A30"/>
    <mergeCell ref="W1:W2"/>
    <mergeCell ref="V3:V4"/>
    <mergeCell ref="W3:W4"/>
    <mergeCell ref="U3:U4"/>
    <mergeCell ref="C2:S4"/>
    <mergeCell ref="W31:W33"/>
    <mergeCell ref="A32:B32"/>
    <mergeCell ref="A33:B33"/>
    <mergeCell ref="A77:B77"/>
    <mergeCell ref="W77:W79"/>
    <mergeCell ref="A78:B78"/>
    <mergeCell ref="A79:B79"/>
    <mergeCell ref="C79:Q79"/>
    <mergeCell ref="R79:V79"/>
    <mergeCell ref="C33:Q33"/>
    <mergeCell ref="R33:V33"/>
    <mergeCell ref="A56:A76"/>
    <mergeCell ref="A34:A55"/>
    <mergeCell ref="A174:A196"/>
    <mergeCell ref="A197:A217"/>
    <mergeCell ref="A31:B31"/>
    <mergeCell ref="A103:A123"/>
    <mergeCell ref="A80:A102"/>
    <mergeCell ref="A171:B171"/>
    <mergeCell ref="W171:W173"/>
    <mergeCell ref="A172:B172"/>
    <mergeCell ref="A173:B173"/>
    <mergeCell ref="A124:B124"/>
    <mergeCell ref="W124:W126"/>
    <mergeCell ref="A125:B125"/>
    <mergeCell ref="A126:B126"/>
    <mergeCell ref="A127:A149"/>
    <mergeCell ref="A150:A170"/>
    <mergeCell ref="C173:Q173"/>
    <mergeCell ref="R173:V173"/>
    <mergeCell ref="C126:Q126"/>
    <mergeCell ref="R126:V126"/>
    <mergeCell ref="W218:W220"/>
    <mergeCell ref="A219:B219"/>
    <mergeCell ref="A220:B220"/>
    <mergeCell ref="A265:B265"/>
    <mergeCell ref="W265:W267"/>
    <mergeCell ref="A266:B266"/>
    <mergeCell ref="A267:B267"/>
    <mergeCell ref="A221:A243"/>
    <mergeCell ref="A244:A264"/>
    <mergeCell ref="C267:Q267"/>
    <mergeCell ref="R267:V267"/>
    <mergeCell ref="C220:Q220"/>
    <mergeCell ref="R220:V220"/>
    <mergeCell ref="A362:A381"/>
    <mergeCell ref="A382:A402"/>
    <mergeCell ref="A218:B218"/>
    <mergeCell ref="A268:A290"/>
    <mergeCell ref="A291:A311"/>
    <mergeCell ref="A359:B359"/>
    <mergeCell ref="W359:W361"/>
    <mergeCell ref="A360:B360"/>
    <mergeCell ref="A361:B361"/>
    <mergeCell ref="A312:B312"/>
    <mergeCell ref="W312:W314"/>
    <mergeCell ref="A313:B313"/>
    <mergeCell ref="A314:B314"/>
    <mergeCell ref="A315:A337"/>
    <mergeCell ref="A338:A358"/>
    <mergeCell ref="C361:Q361"/>
    <mergeCell ref="R361:V361"/>
    <mergeCell ref="C314:Q314"/>
    <mergeCell ref="R314:V314"/>
    <mergeCell ref="A403:B403"/>
    <mergeCell ref="W403:W405"/>
    <mergeCell ref="A404:B404"/>
    <mergeCell ref="A405:B405"/>
    <mergeCell ref="C405:Q405"/>
    <mergeCell ref="R405:V405"/>
  </mergeCells>
  <phoneticPr fontId="55" type="noConversion"/>
  <conditionalFormatting sqref="C33 R33">
    <cfRule type="cellIs" dxfId="126" priority="6" operator="equal">
      <formula>100%</formula>
    </cfRule>
    <cfRule type="iconSet" priority="11">
      <iconSet iconSet="3Symbols2">
        <cfvo type="percent" val="0"/>
        <cfvo type="percent" val="24" gte="0"/>
        <cfvo type="percent" val="76" gte="0"/>
      </iconSet>
    </cfRule>
    <cfRule type="cellIs" dxfId="125" priority="7" operator="equal">
      <formula>0%</formula>
    </cfRule>
    <cfRule type="cellIs" dxfId="124" priority="8" operator="between">
      <formula>51</formula>
      <formula>99</formula>
    </cfRule>
    <cfRule type="cellIs" dxfId="123" priority="9" operator="equal">
      <formula>0</formula>
    </cfRule>
    <cfRule type="cellIs" dxfId="122" priority="10" operator="between">
      <formula>1%</formula>
      <formula>0.2</formula>
    </cfRule>
  </conditionalFormatting>
  <conditionalFormatting sqref="C79 R79">
    <cfRule type="cellIs" dxfId="121" priority="18" operator="between">
      <formula>51</formula>
      <formula>99</formula>
    </cfRule>
    <cfRule type="cellIs" dxfId="120" priority="19" operator="equal">
      <formula>0</formula>
    </cfRule>
    <cfRule type="cellIs" dxfId="119" priority="20" operator="between">
      <formula>1%</formula>
      <formula>0.2</formula>
    </cfRule>
    <cfRule type="iconSet" priority="21">
      <iconSet iconSet="3Symbols2">
        <cfvo type="percent" val="0"/>
        <cfvo type="percent" val="24" gte="0"/>
        <cfvo type="percent" val="76" gte="0"/>
      </iconSet>
    </cfRule>
    <cfRule type="cellIs" dxfId="118" priority="16" operator="equal">
      <formula>100%</formula>
    </cfRule>
    <cfRule type="cellIs" dxfId="117" priority="17" operator="equal">
      <formula>0%</formula>
    </cfRule>
  </conditionalFormatting>
  <conditionalFormatting sqref="C126 R126">
    <cfRule type="cellIs" dxfId="116" priority="29" operator="equal">
      <formula>0</formula>
    </cfRule>
    <cfRule type="cellIs" dxfId="115" priority="30" operator="between">
      <formula>1%</formula>
      <formula>0.2</formula>
    </cfRule>
    <cfRule type="iconSet" priority="31">
      <iconSet iconSet="3Symbols2">
        <cfvo type="percent" val="0"/>
        <cfvo type="percent" val="24" gte="0"/>
        <cfvo type="percent" val="76" gte="0"/>
      </iconSet>
    </cfRule>
    <cfRule type="cellIs" dxfId="114" priority="27" operator="equal">
      <formula>0%</formula>
    </cfRule>
    <cfRule type="cellIs" dxfId="113" priority="26" operator="equal">
      <formula>100%</formula>
    </cfRule>
    <cfRule type="cellIs" dxfId="112" priority="28" operator="between">
      <formula>51</formula>
      <formula>99</formula>
    </cfRule>
  </conditionalFormatting>
  <conditionalFormatting sqref="C173 R173">
    <cfRule type="cellIs" dxfId="111" priority="37" operator="equal">
      <formula>0%</formula>
    </cfRule>
    <cfRule type="cellIs" dxfId="110" priority="36" operator="equal">
      <formula>100%</formula>
    </cfRule>
    <cfRule type="cellIs" dxfId="109" priority="38" operator="between">
      <formula>51</formula>
      <formula>99</formula>
    </cfRule>
    <cfRule type="cellIs" dxfId="108" priority="39" operator="equal">
      <formula>0</formula>
    </cfRule>
    <cfRule type="cellIs" dxfId="107" priority="40" operator="between">
      <formula>1%</formula>
      <formula>0.2</formula>
    </cfRule>
    <cfRule type="iconSet" priority="41">
      <iconSet iconSet="3Symbols2">
        <cfvo type="percent" val="0"/>
        <cfvo type="percent" val="24" gte="0"/>
        <cfvo type="percent" val="76" gte="0"/>
      </iconSet>
    </cfRule>
  </conditionalFormatting>
  <conditionalFormatting sqref="C220 R220">
    <cfRule type="cellIs" dxfId="106" priority="46" operator="equal">
      <formula>100%</formula>
    </cfRule>
    <cfRule type="cellIs" dxfId="105" priority="47" operator="equal">
      <formula>0%</formula>
    </cfRule>
    <cfRule type="cellIs" dxfId="104" priority="48" operator="between">
      <formula>51</formula>
      <formula>99</formula>
    </cfRule>
    <cfRule type="cellIs" dxfId="103" priority="49" operator="equal">
      <formula>0</formula>
    </cfRule>
    <cfRule type="cellIs" dxfId="102" priority="50" operator="between">
      <formula>1%</formula>
      <formula>0.2</formula>
    </cfRule>
    <cfRule type="iconSet" priority="51">
      <iconSet iconSet="3Symbols2">
        <cfvo type="percent" val="0"/>
        <cfvo type="percent" val="24" gte="0"/>
        <cfvo type="percent" val="76" gte="0"/>
      </iconSet>
    </cfRule>
  </conditionalFormatting>
  <conditionalFormatting sqref="C267 R267">
    <cfRule type="iconSet" priority="61">
      <iconSet iconSet="3Symbols2">
        <cfvo type="percent" val="0"/>
        <cfvo type="percent" val="24" gte="0"/>
        <cfvo type="percent" val="76" gte="0"/>
      </iconSet>
    </cfRule>
    <cfRule type="cellIs" dxfId="101" priority="57" operator="equal">
      <formula>0%</formula>
    </cfRule>
    <cfRule type="cellIs" dxfId="100" priority="58" operator="between">
      <formula>51</formula>
      <formula>99</formula>
    </cfRule>
    <cfRule type="cellIs" dxfId="99" priority="59" operator="equal">
      <formula>0</formula>
    </cfRule>
    <cfRule type="cellIs" dxfId="98" priority="56" operator="equal">
      <formula>100%</formula>
    </cfRule>
    <cfRule type="cellIs" dxfId="97" priority="60" operator="between">
      <formula>1%</formula>
      <formula>0.2</formula>
    </cfRule>
  </conditionalFormatting>
  <conditionalFormatting sqref="C314 R314">
    <cfRule type="cellIs" dxfId="96" priority="67" operator="equal">
      <formula>0%</formula>
    </cfRule>
    <cfRule type="cellIs" dxfId="95" priority="66" operator="equal">
      <formula>100%</formula>
    </cfRule>
    <cfRule type="cellIs" dxfId="94" priority="70" operator="between">
      <formula>1%</formula>
      <formula>0.2</formula>
    </cfRule>
    <cfRule type="cellIs" dxfId="93" priority="69" operator="equal">
      <formula>0</formula>
    </cfRule>
    <cfRule type="iconSet" priority="71">
      <iconSet iconSet="3Symbols2">
        <cfvo type="percent" val="0"/>
        <cfvo type="percent" val="24" gte="0"/>
        <cfvo type="percent" val="76" gte="0"/>
      </iconSet>
    </cfRule>
    <cfRule type="cellIs" dxfId="92" priority="68" operator="between">
      <formula>51</formula>
      <formula>99</formula>
    </cfRule>
  </conditionalFormatting>
  <conditionalFormatting sqref="C361 R361">
    <cfRule type="cellIs" dxfId="91" priority="78" operator="between">
      <formula>51</formula>
      <formula>99</formula>
    </cfRule>
    <cfRule type="cellIs" dxfId="90" priority="80" operator="between">
      <formula>1%</formula>
      <formula>0.2</formula>
    </cfRule>
    <cfRule type="iconSet" priority="81">
      <iconSet iconSet="3Symbols2">
        <cfvo type="percent" val="0"/>
        <cfvo type="percent" val="24" gte="0"/>
        <cfvo type="percent" val="76" gte="0"/>
      </iconSet>
    </cfRule>
    <cfRule type="cellIs" dxfId="89" priority="79" operator="equal">
      <formula>0</formula>
    </cfRule>
    <cfRule type="cellIs" dxfId="88" priority="76" operator="equal">
      <formula>100%</formula>
    </cfRule>
    <cfRule type="cellIs" dxfId="87" priority="77" operator="equal">
      <formula>0%</formula>
    </cfRule>
  </conditionalFormatting>
  <conditionalFormatting sqref="C405 R405">
    <cfRule type="iconSet" priority="91">
      <iconSet iconSet="3Symbols2">
        <cfvo type="percent" val="0"/>
        <cfvo type="percent" val="24" gte="0"/>
        <cfvo type="percent" val="76" gte="0"/>
      </iconSet>
    </cfRule>
    <cfRule type="cellIs" dxfId="86" priority="86" operator="equal">
      <formula>100%</formula>
    </cfRule>
    <cfRule type="cellIs" dxfId="85" priority="89" operator="equal">
      <formula>0</formula>
    </cfRule>
    <cfRule type="cellIs" dxfId="84" priority="90" operator="between">
      <formula>1%</formula>
      <formula>0.2</formula>
    </cfRule>
    <cfRule type="cellIs" dxfId="83" priority="87" operator="equal">
      <formula>0%</formula>
    </cfRule>
    <cfRule type="cellIs" dxfId="82" priority="88" operator="between">
      <formula>51</formula>
      <formula>99</formula>
    </cfRule>
  </conditionalFormatting>
  <conditionalFormatting sqref="C7:V30">
    <cfRule type="iconSet" priority="808">
      <iconSet iconSet="3Symbols2">
        <cfvo type="percent" val="0"/>
        <cfvo type="percent" val="24" gte="0"/>
        <cfvo type="percent" val="76" gte="0"/>
      </iconSet>
    </cfRule>
    <cfRule type="dataBar" priority="118">
      <dataBar>
        <cfvo type="min"/>
        <cfvo type="max"/>
        <color rgb="FF63C384"/>
      </dataBar>
      <extLst>
        <ext xmlns:x14="http://schemas.microsoft.com/office/spreadsheetml/2009/9/main" uri="{B025F937-C7B1-47D3-B67F-A62EFF666E3E}">
          <x14:id>{718ADBA4-3D31-4621-BADB-CB9608897B06}</x14:id>
        </ext>
      </extLst>
    </cfRule>
  </conditionalFormatting>
  <conditionalFormatting sqref="C32:V32">
    <cfRule type="colorScale" priority="12">
      <colorScale>
        <cfvo type="min"/>
        <cfvo type="percentile" val="50"/>
        <cfvo type="max"/>
        <color rgb="FF63BE7B"/>
        <color rgb="FFFFEB84"/>
        <color rgb="FFF8696B"/>
      </colorScale>
    </cfRule>
  </conditionalFormatting>
  <conditionalFormatting sqref="C33:V33">
    <cfRule type="colorScale" priority="3">
      <colorScale>
        <cfvo type="min"/>
        <cfvo type="percentile" val="50"/>
        <cfvo type="max"/>
        <color rgb="FF63BE7B"/>
        <color rgb="FFFFEB84"/>
        <color rgb="FFF8696B"/>
      </colorScale>
    </cfRule>
    <cfRule type="colorScale" priority="4">
      <colorScale>
        <cfvo type="min"/>
        <cfvo type="percentile" val="50"/>
        <cfvo type="max"/>
        <color rgb="FF63BE7B"/>
        <color rgb="FFFFEB84"/>
        <color rgb="FFF8696B"/>
      </colorScale>
    </cfRule>
    <cfRule type="dataBar" priority="5">
      <dataBar>
        <cfvo type="num" val="0"/>
        <cfvo type="num" val="1"/>
        <color theme="5" tint="0.59999389629810485"/>
      </dataBar>
      <extLst>
        <ext xmlns:x14="http://schemas.microsoft.com/office/spreadsheetml/2009/9/main" uri="{B025F937-C7B1-47D3-B67F-A62EFF666E3E}">
          <x14:id>{34E2D483-C29B-4703-9E44-6DCC1E214EEE}</x14:id>
        </ext>
      </extLst>
    </cfRule>
  </conditionalFormatting>
  <conditionalFormatting sqref="C34:V76">
    <cfRule type="iconSet" priority="842">
      <iconSet iconSet="3Symbols2">
        <cfvo type="percent" val="0"/>
        <cfvo type="percent" val="24" gte="0"/>
        <cfvo type="percent" val="76" gte="0"/>
      </iconSet>
    </cfRule>
    <cfRule type="cellIs" dxfId="81" priority="841" stopIfTrue="1" operator="between">
      <formula>51%</formula>
      <formula>99%</formula>
    </cfRule>
  </conditionalFormatting>
  <conditionalFormatting sqref="C78:V78">
    <cfRule type="colorScale" priority="22">
      <colorScale>
        <cfvo type="min"/>
        <cfvo type="percentile" val="50"/>
        <cfvo type="max"/>
        <color rgb="FF63BE7B"/>
        <color rgb="FFFFEB84"/>
        <color rgb="FFF8696B"/>
      </colorScale>
    </cfRule>
  </conditionalFormatting>
  <conditionalFormatting sqref="C79:V79">
    <cfRule type="colorScale" priority="13">
      <colorScale>
        <cfvo type="min"/>
        <cfvo type="percentile" val="50"/>
        <cfvo type="max"/>
        <color rgb="FF63BE7B"/>
        <color rgb="FFFFEB84"/>
        <color rgb="FFF8696B"/>
      </colorScale>
    </cfRule>
    <cfRule type="colorScale" priority="14">
      <colorScale>
        <cfvo type="min"/>
        <cfvo type="percentile" val="50"/>
        <cfvo type="max"/>
        <color rgb="FF63BE7B"/>
        <color rgb="FFFFEB84"/>
        <color rgb="FFF8696B"/>
      </colorScale>
    </cfRule>
    <cfRule type="dataBar" priority="15">
      <dataBar>
        <cfvo type="num" val="0"/>
        <cfvo type="num" val="1"/>
        <color theme="5" tint="0.59999389629810485"/>
      </dataBar>
      <extLst>
        <ext xmlns:x14="http://schemas.microsoft.com/office/spreadsheetml/2009/9/main" uri="{B025F937-C7B1-47D3-B67F-A62EFF666E3E}">
          <x14:id>{654E2618-8512-4D68-88C6-1C1417DBD131}</x14:id>
        </ext>
      </extLst>
    </cfRule>
  </conditionalFormatting>
  <conditionalFormatting sqref="C80:V123">
    <cfRule type="iconSet" priority="843">
      <iconSet iconSet="3Symbols2">
        <cfvo type="percent" val="0"/>
        <cfvo type="percent" val="24" gte="0"/>
        <cfvo type="percent" val="76" gte="0"/>
      </iconSet>
    </cfRule>
  </conditionalFormatting>
  <conditionalFormatting sqref="C80:V124">
    <cfRule type="cellIs" dxfId="80" priority="165" operator="equal">
      <formula>0</formula>
    </cfRule>
    <cfRule type="cellIs" dxfId="79" priority="166" operator="between">
      <formula>1%</formula>
      <formula>0.2</formula>
    </cfRule>
    <cfRule type="cellIs" dxfId="78" priority="164" stopIfTrue="1" operator="between">
      <formula>51</formula>
      <formula>99</formula>
    </cfRule>
    <cfRule type="cellIs" dxfId="77" priority="163" operator="equal">
      <formula>0%</formula>
    </cfRule>
    <cfRule type="cellIs" dxfId="76" priority="161" operator="equal">
      <formula>100%</formula>
    </cfRule>
  </conditionalFormatting>
  <conditionalFormatting sqref="C125:V125">
    <cfRule type="colorScale" priority="32">
      <colorScale>
        <cfvo type="min"/>
        <cfvo type="percentile" val="50"/>
        <cfvo type="max"/>
        <color rgb="FF63BE7B"/>
        <color rgb="FFFFEB84"/>
        <color rgb="FFF8696B"/>
      </colorScale>
    </cfRule>
  </conditionalFormatting>
  <conditionalFormatting sqref="C126:V126">
    <cfRule type="dataBar" priority="25">
      <dataBar>
        <cfvo type="num" val="0"/>
        <cfvo type="num" val="1"/>
        <color theme="5" tint="0.59999389629810485"/>
      </dataBar>
      <extLst>
        <ext xmlns:x14="http://schemas.microsoft.com/office/spreadsheetml/2009/9/main" uri="{B025F937-C7B1-47D3-B67F-A62EFF666E3E}">
          <x14:id>{22BB17B4-DBAF-44BD-AAF3-5E17D7048A98}</x14:id>
        </ext>
      </extLst>
    </cfRule>
    <cfRule type="colorScale" priority="23">
      <colorScale>
        <cfvo type="min"/>
        <cfvo type="percentile" val="50"/>
        <cfvo type="max"/>
        <color rgb="FF63BE7B"/>
        <color rgb="FFFFEB84"/>
        <color rgb="FFF8696B"/>
      </colorScale>
    </cfRule>
    <cfRule type="colorScale" priority="24">
      <colorScale>
        <cfvo type="min"/>
        <cfvo type="percentile" val="50"/>
        <cfvo type="max"/>
        <color rgb="FF63BE7B"/>
        <color rgb="FFFFEB84"/>
        <color rgb="FFF8696B"/>
      </colorScale>
    </cfRule>
  </conditionalFormatting>
  <conditionalFormatting sqref="C127:V170">
    <cfRule type="iconSet" priority="855">
      <iconSet iconSet="3Symbols2">
        <cfvo type="percent" val="0"/>
        <cfvo type="percent" val="24" gte="0"/>
        <cfvo type="percent" val="76" gte="0"/>
      </iconSet>
    </cfRule>
  </conditionalFormatting>
  <conditionalFormatting sqref="C172:V172">
    <cfRule type="colorScale" priority="42">
      <colorScale>
        <cfvo type="min"/>
        <cfvo type="percentile" val="50"/>
        <cfvo type="max"/>
        <color rgb="FF63BE7B"/>
        <color rgb="FFFFEB84"/>
        <color rgb="FFF8696B"/>
      </colorScale>
    </cfRule>
  </conditionalFormatting>
  <conditionalFormatting sqref="C173:V173">
    <cfRule type="dataBar" priority="35">
      <dataBar>
        <cfvo type="num" val="0"/>
        <cfvo type="num" val="1"/>
        <color theme="5" tint="0.59999389629810485"/>
      </dataBar>
      <extLst>
        <ext xmlns:x14="http://schemas.microsoft.com/office/spreadsheetml/2009/9/main" uri="{B025F937-C7B1-47D3-B67F-A62EFF666E3E}">
          <x14:id>{E19227FA-DB1D-4E98-A0EF-B91AF0C40349}</x14:id>
        </ext>
      </extLst>
    </cfRule>
    <cfRule type="colorScale" priority="34">
      <colorScale>
        <cfvo type="min"/>
        <cfvo type="percentile" val="50"/>
        <cfvo type="max"/>
        <color rgb="FF63BE7B"/>
        <color rgb="FFFFEB84"/>
        <color rgb="FFF8696B"/>
      </colorScale>
    </cfRule>
    <cfRule type="colorScale" priority="33">
      <colorScale>
        <cfvo type="min"/>
        <cfvo type="percentile" val="50"/>
        <cfvo type="max"/>
        <color rgb="FF63BE7B"/>
        <color rgb="FFFFEB84"/>
        <color rgb="FFF8696B"/>
      </colorScale>
    </cfRule>
  </conditionalFormatting>
  <conditionalFormatting sqref="C174:V217">
    <cfRule type="iconSet" priority="861">
      <iconSet iconSet="3Symbols2">
        <cfvo type="percent" val="0"/>
        <cfvo type="percent" val="24" gte="0"/>
        <cfvo type="percent" val="76" gte="0"/>
      </iconSet>
    </cfRule>
  </conditionalFormatting>
  <conditionalFormatting sqref="C219:V219">
    <cfRule type="colorScale" priority="52">
      <colorScale>
        <cfvo type="min"/>
        <cfvo type="percentile" val="50"/>
        <cfvo type="max"/>
        <color rgb="FF63BE7B"/>
        <color rgb="FFFFEB84"/>
        <color rgb="FFF8696B"/>
      </colorScale>
    </cfRule>
  </conditionalFormatting>
  <conditionalFormatting sqref="C220:V220">
    <cfRule type="dataBar" priority="45">
      <dataBar>
        <cfvo type="num" val="0"/>
        <cfvo type="num" val="1"/>
        <color theme="5" tint="0.59999389629810485"/>
      </dataBar>
      <extLst>
        <ext xmlns:x14="http://schemas.microsoft.com/office/spreadsheetml/2009/9/main" uri="{B025F937-C7B1-47D3-B67F-A62EFF666E3E}">
          <x14:id>{1547B479-3119-487C-981B-DF4B96B74F3F}</x14:id>
        </ext>
      </extLst>
    </cfRule>
    <cfRule type="colorScale" priority="43">
      <colorScale>
        <cfvo type="min"/>
        <cfvo type="percentile" val="50"/>
        <cfvo type="max"/>
        <color rgb="FF63BE7B"/>
        <color rgb="FFFFEB84"/>
        <color rgb="FFF8696B"/>
      </colorScale>
    </cfRule>
    <cfRule type="colorScale" priority="44">
      <colorScale>
        <cfvo type="min"/>
        <cfvo type="percentile" val="50"/>
        <cfvo type="max"/>
        <color rgb="FF63BE7B"/>
        <color rgb="FFFFEB84"/>
        <color rgb="FFF8696B"/>
      </colorScale>
    </cfRule>
  </conditionalFormatting>
  <conditionalFormatting sqref="C221:V264">
    <cfRule type="iconSet" priority="863">
      <iconSet iconSet="3Symbols2">
        <cfvo type="percent" val="0"/>
        <cfvo type="percent" val="24" gte="0"/>
        <cfvo type="percent" val="76" gte="0"/>
      </iconSet>
    </cfRule>
  </conditionalFormatting>
  <conditionalFormatting sqref="C221:V265 C268:V312 C315:V359">
    <cfRule type="cellIs" dxfId="75" priority="143" stopIfTrue="1" operator="between">
      <formula>51</formula>
      <formula>99</formula>
    </cfRule>
    <cfRule type="cellIs" dxfId="74" priority="145" operator="between">
      <formula>1%</formula>
      <formula>0.2</formula>
    </cfRule>
    <cfRule type="cellIs" dxfId="73" priority="144" operator="equal">
      <formula>0</formula>
    </cfRule>
    <cfRule type="cellIs" dxfId="72" priority="140" operator="equal">
      <formula>100%</formula>
    </cfRule>
    <cfRule type="cellIs" dxfId="71" priority="141" stopIfTrue="1" operator="between">
      <formula>51%</formula>
      <formula>99%</formula>
    </cfRule>
    <cfRule type="cellIs" dxfId="70" priority="142" operator="equal">
      <formula>0%</formula>
    </cfRule>
  </conditionalFormatting>
  <conditionalFormatting sqref="C221:V265">
    <cfRule type="dataBar" priority="2">
      <dataBar>
        <cfvo type="min"/>
        <cfvo type="max"/>
        <color theme="4" tint="0.79998168889431442"/>
      </dataBar>
      <extLst>
        <ext xmlns:x14="http://schemas.microsoft.com/office/spreadsheetml/2009/9/main" uri="{B025F937-C7B1-47D3-B67F-A62EFF666E3E}">
          <x14:id>{B17A652F-41A3-435E-BE97-C9B34D648146}</x14:id>
        </ext>
      </extLst>
    </cfRule>
  </conditionalFormatting>
  <conditionalFormatting sqref="C266:V266">
    <cfRule type="colorScale" priority="62">
      <colorScale>
        <cfvo type="min"/>
        <cfvo type="percentile" val="50"/>
        <cfvo type="max"/>
        <color rgb="FF63BE7B"/>
        <color rgb="FFFFEB84"/>
        <color rgb="FFF8696B"/>
      </colorScale>
    </cfRule>
  </conditionalFormatting>
  <conditionalFormatting sqref="C267:V267">
    <cfRule type="colorScale" priority="53">
      <colorScale>
        <cfvo type="min"/>
        <cfvo type="percentile" val="50"/>
        <cfvo type="max"/>
        <color rgb="FF63BE7B"/>
        <color rgb="FFFFEB84"/>
        <color rgb="FFF8696B"/>
      </colorScale>
    </cfRule>
    <cfRule type="dataBar" priority="55">
      <dataBar>
        <cfvo type="num" val="0"/>
        <cfvo type="num" val="1"/>
        <color theme="5" tint="0.59999389629810485"/>
      </dataBar>
      <extLst>
        <ext xmlns:x14="http://schemas.microsoft.com/office/spreadsheetml/2009/9/main" uri="{B025F937-C7B1-47D3-B67F-A62EFF666E3E}">
          <x14:id>{92E82B3E-C071-471F-81AA-9DF68A226E00}</x14:id>
        </ext>
      </extLst>
    </cfRule>
    <cfRule type="colorScale" priority="54">
      <colorScale>
        <cfvo type="min"/>
        <cfvo type="percentile" val="50"/>
        <cfvo type="max"/>
        <color rgb="FF63BE7B"/>
        <color rgb="FFFFEB84"/>
        <color rgb="FFF8696B"/>
      </colorScale>
    </cfRule>
  </conditionalFormatting>
  <conditionalFormatting sqref="C268:V311">
    <cfRule type="iconSet" priority="870">
      <iconSet iconSet="3Symbols2">
        <cfvo type="percent" val="0"/>
        <cfvo type="percent" val="24" gte="0"/>
        <cfvo type="percent" val="76" gte="0"/>
      </iconSet>
    </cfRule>
  </conditionalFormatting>
  <conditionalFormatting sqref="C313:V313">
    <cfRule type="colorScale" priority="72">
      <colorScale>
        <cfvo type="min"/>
        <cfvo type="percentile" val="50"/>
        <cfvo type="max"/>
        <color rgb="FF63BE7B"/>
        <color rgb="FFFFEB84"/>
        <color rgb="FFF8696B"/>
      </colorScale>
    </cfRule>
  </conditionalFormatting>
  <conditionalFormatting sqref="C314:V314">
    <cfRule type="dataBar" priority="65">
      <dataBar>
        <cfvo type="num" val="0"/>
        <cfvo type="num" val="1"/>
        <color theme="5" tint="0.59999389629810485"/>
      </dataBar>
      <extLst>
        <ext xmlns:x14="http://schemas.microsoft.com/office/spreadsheetml/2009/9/main" uri="{B025F937-C7B1-47D3-B67F-A62EFF666E3E}">
          <x14:id>{E12BFD1C-7350-472E-BF92-5284447311DB}</x14:id>
        </ext>
      </extLst>
    </cfRule>
    <cfRule type="colorScale" priority="63">
      <colorScale>
        <cfvo type="min"/>
        <cfvo type="percentile" val="50"/>
        <cfvo type="max"/>
        <color rgb="FF63BE7B"/>
        <color rgb="FFFFEB84"/>
        <color rgb="FFF8696B"/>
      </colorScale>
    </cfRule>
    <cfRule type="colorScale" priority="64">
      <colorScale>
        <cfvo type="min"/>
        <cfvo type="percentile" val="50"/>
        <cfvo type="max"/>
        <color rgb="FF63BE7B"/>
        <color rgb="FFFFEB84"/>
        <color rgb="FFF8696B"/>
      </colorScale>
    </cfRule>
  </conditionalFormatting>
  <conditionalFormatting sqref="C315:V358">
    <cfRule type="iconSet" priority="877">
      <iconSet iconSet="3Symbols2">
        <cfvo type="percent" val="0"/>
        <cfvo type="percent" val="24" gte="0"/>
        <cfvo type="percent" val="76" gte="0"/>
      </iconSet>
    </cfRule>
  </conditionalFormatting>
  <conditionalFormatting sqref="C360:V360">
    <cfRule type="colorScale" priority="82">
      <colorScale>
        <cfvo type="min"/>
        <cfvo type="percentile" val="50"/>
        <cfvo type="max"/>
        <color rgb="FF63BE7B"/>
        <color rgb="FFFFEB84"/>
        <color rgb="FFF8696B"/>
      </colorScale>
    </cfRule>
  </conditionalFormatting>
  <conditionalFormatting sqref="C361:V361">
    <cfRule type="dataBar" priority="75">
      <dataBar>
        <cfvo type="num" val="0"/>
        <cfvo type="num" val="1"/>
        <color theme="5" tint="0.59999389629810485"/>
      </dataBar>
      <extLst>
        <ext xmlns:x14="http://schemas.microsoft.com/office/spreadsheetml/2009/9/main" uri="{B025F937-C7B1-47D3-B67F-A62EFF666E3E}">
          <x14:id>{798EC27B-119F-4237-8CDC-71B51FCBC3E9}</x14:id>
        </ext>
      </extLst>
    </cfRule>
    <cfRule type="colorScale" priority="74">
      <colorScale>
        <cfvo type="min"/>
        <cfvo type="percentile" val="50"/>
        <cfvo type="max"/>
        <color rgb="FF63BE7B"/>
        <color rgb="FFFFEB84"/>
        <color rgb="FFF8696B"/>
      </colorScale>
    </cfRule>
    <cfRule type="colorScale" priority="73">
      <colorScale>
        <cfvo type="min"/>
        <cfvo type="percentile" val="50"/>
        <cfvo type="max"/>
        <color rgb="FF63BE7B"/>
        <color rgb="FFFFEB84"/>
        <color rgb="FFF8696B"/>
      </colorScale>
    </cfRule>
  </conditionalFormatting>
  <conditionalFormatting sqref="C362:V402 C315:V359 C268:V312 C221:V265 C174:V218 C127:V171 C7:V31 C34:V77 C80:V124">
    <cfRule type="dataBar" priority="116">
      <dataBar>
        <cfvo type="min"/>
        <cfvo type="max"/>
        <color theme="4" tint="0.79998168889431442"/>
      </dataBar>
      <extLst>
        <ext xmlns:x14="http://schemas.microsoft.com/office/spreadsheetml/2009/9/main" uri="{B025F937-C7B1-47D3-B67F-A62EFF666E3E}">
          <x14:id>{B933B3E4-61CC-4ABD-ADDB-2A4EBA1185D2}</x14:id>
        </ext>
      </extLst>
    </cfRule>
  </conditionalFormatting>
  <conditionalFormatting sqref="C362:V404 C359:V360 C312:V313 C265:V266 C218:V219 C171:V172 C124:V125 C77:V78 C31:V32">
    <cfRule type="iconSet" priority="951">
      <iconSet iconSet="3Symbols2">
        <cfvo type="percent" val="0"/>
        <cfvo type="percent" val="24" gte="0"/>
        <cfvo type="percent" val="76" gte="0"/>
      </iconSet>
    </cfRule>
  </conditionalFormatting>
  <conditionalFormatting sqref="C404:V404">
    <cfRule type="colorScale" priority="113">
      <colorScale>
        <cfvo type="min"/>
        <cfvo type="percentile" val="50"/>
        <cfvo type="max"/>
        <color rgb="FF63BE7B"/>
        <color rgb="FFFFEB84"/>
        <color rgb="FFF8696B"/>
      </colorScale>
    </cfRule>
  </conditionalFormatting>
  <conditionalFormatting sqref="C405:V405">
    <cfRule type="colorScale" priority="83">
      <colorScale>
        <cfvo type="min"/>
        <cfvo type="percentile" val="50"/>
        <cfvo type="max"/>
        <color rgb="FF63BE7B"/>
        <color rgb="FFFFEB84"/>
        <color rgb="FFF8696B"/>
      </colorScale>
    </cfRule>
    <cfRule type="colorScale" priority="84">
      <colorScale>
        <cfvo type="min"/>
        <cfvo type="percentile" val="50"/>
        <cfvo type="max"/>
        <color rgb="FF63BE7B"/>
        <color rgb="FFFFEB84"/>
        <color rgb="FFF8696B"/>
      </colorScale>
    </cfRule>
    <cfRule type="dataBar" priority="85">
      <dataBar>
        <cfvo type="num" val="0"/>
        <cfvo type="num" val="1"/>
        <color theme="5" tint="0.59999389629810485"/>
      </dataBar>
      <extLst>
        <ext xmlns:x14="http://schemas.microsoft.com/office/spreadsheetml/2009/9/main" uri="{B025F937-C7B1-47D3-B67F-A62EFF666E3E}">
          <x14:id>{727E7359-D607-42B9-A9BF-116D893BD04D}</x14:id>
        </ext>
      </extLst>
    </cfRule>
  </conditionalFormatting>
  <conditionalFormatting sqref="C432:V432">
    <cfRule type="dataBar" priority="195">
      <dataBar>
        <cfvo type="num" val="0"/>
        <cfvo type="num" val="1"/>
        <color rgb="FF638EC6"/>
      </dataBar>
      <extLst>
        <ext xmlns:x14="http://schemas.microsoft.com/office/spreadsheetml/2009/9/main" uri="{B025F937-C7B1-47D3-B67F-A62EFF666E3E}">
          <x14:id>{9172BF9F-6B0F-4047-BB7A-B8FA9F14EC6A}</x14:id>
        </ext>
      </extLst>
    </cfRule>
  </conditionalFormatting>
  <conditionalFormatting sqref="C432:W432">
    <cfRule type="colorScale" priority="92">
      <colorScale>
        <cfvo type="min"/>
        <cfvo type="percentile" val="50"/>
        <cfvo type="max"/>
        <color rgb="FF63BE7B"/>
        <color rgb="FFFFEB84"/>
        <color rgb="FFF8696B"/>
      </colorScale>
    </cfRule>
  </conditionalFormatting>
  <conditionalFormatting sqref="O174:V217">
    <cfRule type="dataBar" priority="1">
      <dataBar>
        <cfvo type="min"/>
        <cfvo type="max"/>
        <color theme="4" tint="0.79998168889431442"/>
      </dataBar>
      <extLst>
        <ext xmlns:x14="http://schemas.microsoft.com/office/spreadsheetml/2009/9/main" uri="{B025F937-C7B1-47D3-B67F-A62EFF666E3E}">
          <x14:id>{4586C995-C429-4A6F-9C49-DD52151F7FCA}</x14:id>
        </ext>
      </extLst>
    </cfRule>
  </conditionalFormatting>
  <conditionalFormatting sqref="O423:W431">
    <cfRule type="dataBar" priority="94">
      <dataBar>
        <cfvo type="min"/>
        <cfvo type="max"/>
        <color theme="4" tint="0.79998168889431442"/>
      </dataBar>
      <extLst>
        <ext xmlns:x14="http://schemas.microsoft.com/office/spreadsheetml/2009/9/main" uri="{B025F937-C7B1-47D3-B67F-A62EFF666E3E}">
          <x14:id>{DEDBBCC7-7915-4C8D-BC72-5CDAA3EBACC0}</x14:id>
        </ext>
      </extLst>
    </cfRule>
  </conditionalFormatting>
  <conditionalFormatting sqref="O432:W432">
    <cfRule type="colorScale" priority="93">
      <colorScale>
        <cfvo type="min"/>
        <cfvo type="percentile" val="50"/>
        <cfvo type="max"/>
        <color rgb="FF63BE7B"/>
        <color rgb="FFFFEB84"/>
        <color rgb="FFF8696B"/>
      </colorScale>
    </cfRule>
  </conditionalFormatting>
  <conditionalFormatting sqref="P7">
    <cfRule type="dataBar" priority="117">
      <dataBar>
        <cfvo type="min"/>
        <cfvo type="max"/>
        <color theme="4" tint="0.79998168889431442"/>
      </dataBar>
      <extLst>
        <ext xmlns:x14="http://schemas.microsoft.com/office/spreadsheetml/2009/9/main" uri="{B025F937-C7B1-47D3-B67F-A62EFF666E3E}">
          <x14:id>{1786934A-B154-41F6-A6B8-A7B8270F3862}</x14:id>
        </ext>
      </extLst>
    </cfRule>
  </conditionalFormatting>
  <conditionalFormatting sqref="T127:T155 U127:U170 D128:U170">
    <cfRule type="cellIs" dxfId="69" priority="155" stopIfTrue="1" operator="between">
      <formula>51%</formula>
      <formula>99%</formula>
    </cfRule>
  </conditionalFormatting>
  <conditionalFormatting sqref="V31">
    <cfRule type="cellIs" dxfId="68" priority="162" stopIfTrue="1" operator="between">
      <formula>51%</formula>
      <formula>99%</formula>
    </cfRule>
  </conditionalFormatting>
  <conditionalFormatting sqref="W3:W4">
    <cfRule type="colorScale" priority="96">
      <colorScale>
        <cfvo type="min"/>
        <cfvo type="percentile" val="50"/>
        <cfvo type="max"/>
        <color rgb="FF63BE7B"/>
        <color rgb="FFFFEB84"/>
        <color rgb="FFF8696B"/>
      </colorScale>
    </cfRule>
  </conditionalFormatting>
  <conditionalFormatting sqref="W7:W405">
    <cfRule type="colorScale" priority="95">
      <colorScale>
        <cfvo type="min"/>
        <cfvo type="percentile" val="50"/>
        <cfvo type="max"/>
        <color rgb="FF63BE7B"/>
        <color rgb="FFFFEB84"/>
        <color rgb="FFF8696B"/>
      </colorScale>
    </cfRule>
  </conditionalFormatting>
  <conditionalFormatting sqref="W423:W432 C423:V431">
    <cfRule type="cellIs" dxfId="67" priority="204" operator="between">
      <formula>50</formula>
      <formula>99</formula>
    </cfRule>
    <cfRule type="cellIs" dxfId="66" priority="202" operator="equal">
      <formula>0</formula>
    </cfRule>
    <cfRule type="cellIs" dxfId="65" priority="203" operator="equal">
      <formula>100</formula>
    </cfRule>
  </conditionalFormatting>
  <printOptions horizontalCentered="1"/>
  <pageMargins left="0.7" right="0.7" top="0.75" bottom="0.75" header="0.3" footer="0.3"/>
  <pageSetup paperSize="8" scale="29" fitToHeight="0" orientation="landscape" r:id="rId1"/>
  <headerFooter>
    <oddFooter>&amp;LProgramacion y Control&amp;Cleo.cg_10@yahoo.es&amp;RFecha:19-12-2013</oddFooter>
  </headerFooter>
  <rowBreaks count="1" manualBreakCount="1">
    <brk id="434" max="16383" man="1"/>
  </rowBreaks>
  <colBreaks count="1" manualBreakCount="1">
    <brk id="8" max="1048575" man="1"/>
  </colBreaks>
  <drawing r:id="rId2"/>
  <extLst>
    <ext xmlns:x14="http://schemas.microsoft.com/office/spreadsheetml/2009/9/main" uri="{78C0D931-6437-407d-A8EE-F0AAD7539E65}">
      <x14:conditionalFormattings>
        <x14:conditionalFormatting xmlns:xm="http://schemas.microsoft.com/office/excel/2006/main">
          <x14:cfRule type="dataBar" id="{718ADBA4-3D31-4621-BADB-CB9608897B06}">
            <x14:dataBar minLength="0" maxLength="100" border="1" negativeBarBorderColorSameAsPositive="0">
              <x14:cfvo type="autoMin"/>
              <x14:cfvo type="autoMax"/>
              <x14:borderColor rgb="FF63C384"/>
              <x14:negativeFillColor rgb="FFFF0000"/>
              <x14:negativeBorderColor rgb="FFFF0000"/>
              <x14:axisColor rgb="FF000000"/>
            </x14:dataBar>
          </x14:cfRule>
          <xm:sqref>C7:V30</xm:sqref>
        </x14:conditionalFormatting>
        <x14:conditionalFormatting xmlns:xm="http://schemas.microsoft.com/office/excel/2006/main">
          <x14:cfRule type="dataBar" id="{34E2D483-C29B-4703-9E44-6DCC1E214EEE}">
            <x14:dataBar minLength="0" maxLength="100" gradient="0">
              <x14:cfvo type="num">
                <xm:f>0</xm:f>
              </x14:cfvo>
              <x14:cfvo type="num">
                <xm:f>1</xm:f>
              </x14:cfvo>
              <x14:negativeFillColor rgb="FFFF0000"/>
              <x14:axisColor rgb="FF000000"/>
            </x14:dataBar>
          </x14:cfRule>
          <xm:sqref>C33:V33</xm:sqref>
        </x14:conditionalFormatting>
        <x14:conditionalFormatting xmlns:xm="http://schemas.microsoft.com/office/excel/2006/main">
          <x14:cfRule type="dataBar" id="{654E2618-8512-4D68-88C6-1C1417DBD131}">
            <x14:dataBar minLength="0" maxLength="100" gradient="0">
              <x14:cfvo type="num">
                <xm:f>0</xm:f>
              </x14:cfvo>
              <x14:cfvo type="num">
                <xm:f>1</xm:f>
              </x14:cfvo>
              <x14:negativeFillColor rgb="FFFF0000"/>
              <x14:axisColor rgb="FF000000"/>
            </x14:dataBar>
          </x14:cfRule>
          <xm:sqref>C79:V79</xm:sqref>
        </x14:conditionalFormatting>
        <x14:conditionalFormatting xmlns:xm="http://schemas.microsoft.com/office/excel/2006/main">
          <x14:cfRule type="dataBar" id="{22BB17B4-DBAF-44BD-AAF3-5E17D7048A98}">
            <x14:dataBar minLength="0" maxLength="100" gradient="0">
              <x14:cfvo type="num">
                <xm:f>0</xm:f>
              </x14:cfvo>
              <x14:cfvo type="num">
                <xm:f>1</xm:f>
              </x14:cfvo>
              <x14:negativeFillColor rgb="FFFF0000"/>
              <x14:axisColor rgb="FF000000"/>
            </x14:dataBar>
          </x14:cfRule>
          <xm:sqref>C126:V126</xm:sqref>
        </x14:conditionalFormatting>
        <x14:conditionalFormatting xmlns:xm="http://schemas.microsoft.com/office/excel/2006/main">
          <x14:cfRule type="dataBar" id="{E19227FA-DB1D-4E98-A0EF-B91AF0C40349}">
            <x14:dataBar minLength="0" maxLength="100" gradient="0">
              <x14:cfvo type="num">
                <xm:f>0</xm:f>
              </x14:cfvo>
              <x14:cfvo type="num">
                <xm:f>1</xm:f>
              </x14:cfvo>
              <x14:negativeFillColor rgb="FFFF0000"/>
              <x14:axisColor rgb="FF000000"/>
            </x14:dataBar>
          </x14:cfRule>
          <xm:sqref>C173:V173</xm:sqref>
        </x14:conditionalFormatting>
        <x14:conditionalFormatting xmlns:xm="http://schemas.microsoft.com/office/excel/2006/main">
          <x14:cfRule type="dataBar" id="{1547B479-3119-487C-981B-DF4B96B74F3F}">
            <x14:dataBar minLength="0" maxLength="100" gradient="0">
              <x14:cfvo type="num">
                <xm:f>0</xm:f>
              </x14:cfvo>
              <x14:cfvo type="num">
                <xm:f>1</xm:f>
              </x14:cfvo>
              <x14:negativeFillColor rgb="FFFF0000"/>
              <x14:axisColor rgb="FF000000"/>
            </x14:dataBar>
          </x14:cfRule>
          <xm:sqref>C220:V220</xm:sqref>
        </x14:conditionalFormatting>
        <x14:conditionalFormatting xmlns:xm="http://schemas.microsoft.com/office/excel/2006/main">
          <x14:cfRule type="dataBar" id="{B17A652F-41A3-435E-BE97-C9B34D648146}">
            <x14:dataBar minLength="0" maxLength="100" gradient="0">
              <x14:cfvo type="autoMin"/>
              <x14:cfvo type="autoMax"/>
              <x14:negativeFillColor rgb="FFFF0000"/>
              <x14:axisColor rgb="FF000000"/>
            </x14:dataBar>
          </x14:cfRule>
          <xm:sqref>C221:V265</xm:sqref>
        </x14:conditionalFormatting>
        <x14:conditionalFormatting xmlns:xm="http://schemas.microsoft.com/office/excel/2006/main">
          <x14:cfRule type="dataBar" id="{92E82B3E-C071-471F-81AA-9DF68A226E00}">
            <x14:dataBar minLength="0" maxLength="100" gradient="0">
              <x14:cfvo type="num">
                <xm:f>0</xm:f>
              </x14:cfvo>
              <x14:cfvo type="num">
                <xm:f>1</xm:f>
              </x14:cfvo>
              <x14:negativeFillColor rgb="FFFF0000"/>
              <x14:axisColor rgb="FF000000"/>
            </x14:dataBar>
          </x14:cfRule>
          <xm:sqref>C267:V267</xm:sqref>
        </x14:conditionalFormatting>
        <x14:conditionalFormatting xmlns:xm="http://schemas.microsoft.com/office/excel/2006/main">
          <x14:cfRule type="dataBar" id="{E12BFD1C-7350-472E-BF92-5284447311DB}">
            <x14:dataBar minLength="0" maxLength="100" gradient="0">
              <x14:cfvo type="num">
                <xm:f>0</xm:f>
              </x14:cfvo>
              <x14:cfvo type="num">
                <xm:f>1</xm:f>
              </x14:cfvo>
              <x14:negativeFillColor rgb="FFFF0000"/>
              <x14:axisColor rgb="FF000000"/>
            </x14:dataBar>
          </x14:cfRule>
          <xm:sqref>C314:V314</xm:sqref>
        </x14:conditionalFormatting>
        <x14:conditionalFormatting xmlns:xm="http://schemas.microsoft.com/office/excel/2006/main">
          <x14:cfRule type="dataBar" id="{798EC27B-119F-4237-8CDC-71B51FCBC3E9}">
            <x14:dataBar minLength="0" maxLength="100" gradient="0">
              <x14:cfvo type="num">
                <xm:f>0</xm:f>
              </x14:cfvo>
              <x14:cfvo type="num">
                <xm:f>1</xm:f>
              </x14:cfvo>
              <x14:negativeFillColor rgb="FFFF0000"/>
              <x14:axisColor rgb="FF000000"/>
            </x14:dataBar>
          </x14:cfRule>
          <xm:sqref>C361:V361</xm:sqref>
        </x14:conditionalFormatting>
        <x14:conditionalFormatting xmlns:xm="http://schemas.microsoft.com/office/excel/2006/main">
          <x14:cfRule type="dataBar" id="{B933B3E4-61CC-4ABD-ADDB-2A4EBA1185D2}">
            <x14:dataBar minLength="0" maxLength="100" gradient="0">
              <x14:cfvo type="autoMin"/>
              <x14:cfvo type="autoMax"/>
              <x14:negativeFillColor rgb="FFFF0000"/>
              <x14:axisColor rgb="FF000000"/>
            </x14:dataBar>
          </x14:cfRule>
          <xm:sqref>C362:V402 C315:V359 C268:V312 C221:V265 C174:V218 C127:V171 C7:V31 C34:V77 C80:V124</xm:sqref>
        </x14:conditionalFormatting>
        <x14:conditionalFormatting xmlns:xm="http://schemas.microsoft.com/office/excel/2006/main">
          <x14:cfRule type="dataBar" id="{727E7359-D607-42B9-A9BF-116D893BD04D}">
            <x14:dataBar minLength="0" maxLength="100" gradient="0">
              <x14:cfvo type="num">
                <xm:f>0</xm:f>
              </x14:cfvo>
              <x14:cfvo type="num">
                <xm:f>1</xm:f>
              </x14:cfvo>
              <x14:negativeFillColor rgb="FFFF0000"/>
              <x14:axisColor rgb="FF000000"/>
            </x14:dataBar>
          </x14:cfRule>
          <xm:sqref>C405:V405</xm:sqref>
        </x14:conditionalFormatting>
        <x14:conditionalFormatting xmlns:xm="http://schemas.microsoft.com/office/excel/2006/main">
          <x14:cfRule type="dataBar" id="{9172BF9F-6B0F-4047-BB7A-B8FA9F14EC6A}">
            <x14:dataBar minLength="0" maxLength="100" gradient="0">
              <x14:cfvo type="num">
                <xm:f>0</xm:f>
              </x14:cfvo>
              <x14:cfvo type="num">
                <xm:f>1</xm:f>
              </x14:cfvo>
              <x14:negativeFillColor rgb="FFFF0000"/>
              <x14:axisColor rgb="FF000000"/>
            </x14:dataBar>
          </x14:cfRule>
          <xm:sqref>C432:V432</xm:sqref>
        </x14:conditionalFormatting>
        <x14:conditionalFormatting xmlns:xm="http://schemas.microsoft.com/office/excel/2006/main">
          <x14:cfRule type="dataBar" id="{4586C995-C429-4A6F-9C49-DD52151F7FCA}">
            <x14:dataBar minLength="0" maxLength="100" gradient="0">
              <x14:cfvo type="autoMin"/>
              <x14:cfvo type="autoMax"/>
              <x14:negativeFillColor rgb="FFFF0000"/>
              <x14:axisColor rgb="FF000000"/>
            </x14:dataBar>
          </x14:cfRule>
          <xm:sqref>O174:V217</xm:sqref>
        </x14:conditionalFormatting>
        <x14:conditionalFormatting xmlns:xm="http://schemas.microsoft.com/office/excel/2006/main">
          <x14:cfRule type="dataBar" id="{DEDBBCC7-7915-4C8D-BC72-5CDAA3EBACC0}">
            <x14:dataBar minLength="0" maxLength="100" gradient="0">
              <x14:cfvo type="autoMin"/>
              <x14:cfvo type="autoMax"/>
              <x14:negativeFillColor rgb="FFFF0000"/>
              <x14:axisColor rgb="FF000000"/>
            </x14:dataBar>
          </x14:cfRule>
          <xm:sqref>O423:W431</xm:sqref>
        </x14:conditionalFormatting>
        <x14:conditionalFormatting xmlns:xm="http://schemas.microsoft.com/office/excel/2006/main">
          <x14:cfRule type="dataBar" id="{1786934A-B154-41F6-A6B8-A7B8270F3862}">
            <x14:dataBar minLength="0" maxLength="100" gradient="0">
              <x14:cfvo type="autoMin"/>
              <x14:cfvo type="autoMax"/>
              <x14:negativeFillColor rgb="FFFF0000"/>
              <x14:axisColor rgb="FF000000"/>
            </x14:dataBar>
          </x14:cfRule>
          <xm:sqref>P7</xm:sqref>
        </x14:conditionalFormatting>
      </x14:conditionalFormattings>
    </ext>
    <ext xmlns:x14="http://schemas.microsoft.com/office/spreadsheetml/2009/9/main" uri="{05C60535-1F16-4fd2-B633-F4F36F0B64E0}">
      <x14:sparklineGroups xmlns:xm="http://schemas.microsoft.com/office/excel/2006/main">
        <x14:sparklineGroup manualMax="1" manualMin="0" type="column" displayEmptyCellsAs="gap" high="1" low="1" minAxisType="custom" maxAxisType="custom" xr2:uid="{FF6967A9-4399-4BE2-B43C-C67F1EC047F8}">
          <x14:colorSeries theme="3" tint="0.39997558519241921"/>
          <x14:colorNegative rgb="FFD00000"/>
          <x14:colorAxis rgb="FF000000"/>
          <x14:colorMarkers rgb="FFD00000"/>
          <x14:colorFirst rgb="FFD00000"/>
          <x14:colorLast rgb="FFD00000"/>
          <x14:colorHigh rgb="FF00FF00"/>
          <x14:colorLow rgb="FF0070C0"/>
          <x14:sparklines>
            <x14:sparkline>
              <xm:f>'FASE 1   '!C32:C32</xm:f>
              <xm:sqref>C31</xm:sqref>
            </x14:sparkline>
            <x14:sparkline>
              <xm:f>'FASE 1   '!D32:D32</xm:f>
              <xm:sqref>D31</xm:sqref>
            </x14:sparkline>
            <x14:sparkline>
              <xm:f>'FASE 1   '!E32:E32</xm:f>
              <xm:sqref>E31</xm:sqref>
            </x14:sparkline>
            <x14:sparkline>
              <xm:f>'FASE 1   '!F32:F32</xm:f>
              <xm:sqref>F31</xm:sqref>
            </x14:sparkline>
            <x14:sparkline>
              <xm:f>'FASE 1   '!G32:G32</xm:f>
              <xm:sqref>G31</xm:sqref>
            </x14:sparkline>
            <x14:sparkline>
              <xm:f>'FASE 1   '!H32:H32</xm:f>
              <xm:sqref>H31</xm:sqref>
            </x14:sparkline>
            <x14:sparkline>
              <xm:f>'FASE 1   '!I32:I32</xm:f>
              <xm:sqref>I31</xm:sqref>
            </x14:sparkline>
            <x14:sparkline>
              <xm:f>'FASE 1   '!J32:J32</xm:f>
              <xm:sqref>J31</xm:sqref>
            </x14:sparkline>
            <x14:sparkline>
              <xm:f>'FASE 1   '!K32:K32</xm:f>
              <xm:sqref>K31</xm:sqref>
            </x14:sparkline>
            <x14:sparkline>
              <xm:f>'FASE 1   '!L32:L32</xm:f>
              <xm:sqref>L31</xm:sqref>
            </x14:sparkline>
            <x14:sparkline>
              <xm:f>'FASE 1   '!M32:M32</xm:f>
              <xm:sqref>M31</xm:sqref>
            </x14:sparkline>
            <x14:sparkline>
              <xm:f>'FASE 1   '!N32:N32</xm:f>
              <xm:sqref>N31</xm:sqref>
            </x14:sparkline>
            <x14:sparkline>
              <xm:f>'FASE 1   '!O32:O32</xm:f>
              <xm:sqref>O31</xm:sqref>
            </x14:sparkline>
            <x14:sparkline>
              <xm:f>'FASE 1   '!P32:P32</xm:f>
              <xm:sqref>P31</xm:sqref>
            </x14:sparkline>
            <x14:sparkline>
              <xm:f>'FASE 1   '!Q32:Q32</xm:f>
              <xm:sqref>Q31</xm:sqref>
            </x14:sparkline>
            <x14:sparkline>
              <xm:f>'FASE 1   '!R32:R32</xm:f>
              <xm:sqref>R31</xm:sqref>
            </x14:sparkline>
            <x14:sparkline>
              <xm:f>'FASE 1   '!S32:S32</xm:f>
              <xm:sqref>S31</xm:sqref>
            </x14:sparkline>
            <x14:sparkline>
              <xm:f>'FASE 1   '!T32:T32</xm:f>
              <xm:sqref>T31</xm:sqref>
            </x14:sparkline>
            <x14:sparkline>
              <xm:f>'FASE 1   '!U32:U32</xm:f>
              <xm:sqref>U31</xm:sqref>
            </x14:sparkline>
            <x14:sparkline>
              <xm:f>'FASE 1   '!V32:V32</xm:f>
              <xm:sqref>V31</xm:sqref>
            </x14:sparkline>
          </x14:sparklines>
        </x14:sparklineGroup>
        <x14:sparklineGroup manualMax="1" manualMin="0" type="column" displayEmptyCellsAs="gap" high="1" low="1" first="1" last="1" negative="1" minAxisType="custom" maxAxisType="custom" xr2:uid="{12171F5B-8AD5-4C16-9E4B-3C85374A008F}">
          <x14:colorSeries theme="3" tint="0.39997558519241921"/>
          <x14:colorNegative rgb="FFD00000"/>
          <x14:colorAxis rgb="FF000000"/>
          <x14:colorMarkers rgb="FFD00000"/>
          <x14:colorFirst rgb="FFD00000"/>
          <x14:colorLast rgb="FFD00000"/>
          <x14:colorHigh rgb="FF00FF00"/>
          <x14:colorLow rgb="FF0070C0"/>
          <x14:sparklines>
            <x14:sparkline>
              <xm:f>'FASE 1   '!C404:C404</xm:f>
              <xm:sqref>C403</xm:sqref>
            </x14:sparkline>
            <x14:sparkline>
              <xm:f>'FASE 1   '!D404:D404</xm:f>
              <xm:sqref>D403</xm:sqref>
            </x14:sparkline>
            <x14:sparkline>
              <xm:f>'FASE 1   '!E404:E404</xm:f>
              <xm:sqref>E403</xm:sqref>
            </x14:sparkline>
            <x14:sparkline>
              <xm:f>'FASE 1   '!F404:F404</xm:f>
              <xm:sqref>F403</xm:sqref>
            </x14:sparkline>
            <x14:sparkline>
              <xm:f>'FASE 1   '!G404:G404</xm:f>
              <xm:sqref>G403</xm:sqref>
            </x14:sparkline>
            <x14:sparkline>
              <xm:f>'FASE 1   '!H404:H404</xm:f>
              <xm:sqref>H403</xm:sqref>
            </x14:sparkline>
            <x14:sparkline>
              <xm:f>'FASE 1   '!I404:I404</xm:f>
              <xm:sqref>I403</xm:sqref>
            </x14:sparkline>
            <x14:sparkline>
              <xm:f>'FASE 1   '!J404:J404</xm:f>
              <xm:sqref>J403</xm:sqref>
            </x14:sparkline>
            <x14:sparkline>
              <xm:f>'FASE 1   '!K404:K404</xm:f>
              <xm:sqref>K403</xm:sqref>
            </x14:sparkline>
            <x14:sparkline>
              <xm:f>'FASE 1   '!L404:L404</xm:f>
              <xm:sqref>L403</xm:sqref>
            </x14:sparkline>
            <x14:sparkline>
              <xm:f>'FASE 1   '!M404:M404</xm:f>
              <xm:sqref>M403</xm:sqref>
            </x14:sparkline>
            <x14:sparkline>
              <xm:f>'FASE 1   '!N404:N404</xm:f>
              <xm:sqref>N403</xm:sqref>
            </x14:sparkline>
            <x14:sparkline>
              <xm:f>'FASE 1   '!O404:O404</xm:f>
              <xm:sqref>O403</xm:sqref>
            </x14:sparkline>
            <x14:sparkline>
              <xm:f>'FASE 1   '!P404:P404</xm:f>
              <xm:sqref>P403</xm:sqref>
            </x14:sparkline>
            <x14:sparkline>
              <xm:f>'FASE 1   '!Q404:Q404</xm:f>
              <xm:sqref>Q403</xm:sqref>
            </x14:sparkline>
            <x14:sparkline>
              <xm:f>'FASE 1   '!R404:R404</xm:f>
              <xm:sqref>R403</xm:sqref>
            </x14:sparkline>
            <x14:sparkline>
              <xm:f>'FASE 1   '!S404:S404</xm:f>
              <xm:sqref>S403</xm:sqref>
            </x14:sparkline>
            <x14:sparkline>
              <xm:f>'FASE 1   '!T404:T404</xm:f>
              <xm:sqref>T403</xm:sqref>
            </x14:sparkline>
            <x14:sparkline>
              <xm:f>'FASE 1   '!U404:U404</xm:f>
              <xm:sqref>U403</xm:sqref>
            </x14:sparkline>
            <x14:sparkline>
              <xm:f>'FASE 1   '!V404:V404</xm:f>
              <xm:sqref>V403</xm:sqref>
            </x14:sparkline>
          </x14:sparklines>
        </x14:sparklineGroup>
        <x14:sparklineGroup manualMax="1" manualMin="0" type="column" displayEmptyCellsAs="gap" high="1" low="1" first="1" last="1" negative="1" minAxisType="custom" maxAxisType="custom" xr2:uid="{E5F7D345-9342-432C-B6D6-29DA1DC49462}">
          <x14:colorSeries theme="3" tint="0.39997558519241921"/>
          <x14:colorNegative rgb="FFD00000"/>
          <x14:colorAxis rgb="FF000000"/>
          <x14:colorMarkers rgb="FFD00000"/>
          <x14:colorFirst rgb="FFD00000"/>
          <x14:colorLast rgb="FFD00000"/>
          <x14:colorHigh rgb="FF00FF00"/>
          <x14:colorLow rgb="FF0070C0"/>
          <x14:sparklines>
            <x14:sparkline>
              <xm:f>'FASE 1   '!C360:C360</xm:f>
              <xm:sqref>C359</xm:sqref>
            </x14:sparkline>
            <x14:sparkline>
              <xm:f>'FASE 1   '!D360:D360</xm:f>
              <xm:sqref>D359</xm:sqref>
            </x14:sparkline>
            <x14:sparkline>
              <xm:f>'FASE 1   '!E360:E360</xm:f>
              <xm:sqref>E359</xm:sqref>
            </x14:sparkline>
            <x14:sparkline>
              <xm:f>'FASE 1   '!F360:F360</xm:f>
              <xm:sqref>F359</xm:sqref>
            </x14:sparkline>
            <x14:sparkline>
              <xm:f>'FASE 1   '!G360:G360</xm:f>
              <xm:sqref>G359</xm:sqref>
            </x14:sparkline>
            <x14:sparkline>
              <xm:f>'FASE 1   '!H360:H360</xm:f>
              <xm:sqref>H359</xm:sqref>
            </x14:sparkline>
            <x14:sparkline>
              <xm:f>'FASE 1   '!I360:I360</xm:f>
              <xm:sqref>I359</xm:sqref>
            </x14:sparkline>
            <x14:sparkline>
              <xm:f>'FASE 1   '!J360:J360</xm:f>
              <xm:sqref>J359</xm:sqref>
            </x14:sparkline>
            <x14:sparkline>
              <xm:f>'FASE 1   '!K360:K360</xm:f>
              <xm:sqref>K359</xm:sqref>
            </x14:sparkline>
            <x14:sparkline>
              <xm:f>'FASE 1   '!L360:L360</xm:f>
              <xm:sqref>L359</xm:sqref>
            </x14:sparkline>
            <x14:sparkline>
              <xm:f>'FASE 1   '!M360:M360</xm:f>
              <xm:sqref>M359</xm:sqref>
            </x14:sparkline>
            <x14:sparkline>
              <xm:f>'FASE 1   '!N360:N360</xm:f>
              <xm:sqref>N359</xm:sqref>
            </x14:sparkline>
            <x14:sparkline>
              <xm:f>'FASE 1   '!O360:O360</xm:f>
              <xm:sqref>O359</xm:sqref>
            </x14:sparkline>
            <x14:sparkline>
              <xm:f>'FASE 1   '!P360:P360</xm:f>
              <xm:sqref>P359</xm:sqref>
            </x14:sparkline>
            <x14:sparkline>
              <xm:f>'FASE 1   '!Q360:Q360</xm:f>
              <xm:sqref>Q359</xm:sqref>
            </x14:sparkline>
            <x14:sparkline>
              <xm:f>'FASE 1   '!R360:R360</xm:f>
              <xm:sqref>R359</xm:sqref>
            </x14:sparkline>
            <x14:sparkline>
              <xm:f>'FASE 1   '!S360:S360</xm:f>
              <xm:sqref>S359</xm:sqref>
            </x14:sparkline>
            <x14:sparkline>
              <xm:f>'FASE 1   '!T360:T360</xm:f>
              <xm:sqref>T359</xm:sqref>
            </x14:sparkline>
            <x14:sparkline>
              <xm:f>'FASE 1   '!U360:U360</xm:f>
              <xm:sqref>U359</xm:sqref>
            </x14:sparkline>
            <x14:sparkline>
              <xm:f>'FASE 1   '!V360:V360</xm:f>
              <xm:sqref>V359</xm:sqref>
            </x14:sparkline>
          </x14:sparklines>
        </x14:sparklineGroup>
        <x14:sparklineGroup manualMax="1" manualMin="0" type="column" displayEmptyCellsAs="gap" high="1" low="1" first="1" last="1" negative="1" minAxisType="custom" maxAxisType="custom" xr2:uid="{650D7A3A-3807-4825-8404-2B416BE1D53E}">
          <x14:colorSeries theme="3" tint="0.39997558519241921"/>
          <x14:colorNegative rgb="FFD00000"/>
          <x14:colorAxis rgb="FF000000"/>
          <x14:colorMarkers rgb="FFD00000"/>
          <x14:colorFirst rgb="FFD00000"/>
          <x14:colorLast rgb="FFD00000"/>
          <x14:colorHigh rgb="FF00FF00"/>
          <x14:colorLow rgb="FF0070C0"/>
          <x14:sparklines>
            <x14:sparkline>
              <xm:f>'FASE 1   '!C313:C313</xm:f>
              <xm:sqref>C312</xm:sqref>
            </x14:sparkline>
            <x14:sparkline>
              <xm:f>'FASE 1   '!D313:D313</xm:f>
              <xm:sqref>D312</xm:sqref>
            </x14:sparkline>
            <x14:sparkline>
              <xm:f>'FASE 1   '!E313:E313</xm:f>
              <xm:sqref>E312</xm:sqref>
            </x14:sparkline>
            <x14:sparkline>
              <xm:f>'FASE 1   '!F313:F313</xm:f>
              <xm:sqref>F312</xm:sqref>
            </x14:sparkline>
            <x14:sparkline>
              <xm:f>'FASE 1   '!G313:G313</xm:f>
              <xm:sqref>G312</xm:sqref>
            </x14:sparkline>
            <x14:sparkline>
              <xm:f>'FASE 1   '!H313:H313</xm:f>
              <xm:sqref>H312</xm:sqref>
            </x14:sparkline>
            <x14:sparkline>
              <xm:f>'FASE 1   '!I313:I313</xm:f>
              <xm:sqref>I312</xm:sqref>
            </x14:sparkline>
            <x14:sparkline>
              <xm:f>'FASE 1   '!J313:J313</xm:f>
              <xm:sqref>J312</xm:sqref>
            </x14:sparkline>
            <x14:sparkline>
              <xm:f>'FASE 1   '!K313:K313</xm:f>
              <xm:sqref>K312</xm:sqref>
            </x14:sparkline>
            <x14:sparkline>
              <xm:f>'FASE 1   '!L313:L313</xm:f>
              <xm:sqref>L312</xm:sqref>
            </x14:sparkline>
            <x14:sparkline>
              <xm:f>'FASE 1   '!M313:M313</xm:f>
              <xm:sqref>M312</xm:sqref>
            </x14:sparkline>
            <x14:sparkline>
              <xm:f>'FASE 1   '!N313:N313</xm:f>
              <xm:sqref>N312</xm:sqref>
            </x14:sparkline>
            <x14:sparkline>
              <xm:f>'FASE 1   '!O313:O313</xm:f>
              <xm:sqref>O312</xm:sqref>
            </x14:sparkline>
            <x14:sparkline>
              <xm:f>'FASE 1   '!P313:P313</xm:f>
              <xm:sqref>P312</xm:sqref>
            </x14:sparkline>
            <x14:sparkline>
              <xm:f>'FASE 1   '!Q313:Q313</xm:f>
              <xm:sqref>Q312</xm:sqref>
            </x14:sparkline>
            <x14:sparkline>
              <xm:f>'FASE 1   '!R313:R313</xm:f>
              <xm:sqref>R312</xm:sqref>
            </x14:sparkline>
            <x14:sparkline>
              <xm:f>'FASE 1   '!S313:S313</xm:f>
              <xm:sqref>S312</xm:sqref>
            </x14:sparkline>
            <x14:sparkline>
              <xm:f>'FASE 1   '!T313:T313</xm:f>
              <xm:sqref>T312</xm:sqref>
            </x14:sparkline>
            <x14:sparkline>
              <xm:f>'FASE 1   '!U313:U313</xm:f>
              <xm:sqref>U312</xm:sqref>
            </x14:sparkline>
            <x14:sparkline>
              <xm:f>'FASE 1   '!V313:V313</xm:f>
              <xm:sqref>V312</xm:sqref>
            </x14:sparkline>
          </x14:sparklines>
        </x14:sparklineGroup>
        <x14:sparklineGroup manualMax="1" manualMin="0" type="column" displayEmptyCellsAs="gap" high="1" low="1" first="1" last="1" negative="1" minAxisType="custom" maxAxisType="custom" xr2:uid="{C057B32D-E11A-4DA1-A42A-27593395383F}">
          <x14:colorSeries theme="3" tint="0.39997558519241921"/>
          <x14:colorNegative rgb="FFD00000"/>
          <x14:colorAxis rgb="FF000000"/>
          <x14:colorMarkers rgb="FFD00000"/>
          <x14:colorFirst rgb="FFD00000"/>
          <x14:colorLast rgb="FFD00000"/>
          <x14:colorHigh rgb="FF00FF00"/>
          <x14:colorLow rgb="FF0070C0"/>
          <x14:sparklines>
            <x14:sparkline>
              <xm:f>'FASE 1   '!C266:C266</xm:f>
              <xm:sqref>C265</xm:sqref>
            </x14:sparkline>
            <x14:sparkline>
              <xm:f>'FASE 1   '!D266:D266</xm:f>
              <xm:sqref>D265</xm:sqref>
            </x14:sparkline>
            <x14:sparkline>
              <xm:f>'FASE 1   '!E266:E266</xm:f>
              <xm:sqref>E265</xm:sqref>
            </x14:sparkline>
            <x14:sparkline>
              <xm:f>'FASE 1   '!F266:F266</xm:f>
              <xm:sqref>F265</xm:sqref>
            </x14:sparkline>
            <x14:sparkline>
              <xm:f>'FASE 1   '!G266:G266</xm:f>
              <xm:sqref>G265</xm:sqref>
            </x14:sparkline>
            <x14:sparkline>
              <xm:f>'FASE 1   '!H266:H266</xm:f>
              <xm:sqref>H265</xm:sqref>
            </x14:sparkline>
            <x14:sparkline>
              <xm:f>'FASE 1   '!I266:I266</xm:f>
              <xm:sqref>I265</xm:sqref>
            </x14:sparkline>
            <x14:sparkline>
              <xm:f>'FASE 1   '!J266:J266</xm:f>
              <xm:sqref>J265</xm:sqref>
            </x14:sparkline>
            <x14:sparkline>
              <xm:f>'FASE 1   '!K266:K266</xm:f>
              <xm:sqref>K265</xm:sqref>
            </x14:sparkline>
            <x14:sparkline>
              <xm:f>'FASE 1   '!L266:L266</xm:f>
              <xm:sqref>L265</xm:sqref>
            </x14:sparkline>
            <x14:sparkline>
              <xm:f>'FASE 1   '!M266:M266</xm:f>
              <xm:sqref>M265</xm:sqref>
            </x14:sparkline>
            <x14:sparkline>
              <xm:f>'FASE 1   '!N266:N266</xm:f>
              <xm:sqref>N265</xm:sqref>
            </x14:sparkline>
            <x14:sparkline>
              <xm:f>'FASE 1   '!O266:O266</xm:f>
              <xm:sqref>O265</xm:sqref>
            </x14:sparkline>
            <x14:sparkline>
              <xm:f>'FASE 1   '!P266:P266</xm:f>
              <xm:sqref>P265</xm:sqref>
            </x14:sparkline>
            <x14:sparkline>
              <xm:f>'FASE 1   '!Q266:Q266</xm:f>
              <xm:sqref>Q265</xm:sqref>
            </x14:sparkline>
            <x14:sparkline>
              <xm:f>'FASE 1   '!R266:R266</xm:f>
              <xm:sqref>R265</xm:sqref>
            </x14:sparkline>
            <x14:sparkline>
              <xm:f>'FASE 1   '!S266:S266</xm:f>
              <xm:sqref>S265</xm:sqref>
            </x14:sparkline>
            <x14:sparkline>
              <xm:f>'FASE 1   '!T266:T266</xm:f>
              <xm:sqref>T265</xm:sqref>
            </x14:sparkline>
            <x14:sparkline>
              <xm:f>'FASE 1   '!U266:U266</xm:f>
              <xm:sqref>U265</xm:sqref>
            </x14:sparkline>
            <x14:sparkline>
              <xm:f>'FASE 1   '!V266:V266</xm:f>
              <xm:sqref>V265</xm:sqref>
            </x14:sparkline>
          </x14:sparklines>
        </x14:sparklineGroup>
        <x14:sparklineGroup manualMax="1" manualMin="0" type="column" displayEmptyCellsAs="gap" high="1" low="1" first="1" last="1" negative="1" minAxisType="custom" maxAxisType="custom" xr2:uid="{C474735C-96AE-4E6C-915A-59AC8FFAEB7E}">
          <x14:colorSeries theme="3" tint="0.39997558519241921"/>
          <x14:colorNegative rgb="FFD00000"/>
          <x14:colorAxis rgb="FF000000"/>
          <x14:colorMarkers rgb="FFD00000"/>
          <x14:colorFirst rgb="FFD00000"/>
          <x14:colorLast rgb="FFD00000"/>
          <x14:colorHigh rgb="FF00FF00"/>
          <x14:colorLow rgb="FF0070C0"/>
          <x14:sparklines>
            <x14:sparkline>
              <xm:f>'FASE 1   '!C219:C219</xm:f>
              <xm:sqref>C218</xm:sqref>
            </x14:sparkline>
            <x14:sparkline>
              <xm:f>'FASE 1   '!D219:D219</xm:f>
              <xm:sqref>D218</xm:sqref>
            </x14:sparkline>
            <x14:sparkline>
              <xm:f>'FASE 1   '!E219:E219</xm:f>
              <xm:sqref>E218</xm:sqref>
            </x14:sparkline>
            <x14:sparkline>
              <xm:f>'FASE 1   '!F219:F219</xm:f>
              <xm:sqref>F218</xm:sqref>
            </x14:sparkline>
            <x14:sparkline>
              <xm:f>'FASE 1   '!G219:G219</xm:f>
              <xm:sqref>G218</xm:sqref>
            </x14:sparkline>
            <x14:sparkline>
              <xm:f>'FASE 1   '!H219:H219</xm:f>
              <xm:sqref>H218</xm:sqref>
            </x14:sparkline>
            <x14:sparkline>
              <xm:f>'FASE 1   '!I219:I219</xm:f>
              <xm:sqref>I218</xm:sqref>
            </x14:sparkline>
            <x14:sparkline>
              <xm:f>'FASE 1   '!J219:J219</xm:f>
              <xm:sqref>J218</xm:sqref>
            </x14:sparkline>
            <x14:sparkline>
              <xm:f>'FASE 1   '!K219:K219</xm:f>
              <xm:sqref>K218</xm:sqref>
            </x14:sparkline>
            <x14:sparkline>
              <xm:f>'FASE 1   '!L219:L219</xm:f>
              <xm:sqref>L218</xm:sqref>
            </x14:sparkline>
            <x14:sparkline>
              <xm:f>'FASE 1   '!M219:M219</xm:f>
              <xm:sqref>M218</xm:sqref>
            </x14:sparkline>
            <x14:sparkline>
              <xm:f>'FASE 1   '!N219:N219</xm:f>
              <xm:sqref>N218</xm:sqref>
            </x14:sparkline>
            <x14:sparkline>
              <xm:f>'FASE 1   '!O219:O219</xm:f>
              <xm:sqref>O218</xm:sqref>
            </x14:sparkline>
            <x14:sparkline>
              <xm:f>'FASE 1   '!P219:P219</xm:f>
              <xm:sqref>P218</xm:sqref>
            </x14:sparkline>
            <x14:sparkline>
              <xm:f>'FASE 1   '!Q219:Q219</xm:f>
              <xm:sqref>Q218</xm:sqref>
            </x14:sparkline>
            <x14:sparkline>
              <xm:f>'FASE 1   '!R219:R219</xm:f>
              <xm:sqref>R218</xm:sqref>
            </x14:sparkline>
            <x14:sparkline>
              <xm:f>'FASE 1   '!S219:S219</xm:f>
              <xm:sqref>S218</xm:sqref>
            </x14:sparkline>
            <x14:sparkline>
              <xm:f>'FASE 1   '!T219:T219</xm:f>
              <xm:sqref>T218</xm:sqref>
            </x14:sparkline>
            <x14:sparkline>
              <xm:f>'FASE 1   '!U219:U219</xm:f>
              <xm:sqref>U218</xm:sqref>
            </x14:sparkline>
            <x14:sparkline>
              <xm:f>'FASE 1   '!V219:V219</xm:f>
              <xm:sqref>V218</xm:sqref>
            </x14:sparkline>
          </x14:sparklines>
        </x14:sparklineGroup>
        <x14:sparklineGroup manualMax="1" manualMin="0" type="column" displayEmptyCellsAs="gap" high="1" low="1" first="1" last="1" negative="1" minAxisType="custom" maxAxisType="custom" xr2:uid="{6AB62BA0-AC12-421B-B096-DD0D5A2035A3}">
          <x14:colorSeries theme="3" tint="0.39997558519241921"/>
          <x14:colorNegative rgb="FFD00000"/>
          <x14:colorAxis rgb="FF000000"/>
          <x14:colorMarkers rgb="FFD00000"/>
          <x14:colorFirst rgb="FFD00000"/>
          <x14:colorLast rgb="FFD00000"/>
          <x14:colorHigh rgb="FF00FF00"/>
          <x14:colorLow rgb="FF0070C0"/>
          <x14:sparklines>
            <x14:sparkline>
              <xm:f>'FASE 1   '!C172:C172</xm:f>
              <xm:sqref>C171</xm:sqref>
            </x14:sparkline>
            <x14:sparkline>
              <xm:f>'FASE 1   '!D172:D172</xm:f>
              <xm:sqref>D171</xm:sqref>
            </x14:sparkline>
            <x14:sparkline>
              <xm:f>'FASE 1   '!E172:E172</xm:f>
              <xm:sqref>E171</xm:sqref>
            </x14:sparkline>
            <x14:sparkline>
              <xm:f>'FASE 1   '!F172:F172</xm:f>
              <xm:sqref>F171</xm:sqref>
            </x14:sparkline>
            <x14:sparkline>
              <xm:f>'FASE 1   '!G172:G172</xm:f>
              <xm:sqref>G171</xm:sqref>
            </x14:sparkline>
            <x14:sparkline>
              <xm:f>'FASE 1   '!H172:H172</xm:f>
              <xm:sqref>H171</xm:sqref>
            </x14:sparkline>
            <x14:sparkline>
              <xm:f>'FASE 1   '!I172:I172</xm:f>
              <xm:sqref>I171</xm:sqref>
            </x14:sparkline>
            <x14:sparkline>
              <xm:f>'FASE 1   '!J172:J172</xm:f>
              <xm:sqref>J171</xm:sqref>
            </x14:sparkline>
            <x14:sparkline>
              <xm:f>'FASE 1   '!K172:K172</xm:f>
              <xm:sqref>K171</xm:sqref>
            </x14:sparkline>
            <x14:sparkline>
              <xm:f>'FASE 1   '!L172:L172</xm:f>
              <xm:sqref>L171</xm:sqref>
            </x14:sparkline>
            <x14:sparkline>
              <xm:f>'FASE 1   '!M172:M172</xm:f>
              <xm:sqref>M171</xm:sqref>
            </x14:sparkline>
            <x14:sparkline>
              <xm:f>'FASE 1   '!N172:N172</xm:f>
              <xm:sqref>N171</xm:sqref>
            </x14:sparkline>
            <x14:sparkline>
              <xm:f>'FASE 1   '!O172:O172</xm:f>
              <xm:sqref>O171</xm:sqref>
            </x14:sparkline>
            <x14:sparkline>
              <xm:f>'FASE 1   '!P172:P172</xm:f>
              <xm:sqref>P171</xm:sqref>
            </x14:sparkline>
            <x14:sparkline>
              <xm:f>'FASE 1   '!Q172:Q172</xm:f>
              <xm:sqref>Q171</xm:sqref>
            </x14:sparkline>
            <x14:sparkline>
              <xm:f>'FASE 1   '!R172:R172</xm:f>
              <xm:sqref>R171</xm:sqref>
            </x14:sparkline>
            <x14:sparkline>
              <xm:f>'FASE 1   '!S172:S172</xm:f>
              <xm:sqref>S171</xm:sqref>
            </x14:sparkline>
            <x14:sparkline>
              <xm:f>'FASE 1   '!T172:T172</xm:f>
              <xm:sqref>T171</xm:sqref>
            </x14:sparkline>
            <x14:sparkline>
              <xm:f>'FASE 1   '!U172:U172</xm:f>
              <xm:sqref>U171</xm:sqref>
            </x14:sparkline>
            <x14:sparkline>
              <xm:f>'FASE 1   '!V172:V172</xm:f>
              <xm:sqref>V171</xm:sqref>
            </x14:sparkline>
          </x14:sparklines>
        </x14:sparklineGroup>
        <x14:sparklineGroup manualMax="1" manualMin="0" type="column" displayEmptyCellsAs="gap" high="1" low="1" first="1" last="1" negative="1" minAxisType="custom" maxAxisType="custom" xr2:uid="{5D65DFBF-A138-4987-83A0-E20031E70AE7}">
          <x14:colorSeries theme="3" tint="0.39997558519241921"/>
          <x14:colorNegative rgb="FFD00000"/>
          <x14:colorAxis rgb="FF000000"/>
          <x14:colorMarkers rgb="FFD00000"/>
          <x14:colorFirst rgb="FFD00000"/>
          <x14:colorLast rgb="FFD00000"/>
          <x14:colorHigh rgb="FF00FF00"/>
          <x14:colorLow rgb="FF0070C0"/>
          <x14:sparklines>
            <x14:sparkline>
              <xm:f>'FASE 1   '!C125:C125</xm:f>
              <xm:sqref>C124</xm:sqref>
            </x14:sparkline>
            <x14:sparkline>
              <xm:f>'FASE 1   '!D125:D125</xm:f>
              <xm:sqref>D124</xm:sqref>
            </x14:sparkline>
            <x14:sparkline>
              <xm:f>'FASE 1   '!E125:E125</xm:f>
              <xm:sqref>E124</xm:sqref>
            </x14:sparkline>
            <x14:sparkline>
              <xm:f>'FASE 1   '!F125:F125</xm:f>
              <xm:sqref>F124</xm:sqref>
            </x14:sparkline>
            <x14:sparkline>
              <xm:f>'FASE 1   '!G125:G125</xm:f>
              <xm:sqref>G124</xm:sqref>
            </x14:sparkline>
            <x14:sparkline>
              <xm:f>'FASE 1   '!H125:H125</xm:f>
              <xm:sqref>H124</xm:sqref>
            </x14:sparkline>
            <x14:sparkline>
              <xm:f>'FASE 1   '!I125:I125</xm:f>
              <xm:sqref>I124</xm:sqref>
            </x14:sparkline>
            <x14:sparkline>
              <xm:f>'FASE 1   '!J125:J125</xm:f>
              <xm:sqref>J124</xm:sqref>
            </x14:sparkline>
            <x14:sparkline>
              <xm:f>'FASE 1   '!K125:K125</xm:f>
              <xm:sqref>K124</xm:sqref>
            </x14:sparkline>
            <x14:sparkline>
              <xm:f>'FASE 1   '!L125:L125</xm:f>
              <xm:sqref>L124</xm:sqref>
            </x14:sparkline>
            <x14:sparkline>
              <xm:f>'FASE 1   '!M125:M125</xm:f>
              <xm:sqref>M124</xm:sqref>
            </x14:sparkline>
            <x14:sparkline>
              <xm:f>'FASE 1   '!N125:N125</xm:f>
              <xm:sqref>N124</xm:sqref>
            </x14:sparkline>
            <x14:sparkline>
              <xm:f>'FASE 1   '!O125:O125</xm:f>
              <xm:sqref>O124</xm:sqref>
            </x14:sparkline>
            <x14:sparkline>
              <xm:f>'FASE 1   '!P125:P125</xm:f>
              <xm:sqref>P124</xm:sqref>
            </x14:sparkline>
            <x14:sparkline>
              <xm:f>'FASE 1   '!Q125:Q125</xm:f>
              <xm:sqref>Q124</xm:sqref>
            </x14:sparkline>
            <x14:sparkline>
              <xm:f>'FASE 1   '!R125:R125</xm:f>
              <xm:sqref>R124</xm:sqref>
            </x14:sparkline>
            <x14:sparkline>
              <xm:f>'FASE 1   '!S125:S125</xm:f>
              <xm:sqref>S124</xm:sqref>
            </x14:sparkline>
            <x14:sparkline>
              <xm:f>'FASE 1   '!T125:T125</xm:f>
              <xm:sqref>T124</xm:sqref>
            </x14:sparkline>
            <x14:sparkline>
              <xm:f>'FASE 1   '!U125:U125</xm:f>
              <xm:sqref>U124</xm:sqref>
            </x14:sparkline>
            <x14:sparkline>
              <xm:f>'FASE 1   '!V125:V125</xm:f>
              <xm:sqref>V124</xm:sqref>
            </x14:sparkline>
          </x14:sparklines>
        </x14:sparklineGroup>
        <x14:sparklineGroup manualMax="1" manualMin="0" type="column" displayEmptyCellsAs="gap" high="1" low="1" first="1" last="1" negative="1" minAxisType="custom" maxAxisType="custom" xr2:uid="{0EB2135F-9884-4033-8960-AEF58BFE7CA7}">
          <x14:colorSeries theme="3" tint="0.39997558519241921"/>
          <x14:colorNegative rgb="FFD00000"/>
          <x14:colorAxis rgb="FF000000"/>
          <x14:colorMarkers rgb="FFD00000"/>
          <x14:colorFirst rgb="FFD00000"/>
          <x14:colorLast rgb="FFD00000"/>
          <x14:colorHigh rgb="FF00FF00"/>
          <x14:colorLow rgb="FF0070C0"/>
          <x14:sparklines>
            <x14:sparkline>
              <xm:f>'FASE 1   '!C78:C78</xm:f>
              <xm:sqref>C77</xm:sqref>
            </x14:sparkline>
            <x14:sparkline>
              <xm:f>'FASE 1   '!D78:D78</xm:f>
              <xm:sqref>D77</xm:sqref>
            </x14:sparkline>
            <x14:sparkline>
              <xm:f>'FASE 1   '!E78:E78</xm:f>
              <xm:sqref>E77</xm:sqref>
            </x14:sparkline>
            <x14:sparkline>
              <xm:f>'FASE 1   '!F78:F78</xm:f>
              <xm:sqref>F77</xm:sqref>
            </x14:sparkline>
            <x14:sparkline>
              <xm:f>'FASE 1   '!G78:G78</xm:f>
              <xm:sqref>G77</xm:sqref>
            </x14:sparkline>
            <x14:sparkline>
              <xm:f>'FASE 1   '!H78:H78</xm:f>
              <xm:sqref>H77</xm:sqref>
            </x14:sparkline>
            <x14:sparkline>
              <xm:f>'FASE 1   '!I78:I78</xm:f>
              <xm:sqref>I77</xm:sqref>
            </x14:sparkline>
            <x14:sparkline>
              <xm:f>'FASE 1   '!J78:J78</xm:f>
              <xm:sqref>J77</xm:sqref>
            </x14:sparkline>
            <x14:sparkline>
              <xm:f>'FASE 1   '!K78:K78</xm:f>
              <xm:sqref>K77</xm:sqref>
            </x14:sparkline>
            <x14:sparkline>
              <xm:f>'FASE 1   '!L78:L78</xm:f>
              <xm:sqref>L77</xm:sqref>
            </x14:sparkline>
            <x14:sparkline>
              <xm:f>'FASE 1   '!M78:M78</xm:f>
              <xm:sqref>M77</xm:sqref>
            </x14:sparkline>
            <x14:sparkline>
              <xm:f>'FASE 1   '!N78:N78</xm:f>
              <xm:sqref>N77</xm:sqref>
            </x14:sparkline>
            <x14:sparkline>
              <xm:f>'FASE 1   '!O78:O78</xm:f>
              <xm:sqref>O77</xm:sqref>
            </x14:sparkline>
            <x14:sparkline>
              <xm:f>'FASE 1   '!P78:P78</xm:f>
              <xm:sqref>P77</xm:sqref>
            </x14:sparkline>
            <x14:sparkline>
              <xm:f>'FASE 1   '!Q78:Q78</xm:f>
              <xm:sqref>Q77</xm:sqref>
            </x14:sparkline>
            <x14:sparkline>
              <xm:f>'FASE 1   '!R78:R78</xm:f>
              <xm:sqref>R77</xm:sqref>
            </x14:sparkline>
            <x14:sparkline>
              <xm:f>'FASE 1   '!S78:S78</xm:f>
              <xm:sqref>S77</xm:sqref>
            </x14:sparkline>
            <x14:sparkline>
              <xm:f>'FASE 1   '!T78:T78</xm:f>
              <xm:sqref>T77</xm:sqref>
            </x14:sparkline>
            <x14:sparkline>
              <xm:f>'FASE 1   '!U78:U78</xm:f>
              <xm:sqref>U77</xm:sqref>
            </x14:sparkline>
            <x14:sparkline>
              <xm:f>'FASE 1   '!V78:V78</xm:f>
              <xm:sqref>V77</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B9957-C97D-4518-A9A3-77404646FFD4}">
  <sheetPr codeName="Hoja9">
    <tabColor rgb="FF00FF00"/>
    <pageSetUpPr fitToPage="1"/>
  </sheetPr>
  <dimension ref="A2:CN150"/>
  <sheetViews>
    <sheetView view="pageBreakPreview" topLeftCell="A3" zoomScale="90" zoomScaleNormal="70" zoomScaleSheetLayoutView="90" workbookViewId="0">
      <pane xSplit="2" ySplit="4" topLeftCell="G40" activePane="bottomRight" state="frozen"/>
      <selection activeCell="A3" sqref="A3"/>
      <selection pane="topRight" activeCell="D3" sqref="D3"/>
      <selection pane="bottomLeft" activeCell="A11" sqref="A11"/>
      <selection pane="bottomRight" activeCell="M41" sqref="M41"/>
    </sheetView>
  </sheetViews>
  <sheetFormatPr baseColWidth="10" defaultColWidth="9.140625" defaultRowHeight="12.75"/>
  <cols>
    <col min="1" max="1" width="11.85546875" style="369" customWidth="1"/>
    <col min="2" max="2" width="75.28515625" style="266" customWidth="1"/>
    <col min="3" max="3" width="9.140625" style="265" bestFit="1" customWidth="1"/>
    <col min="4" max="5" width="10.140625" style="265" bestFit="1" customWidth="1"/>
    <col min="6" max="6" width="10.5703125" style="265" customWidth="1"/>
    <col min="7" max="7" width="8.7109375" style="265" customWidth="1"/>
    <col min="8" max="8" width="10.140625" style="265" customWidth="1"/>
    <col min="9" max="9" width="10" style="265" customWidth="1"/>
    <col min="10" max="10" width="9.7109375" style="265" customWidth="1"/>
    <col min="11" max="11" width="10.28515625" style="265" customWidth="1"/>
    <col min="12" max="12" width="15.85546875" style="265" customWidth="1"/>
    <col min="13" max="26" width="15.5703125" style="265" customWidth="1"/>
    <col min="27" max="27" width="17" style="391" customWidth="1"/>
    <col min="28" max="92" width="9.140625" style="275"/>
    <col min="93" max="16384" width="9.140625" style="265"/>
  </cols>
  <sheetData>
    <row r="2" spans="1:92" s="365" customFormat="1" ht="23.25" customHeight="1">
      <c r="A2" s="367"/>
      <c r="B2" s="385"/>
      <c r="C2" s="367"/>
      <c r="D2" s="367"/>
      <c r="E2" s="367"/>
      <c r="F2" s="367"/>
      <c r="G2" s="367"/>
      <c r="H2" s="367"/>
      <c r="I2" s="367"/>
      <c r="J2" s="367"/>
      <c r="K2" s="367"/>
      <c r="L2" s="387"/>
      <c r="M2" s="634" t="s">
        <v>781</v>
      </c>
      <c r="N2" s="635"/>
      <c r="O2" s="635"/>
      <c r="P2" s="635"/>
      <c r="Q2" s="635"/>
      <c r="R2" s="635"/>
      <c r="S2" s="635"/>
      <c r="T2" s="635"/>
      <c r="U2" s="635"/>
      <c r="V2" s="635"/>
      <c r="W2" s="635"/>
      <c r="X2" s="635"/>
      <c r="Y2" s="635"/>
      <c r="Z2" s="635"/>
      <c r="AA2" s="393"/>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275"/>
      <c r="CA2" s="275"/>
      <c r="CB2" s="275"/>
      <c r="CC2" s="275"/>
      <c r="CD2" s="275"/>
      <c r="CE2" s="275"/>
      <c r="CF2" s="275"/>
      <c r="CG2" s="275"/>
      <c r="CH2" s="275"/>
      <c r="CI2" s="275"/>
      <c r="CJ2" s="275"/>
      <c r="CK2" s="275"/>
      <c r="CL2" s="275"/>
      <c r="CM2" s="275"/>
      <c r="CN2" s="275"/>
    </row>
    <row r="3" spans="1:92" s="275" customFormat="1" ht="23.25" customHeight="1">
      <c r="A3" s="367"/>
      <c r="B3" s="385"/>
      <c r="C3" s="367"/>
      <c r="D3" s="367"/>
      <c r="E3" s="367"/>
      <c r="F3" s="367"/>
      <c r="G3" s="367"/>
      <c r="H3" s="367"/>
      <c r="I3" s="367"/>
      <c r="J3" s="367"/>
      <c r="K3" s="367"/>
      <c r="L3" s="386"/>
      <c r="M3" s="386"/>
      <c r="N3" s="386"/>
      <c r="O3" s="386"/>
      <c r="P3" s="386"/>
      <c r="Q3" s="386"/>
      <c r="R3" s="386"/>
      <c r="S3" s="386"/>
      <c r="T3" s="386"/>
      <c r="U3" s="386"/>
      <c r="V3" s="386"/>
      <c r="W3" s="386"/>
      <c r="X3" s="386"/>
      <c r="Y3" s="386"/>
      <c r="Z3" s="386"/>
      <c r="AA3" s="386"/>
    </row>
    <row r="4" spans="1:92" s="275" customFormat="1" ht="23.25" customHeight="1">
      <c r="A4" s="367"/>
      <c r="B4" s="385"/>
      <c r="C4" s="367"/>
      <c r="D4" s="367"/>
      <c r="E4" s="367"/>
      <c r="F4" s="367"/>
      <c r="G4" s="367"/>
      <c r="H4" s="367"/>
      <c r="I4" s="367"/>
      <c r="J4" s="367"/>
      <c r="K4" s="367"/>
      <c r="L4" s="386"/>
      <c r="M4" s="386"/>
      <c r="N4" s="386"/>
      <c r="O4" s="386"/>
      <c r="P4" s="386"/>
      <c r="Q4" s="386"/>
      <c r="R4" s="386"/>
      <c r="S4" s="386"/>
      <c r="T4" s="386"/>
      <c r="U4" s="386"/>
      <c r="V4" s="386"/>
      <c r="W4" s="386"/>
      <c r="X4" s="386"/>
      <c r="Y4" s="386"/>
      <c r="Z4" s="386"/>
      <c r="AA4" s="386"/>
    </row>
    <row r="5" spans="1:92" s="275" customFormat="1" ht="23.25" customHeight="1">
      <c r="A5" s="367"/>
      <c r="B5" s="385"/>
      <c r="C5" s="367"/>
      <c r="D5" s="367"/>
      <c r="E5" s="367"/>
      <c r="F5" s="367"/>
      <c r="G5" s="367"/>
      <c r="H5" s="367"/>
      <c r="I5" s="367"/>
      <c r="J5" s="367"/>
      <c r="K5" s="367"/>
      <c r="L5" s="386"/>
      <c r="M5" s="386"/>
      <c r="N5" s="386"/>
      <c r="O5" s="386"/>
      <c r="P5" s="386"/>
      <c r="Q5" s="386"/>
      <c r="R5" s="386"/>
      <c r="S5" s="386"/>
      <c r="T5" s="386"/>
      <c r="U5" s="386"/>
      <c r="V5" s="386"/>
      <c r="W5" s="386"/>
      <c r="X5" s="386"/>
      <c r="Y5" s="386"/>
      <c r="Z5" s="386"/>
      <c r="AA5" s="386"/>
    </row>
    <row r="6" spans="1:92" s="366" customFormat="1" ht="35.25" customHeight="1" thickBot="1">
      <c r="A6" s="367"/>
      <c r="B6" s="270" t="s">
        <v>38</v>
      </c>
      <c r="C6" s="267" t="s">
        <v>516</v>
      </c>
      <c r="D6" s="267" t="s">
        <v>517</v>
      </c>
      <c r="E6" s="267" t="s">
        <v>518</v>
      </c>
      <c r="F6" s="267" t="s">
        <v>519</v>
      </c>
      <c r="G6" s="267" t="s">
        <v>520</v>
      </c>
      <c r="H6" s="267" t="s">
        <v>521</v>
      </c>
      <c r="I6" s="267" t="s">
        <v>522</v>
      </c>
      <c r="J6" s="267" t="s">
        <v>523</v>
      </c>
      <c r="K6" s="267" t="s">
        <v>524</v>
      </c>
      <c r="L6" s="394" t="s">
        <v>40</v>
      </c>
      <c r="M6" s="269" t="s">
        <v>956</v>
      </c>
      <c r="N6" s="269" t="s">
        <v>957</v>
      </c>
      <c r="O6" s="269" t="s">
        <v>960</v>
      </c>
      <c r="P6" s="269" t="s">
        <v>961</v>
      </c>
      <c r="Q6" s="269" t="s">
        <v>962</v>
      </c>
      <c r="R6" s="269" t="s">
        <v>963</v>
      </c>
      <c r="S6" s="269" t="s">
        <v>964</v>
      </c>
      <c r="T6" s="269" t="s">
        <v>965</v>
      </c>
      <c r="U6" s="269" t="s">
        <v>967</v>
      </c>
      <c r="V6" s="269" t="s">
        <v>966</v>
      </c>
      <c r="W6" s="269" t="s">
        <v>968</v>
      </c>
      <c r="X6" s="269" t="s">
        <v>969</v>
      </c>
      <c r="Y6" s="269" t="s">
        <v>958</v>
      </c>
      <c r="Z6" s="269" t="s">
        <v>959</v>
      </c>
      <c r="AA6" s="268"/>
      <c r="AB6" s="275"/>
      <c r="AC6" s="275"/>
      <c r="AD6" s="275"/>
      <c r="AE6" s="275"/>
      <c r="AF6" s="275"/>
      <c r="AG6" s="275"/>
      <c r="AH6" s="275"/>
      <c r="AI6" s="275"/>
      <c r="AJ6" s="275"/>
      <c r="AK6" s="275"/>
      <c r="AL6" s="275"/>
      <c r="AM6" s="275"/>
      <c r="AN6" s="275"/>
      <c r="AO6" s="275"/>
      <c r="AP6" s="275"/>
      <c r="AQ6" s="275"/>
      <c r="AR6" s="275"/>
      <c r="AS6" s="275"/>
      <c r="AT6" s="275"/>
      <c r="AU6" s="275"/>
      <c r="AV6" s="275"/>
      <c r="AW6" s="275"/>
      <c r="AX6" s="275"/>
      <c r="AY6" s="275"/>
      <c r="AZ6" s="275"/>
      <c r="BA6" s="275"/>
      <c r="BB6" s="275"/>
      <c r="BC6" s="275"/>
      <c r="BD6" s="275"/>
      <c r="BE6" s="275"/>
      <c r="BF6" s="275"/>
      <c r="BG6" s="275"/>
      <c r="BH6" s="275"/>
      <c r="BI6" s="275"/>
      <c r="BJ6" s="275"/>
      <c r="BK6" s="275"/>
      <c r="BL6" s="275"/>
      <c r="BM6" s="275"/>
      <c r="BN6" s="275"/>
      <c r="BO6" s="275"/>
      <c r="BP6" s="275"/>
      <c r="BQ6" s="275"/>
      <c r="BR6" s="275"/>
      <c r="BS6" s="275"/>
      <c r="BT6" s="275"/>
      <c r="BU6" s="275"/>
      <c r="BV6" s="275"/>
      <c r="BW6" s="275"/>
      <c r="BX6" s="275"/>
      <c r="BY6" s="275"/>
      <c r="BZ6" s="275"/>
      <c r="CA6" s="275"/>
      <c r="CB6" s="275"/>
      <c r="CC6" s="275"/>
      <c r="CD6" s="275"/>
      <c r="CE6" s="275"/>
      <c r="CF6" s="275"/>
      <c r="CG6" s="275"/>
      <c r="CH6" s="275"/>
      <c r="CI6" s="275"/>
      <c r="CJ6" s="275"/>
      <c r="CK6" s="275"/>
      <c r="CL6" s="275"/>
      <c r="CM6" s="275"/>
      <c r="CN6" s="275"/>
    </row>
    <row r="7" spans="1:92" ht="15" customHeight="1">
      <c r="A7" s="636" t="s">
        <v>44</v>
      </c>
      <c r="B7" s="392" t="s">
        <v>685</v>
      </c>
      <c r="C7" s="372">
        <f>+_xlfn.XLOOKUP($B7,'FASE 1   '!$C$421:$V$421,'FASE 1   '!$C$423:$V$423)</f>
        <v>0.58333333333333337</v>
      </c>
      <c r="D7" s="264">
        <f>+_xlfn.XLOOKUP($B7,'FASE 1   '!$C$421:$V$421,'FASE 1   '!$C$424:$V$424)</f>
        <v>0.97674418604651159</v>
      </c>
      <c r="E7" s="264">
        <f>+_xlfn.XLOOKUP($B7,'FASE 1   '!$C$421:$V$421,'FASE 1   '!$C$425:$V$425)</f>
        <v>0.47727272727272729</v>
      </c>
      <c r="F7" s="264">
        <f>+_xlfn.XLOOKUP($B7,'FASE 1   '!$C$421:$V$421,'FASE 1   '!$C$426:$V$426)</f>
        <v>0</v>
      </c>
      <c r="G7" s="264">
        <f>+_xlfn.XLOOKUP($B7,'FASE 1   '!$C$421:$V$421,'FASE 1   '!$C$427:$V$427)</f>
        <v>0</v>
      </c>
      <c r="H7" s="264">
        <f>+_xlfn.XLOOKUP($B7,'FASE 1   '!$C$421:$V$421,'FASE 1   '!$C$428:$V$428)</f>
        <v>0</v>
      </c>
      <c r="I7" s="264">
        <f>+_xlfn.XLOOKUP($B7,'FASE 1   '!$C$421:$V$421,'FASE 1   '!$C$429:$V$429)</f>
        <v>0</v>
      </c>
      <c r="J7" s="264">
        <f>+_xlfn.XLOOKUP($B7,'FASE 1   '!$C$421:$V$421,'FASE 1   '!$C$430:$V$430)</f>
        <v>0</v>
      </c>
      <c r="K7" s="264">
        <f>+_xlfn.XLOOKUP($B7,'FASE 1   '!$C$421:$V$421,'FASE 1   '!$C$431:$V$431)</f>
        <v>0</v>
      </c>
      <c r="L7" s="273">
        <f t="shared" ref="L7:L26" si="0">+AVERAGE(C7:K7)</f>
        <v>0.22637224962806357</v>
      </c>
      <c r="M7" s="273">
        <f>C7</f>
        <v>0.58333333333333337</v>
      </c>
      <c r="N7" s="273">
        <f>D7</f>
        <v>0.97674418604651159</v>
      </c>
      <c r="O7" s="273">
        <f t="shared" ref="O7:U7" si="1">E7</f>
        <v>0.47727272727272729</v>
      </c>
      <c r="P7" s="273">
        <f t="shared" si="1"/>
        <v>0</v>
      </c>
      <c r="Q7" s="273">
        <f t="shared" si="1"/>
        <v>0</v>
      </c>
      <c r="R7" s="273">
        <f t="shared" si="1"/>
        <v>0</v>
      </c>
      <c r="S7" s="273">
        <f t="shared" si="1"/>
        <v>0</v>
      </c>
      <c r="T7" s="273">
        <f t="shared" si="1"/>
        <v>0</v>
      </c>
      <c r="U7" s="273">
        <f t="shared" si="1"/>
        <v>0</v>
      </c>
      <c r="V7" s="271"/>
      <c r="W7" s="271"/>
      <c r="X7" s="271"/>
      <c r="Y7" s="271"/>
      <c r="Z7" s="271"/>
      <c r="AA7" s="389"/>
    </row>
    <row r="8" spans="1:92" ht="15" customHeight="1">
      <c r="A8" s="637"/>
      <c r="B8" s="377" t="s">
        <v>686</v>
      </c>
      <c r="C8" s="372">
        <f>+_xlfn.XLOOKUP($B8,'FASE 1   '!$C$421:$V$421,'FASE 1   '!$C$423:$V$423)</f>
        <v>0.58333333333333337</v>
      </c>
      <c r="D8" s="264">
        <f>+_xlfn.XLOOKUP($B8,'FASE 1   '!$C$421:$V$421,'FASE 1   '!$C$424:$V$424)</f>
        <v>0.95348837209302328</v>
      </c>
      <c r="E8" s="264">
        <f>+_xlfn.XLOOKUP($B8,'FASE 1   '!$C$421:$V$421,'FASE 1   '!$C$425:$V$425)</f>
        <v>0.18181818181818182</v>
      </c>
      <c r="F8" s="264">
        <f>+_xlfn.XLOOKUP($B8,'FASE 1   '!$C$421:$V$421,'FASE 1   '!$C$426:$V$426)</f>
        <v>0</v>
      </c>
      <c r="G8" s="264">
        <f>+_xlfn.XLOOKUP($B8,'FASE 1   '!$C$421:$V$421,'FASE 1   '!$C$427:$V$427)</f>
        <v>0</v>
      </c>
      <c r="H8" s="264">
        <f>+_xlfn.XLOOKUP($B8,'FASE 1   '!$C$421:$V$421,'FASE 1   '!$C$428:$V$428)</f>
        <v>0</v>
      </c>
      <c r="I8" s="264">
        <f>+_xlfn.XLOOKUP($B8,'FASE 1   '!$C$421:$V$421,'FASE 1   '!$C$429:$V$429)</f>
        <v>0</v>
      </c>
      <c r="J8" s="264">
        <f>+_xlfn.XLOOKUP($B8,'FASE 1   '!$C$421:$V$421,'FASE 1   '!$C$430:$V$430)</f>
        <v>0</v>
      </c>
      <c r="K8" s="264">
        <f>+_xlfn.XLOOKUP($B8,'FASE 1   '!$C$421:$V$421,'FASE 1   '!$C$431:$V$431)</f>
        <v>0</v>
      </c>
      <c r="L8" s="273">
        <f t="shared" si="0"/>
        <v>0.19095998747161538</v>
      </c>
      <c r="M8" s="273">
        <f t="shared" ref="M8:M26" si="2">C8</f>
        <v>0.58333333333333337</v>
      </c>
      <c r="N8" s="273">
        <f t="shared" ref="N8:N26" si="3">D8</f>
        <v>0.95348837209302328</v>
      </c>
      <c r="O8" s="273">
        <f t="shared" ref="O8:O26" si="4">E8</f>
        <v>0.18181818181818182</v>
      </c>
      <c r="P8" s="273">
        <f t="shared" ref="P8:P26" si="5">F8</f>
        <v>0</v>
      </c>
      <c r="Q8" s="273">
        <f t="shared" ref="Q8:Q26" si="6">G8</f>
        <v>0</v>
      </c>
      <c r="R8" s="273">
        <f t="shared" ref="R8:R26" si="7">H8</f>
        <v>0</v>
      </c>
      <c r="S8" s="273">
        <f t="shared" ref="S8:S26" si="8">I8</f>
        <v>0</v>
      </c>
      <c r="T8" s="273">
        <f t="shared" ref="T8:T26" si="9">J8</f>
        <v>0</v>
      </c>
      <c r="U8" s="273">
        <f t="shared" ref="U8:U26" si="10">K8</f>
        <v>0</v>
      </c>
      <c r="V8" s="271"/>
      <c r="W8" s="271"/>
      <c r="X8" s="271"/>
      <c r="Y8" s="271"/>
      <c r="Z8" s="271"/>
      <c r="AA8" s="389"/>
    </row>
    <row r="9" spans="1:92" ht="15" customHeight="1">
      <c r="A9" s="637"/>
      <c r="B9" s="377" t="s">
        <v>687</v>
      </c>
      <c r="C9" s="372">
        <f>+_xlfn.XLOOKUP($B9,'FASE 1   '!$C$421:$V$421,'FASE 1   '!$C$423:$V$423)</f>
        <v>0.58333333333333337</v>
      </c>
      <c r="D9" s="264">
        <f>+_xlfn.XLOOKUP($B9,'FASE 1   '!$C$421:$V$421,'FASE 1   '!$C$424:$V$424)</f>
        <v>0.26511627906976726</v>
      </c>
      <c r="E9" s="264">
        <f>+_xlfn.XLOOKUP($B9,'FASE 1   '!$C$421:$V$421,'FASE 1   '!$C$425:$V$425)</f>
        <v>0.18181818181818182</v>
      </c>
      <c r="F9" s="264">
        <f>+_xlfn.XLOOKUP($B9,'FASE 1   '!$C$421:$V$421,'FASE 1   '!$C$426:$V$426)</f>
        <v>0</v>
      </c>
      <c r="G9" s="264">
        <f>+_xlfn.XLOOKUP($B9,'FASE 1   '!$C$421:$V$421,'FASE 1   '!$C$427:$V$427)</f>
        <v>0</v>
      </c>
      <c r="H9" s="264">
        <f>+_xlfn.XLOOKUP($B9,'FASE 1   '!$C$421:$V$421,'FASE 1   '!$C$428:$V$428)</f>
        <v>0</v>
      </c>
      <c r="I9" s="264">
        <f>+_xlfn.XLOOKUP($B9,'FASE 1   '!$C$421:$V$421,'FASE 1   '!$C$429:$V$429)</f>
        <v>0</v>
      </c>
      <c r="J9" s="264">
        <f>+_xlfn.XLOOKUP($B9,'FASE 1   '!$C$421:$V$421,'FASE 1   '!$C$430:$V$430)</f>
        <v>0</v>
      </c>
      <c r="K9" s="264">
        <f>+_xlfn.XLOOKUP($B9,'FASE 1   '!$C$421:$V$421,'FASE 1   '!$C$431:$V$431)</f>
        <v>0</v>
      </c>
      <c r="L9" s="273">
        <f t="shared" si="0"/>
        <v>0.11447419935792029</v>
      </c>
      <c r="M9" s="273">
        <f t="shared" si="2"/>
        <v>0.58333333333333337</v>
      </c>
      <c r="N9" s="273">
        <f t="shared" si="3"/>
        <v>0.26511627906976726</v>
      </c>
      <c r="O9" s="273">
        <f t="shared" si="4"/>
        <v>0.18181818181818182</v>
      </c>
      <c r="P9" s="273">
        <f t="shared" si="5"/>
        <v>0</v>
      </c>
      <c r="Q9" s="273">
        <f t="shared" si="6"/>
        <v>0</v>
      </c>
      <c r="R9" s="273">
        <f t="shared" si="7"/>
        <v>0</v>
      </c>
      <c r="S9" s="273">
        <f t="shared" si="8"/>
        <v>0</v>
      </c>
      <c r="T9" s="273">
        <f t="shared" si="9"/>
        <v>0</v>
      </c>
      <c r="U9" s="273">
        <f t="shared" si="10"/>
        <v>0</v>
      </c>
      <c r="V9" s="271"/>
      <c r="W9" s="271"/>
      <c r="X9" s="271"/>
      <c r="Y9" s="271"/>
      <c r="Z9" s="271"/>
      <c r="AA9" s="389"/>
    </row>
    <row r="10" spans="1:92" ht="15" customHeight="1">
      <c r="A10" s="637"/>
      <c r="B10" s="377" t="s">
        <v>688</v>
      </c>
      <c r="C10" s="372">
        <f>+_xlfn.XLOOKUP($B10,'FASE 1   '!$C$421:$V$421,'FASE 1   '!$C$423:$V$423)</f>
        <v>0.3833333333333333</v>
      </c>
      <c r="D10" s="264">
        <f>+_xlfn.XLOOKUP($B10,'FASE 1   '!$C$421:$V$421,'FASE 1   '!$C$424:$V$424)</f>
        <v>0.29767441860465116</v>
      </c>
      <c r="E10" s="264">
        <f>+_xlfn.XLOOKUP($B10,'FASE 1   '!$C$421:$V$421,'FASE 1   '!$C$425:$V$425)</f>
        <v>0.18181818181818182</v>
      </c>
      <c r="F10" s="264">
        <f>+_xlfn.XLOOKUP($B10,'FASE 1   '!$C$421:$V$421,'FASE 1   '!$C$426:$V$426)</f>
        <v>0</v>
      </c>
      <c r="G10" s="264">
        <f>+_xlfn.XLOOKUP($B10,'FASE 1   '!$C$421:$V$421,'FASE 1   '!$C$427:$V$427)</f>
        <v>0</v>
      </c>
      <c r="H10" s="264">
        <f>+_xlfn.XLOOKUP($B10,'FASE 1   '!$C$421:$V$421,'FASE 1   '!$C$428:$V$428)</f>
        <v>0</v>
      </c>
      <c r="I10" s="264">
        <f>+_xlfn.XLOOKUP($B10,'FASE 1   '!$C$421:$V$421,'FASE 1   '!$C$429:$V$429)</f>
        <v>0</v>
      </c>
      <c r="J10" s="264">
        <f>+_xlfn.XLOOKUP($B10,'FASE 1   '!$C$421:$V$421,'FASE 1   '!$C$430:$V$430)</f>
        <v>0</v>
      </c>
      <c r="K10" s="264">
        <f>+_xlfn.XLOOKUP($B10,'FASE 1   '!$C$421:$V$421,'FASE 1   '!$C$431:$V$431)</f>
        <v>0</v>
      </c>
      <c r="L10" s="273">
        <f t="shared" si="0"/>
        <v>9.5869548195129592E-2</v>
      </c>
      <c r="M10" s="273">
        <f t="shared" si="2"/>
        <v>0.3833333333333333</v>
      </c>
      <c r="N10" s="273">
        <f t="shared" si="3"/>
        <v>0.29767441860465116</v>
      </c>
      <c r="O10" s="273">
        <f t="shared" si="4"/>
        <v>0.18181818181818182</v>
      </c>
      <c r="P10" s="273">
        <f t="shared" si="5"/>
        <v>0</v>
      </c>
      <c r="Q10" s="273">
        <f t="shared" si="6"/>
        <v>0</v>
      </c>
      <c r="R10" s="273">
        <f t="shared" si="7"/>
        <v>0</v>
      </c>
      <c r="S10" s="273">
        <f t="shared" si="8"/>
        <v>0</v>
      </c>
      <c r="T10" s="273">
        <f t="shared" si="9"/>
        <v>0</v>
      </c>
      <c r="U10" s="273">
        <f t="shared" si="10"/>
        <v>0</v>
      </c>
      <c r="V10" s="271"/>
      <c r="W10" s="271"/>
      <c r="X10" s="271"/>
      <c r="Y10" s="271"/>
      <c r="Z10" s="271"/>
      <c r="AA10" s="389"/>
    </row>
    <row r="11" spans="1:92" ht="15" customHeight="1">
      <c r="A11" s="637"/>
      <c r="B11" s="377" t="s">
        <v>689</v>
      </c>
      <c r="C11" s="372">
        <f>+_xlfn.XLOOKUP($B11,'FASE 1   '!$C$421:$V$421,'FASE 1   '!$C$423:$V$423)</f>
        <v>0.58333333333333337</v>
      </c>
      <c r="D11" s="264">
        <f>+_xlfn.XLOOKUP($B11,'FASE 1   '!$C$421:$V$421,'FASE 1   '!$C$424:$V$424)</f>
        <v>0.46511627906976744</v>
      </c>
      <c r="E11" s="264">
        <f>+_xlfn.XLOOKUP($B11,'FASE 1   '!$C$421:$V$421,'FASE 1   '!$C$425:$V$425)</f>
        <v>0</v>
      </c>
      <c r="F11" s="264">
        <f>+_xlfn.XLOOKUP($B11,'FASE 1   '!$C$421:$V$421,'FASE 1   '!$C$426:$V$426)</f>
        <v>0</v>
      </c>
      <c r="G11" s="264">
        <f>+_xlfn.XLOOKUP($B11,'FASE 1   '!$C$421:$V$421,'FASE 1   '!$C$427:$V$427)</f>
        <v>0</v>
      </c>
      <c r="H11" s="264">
        <f>+_xlfn.XLOOKUP($B11,'FASE 1   '!$C$421:$V$421,'FASE 1   '!$C$428:$V$428)</f>
        <v>0</v>
      </c>
      <c r="I11" s="264">
        <f>+_xlfn.XLOOKUP($B11,'FASE 1   '!$C$421:$V$421,'FASE 1   '!$C$429:$V$429)</f>
        <v>0</v>
      </c>
      <c r="J11" s="264">
        <f>+_xlfn.XLOOKUP($B11,'FASE 1   '!$C$421:$V$421,'FASE 1   '!$C$430:$V$430)</f>
        <v>0</v>
      </c>
      <c r="K11" s="264">
        <f>+_xlfn.XLOOKUP($B11,'FASE 1   '!$C$421:$V$421,'FASE 1   '!$C$431:$V$431)</f>
        <v>0</v>
      </c>
      <c r="L11" s="273">
        <f t="shared" si="0"/>
        <v>0.11649440137812232</v>
      </c>
      <c r="M11" s="273">
        <f t="shared" si="2"/>
        <v>0.58333333333333337</v>
      </c>
      <c r="N11" s="273">
        <f t="shared" si="3"/>
        <v>0.46511627906976744</v>
      </c>
      <c r="O11" s="273">
        <f t="shared" si="4"/>
        <v>0</v>
      </c>
      <c r="P11" s="273">
        <f t="shared" si="5"/>
        <v>0</v>
      </c>
      <c r="Q11" s="273">
        <f t="shared" si="6"/>
        <v>0</v>
      </c>
      <c r="R11" s="273">
        <f t="shared" si="7"/>
        <v>0</v>
      </c>
      <c r="S11" s="273">
        <f t="shared" si="8"/>
        <v>0</v>
      </c>
      <c r="T11" s="273">
        <f t="shared" si="9"/>
        <v>0</v>
      </c>
      <c r="U11" s="273">
        <f t="shared" si="10"/>
        <v>0</v>
      </c>
      <c r="V11" s="271"/>
      <c r="W11" s="271"/>
      <c r="X11" s="271"/>
      <c r="Y11" s="271"/>
      <c r="Z11" s="271"/>
      <c r="AA11" s="389"/>
    </row>
    <row r="12" spans="1:92" ht="15" customHeight="1">
      <c r="A12" s="637"/>
      <c r="B12" s="377" t="s">
        <v>691</v>
      </c>
      <c r="C12" s="372">
        <f>+_xlfn.XLOOKUP($B12,'FASE 1   '!$C$421:$V$421,'FASE 1   '!$C$423:$V$423)</f>
        <v>0.57500000000000007</v>
      </c>
      <c r="D12" s="264">
        <f>+_xlfn.XLOOKUP($B12,'FASE 1   '!$C$421:$V$421,'FASE 1   '!$C$424:$V$424)</f>
        <v>0.1988372093023256</v>
      </c>
      <c r="E12" s="264">
        <f>+_xlfn.XLOOKUP($B12,'FASE 1   '!$C$421:$V$421,'FASE 1   '!$C$425:$V$425)</f>
        <v>0</v>
      </c>
      <c r="F12" s="264">
        <f>+_xlfn.XLOOKUP($B12,'FASE 1   '!$C$421:$V$421,'FASE 1   '!$C$426:$V$426)</f>
        <v>0</v>
      </c>
      <c r="G12" s="264">
        <f>+_xlfn.XLOOKUP($B12,'FASE 1   '!$C$421:$V$421,'FASE 1   '!$C$427:$V$427)</f>
        <v>0</v>
      </c>
      <c r="H12" s="264">
        <f>+_xlfn.XLOOKUP($B12,'FASE 1   '!$C$421:$V$421,'FASE 1   '!$C$428:$V$428)</f>
        <v>0</v>
      </c>
      <c r="I12" s="264">
        <f>+_xlfn.XLOOKUP($B12,'FASE 1   '!$C$421:$V$421,'FASE 1   '!$C$429:$V$429)</f>
        <v>0</v>
      </c>
      <c r="J12" s="264">
        <f>+_xlfn.XLOOKUP($B12,'FASE 1   '!$C$421:$V$421,'FASE 1   '!$C$430:$V$430)</f>
        <v>0</v>
      </c>
      <c r="K12" s="264">
        <f>+_xlfn.XLOOKUP($B12,'FASE 1   '!$C$421:$V$421,'FASE 1   '!$C$431:$V$431)</f>
        <v>0</v>
      </c>
      <c r="L12" s="273">
        <f t="shared" si="0"/>
        <v>8.5981912144702854E-2</v>
      </c>
      <c r="M12" s="273">
        <f t="shared" si="2"/>
        <v>0.57500000000000007</v>
      </c>
      <c r="N12" s="273">
        <f t="shared" si="3"/>
        <v>0.1988372093023256</v>
      </c>
      <c r="O12" s="273">
        <f t="shared" si="4"/>
        <v>0</v>
      </c>
      <c r="P12" s="273">
        <f t="shared" si="5"/>
        <v>0</v>
      </c>
      <c r="Q12" s="273">
        <f t="shared" si="6"/>
        <v>0</v>
      </c>
      <c r="R12" s="273">
        <f t="shared" si="7"/>
        <v>0</v>
      </c>
      <c r="S12" s="273">
        <f t="shared" si="8"/>
        <v>0</v>
      </c>
      <c r="T12" s="273">
        <f t="shared" si="9"/>
        <v>0</v>
      </c>
      <c r="U12" s="273">
        <f t="shared" si="10"/>
        <v>0</v>
      </c>
      <c r="V12" s="271"/>
      <c r="W12" s="271"/>
      <c r="X12" s="271"/>
      <c r="Y12" s="271"/>
      <c r="Z12" s="271"/>
      <c r="AA12" s="389"/>
    </row>
    <row r="13" spans="1:92" ht="15" customHeight="1">
      <c r="A13" s="637"/>
      <c r="B13" s="377" t="s">
        <v>774</v>
      </c>
      <c r="C13" s="372">
        <f>+_xlfn.XLOOKUP($B13,'FASE 1   '!$C$421:$V$421,'FASE 1   '!$C$423:$V$423)</f>
        <v>0.52083333333333337</v>
      </c>
      <c r="D13" s="264">
        <f>+_xlfn.XLOOKUP($B13,'FASE 1   '!$C$421:$V$421,'FASE 1   '!$C$424:$V$424)</f>
        <v>0.48837209302325579</v>
      </c>
      <c r="E13" s="264">
        <f>+_xlfn.XLOOKUP($B13,'FASE 1   '!$C$421:$V$421,'FASE 1   '!$C$425:$V$425)</f>
        <v>0.12272727272727274</v>
      </c>
      <c r="F13" s="264">
        <f>+_xlfn.XLOOKUP($B13,'FASE 1   '!$C$421:$V$421,'FASE 1   '!$C$426:$V$426)</f>
        <v>0</v>
      </c>
      <c r="G13" s="264">
        <f>+_xlfn.XLOOKUP($B13,'FASE 1   '!$C$421:$V$421,'FASE 1   '!$C$427:$V$427)</f>
        <v>0</v>
      </c>
      <c r="H13" s="264">
        <f>+_xlfn.XLOOKUP($B13,'FASE 1   '!$C$421:$V$421,'FASE 1   '!$C$428:$V$428)</f>
        <v>0</v>
      </c>
      <c r="I13" s="264">
        <f>+_xlfn.XLOOKUP($B13,'FASE 1   '!$C$421:$V$421,'FASE 1   '!$C$429:$V$429)</f>
        <v>0</v>
      </c>
      <c r="J13" s="264">
        <f>+_xlfn.XLOOKUP($B13,'FASE 1   '!$C$421:$V$421,'FASE 1   '!$C$430:$V$430)</f>
        <v>0</v>
      </c>
      <c r="K13" s="264">
        <f>+_xlfn.XLOOKUP($B13,'FASE 1   '!$C$421:$V$421,'FASE 1   '!$C$431:$V$431)</f>
        <v>0</v>
      </c>
      <c r="L13" s="273">
        <f t="shared" si="0"/>
        <v>0.1257702998982069</v>
      </c>
      <c r="M13" s="273">
        <f t="shared" si="2"/>
        <v>0.52083333333333337</v>
      </c>
      <c r="N13" s="273">
        <f t="shared" si="3"/>
        <v>0.48837209302325579</v>
      </c>
      <c r="O13" s="273">
        <f t="shared" si="4"/>
        <v>0.12272727272727274</v>
      </c>
      <c r="P13" s="273">
        <f t="shared" si="5"/>
        <v>0</v>
      </c>
      <c r="Q13" s="273">
        <f t="shared" si="6"/>
        <v>0</v>
      </c>
      <c r="R13" s="273">
        <f t="shared" si="7"/>
        <v>0</v>
      </c>
      <c r="S13" s="273">
        <f t="shared" si="8"/>
        <v>0</v>
      </c>
      <c r="T13" s="273">
        <f t="shared" si="9"/>
        <v>0</v>
      </c>
      <c r="U13" s="273">
        <f t="shared" si="10"/>
        <v>0</v>
      </c>
      <c r="V13" s="271"/>
      <c r="W13" s="271"/>
      <c r="X13" s="271"/>
      <c r="Y13" s="271"/>
      <c r="Z13" s="271"/>
      <c r="AA13" s="389"/>
    </row>
    <row r="14" spans="1:92" ht="15" customHeight="1">
      <c r="A14" s="637"/>
      <c r="B14" s="377" t="s">
        <v>693</v>
      </c>
      <c r="C14" s="372">
        <f>+_xlfn.XLOOKUP($B14,'FASE 1   '!$C$421:$V$421,'FASE 1   '!$C$423:$V$423)</f>
        <v>0.58333333333333337</v>
      </c>
      <c r="D14" s="264">
        <f>+_xlfn.XLOOKUP($B14,'FASE 1   '!$C$421:$V$421,'FASE 1   '!$C$424:$V$424)</f>
        <v>0.45348837209302323</v>
      </c>
      <c r="E14" s="264">
        <f>+_xlfn.XLOOKUP($B14,'FASE 1   '!$C$421:$V$421,'FASE 1   '!$C$425:$V$425)</f>
        <v>0.18181818181818182</v>
      </c>
      <c r="F14" s="264">
        <f>+_xlfn.XLOOKUP($B14,'FASE 1   '!$C$421:$V$421,'FASE 1   '!$C$426:$V$426)</f>
        <v>0</v>
      </c>
      <c r="G14" s="264">
        <f>+_xlfn.XLOOKUP($B14,'FASE 1   '!$C$421:$V$421,'FASE 1   '!$C$427:$V$427)</f>
        <v>0</v>
      </c>
      <c r="H14" s="264">
        <f>+_xlfn.XLOOKUP($B14,'FASE 1   '!$C$421:$V$421,'FASE 1   '!$C$428:$V$428)</f>
        <v>0</v>
      </c>
      <c r="I14" s="264">
        <f>+_xlfn.XLOOKUP($B14,'FASE 1   '!$C$421:$V$421,'FASE 1   '!$C$429:$V$429)</f>
        <v>0</v>
      </c>
      <c r="J14" s="264">
        <f>+_xlfn.XLOOKUP($B14,'FASE 1   '!$C$421:$V$421,'FASE 1   '!$C$430:$V$430)</f>
        <v>0</v>
      </c>
      <c r="K14" s="264">
        <f>+_xlfn.XLOOKUP($B14,'FASE 1   '!$C$421:$V$421,'FASE 1   '!$C$431:$V$431)</f>
        <v>0</v>
      </c>
      <c r="L14" s="273">
        <f t="shared" si="0"/>
        <v>0.13540443191605983</v>
      </c>
      <c r="M14" s="273">
        <f t="shared" si="2"/>
        <v>0.58333333333333337</v>
      </c>
      <c r="N14" s="273">
        <f t="shared" si="3"/>
        <v>0.45348837209302323</v>
      </c>
      <c r="O14" s="273">
        <f t="shared" si="4"/>
        <v>0.18181818181818182</v>
      </c>
      <c r="P14" s="273">
        <f t="shared" si="5"/>
        <v>0</v>
      </c>
      <c r="Q14" s="273">
        <f t="shared" si="6"/>
        <v>0</v>
      </c>
      <c r="R14" s="273">
        <f t="shared" si="7"/>
        <v>0</v>
      </c>
      <c r="S14" s="273">
        <f t="shared" si="8"/>
        <v>0</v>
      </c>
      <c r="T14" s="273">
        <f t="shared" si="9"/>
        <v>0</v>
      </c>
      <c r="U14" s="273">
        <f t="shared" si="10"/>
        <v>0</v>
      </c>
      <c r="V14" s="271"/>
      <c r="W14" s="271"/>
      <c r="X14" s="271"/>
      <c r="Y14" s="271"/>
      <c r="Z14" s="271"/>
      <c r="AA14" s="389"/>
    </row>
    <row r="15" spans="1:92" ht="15" customHeight="1">
      <c r="A15" s="637"/>
      <c r="B15" s="377" t="s">
        <v>694</v>
      </c>
      <c r="C15" s="372">
        <f>+_xlfn.XLOOKUP($B15,'FASE 1   '!$C$421:$V$421,'FASE 1   '!$C$423:$V$423)</f>
        <v>0.58333333333333337</v>
      </c>
      <c r="D15" s="264">
        <f>+_xlfn.XLOOKUP($B15,'FASE 1   '!$C$421:$V$421,'FASE 1   '!$C$424:$V$424)</f>
        <v>0.18604651162790697</v>
      </c>
      <c r="E15" s="264">
        <f>+_xlfn.XLOOKUP($B15,'FASE 1   '!$C$421:$V$421,'FASE 1   '!$C$425:$V$425)</f>
        <v>0</v>
      </c>
      <c r="F15" s="264">
        <f>+_xlfn.XLOOKUP($B15,'FASE 1   '!$C$421:$V$421,'FASE 1   '!$C$426:$V$426)</f>
        <v>0</v>
      </c>
      <c r="G15" s="264">
        <f>+_xlfn.XLOOKUP($B15,'FASE 1   '!$C$421:$V$421,'FASE 1   '!$C$427:$V$427)</f>
        <v>0</v>
      </c>
      <c r="H15" s="264">
        <f>+_xlfn.XLOOKUP($B15,'FASE 1   '!$C$421:$V$421,'FASE 1   '!$C$428:$V$428)</f>
        <v>0</v>
      </c>
      <c r="I15" s="264">
        <f>+_xlfn.XLOOKUP($B15,'FASE 1   '!$C$421:$V$421,'FASE 1   '!$C$429:$V$429)</f>
        <v>0</v>
      </c>
      <c r="J15" s="264">
        <f>+_xlfn.XLOOKUP($B15,'FASE 1   '!$C$421:$V$421,'FASE 1   '!$C$430:$V$430)</f>
        <v>0</v>
      </c>
      <c r="K15" s="264">
        <f>+_xlfn.XLOOKUP($B15,'FASE 1   '!$C$421:$V$421,'FASE 1   '!$C$431:$V$431)</f>
        <v>0</v>
      </c>
      <c r="L15" s="273">
        <f t="shared" si="0"/>
        <v>8.5486649440137813E-2</v>
      </c>
      <c r="M15" s="273">
        <f t="shared" si="2"/>
        <v>0.58333333333333337</v>
      </c>
      <c r="N15" s="273">
        <f t="shared" si="3"/>
        <v>0.18604651162790697</v>
      </c>
      <c r="O15" s="273">
        <f t="shared" si="4"/>
        <v>0</v>
      </c>
      <c r="P15" s="273">
        <f t="shared" si="5"/>
        <v>0</v>
      </c>
      <c r="Q15" s="273">
        <f t="shared" si="6"/>
        <v>0</v>
      </c>
      <c r="R15" s="273">
        <f t="shared" si="7"/>
        <v>0</v>
      </c>
      <c r="S15" s="273">
        <f t="shared" si="8"/>
        <v>0</v>
      </c>
      <c r="T15" s="273">
        <f t="shared" si="9"/>
        <v>0</v>
      </c>
      <c r="U15" s="273">
        <f t="shared" si="10"/>
        <v>0</v>
      </c>
      <c r="V15" s="271"/>
      <c r="W15" s="271"/>
      <c r="X15" s="271"/>
      <c r="Y15" s="271"/>
      <c r="Z15" s="271"/>
      <c r="AA15" s="389"/>
    </row>
    <row r="16" spans="1:92" ht="15" customHeight="1">
      <c r="A16" s="637"/>
      <c r="B16" s="377" t="s">
        <v>695</v>
      </c>
      <c r="C16" s="372">
        <f>+_xlfn.XLOOKUP($B16,'FASE 1   '!$C$421:$V$421,'FASE 1   '!$C$423:$V$423)</f>
        <v>0.31666666666666671</v>
      </c>
      <c r="D16" s="264">
        <f>+_xlfn.XLOOKUP($B16,'FASE 1   '!$C$421:$V$421,'FASE 1   '!$C$424:$V$424)</f>
        <v>0</v>
      </c>
      <c r="E16" s="264">
        <f>+_xlfn.XLOOKUP($B16,'FASE 1   '!$C$421:$V$421,'FASE 1   '!$C$425:$V$425)</f>
        <v>0</v>
      </c>
      <c r="F16" s="264">
        <f>+_xlfn.XLOOKUP($B16,'FASE 1   '!$C$421:$V$421,'FASE 1   '!$C$426:$V$426)</f>
        <v>0</v>
      </c>
      <c r="G16" s="264">
        <f>+_xlfn.XLOOKUP($B16,'FASE 1   '!$C$421:$V$421,'FASE 1   '!$C$427:$V$427)</f>
        <v>0</v>
      </c>
      <c r="H16" s="264">
        <f>+_xlfn.XLOOKUP($B16,'FASE 1   '!$C$421:$V$421,'FASE 1   '!$C$428:$V$428)</f>
        <v>0</v>
      </c>
      <c r="I16" s="264">
        <f>+_xlfn.XLOOKUP($B16,'FASE 1   '!$C$421:$V$421,'FASE 1   '!$C$429:$V$429)</f>
        <v>0</v>
      </c>
      <c r="J16" s="264">
        <f>+_xlfn.XLOOKUP($B16,'FASE 1   '!$C$421:$V$421,'FASE 1   '!$C$430:$V$430)</f>
        <v>0</v>
      </c>
      <c r="K16" s="264">
        <f>+_xlfn.XLOOKUP($B16,'FASE 1   '!$C$421:$V$421,'FASE 1   '!$C$431:$V$431)</f>
        <v>0</v>
      </c>
      <c r="L16" s="273">
        <f t="shared" si="0"/>
        <v>3.5185185185185187E-2</v>
      </c>
      <c r="M16" s="273">
        <f t="shared" si="2"/>
        <v>0.31666666666666671</v>
      </c>
      <c r="N16" s="273">
        <f t="shared" si="3"/>
        <v>0</v>
      </c>
      <c r="O16" s="273">
        <f t="shared" si="4"/>
        <v>0</v>
      </c>
      <c r="P16" s="273">
        <f t="shared" si="5"/>
        <v>0</v>
      </c>
      <c r="Q16" s="273">
        <f t="shared" si="6"/>
        <v>0</v>
      </c>
      <c r="R16" s="273">
        <f t="shared" si="7"/>
        <v>0</v>
      </c>
      <c r="S16" s="273">
        <f t="shared" si="8"/>
        <v>0</v>
      </c>
      <c r="T16" s="273">
        <f t="shared" si="9"/>
        <v>0</v>
      </c>
      <c r="U16" s="273">
        <f t="shared" si="10"/>
        <v>0</v>
      </c>
      <c r="V16" s="271"/>
      <c r="W16" s="271"/>
      <c r="X16" s="271"/>
      <c r="Y16" s="271"/>
      <c r="Z16" s="271"/>
      <c r="AA16" s="389"/>
    </row>
    <row r="17" spans="1:92" ht="15" customHeight="1">
      <c r="A17" s="637"/>
      <c r="B17" s="377" t="s">
        <v>954</v>
      </c>
      <c r="C17" s="372">
        <f>+_xlfn.XLOOKUP($B17,'FASE 1   '!$C$421:$V$421,'FASE 1   '!$C$423:$V$423)</f>
        <v>0.20833333333333334</v>
      </c>
      <c r="D17" s="264">
        <f>+_xlfn.XLOOKUP($B17,'FASE 1   '!$C$421:$V$421,'FASE 1   '!$C$424:$V$424)</f>
        <v>0</v>
      </c>
      <c r="E17" s="264">
        <f>+_xlfn.XLOOKUP($B17,'FASE 1   '!$C$421:$V$421,'FASE 1   '!$C$425:$V$425)</f>
        <v>0</v>
      </c>
      <c r="F17" s="264">
        <f>+_xlfn.XLOOKUP($B17,'FASE 1   '!$C$421:$V$421,'FASE 1   '!$C$426:$V$426)</f>
        <v>0</v>
      </c>
      <c r="G17" s="264">
        <f>+_xlfn.XLOOKUP($B17,'FASE 1   '!$C$421:$V$421,'FASE 1   '!$C$427:$V$427)</f>
        <v>0</v>
      </c>
      <c r="H17" s="264">
        <f>+_xlfn.XLOOKUP($B17,'FASE 1   '!$C$421:$V$421,'FASE 1   '!$C$428:$V$428)</f>
        <v>0</v>
      </c>
      <c r="I17" s="264">
        <f>+_xlfn.XLOOKUP($B17,'FASE 1   '!$C$421:$V$421,'FASE 1   '!$C$429:$V$429)</f>
        <v>0</v>
      </c>
      <c r="J17" s="264">
        <f>+_xlfn.XLOOKUP($B17,'FASE 1   '!$C$421:$V$421,'FASE 1   '!$C$430:$V$430)</f>
        <v>0</v>
      </c>
      <c r="K17" s="264">
        <f>+_xlfn.XLOOKUP($B17,'FASE 1   '!$C$421:$V$421,'FASE 1   '!$C$431:$V$431)</f>
        <v>0</v>
      </c>
      <c r="L17" s="273">
        <f t="shared" si="0"/>
        <v>2.314814814814815E-2</v>
      </c>
      <c r="M17" s="273">
        <f t="shared" si="2"/>
        <v>0.20833333333333334</v>
      </c>
      <c r="N17" s="273">
        <f t="shared" si="3"/>
        <v>0</v>
      </c>
      <c r="O17" s="273">
        <f t="shared" si="4"/>
        <v>0</v>
      </c>
      <c r="P17" s="273">
        <f t="shared" si="5"/>
        <v>0</v>
      </c>
      <c r="Q17" s="273">
        <f t="shared" si="6"/>
        <v>0</v>
      </c>
      <c r="R17" s="273">
        <f t="shared" si="7"/>
        <v>0</v>
      </c>
      <c r="S17" s="273">
        <f t="shared" si="8"/>
        <v>0</v>
      </c>
      <c r="T17" s="273">
        <f t="shared" si="9"/>
        <v>0</v>
      </c>
      <c r="U17" s="273">
        <f t="shared" si="10"/>
        <v>0</v>
      </c>
      <c r="V17" s="271"/>
      <c r="W17" s="271"/>
      <c r="X17" s="271"/>
      <c r="Y17" s="271"/>
      <c r="Z17" s="271"/>
      <c r="AA17" s="389"/>
    </row>
    <row r="18" spans="1:92" ht="15" customHeight="1">
      <c r="A18" s="637"/>
      <c r="B18" s="377" t="s">
        <v>748</v>
      </c>
      <c r="C18" s="372">
        <f>+_xlfn.XLOOKUP($B18,'FASE 1   '!$C$421:$V$421,'FASE 1   '!$C$423:$V$423)</f>
        <v>0.22916666666666666</v>
      </c>
      <c r="D18" s="264">
        <f>+_xlfn.XLOOKUP($B18,'FASE 1   '!$C$421:$V$421,'FASE 1   '!$C$424:$V$424)</f>
        <v>3.7209302325581395E-2</v>
      </c>
      <c r="E18" s="264">
        <f>+_xlfn.XLOOKUP($B18,'FASE 1   '!$C$421:$V$421,'FASE 1   '!$C$425:$V$425)</f>
        <v>0</v>
      </c>
      <c r="F18" s="264">
        <f>+_xlfn.XLOOKUP($B18,'FASE 1   '!$C$421:$V$421,'FASE 1   '!$C$426:$V$426)</f>
        <v>0</v>
      </c>
      <c r="G18" s="264">
        <f>+_xlfn.XLOOKUP($B18,'FASE 1   '!$C$421:$V$421,'FASE 1   '!$C$427:$V$427)</f>
        <v>0</v>
      </c>
      <c r="H18" s="264">
        <f>+_xlfn.XLOOKUP($B18,'FASE 1   '!$C$421:$V$421,'FASE 1   '!$C$428:$V$428)</f>
        <v>0</v>
      </c>
      <c r="I18" s="264">
        <f>+_xlfn.XLOOKUP($B18,'FASE 1   '!$C$421:$V$421,'FASE 1   '!$C$429:$V$429)</f>
        <v>0</v>
      </c>
      <c r="J18" s="264">
        <f>+_xlfn.XLOOKUP($B18,'FASE 1   '!$C$421:$V$421,'FASE 1   '!$C$430:$V$430)</f>
        <v>0</v>
      </c>
      <c r="K18" s="371">
        <f>+_xlfn.XLOOKUP($B18,'FASE 1   '!$C$421:$V$421,'FASE 1   '!$C$431:$V$431)</f>
        <v>0</v>
      </c>
      <c r="L18" s="273">
        <f t="shared" si="0"/>
        <v>2.959732988802756E-2</v>
      </c>
      <c r="M18" s="273">
        <f t="shared" si="2"/>
        <v>0.22916666666666666</v>
      </c>
      <c r="N18" s="273">
        <f t="shared" si="3"/>
        <v>3.7209302325581395E-2</v>
      </c>
      <c r="O18" s="273">
        <f t="shared" si="4"/>
        <v>0</v>
      </c>
      <c r="P18" s="273">
        <f t="shared" si="5"/>
        <v>0</v>
      </c>
      <c r="Q18" s="273">
        <f t="shared" si="6"/>
        <v>0</v>
      </c>
      <c r="R18" s="273">
        <f t="shared" si="7"/>
        <v>0</v>
      </c>
      <c r="S18" s="273">
        <f t="shared" si="8"/>
        <v>0</v>
      </c>
      <c r="T18" s="273">
        <f t="shared" si="9"/>
        <v>0</v>
      </c>
      <c r="U18" s="273">
        <f t="shared" si="10"/>
        <v>0</v>
      </c>
      <c r="V18" s="271"/>
      <c r="W18" s="271"/>
      <c r="X18" s="271"/>
      <c r="Y18" s="271"/>
      <c r="Z18" s="271"/>
      <c r="AA18" s="389"/>
    </row>
    <row r="19" spans="1:92" ht="15" customHeight="1">
      <c r="A19" s="637"/>
      <c r="B19" s="377" t="s">
        <v>696</v>
      </c>
      <c r="C19" s="372">
        <f>+_xlfn.XLOOKUP($B19,'FASE 1   '!$C$421:$V$421,'FASE 1   '!$C$423:$V$423)</f>
        <v>0.44166666666666665</v>
      </c>
      <c r="D19" s="264">
        <f>+_xlfn.XLOOKUP($B19,'FASE 1   '!$C$421:$V$421,'FASE 1   '!$C$424:$V$424)</f>
        <v>0.14651162790697675</v>
      </c>
      <c r="E19" s="264">
        <f>+_xlfn.XLOOKUP($B19,'FASE 1   '!$C$421:$V$421,'FASE 1   '!$C$425:$V$425)</f>
        <v>0</v>
      </c>
      <c r="F19" s="264">
        <f>+_xlfn.XLOOKUP($B19,'FASE 1   '!$C$421:$V$421,'FASE 1   '!$C$426:$V$426)</f>
        <v>0</v>
      </c>
      <c r="G19" s="264">
        <f>+_xlfn.XLOOKUP($B19,'FASE 1   '!$C$421:$V$421,'FASE 1   '!$C$427:$V$427)</f>
        <v>0</v>
      </c>
      <c r="H19" s="264">
        <f>+_xlfn.XLOOKUP($B19,'FASE 1   '!$C$421:$V$421,'FASE 1   '!$C$428:$V$428)</f>
        <v>0</v>
      </c>
      <c r="I19" s="264">
        <f>+_xlfn.XLOOKUP($B19,'FASE 1   '!$C$421:$V$421,'FASE 1   '!$C$429:$V$429)</f>
        <v>0</v>
      </c>
      <c r="J19" s="264">
        <f>+_xlfn.XLOOKUP($B19,'FASE 1   '!$C$421:$V$421,'FASE 1   '!$C$430:$V$430)</f>
        <v>0</v>
      </c>
      <c r="K19" s="264">
        <f>+_xlfn.XLOOKUP($B19,'FASE 1   '!$C$421:$V$421,'FASE 1   '!$C$431:$V$431)</f>
        <v>0</v>
      </c>
      <c r="L19" s="273">
        <f t="shared" si="0"/>
        <v>6.5353143841515929E-2</v>
      </c>
      <c r="M19" s="273">
        <f t="shared" si="2"/>
        <v>0.44166666666666665</v>
      </c>
      <c r="N19" s="273">
        <f t="shared" si="3"/>
        <v>0.14651162790697675</v>
      </c>
      <c r="O19" s="273">
        <f t="shared" si="4"/>
        <v>0</v>
      </c>
      <c r="P19" s="273">
        <f t="shared" si="5"/>
        <v>0</v>
      </c>
      <c r="Q19" s="273">
        <f t="shared" si="6"/>
        <v>0</v>
      </c>
      <c r="R19" s="273">
        <f t="shared" si="7"/>
        <v>0</v>
      </c>
      <c r="S19" s="273">
        <f t="shared" si="8"/>
        <v>0</v>
      </c>
      <c r="T19" s="273">
        <f t="shared" si="9"/>
        <v>0</v>
      </c>
      <c r="U19" s="273">
        <f t="shared" si="10"/>
        <v>0</v>
      </c>
      <c r="V19" s="271"/>
      <c r="W19" s="271"/>
      <c r="X19" s="271"/>
      <c r="Y19" s="271"/>
      <c r="Z19" s="271"/>
      <c r="AA19" s="389"/>
    </row>
    <row r="20" spans="1:92" ht="15" customHeight="1">
      <c r="A20" s="637"/>
      <c r="B20" s="377" t="s">
        <v>697</v>
      </c>
      <c r="C20" s="372">
        <f>+_xlfn.XLOOKUP($B20,'FASE 1   '!$C$421:$V$421,'FASE 1   '!$C$423:$V$423)</f>
        <v>0.52708333333333335</v>
      </c>
      <c r="D20" s="264">
        <f>+_xlfn.XLOOKUP($B20,'FASE 1   '!$C$421:$V$421,'FASE 1   '!$C$424:$V$424)</f>
        <v>0</v>
      </c>
      <c r="E20" s="264">
        <f>+_xlfn.XLOOKUP($B20,'FASE 1   '!$C$421:$V$421,'FASE 1   '!$C$425:$V$425)</f>
        <v>0</v>
      </c>
      <c r="F20" s="264">
        <f>+_xlfn.XLOOKUP($B20,'FASE 1   '!$C$421:$V$421,'FASE 1   '!$C$426:$V$426)</f>
        <v>0</v>
      </c>
      <c r="G20" s="264">
        <f>+_xlfn.XLOOKUP($B20,'FASE 1   '!$C$421:$V$421,'FASE 1   '!$C$427:$V$427)</f>
        <v>0</v>
      </c>
      <c r="H20" s="264">
        <f>+_xlfn.XLOOKUP($B20,'FASE 1   '!$C$421:$V$421,'FASE 1   '!$C$428:$V$428)</f>
        <v>0</v>
      </c>
      <c r="I20" s="264">
        <f>+_xlfn.XLOOKUP($B20,'FASE 1   '!$C$421:$V$421,'FASE 1   '!$C$429:$V$429)</f>
        <v>0</v>
      </c>
      <c r="J20" s="264">
        <f>+_xlfn.XLOOKUP($B20,'FASE 1   '!$C$421:$V$421,'FASE 1   '!$C$430:$V$430)</f>
        <v>0</v>
      </c>
      <c r="K20" s="264">
        <f>+_xlfn.XLOOKUP($B20,'FASE 1   '!$C$421:$V$421,'FASE 1   '!$C$431:$V$431)</f>
        <v>0</v>
      </c>
      <c r="L20" s="273">
        <f t="shared" si="0"/>
        <v>5.856481481481482E-2</v>
      </c>
      <c r="M20" s="273">
        <f t="shared" si="2"/>
        <v>0.52708333333333335</v>
      </c>
      <c r="N20" s="273">
        <f t="shared" si="3"/>
        <v>0</v>
      </c>
      <c r="O20" s="273">
        <f t="shared" si="4"/>
        <v>0</v>
      </c>
      <c r="P20" s="273">
        <f t="shared" si="5"/>
        <v>0</v>
      </c>
      <c r="Q20" s="273">
        <f t="shared" si="6"/>
        <v>0</v>
      </c>
      <c r="R20" s="273">
        <f t="shared" si="7"/>
        <v>0</v>
      </c>
      <c r="S20" s="273">
        <f t="shared" si="8"/>
        <v>0</v>
      </c>
      <c r="T20" s="273">
        <f t="shared" si="9"/>
        <v>0</v>
      </c>
      <c r="U20" s="273">
        <f t="shared" si="10"/>
        <v>0</v>
      </c>
      <c r="V20" s="271"/>
      <c r="W20" s="271"/>
      <c r="X20" s="271"/>
      <c r="Y20" s="271"/>
      <c r="Z20" s="271"/>
      <c r="AA20" s="389"/>
    </row>
    <row r="21" spans="1:92" ht="15" customHeight="1">
      <c r="A21" s="637"/>
      <c r="B21" s="377" t="s">
        <v>698</v>
      </c>
      <c r="C21" s="372">
        <f>+_xlfn.XLOOKUP($B21,'FASE 1   '!$C$421:$V$421,'FASE 1   '!$C$423:$V$423)</f>
        <v>0.45833333333333331</v>
      </c>
      <c r="D21" s="264">
        <f>+_xlfn.XLOOKUP($B21,'FASE 1   '!$C$421:$V$421,'FASE 1   '!$C$424:$V$424)</f>
        <v>0</v>
      </c>
      <c r="E21" s="264">
        <f>+_xlfn.XLOOKUP($B21,'FASE 1   '!$C$421:$V$421,'FASE 1   '!$C$425:$V$425)</f>
        <v>0</v>
      </c>
      <c r="F21" s="264">
        <f>+_xlfn.XLOOKUP($B21,'FASE 1   '!$C$421:$V$421,'FASE 1   '!$C$426:$V$426)</f>
        <v>0</v>
      </c>
      <c r="G21" s="264">
        <f>+_xlfn.XLOOKUP($B21,'FASE 1   '!$C$421:$V$421,'FASE 1   '!$C$427:$V$427)</f>
        <v>0</v>
      </c>
      <c r="H21" s="264">
        <f>+_xlfn.XLOOKUP($B21,'FASE 1   '!$C$421:$V$421,'FASE 1   '!$C$428:$V$428)</f>
        <v>0</v>
      </c>
      <c r="I21" s="264">
        <f>+_xlfn.XLOOKUP($B21,'FASE 1   '!$C$421:$V$421,'FASE 1   '!$C$429:$V$429)</f>
        <v>0</v>
      </c>
      <c r="J21" s="264">
        <f>+_xlfn.XLOOKUP($B21,'FASE 1   '!$C$421:$V$421,'FASE 1   '!$C$430:$V$430)</f>
        <v>0</v>
      </c>
      <c r="K21" s="264">
        <f>+_xlfn.XLOOKUP($B21,'FASE 1   '!$C$421:$V$421,'FASE 1   '!$C$431:$V$431)</f>
        <v>0</v>
      </c>
      <c r="L21" s="273">
        <f t="shared" si="0"/>
        <v>5.0925925925925923E-2</v>
      </c>
      <c r="M21" s="273">
        <f t="shared" si="2"/>
        <v>0.45833333333333331</v>
      </c>
      <c r="N21" s="273">
        <f t="shared" si="3"/>
        <v>0</v>
      </c>
      <c r="O21" s="273">
        <f t="shared" si="4"/>
        <v>0</v>
      </c>
      <c r="P21" s="273">
        <f t="shared" si="5"/>
        <v>0</v>
      </c>
      <c r="Q21" s="273">
        <f t="shared" si="6"/>
        <v>0</v>
      </c>
      <c r="R21" s="273">
        <f t="shared" si="7"/>
        <v>0</v>
      </c>
      <c r="S21" s="273">
        <f t="shared" si="8"/>
        <v>0</v>
      </c>
      <c r="T21" s="273">
        <f t="shared" si="9"/>
        <v>0</v>
      </c>
      <c r="U21" s="273">
        <f t="shared" si="10"/>
        <v>0</v>
      </c>
      <c r="V21" s="271"/>
      <c r="W21" s="271"/>
      <c r="X21" s="271"/>
      <c r="Y21" s="271"/>
      <c r="Z21" s="271"/>
      <c r="AA21" s="389"/>
    </row>
    <row r="22" spans="1:92" ht="15" customHeight="1">
      <c r="A22" s="637"/>
      <c r="B22" s="377" t="s">
        <v>773</v>
      </c>
      <c r="C22" s="372">
        <f>+_xlfn.XLOOKUP($B22,'FASE 1   '!$C$421:$V$421,'FASE 1   '!$C$423:$V$423)</f>
        <v>8.3333333333333329E-2</v>
      </c>
      <c r="D22" s="264">
        <f>+_xlfn.XLOOKUP($B22,'FASE 1   '!$C$421:$V$421,'FASE 1   '!$C$424:$V$424)</f>
        <v>0</v>
      </c>
      <c r="E22" s="264">
        <f>+_xlfn.XLOOKUP($B22,'FASE 1   '!$C$421:$V$421,'FASE 1   '!$C$425:$V$425)</f>
        <v>0</v>
      </c>
      <c r="F22" s="264">
        <f>+_xlfn.XLOOKUP($B22,'FASE 1   '!$C$421:$V$421,'FASE 1   '!$C$426:$V$426)</f>
        <v>0</v>
      </c>
      <c r="G22" s="264">
        <f>+_xlfn.XLOOKUP($B22,'FASE 1   '!$C$421:$V$421,'FASE 1   '!$C$427:$V$427)</f>
        <v>0</v>
      </c>
      <c r="H22" s="264">
        <f>+_xlfn.XLOOKUP($B22,'FASE 1   '!$C$421:$V$421,'FASE 1   '!$C$428:$V$428)</f>
        <v>0</v>
      </c>
      <c r="I22" s="264">
        <f>+_xlfn.XLOOKUP($B22,'FASE 1   '!$C$421:$V$421,'FASE 1   '!$C$429:$V$429)</f>
        <v>0</v>
      </c>
      <c r="J22" s="264">
        <f>+_xlfn.XLOOKUP($B22,'FASE 1   '!$C$421:$V$421,'FASE 1   '!$C$430:$V$430)</f>
        <v>0</v>
      </c>
      <c r="K22" s="264">
        <f>+_xlfn.XLOOKUP($B22,'FASE 1   '!$C$421:$V$421,'FASE 1   '!$C$431:$V$431)</f>
        <v>0</v>
      </c>
      <c r="L22" s="273">
        <f t="shared" si="0"/>
        <v>9.2592592592592587E-3</v>
      </c>
      <c r="M22" s="273">
        <f t="shared" si="2"/>
        <v>8.3333333333333329E-2</v>
      </c>
      <c r="N22" s="273">
        <f t="shared" si="3"/>
        <v>0</v>
      </c>
      <c r="O22" s="273">
        <f t="shared" si="4"/>
        <v>0</v>
      </c>
      <c r="P22" s="273">
        <f t="shared" si="5"/>
        <v>0</v>
      </c>
      <c r="Q22" s="273">
        <f t="shared" si="6"/>
        <v>0</v>
      </c>
      <c r="R22" s="273">
        <f t="shared" si="7"/>
        <v>0</v>
      </c>
      <c r="S22" s="273">
        <f t="shared" si="8"/>
        <v>0</v>
      </c>
      <c r="T22" s="273">
        <f t="shared" si="9"/>
        <v>0</v>
      </c>
      <c r="U22" s="273">
        <f t="shared" si="10"/>
        <v>0</v>
      </c>
      <c r="V22" s="271"/>
      <c r="W22" s="271"/>
      <c r="X22" s="271"/>
      <c r="Y22" s="271"/>
      <c r="Z22" s="271"/>
      <c r="AA22" s="389"/>
    </row>
    <row r="23" spans="1:92" ht="15" customHeight="1">
      <c r="A23" s="637"/>
      <c r="B23" s="377" t="s">
        <v>699</v>
      </c>
      <c r="C23" s="372">
        <f>+_xlfn.XLOOKUP($B23,'FASE 1   '!$C$421:$V$421,'FASE 1   '!$C$423:$V$423)</f>
        <v>0.45</v>
      </c>
      <c r="D23" s="264">
        <f>+_xlfn.XLOOKUP($B23,'FASE 1   '!$C$421:$V$421,'FASE 1   '!$C$424:$V$424)</f>
        <v>0</v>
      </c>
      <c r="E23" s="264">
        <f>+_xlfn.XLOOKUP($B23,'FASE 1   '!$C$421:$V$421,'FASE 1   '!$C$425:$V$425)</f>
        <v>0</v>
      </c>
      <c r="F23" s="264">
        <f>+_xlfn.XLOOKUP($B23,'FASE 1   '!$C$421:$V$421,'FASE 1   '!$C$426:$V$426)</f>
        <v>0</v>
      </c>
      <c r="G23" s="264">
        <f>+_xlfn.XLOOKUP($B23,'FASE 1   '!$C$421:$V$421,'FASE 1   '!$C$427:$V$427)</f>
        <v>0</v>
      </c>
      <c r="H23" s="264">
        <f>+_xlfn.XLOOKUP($B23,'FASE 1   '!$C$421:$V$421,'FASE 1   '!$C$428:$V$428)</f>
        <v>0</v>
      </c>
      <c r="I23" s="264">
        <f>+_xlfn.XLOOKUP($B23,'FASE 1   '!$C$421:$V$421,'FASE 1   '!$C$429:$V$429)</f>
        <v>0</v>
      </c>
      <c r="J23" s="264">
        <f>+_xlfn.XLOOKUP($B23,'FASE 1   '!$C$421:$V$421,'FASE 1   '!$C$430:$V$430)</f>
        <v>0</v>
      </c>
      <c r="K23" s="264">
        <f>+_xlfn.XLOOKUP($B23,'FASE 1   '!$C$421:$V$421,'FASE 1   '!$C$431:$V$431)</f>
        <v>0</v>
      </c>
      <c r="L23" s="273">
        <f t="shared" si="0"/>
        <v>0.05</v>
      </c>
      <c r="M23" s="273">
        <f t="shared" si="2"/>
        <v>0.45</v>
      </c>
      <c r="N23" s="273">
        <f t="shared" si="3"/>
        <v>0</v>
      </c>
      <c r="O23" s="273">
        <f t="shared" si="4"/>
        <v>0</v>
      </c>
      <c r="P23" s="273">
        <f t="shared" si="5"/>
        <v>0</v>
      </c>
      <c r="Q23" s="273">
        <f t="shared" si="6"/>
        <v>0</v>
      </c>
      <c r="R23" s="273">
        <f t="shared" si="7"/>
        <v>0</v>
      </c>
      <c r="S23" s="273">
        <f t="shared" si="8"/>
        <v>0</v>
      </c>
      <c r="T23" s="273">
        <f t="shared" si="9"/>
        <v>0</v>
      </c>
      <c r="U23" s="273">
        <f t="shared" si="10"/>
        <v>0</v>
      </c>
      <c r="V23" s="271"/>
      <c r="W23" s="271"/>
      <c r="X23" s="271"/>
      <c r="Y23" s="271"/>
      <c r="Z23" s="271"/>
      <c r="AA23" s="389"/>
    </row>
    <row r="24" spans="1:92" ht="15" customHeight="1">
      <c r="A24" s="637"/>
      <c r="B24" s="377" t="s">
        <v>700</v>
      </c>
      <c r="C24" s="372">
        <f>+_xlfn.XLOOKUP($B24,'FASE 1   '!$C$421:$V$421,'FASE 1   '!$C$423:$V$423)</f>
        <v>0.36041666666666666</v>
      </c>
      <c r="D24" s="264">
        <f>+_xlfn.XLOOKUP($B24,'FASE 1   '!$C$421:$V$421,'FASE 1   '!$C$424:$V$424)</f>
        <v>0</v>
      </c>
      <c r="E24" s="264">
        <f>+_xlfn.XLOOKUP($B24,'FASE 1   '!$C$421:$V$421,'FASE 1   '!$C$425:$V$425)</f>
        <v>0</v>
      </c>
      <c r="F24" s="264">
        <f>+_xlfn.XLOOKUP($B24,'FASE 1   '!$C$421:$V$421,'FASE 1   '!$C$426:$V$426)</f>
        <v>0</v>
      </c>
      <c r="G24" s="264">
        <f>+_xlfn.XLOOKUP($B24,'FASE 1   '!$C$421:$V$421,'FASE 1   '!$C$427:$V$427)</f>
        <v>0</v>
      </c>
      <c r="H24" s="264">
        <f>+_xlfn.XLOOKUP($B24,'FASE 1   '!$C$421:$V$421,'FASE 1   '!$C$428:$V$428)</f>
        <v>0</v>
      </c>
      <c r="I24" s="264">
        <f>+_xlfn.XLOOKUP($B24,'FASE 1   '!$C$421:$V$421,'FASE 1   '!$C$429:$V$429)</f>
        <v>0</v>
      </c>
      <c r="J24" s="264">
        <f>+_xlfn.XLOOKUP($B24,'FASE 1   '!$C$421:$V$421,'FASE 1   '!$C$430:$V$430)</f>
        <v>0</v>
      </c>
      <c r="K24" s="264">
        <f>+_xlfn.XLOOKUP($B24,'FASE 1   '!$C$421:$V$421,'FASE 1   '!$C$431:$V$431)</f>
        <v>0</v>
      </c>
      <c r="L24" s="273">
        <f t="shared" si="0"/>
        <v>4.0046296296296295E-2</v>
      </c>
      <c r="M24" s="273">
        <f t="shared" si="2"/>
        <v>0.36041666666666666</v>
      </c>
      <c r="N24" s="273">
        <f t="shared" si="3"/>
        <v>0</v>
      </c>
      <c r="O24" s="273">
        <f t="shared" si="4"/>
        <v>0</v>
      </c>
      <c r="P24" s="273">
        <f t="shared" si="5"/>
        <v>0</v>
      </c>
      <c r="Q24" s="273">
        <f t="shared" si="6"/>
        <v>0</v>
      </c>
      <c r="R24" s="273">
        <f t="shared" si="7"/>
        <v>0</v>
      </c>
      <c r="S24" s="273">
        <f t="shared" si="8"/>
        <v>0</v>
      </c>
      <c r="T24" s="273">
        <f t="shared" si="9"/>
        <v>0</v>
      </c>
      <c r="U24" s="273">
        <f t="shared" si="10"/>
        <v>0</v>
      </c>
      <c r="V24" s="271"/>
      <c r="W24" s="271"/>
      <c r="X24" s="271"/>
      <c r="Y24" s="271"/>
      <c r="Z24" s="271"/>
      <c r="AA24" s="389"/>
    </row>
    <row r="25" spans="1:92" ht="15" customHeight="1">
      <c r="A25" s="637"/>
      <c r="B25" s="377" t="s">
        <v>701</v>
      </c>
      <c r="C25" s="372">
        <f>+_xlfn.XLOOKUP($B25,'FASE 1   '!$C$421:$V$421,'FASE 1   '!$C$423:$V$423)</f>
        <v>0.13333333333333333</v>
      </c>
      <c r="D25" s="264">
        <f>+_xlfn.XLOOKUP($B25,'FASE 1   '!$C$421:$V$421,'FASE 1   '!$C$424:$V$424)</f>
        <v>0</v>
      </c>
      <c r="E25" s="264">
        <f>+_xlfn.XLOOKUP($B25,'FASE 1   '!$C$421:$V$421,'FASE 1   '!$C$425:$V$425)</f>
        <v>0</v>
      </c>
      <c r="F25" s="264">
        <f>+_xlfn.XLOOKUP($B25,'FASE 1   '!$C$421:$V$421,'FASE 1   '!$C$426:$V$426)</f>
        <v>0</v>
      </c>
      <c r="G25" s="264">
        <f>+_xlfn.XLOOKUP($B25,'FASE 1   '!$C$421:$V$421,'FASE 1   '!$C$427:$V$427)</f>
        <v>0</v>
      </c>
      <c r="H25" s="264">
        <f>+_xlfn.XLOOKUP($B25,'FASE 1   '!$C$421:$V$421,'FASE 1   '!$C$428:$V$428)</f>
        <v>0</v>
      </c>
      <c r="I25" s="264">
        <f>+_xlfn.XLOOKUP($B25,'FASE 1   '!$C$421:$V$421,'FASE 1   '!$C$429:$V$429)</f>
        <v>0</v>
      </c>
      <c r="J25" s="264">
        <f>+_xlfn.XLOOKUP($B25,'FASE 1   '!$C$421:$V$421,'FASE 1   '!$C$430:$V$430)</f>
        <v>0</v>
      </c>
      <c r="K25" s="264">
        <f>+_xlfn.XLOOKUP($B25,'FASE 1   '!$C$421:$V$421,'FASE 1   '!$C$431:$V$431)</f>
        <v>0</v>
      </c>
      <c r="L25" s="273">
        <f t="shared" si="0"/>
        <v>1.4814814814814815E-2</v>
      </c>
      <c r="M25" s="273">
        <f t="shared" si="2"/>
        <v>0.13333333333333333</v>
      </c>
      <c r="N25" s="273">
        <f t="shared" si="3"/>
        <v>0</v>
      </c>
      <c r="O25" s="273">
        <f t="shared" si="4"/>
        <v>0</v>
      </c>
      <c r="P25" s="273">
        <f t="shared" si="5"/>
        <v>0</v>
      </c>
      <c r="Q25" s="273">
        <f t="shared" si="6"/>
        <v>0</v>
      </c>
      <c r="R25" s="273">
        <f t="shared" si="7"/>
        <v>0</v>
      </c>
      <c r="S25" s="273">
        <f t="shared" si="8"/>
        <v>0</v>
      </c>
      <c r="T25" s="273">
        <f t="shared" si="9"/>
        <v>0</v>
      </c>
      <c r="U25" s="273">
        <f t="shared" si="10"/>
        <v>0</v>
      </c>
      <c r="V25" s="271"/>
      <c r="W25" s="271"/>
      <c r="X25" s="271"/>
      <c r="Y25" s="271"/>
      <c r="Z25" s="271"/>
      <c r="AA25" s="389"/>
    </row>
    <row r="26" spans="1:92" ht="15" customHeight="1">
      <c r="A26" s="637"/>
      <c r="B26" s="377" t="s">
        <v>702</v>
      </c>
      <c r="C26" s="372">
        <f>+_xlfn.XLOOKUP($B26,'FASE 1   '!$C$421:$V$421,'FASE 1   '!$C$423:$V$423)</f>
        <v>0.11666666666666665</v>
      </c>
      <c r="D26" s="264">
        <f>+_xlfn.XLOOKUP($B26,'FASE 1   '!$C$421:$V$421,'FASE 1   '!$C$424:$V$424)</f>
        <v>0</v>
      </c>
      <c r="E26" s="264">
        <f>+_xlfn.XLOOKUP($B26,'FASE 1   '!$C$421:$V$421,'FASE 1   '!$C$425:$V$425)</f>
        <v>0</v>
      </c>
      <c r="F26" s="264">
        <f>+_xlfn.XLOOKUP($B26,'FASE 1   '!$C$421:$V$421,'FASE 1   '!$C$426:$V$426)</f>
        <v>0</v>
      </c>
      <c r="G26" s="264">
        <f>+_xlfn.XLOOKUP($B26,'FASE 1   '!$C$421:$V$421,'FASE 1   '!$C$427:$V$427)</f>
        <v>0</v>
      </c>
      <c r="H26" s="264">
        <f>+_xlfn.XLOOKUP($B26,'FASE 1   '!$C$421:$V$421,'FASE 1   '!$C$428:$V$428)</f>
        <v>0</v>
      </c>
      <c r="I26" s="264">
        <f>+_xlfn.XLOOKUP($B26,'FASE 1   '!$C$421:$V$421,'FASE 1   '!$C$429:$V$429)</f>
        <v>0</v>
      </c>
      <c r="J26" s="264">
        <f>+_xlfn.XLOOKUP($B26,'FASE 1   '!$C$421:$V$421,'FASE 1   '!$C$430:$V$430)</f>
        <v>0</v>
      </c>
      <c r="K26" s="264">
        <f>+_xlfn.XLOOKUP($B26,'FASE 1   '!$C$421:$V$421,'FASE 1   '!$C$431:$V$431)</f>
        <v>0</v>
      </c>
      <c r="L26" s="273">
        <f t="shared" si="0"/>
        <v>1.2962962962962961E-2</v>
      </c>
      <c r="M26" s="273">
        <f t="shared" si="2"/>
        <v>0.11666666666666665</v>
      </c>
      <c r="N26" s="273">
        <f t="shared" si="3"/>
        <v>0</v>
      </c>
      <c r="O26" s="273">
        <f t="shared" si="4"/>
        <v>0</v>
      </c>
      <c r="P26" s="273">
        <f t="shared" si="5"/>
        <v>0</v>
      </c>
      <c r="Q26" s="273">
        <f t="shared" si="6"/>
        <v>0</v>
      </c>
      <c r="R26" s="273">
        <f t="shared" si="7"/>
        <v>0</v>
      </c>
      <c r="S26" s="273">
        <f t="shared" si="8"/>
        <v>0</v>
      </c>
      <c r="T26" s="273">
        <f t="shared" si="9"/>
        <v>0</v>
      </c>
      <c r="U26" s="273">
        <f t="shared" si="10"/>
        <v>0</v>
      </c>
      <c r="V26" s="271"/>
      <c r="W26" s="271"/>
      <c r="X26" s="271"/>
      <c r="Y26" s="271"/>
      <c r="Z26" s="271"/>
      <c r="AA26" s="389"/>
    </row>
    <row r="27" spans="1:92" s="272" customFormat="1" ht="20.100000000000001" customHeight="1">
      <c r="A27" s="637"/>
      <c r="B27" s="378" t="s">
        <v>783</v>
      </c>
      <c r="C27" s="373">
        <f>+AVERAGE(C7:C26)</f>
        <v>0.41520833333333335</v>
      </c>
      <c r="D27" s="373">
        <f t="shared" ref="D27:K27" si="11">+AVERAGE(D7:D26)</f>
        <v>0.22343023255813951</v>
      </c>
      <c r="E27" s="373">
        <f t="shared" si="11"/>
        <v>6.6363636363636375E-2</v>
      </c>
      <c r="F27" s="373">
        <f t="shared" si="11"/>
        <v>0</v>
      </c>
      <c r="G27" s="373">
        <f t="shared" si="11"/>
        <v>0</v>
      </c>
      <c r="H27" s="373">
        <f t="shared" si="11"/>
        <v>0</v>
      </c>
      <c r="I27" s="373">
        <f t="shared" si="11"/>
        <v>0</v>
      </c>
      <c r="J27" s="373">
        <f t="shared" si="11"/>
        <v>0</v>
      </c>
      <c r="K27" s="373">
        <f t="shared" si="11"/>
        <v>0</v>
      </c>
      <c r="L27" s="622"/>
      <c r="M27" s="384"/>
      <c r="N27" s="269"/>
      <c r="O27" s="269"/>
      <c r="P27" s="269"/>
      <c r="Q27" s="269"/>
      <c r="R27" s="269"/>
      <c r="S27" s="269"/>
      <c r="T27" s="269"/>
      <c r="U27" s="269"/>
      <c r="V27" s="269"/>
      <c r="W27" s="269"/>
      <c r="X27" s="269"/>
      <c r="Y27" s="269"/>
      <c r="Z27" s="269"/>
      <c r="AA27" s="390"/>
      <c r="AB27" s="370"/>
      <c r="AC27" s="370"/>
      <c r="AD27" s="370"/>
      <c r="AE27" s="370"/>
      <c r="AF27" s="370"/>
      <c r="AG27" s="370"/>
      <c r="AH27" s="370"/>
      <c r="AI27" s="370"/>
      <c r="AJ27" s="370"/>
      <c r="AK27" s="370"/>
      <c r="AL27" s="370"/>
      <c r="AM27" s="370"/>
      <c r="AN27" s="370"/>
      <c r="AO27" s="370"/>
      <c r="AP27" s="370"/>
      <c r="AQ27" s="370"/>
      <c r="AR27" s="370"/>
      <c r="AS27" s="370"/>
      <c r="AT27" s="370"/>
      <c r="AU27" s="370"/>
      <c r="AV27" s="370"/>
      <c r="AW27" s="370"/>
      <c r="AX27" s="370"/>
      <c r="AY27" s="370"/>
      <c r="AZ27" s="370"/>
      <c r="BA27" s="370"/>
      <c r="BB27" s="370"/>
      <c r="BC27" s="370"/>
      <c r="BD27" s="370"/>
      <c r="BE27" s="370"/>
      <c r="BF27" s="370"/>
      <c r="BG27" s="370"/>
      <c r="BH27" s="370"/>
      <c r="BI27" s="370"/>
      <c r="BJ27" s="370"/>
      <c r="BK27" s="370"/>
      <c r="BL27" s="370"/>
      <c r="BM27" s="370"/>
      <c r="BN27" s="370"/>
      <c r="BO27" s="370"/>
      <c r="BP27" s="370"/>
      <c r="BQ27" s="370"/>
      <c r="BR27" s="370"/>
      <c r="BS27" s="370"/>
      <c r="BT27" s="370"/>
      <c r="BU27" s="370"/>
      <c r="BV27" s="370"/>
      <c r="BW27" s="370"/>
      <c r="BX27" s="370"/>
      <c r="BY27" s="370"/>
      <c r="BZ27" s="370"/>
      <c r="CA27" s="370"/>
      <c r="CB27" s="370"/>
      <c r="CC27" s="370"/>
      <c r="CD27" s="370"/>
      <c r="CE27" s="370"/>
      <c r="CF27" s="370"/>
      <c r="CG27" s="370"/>
      <c r="CH27" s="370"/>
      <c r="CI27" s="370"/>
      <c r="CJ27" s="370"/>
      <c r="CK27" s="370"/>
      <c r="CL27" s="370"/>
      <c r="CM27" s="370"/>
      <c r="CN27" s="370"/>
    </row>
    <row r="28" spans="1:92" s="272" customFormat="1" ht="20.100000000000001" customHeight="1" thickBot="1">
      <c r="A28" s="638"/>
      <c r="B28" s="400" t="s">
        <v>782</v>
      </c>
      <c r="C28" s="632">
        <f>+AVERAGE(C27:K27)</f>
        <v>7.8333578028345466E-2</v>
      </c>
      <c r="D28" s="633"/>
      <c r="E28" s="633"/>
      <c r="F28" s="633"/>
      <c r="G28" s="633"/>
      <c r="H28" s="633"/>
      <c r="I28" s="633"/>
      <c r="J28" s="633"/>
      <c r="K28" s="633"/>
      <c r="L28" s="639"/>
      <c r="M28" s="404"/>
      <c r="N28" s="405"/>
      <c r="O28" s="405"/>
      <c r="P28" s="405"/>
      <c r="Q28" s="405"/>
      <c r="R28" s="405"/>
      <c r="S28" s="405"/>
      <c r="T28" s="405"/>
      <c r="U28" s="405"/>
      <c r="V28" s="405"/>
      <c r="W28" s="404"/>
      <c r="X28" s="404"/>
      <c r="Y28" s="404"/>
      <c r="Z28" s="404"/>
      <c r="AA28" s="406"/>
      <c r="AB28" s="370"/>
      <c r="AC28" s="370"/>
      <c r="AD28" s="370"/>
      <c r="AE28" s="370"/>
      <c r="AF28" s="370"/>
      <c r="AG28" s="370"/>
      <c r="AH28" s="370"/>
      <c r="AI28" s="370"/>
      <c r="AJ28" s="370"/>
      <c r="AK28" s="370"/>
      <c r="AL28" s="370"/>
      <c r="AM28" s="370"/>
      <c r="AN28" s="370"/>
      <c r="AO28" s="370"/>
      <c r="AP28" s="370"/>
      <c r="AQ28" s="370"/>
      <c r="AR28" s="370"/>
      <c r="AS28" s="370"/>
      <c r="AT28" s="370"/>
      <c r="AU28" s="370"/>
      <c r="AV28" s="370"/>
      <c r="AW28" s="370"/>
      <c r="AX28" s="370"/>
      <c r="AY28" s="370"/>
      <c r="AZ28" s="370"/>
      <c r="BA28" s="370"/>
      <c r="BB28" s="370"/>
      <c r="BC28" s="370"/>
      <c r="BD28" s="370"/>
      <c r="BE28" s="370"/>
      <c r="BF28" s="370"/>
      <c r="BG28" s="370"/>
      <c r="BH28" s="370"/>
      <c r="BI28" s="370"/>
      <c r="BJ28" s="370"/>
      <c r="BK28" s="370"/>
      <c r="BL28" s="370"/>
      <c r="BM28" s="370"/>
      <c r="BN28" s="370"/>
      <c r="BO28" s="370"/>
      <c r="BP28" s="370"/>
      <c r="BQ28" s="370"/>
      <c r="BR28" s="370"/>
      <c r="BS28" s="370"/>
      <c r="BT28" s="370"/>
      <c r="BU28" s="370"/>
      <c r="BV28" s="370"/>
      <c r="BW28" s="370"/>
      <c r="BX28" s="370"/>
      <c r="BY28" s="370"/>
      <c r="BZ28" s="370"/>
      <c r="CA28" s="370"/>
      <c r="CB28" s="370"/>
      <c r="CC28" s="370"/>
      <c r="CD28" s="370"/>
      <c r="CE28" s="370"/>
      <c r="CF28" s="370"/>
      <c r="CG28" s="370"/>
      <c r="CH28" s="370"/>
      <c r="CI28" s="370"/>
      <c r="CJ28" s="370"/>
      <c r="CK28" s="370"/>
      <c r="CL28" s="370"/>
      <c r="CM28" s="370"/>
      <c r="CN28" s="370"/>
    </row>
    <row r="29" spans="1:92" s="272" customFormat="1" ht="15" customHeight="1">
      <c r="A29" s="640" t="s">
        <v>45</v>
      </c>
      <c r="B29" s="420" t="s">
        <v>984</v>
      </c>
      <c r="C29" s="409" t="s">
        <v>516</v>
      </c>
      <c r="D29" s="410" t="s">
        <v>517</v>
      </c>
      <c r="E29" s="410" t="s">
        <v>518</v>
      </c>
      <c r="F29" s="410" t="s">
        <v>519</v>
      </c>
      <c r="G29" s="410" t="s">
        <v>520</v>
      </c>
      <c r="H29" s="410" t="s">
        <v>521</v>
      </c>
      <c r="I29" s="410" t="s">
        <v>522</v>
      </c>
      <c r="J29" s="410" t="s">
        <v>523</v>
      </c>
      <c r="K29" s="410" t="s">
        <v>524</v>
      </c>
      <c r="L29" s="411" t="s">
        <v>40</v>
      </c>
      <c r="M29" s="412"/>
      <c r="N29" s="413"/>
      <c r="O29" s="413"/>
      <c r="P29" s="413"/>
      <c r="Q29" s="413"/>
      <c r="R29" s="413"/>
      <c r="S29" s="413"/>
      <c r="T29" s="413"/>
      <c r="U29" s="413"/>
      <c r="V29" s="413"/>
      <c r="W29" s="412"/>
      <c r="X29" s="412"/>
      <c r="Y29" s="412"/>
      <c r="Z29" s="412"/>
      <c r="AA29" s="414"/>
      <c r="AB29" s="370"/>
      <c r="AC29" s="370"/>
      <c r="AD29" s="370"/>
      <c r="AE29" s="370"/>
      <c r="AF29" s="370"/>
      <c r="AG29" s="370"/>
      <c r="AH29" s="370"/>
      <c r="AI29" s="370"/>
      <c r="AJ29" s="370"/>
      <c r="AK29" s="370"/>
      <c r="AL29" s="370"/>
      <c r="AM29" s="370"/>
      <c r="AN29" s="370"/>
      <c r="AO29" s="370"/>
      <c r="AP29" s="370"/>
      <c r="AQ29" s="370"/>
      <c r="AR29" s="370"/>
      <c r="AS29" s="370"/>
      <c r="AT29" s="370"/>
      <c r="AU29" s="370"/>
      <c r="AV29" s="370"/>
      <c r="AW29" s="370"/>
      <c r="AX29" s="370"/>
      <c r="AY29" s="370"/>
      <c r="AZ29" s="370"/>
      <c r="BA29" s="370"/>
      <c r="BB29" s="370"/>
      <c r="BC29" s="370"/>
      <c r="BD29" s="370"/>
      <c r="BE29" s="370"/>
      <c r="BF29" s="370"/>
      <c r="BG29" s="370"/>
      <c r="BH29" s="370"/>
      <c r="BI29" s="370"/>
      <c r="BJ29" s="370"/>
      <c r="BK29" s="370"/>
      <c r="BL29" s="370"/>
      <c r="BM29" s="370"/>
      <c r="BN29" s="370"/>
      <c r="BO29" s="370"/>
      <c r="BP29" s="370"/>
      <c r="BQ29" s="370"/>
      <c r="BR29" s="370"/>
      <c r="BS29" s="370"/>
      <c r="BT29" s="370"/>
      <c r="BU29" s="370"/>
      <c r="BV29" s="370"/>
      <c r="BW29" s="370"/>
      <c r="BX29" s="370"/>
      <c r="BY29" s="370"/>
      <c r="BZ29" s="370"/>
      <c r="CA29" s="370"/>
      <c r="CB29" s="370"/>
      <c r="CC29" s="370"/>
      <c r="CD29" s="370"/>
      <c r="CE29" s="370"/>
      <c r="CF29" s="370"/>
      <c r="CG29" s="370"/>
      <c r="CH29" s="370"/>
      <c r="CI29" s="370"/>
      <c r="CJ29" s="370"/>
      <c r="CK29" s="370"/>
      <c r="CL29" s="370"/>
      <c r="CM29" s="370"/>
      <c r="CN29" s="370"/>
    </row>
    <row r="30" spans="1:92" ht="15" customHeight="1">
      <c r="A30" s="641"/>
      <c r="B30" s="401" t="s">
        <v>703</v>
      </c>
      <c r="C30" s="402">
        <f>+_xlfn.XLOOKUP($B30,'FASE 2  '!$C$408:$Q$408,'FASE 2  '!$C$410:$Q$410)</f>
        <v>0.15</v>
      </c>
      <c r="D30" s="403">
        <f>+_xlfn.XLOOKUP($B30,'FASE 2  '!$C$408:$Q$408,'FASE 2  '!$C$411:$Q$411)</f>
        <v>0</v>
      </c>
      <c r="E30" s="403">
        <f>+_xlfn.XLOOKUP($B30,'FASE 2  '!$C$408:$Q$408,'FASE 2  '!$C$412:$Q$412)</f>
        <v>0</v>
      </c>
      <c r="F30" s="403">
        <f>+_xlfn.XLOOKUP($B30,'FASE 2  '!$C$408:$Q$408,'FASE 2  '!$C$413:$Q$413)</f>
        <v>0</v>
      </c>
      <c r="G30" s="403">
        <f>+_xlfn.XLOOKUP($B30,'FASE 2  '!$C$408:$Q$408,'FASE 2  '!$C$414:$Q$414)</f>
        <v>0</v>
      </c>
      <c r="H30" s="403">
        <f>+_xlfn.XLOOKUP($B30,'FASE 2  '!$C$408:$Q$408,'FASE 2  '!$C$415:$Q$415)</f>
        <v>0</v>
      </c>
      <c r="I30" s="403">
        <f>+_xlfn.XLOOKUP($B30,'FASE 2  '!$C$408:$Q$408,'FASE 2  '!$C$416:$Q$416)</f>
        <v>0</v>
      </c>
      <c r="J30" s="403">
        <f>+_xlfn.XLOOKUP($B30,'FASE 2  '!$C$408:$Q$408,'FASE 2  '!$C$417:$Q$417)</f>
        <v>0</v>
      </c>
      <c r="K30" s="403">
        <f>+_xlfn.XLOOKUP($B30,'FASE 2  '!$C$408:$Q$408,'FASE 2  '!$C$418:$Q$418)</f>
        <v>0</v>
      </c>
      <c r="L30" s="273">
        <f t="shared" ref="L30:L44" si="12">+AVERAGE(C30:K30)</f>
        <v>1.6666666666666666E-2</v>
      </c>
      <c r="M30" s="274"/>
      <c r="N30" s="273">
        <f>C30</f>
        <v>0.15</v>
      </c>
      <c r="O30" s="273">
        <f t="shared" ref="O30:V30" si="13">D30</f>
        <v>0</v>
      </c>
      <c r="P30" s="273">
        <f t="shared" si="13"/>
        <v>0</v>
      </c>
      <c r="Q30" s="273">
        <f t="shared" si="13"/>
        <v>0</v>
      </c>
      <c r="R30" s="273">
        <f t="shared" si="13"/>
        <v>0</v>
      </c>
      <c r="S30" s="273">
        <f t="shared" si="13"/>
        <v>0</v>
      </c>
      <c r="T30" s="273">
        <f t="shared" si="13"/>
        <v>0</v>
      </c>
      <c r="U30" s="273">
        <f t="shared" si="13"/>
        <v>0</v>
      </c>
      <c r="V30" s="273">
        <f t="shared" si="13"/>
        <v>0</v>
      </c>
      <c r="W30" s="274"/>
      <c r="X30" s="274"/>
      <c r="Y30" s="274"/>
      <c r="Z30" s="274"/>
      <c r="AA30" s="415"/>
    </row>
    <row r="31" spans="1:92" ht="15" customHeight="1">
      <c r="A31" s="641"/>
      <c r="B31" s="376" t="s">
        <v>704</v>
      </c>
      <c r="C31" s="372">
        <f>+_xlfn.XLOOKUP($B31,'FASE 2  '!$C$408:$Q$408,'FASE 2  '!$C$410:$Q$410)</f>
        <v>8.3333333333333329E-2</v>
      </c>
      <c r="D31" s="264">
        <f>+_xlfn.XLOOKUP($B31,'FASE 2  '!$C$408:$Q$408,'FASE 2  '!$C$411:$Q$411)</f>
        <v>0</v>
      </c>
      <c r="E31" s="264">
        <f>+_xlfn.XLOOKUP($B31,'FASE 2  '!$C$408:$Q$408,'FASE 2  '!$C$412:$Q$412)</f>
        <v>0</v>
      </c>
      <c r="F31" s="264">
        <f>+_xlfn.XLOOKUP($B31,'FASE 2  '!$C$408:$Q$408,'FASE 2  '!$C$413:$Q$413)</f>
        <v>0</v>
      </c>
      <c r="G31" s="264">
        <f>+_xlfn.XLOOKUP($B31,'FASE 2  '!$C$408:$Q$408,'FASE 2  '!$C$414:$Q$414)</f>
        <v>0</v>
      </c>
      <c r="H31" s="264">
        <f>+_xlfn.XLOOKUP($B31,'FASE 2  '!$C$408:$Q$408,'FASE 2  '!$C$415:$Q$415)</f>
        <v>0</v>
      </c>
      <c r="I31" s="264">
        <f>+_xlfn.XLOOKUP($B31,'FASE 2  '!$C$408:$Q$408,'FASE 2  '!$C$416:$Q$416)</f>
        <v>0</v>
      </c>
      <c r="J31" s="264">
        <f>+_xlfn.XLOOKUP($B31,'FASE 2  '!$C$408:$Q$408,'FASE 2  '!$C$417:$Q$417)</f>
        <v>0</v>
      </c>
      <c r="K31" s="264">
        <f>+_xlfn.XLOOKUP($B31,'FASE 2  '!$C$408:$Q$408,'FASE 2  '!$C$418:$Q$418)</f>
        <v>0</v>
      </c>
      <c r="L31" s="273">
        <f t="shared" si="12"/>
        <v>9.2592592592592587E-3</v>
      </c>
      <c r="M31" s="274"/>
      <c r="N31" s="273">
        <f t="shared" ref="N31:N44" si="14">C31</f>
        <v>8.3333333333333329E-2</v>
      </c>
      <c r="O31" s="273">
        <f t="shared" ref="O31:O44" si="15">D31</f>
        <v>0</v>
      </c>
      <c r="P31" s="273">
        <f t="shared" ref="P31:P44" si="16">E31</f>
        <v>0</v>
      </c>
      <c r="Q31" s="273">
        <f t="shared" ref="Q31:Q44" si="17">F31</f>
        <v>0</v>
      </c>
      <c r="R31" s="273">
        <f t="shared" ref="R31:R44" si="18">G31</f>
        <v>0</v>
      </c>
      <c r="S31" s="273">
        <f t="shared" ref="S31:S44" si="19">H31</f>
        <v>0</v>
      </c>
      <c r="T31" s="273">
        <f t="shared" ref="T31:T44" si="20">I31</f>
        <v>0</v>
      </c>
      <c r="U31" s="273">
        <f t="shared" ref="U31:U44" si="21">J31</f>
        <v>0</v>
      </c>
      <c r="V31" s="273">
        <f t="shared" ref="V31:V44" si="22">K31</f>
        <v>0</v>
      </c>
      <c r="W31" s="274"/>
      <c r="X31" s="274"/>
      <c r="Y31" s="274"/>
      <c r="Z31" s="274"/>
      <c r="AA31" s="415"/>
    </row>
    <row r="32" spans="1:92" ht="15" customHeight="1">
      <c r="A32" s="641"/>
      <c r="B32" s="376" t="s">
        <v>705</v>
      </c>
      <c r="C32" s="372">
        <f>+_xlfn.XLOOKUP($B32,'FASE 2  '!$C$408:$Q$408,'FASE 2  '!$C$410:$Q$410)</f>
        <v>8.3333333333333329E-2</v>
      </c>
      <c r="D32" s="264">
        <f>+_xlfn.XLOOKUP($B32,'FASE 2  '!$C$408:$Q$408,'FASE 2  '!$C$411:$Q$411)</f>
        <v>0</v>
      </c>
      <c r="E32" s="264">
        <f>+_xlfn.XLOOKUP($B32,'FASE 2  '!$C$408:$Q$408,'FASE 2  '!$C$412:$Q$412)</f>
        <v>0</v>
      </c>
      <c r="F32" s="264">
        <f>+_xlfn.XLOOKUP($B32,'FASE 2  '!$C$408:$Q$408,'FASE 2  '!$C$413:$Q$413)</f>
        <v>0</v>
      </c>
      <c r="G32" s="264">
        <f>+_xlfn.XLOOKUP($B32,'FASE 2  '!$C$408:$Q$408,'FASE 2  '!$C$414:$Q$414)</f>
        <v>0</v>
      </c>
      <c r="H32" s="264">
        <f>+_xlfn.XLOOKUP($B32,'FASE 2  '!$C$408:$Q$408,'FASE 2  '!$C$415:$Q$415)</f>
        <v>0</v>
      </c>
      <c r="I32" s="264">
        <f>+_xlfn.XLOOKUP($B32,'FASE 2  '!$C$408:$Q$408,'FASE 2  '!$C$416:$Q$416)</f>
        <v>0</v>
      </c>
      <c r="J32" s="264">
        <f>+_xlfn.XLOOKUP($B32,'FASE 2  '!$C$408:$Q$408,'FASE 2  '!$C$417:$Q$417)</f>
        <v>0</v>
      </c>
      <c r="K32" s="264">
        <f>+_xlfn.XLOOKUP($B32,'FASE 2  '!$C$408:$Q$408,'FASE 2  '!$C$418:$Q$418)</f>
        <v>0</v>
      </c>
      <c r="L32" s="273">
        <f t="shared" si="12"/>
        <v>9.2592592592592587E-3</v>
      </c>
      <c r="M32" s="274"/>
      <c r="N32" s="273">
        <f t="shared" si="14"/>
        <v>8.3333333333333329E-2</v>
      </c>
      <c r="O32" s="273">
        <f t="shared" si="15"/>
        <v>0</v>
      </c>
      <c r="P32" s="273">
        <f t="shared" si="16"/>
        <v>0</v>
      </c>
      <c r="Q32" s="273">
        <f t="shared" si="17"/>
        <v>0</v>
      </c>
      <c r="R32" s="273">
        <f t="shared" si="18"/>
        <v>0</v>
      </c>
      <c r="S32" s="273">
        <f t="shared" si="19"/>
        <v>0</v>
      </c>
      <c r="T32" s="273">
        <f t="shared" si="20"/>
        <v>0</v>
      </c>
      <c r="U32" s="273">
        <f t="shared" si="21"/>
        <v>0</v>
      </c>
      <c r="V32" s="273">
        <f t="shared" si="22"/>
        <v>0</v>
      </c>
      <c r="W32" s="274"/>
      <c r="X32" s="274"/>
      <c r="Y32" s="274"/>
      <c r="Z32" s="274"/>
      <c r="AA32" s="415"/>
    </row>
    <row r="33" spans="1:92" ht="15" customHeight="1">
      <c r="A33" s="641"/>
      <c r="B33" s="376" t="s">
        <v>706</v>
      </c>
      <c r="C33" s="372">
        <f>+_xlfn.XLOOKUP($B33,'FASE 2  '!$C$408:$Q$408,'FASE 2  '!$C$410:$Q$410)</f>
        <v>0.3666666666666667</v>
      </c>
      <c r="D33" s="264">
        <f>+_xlfn.XLOOKUP($B33,'FASE 2  '!$C$408:$Q$408,'FASE 2  '!$C$411:$Q$411)</f>
        <v>0</v>
      </c>
      <c r="E33" s="264">
        <f>+_xlfn.XLOOKUP($B33,'FASE 2  '!$C$408:$Q$408,'FASE 2  '!$C$412:$Q$412)</f>
        <v>0</v>
      </c>
      <c r="F33" s="264">
        <f>+_xlfn.XLOOKUP($B33,'FASE 2  '!$C$408:$Q$408,'FASE 2  '!$C$413:$Q$413)</f>
        <v>0</v>
      </c>
      <c r="G33" s="264">
        <f>+_xlfn.XLOOKUP($B33,'FASE 2  '!$C$408:$Q$408,'FASE 2  '!$C$414:$Q$414)</f>
        <v>0</v>
      </c>
      <c r="H33" s="264">
        <f>+_xlfn.XLOOKUP($B33,'FASE 2  '!$C$408:$Q$408,'FASE 2  '!$C$415:$Q$415)</f>
        <v>0</v>
      </c>
      <c r="I33" s="264">
        <f>+_xlfn.XLOOKUP($B33,'FASE 2  '!$C$408:$Q$408,'FASE 2  '!$C$416:$Q$416)</f>
        <v>0</v>
      </c>
      <c r="J33" s="264">
        <f>+_xlfn.XLOOKUP($B33,'FASE 2  '!$C$408:$Q$408,'FASE 2  '!$C$417:$Q$417)</f>
        <v>0</v>
      </c>
      <c r="K33" s="264">
        <f>+_xlfn.XLOOKUP($B33,'FASE 2  '!$C$408:$Q$408,'FASE 2  '!$C$418:$Q$418)</f>
        <v>0</v>
      </c>
      <c r="L33" s="273">
        <f t="shared" si="12"/>
        <v>4.0740740740740744E-2</v>
      </c>
      <c r="M33" s="274"/>
      <c r="N33" s="273">
        <f t="shared" si="14"/>
        <v>0.3666666666666667</v>
      </c>
      <c r="O33" s="273">
        <f t="shared" si="15"/>
        <v>0</v>
      </c>
      <c r="P33" s="273">
        <f t="shared" si="16"/>
        <v>0</v>
      </c>
      <c r="Q33" s="273">
        <f t="shared" si="17"/>
        <v>0</v>
      </c>
      <c r="R33" s="273">
        <f t="shared" si="18"/>
        <v>0</v>
      </c>
      <c r="S33" s="273">
        <f t="shared" si="19"/>
        <v>0</v>
      </c>
      <c r="T33" s="273">
        <f t="shared" si="20"/>
        <v>0</v>
      </c>
      <c r="U33" s="273">
        <f t="shared" si="21"/>
        <v>0</v>
      </c>
      <c r="V33" s="273">
        <f t="shared" si="22"/>
        <v>0</v>
      </c>
      <c r="W33" s="274"/>
      <c r="X33" s="274"/>
      <c r="Y33" s="274"/>
      <c r="Z33" s="274"/>
      <c r="AA33" s="415"/>
    </row>
    <row r="34" spans="1:92" ht="15" customHeight="1">
      <c r="A34" s="641"/>
      <c r="B34" s="376" t="s">
        <v>707</v>
      </c>
      <c r="C34" s="372">
        <f>+_xlfn.XLOOKUP($B34,'FASE 2  '!$C$408:$Q$408,'FASE 2  '!$C$410:$Q$410)</f>
        <v>0.16666666666666666</v>
      </c>
      <c r="D34" s="264">
        <f>+_xlfn.XLOOKUP($B34,'FASE 2  '!$C$408:$Q$408,'FASE 2  '!$C$411:$Q$411)</f>
        <v>0</v>
      </c>
      <c r="E34" s="264">
        <f>+_xlfn.XLOOKUP($B34,'FASE 2  '!$C$408:$Q$408,'FASE 2  '!$C$412:$Q$412)</f>
        <v>0</v>
      </c>
      <c r="F34" s="264">
        <f>+_xlfn.XLOOKUP($B34,'FASE 2  '!$C$408:$Q$408,'FASE 2  '!$C$413:$Q$413)</f>
        <v>0</v>
      </c>
      <c r="G34" s="264">
        <f>+_xlfn.XLOOKUP($B34,'FASE 2  '!$C$408:$Q$408,'FASE 2  '!$C$414:$Q$414)</f>
        <v>0</v>
      </c>
      <c r="H34" s="264">
        <f>+_xlfn.XLOOKUP($B34,'FASE 2  '!$C$408:$Q$408,'FASE 2  '!$C$415:$Q$415)</f>
        <v>0</v>
      </c>
      <c r="I34" s="264">
        <f>+_xlfn.XLOOKUP($B34,'FASE 2  '!$C$408:$Q$408,'FASE 2  '!$C$416:$Q$416)</f>
        <v>0</v>
      </c>
      <c r="J34" s="264">
        <f>+_xlfn.XLOOKUP($B34,'FASE 2  '!$C$408:$Q$408,'FASE 2  '!$C$417:$Q$417)</f>
        <v>0</v>
      </c>
      <c r="K34" s="264">
        <f>+_xlfn.XLOOKUP($B34,'FASE 2  '!$C$408:$Q$408,'FASE 2  '!$C$418:$Q$418)</f>
        <v>0</v>
      </c>
      <c r="L34" s="273">
        <f t="shared" si="12"/>
        <v>1.8518518518518517E-2</v>
      </c>
      <c r="M34" s="274"/>
      <c r="N34" s="273">
        <f t="shared" si="14"/>
        <v>0.16666666666666666</v>
      </c>
      <c r="O34" s="273">
        <f t="shared" si="15"/>
        <v>0</v>
      </c>
      <c r="P34" s="273">
        <f t="shared" si="16"/>
        <v>0</v>
      </c>
      <c r="Q34" s="273">
        <f t="shared" si="17"/>
        <v>0</v>
      </c>
      <c r="R34" s="273">
        <f t="shared" si="18"/>
        <v>0</v>
      </c>
      <c r="S34" s="273">
        <f t="shared" si="19"/>
        <v>0</v>
      </c>
      <c r="T34" s="273">
        <f t="shared" si="20"/>
        <v>0</v>
      </c>
      <c r="U34" s="273">
        <f t="shared" si="21"/>
        <v>0</v>
      </c>
      <c r="V34" s="273">
        <f t="shared" si="22"/>
        <v>0</v>
      </c>
      <c r="W34" s="274"/>
      <c r="X34" s="274"/>
      <c r="Y34" s="274"/>
      <c r="Z34" s="274"/>
      <c r="AA34" s="415"/>
    </row>
    <row r="35" spans="1:92" ht="15" customHeight="1">
      <c r="A35" s="641"/>
      <c r="B35" s="376" t="s">
        <v>708</v>
      </c>
      <c r="C35" s="372">
        <f>+_xlfn.XLOOKUP($B35,'FASE 2  '!$C$408:$Q$408,'FASE 2  '!$C$410:$Q$410)</f>
        <v>0.34583333333333338</v>
      </c>
      <c r="D35" s="264">
        <f>+_xlfn.XLOOKUP($B35,'FASE 2  '!$C$408:$Q$408,'FASE 2  '!$C$411:$Q$411)</f>
        <v>0</v>
      </c>
      <c r="E35" s="264">
        <f>+_xlfn.XLOOKUP($B35,'FASE 2  '!$C$408:$Q$408,'FASE 2  '!$C$412:$Q$412)</f>
        <v>0</v>
      </c>
      <c r="F35" s="264">
        <f>+_xlfn.XLOOKUP($B35,'FASE 2  '!$C$408:$Q$408,'FASE 2  '!$C$413:$Q$413)</f>
        <v>0</v>
      </c>
      <c r="G35" s="264">
        <f>+_xlfn.XLOOKUP($B35,'FASE 2  '!$C$408:$Q$408,'FASE 2  '!$C$414:$Q$414)</f>
        <v>0</v>
      </c>
      <c r="H35" s="264">
        <f>+_xlfn.XLOOKUP($B35,'FASE 2  '!$C$408:$Q$408,'FASE 2  '!$C$415:$Q$415)</f>
        <v>0</v>
      </c>
      <c r="I35" s="264">
        <f>+_xlfn.XLOOKUP($B35,'FASE 2  '!$C$408:$Q$408,'FASE 2  '!$C$416:$Q$416)</f>
        <v>0</v>
      </c>
      <c r="J35" s="264">
        <f>+_xlfn.XLOOKUP($B35,'FASE 2  '!$C$408:$Q$408,'FASE 2  '!$C$417:$Q$417)</f>
        <v>0</v>
      </c>
      <c r="K35" s="264">
        <f>+_xlfn.XLOOKUP($B35,'FASE 2  '!$C$408:$Q$408,'FASE 2  '!$C$418:$Q$418)</f>
        <v>0</v>
      </c>
      <c r="L35" s="273">
        <f t="shared" si="12"/>
        <v>3.8425925925925933E-2</v>
      </c>
      <c r="M35" s="274"/>
      <c r="N35" s="273">
        <f t="shared" si="14"/>
        <v>0.34583333333333338</v>
      </c>
      <c r="O35" s="273">
        <f t="shared" si="15"/>
        <v>0</v>
      </c>
      <c r="P35" s="273">
        <f t="shared" si="16"/>
        <v>0</v>
      </c>
      <c r="Q35" s="273">
        <f t="shared" si="17"/>
        <v>0</v>
      </c>
      <c r="R35" s="273">
        <f t="shared" si="18"/>
        <v>0</v>
      </c>
      <c r="S35" s="273">
        <f t="shared" si="19"/>
        <v>0</v>
      </c>
      <c r="T35" s="273">
        <f t="shared" si="20"/>
        <v>0</v>
      </c>
      <c r="U35" s="273">
        <f t="shared" si="21"/>
        <v>0</v>
      </c>
      <c r="V35" s="273">
        <f t="shared" si="22"/>
        <v>0</v>
      </c>
      <c r="W35" s="274"/>
      <c r="X35" s="274"/>
      <c r="Y35" s="274"/>
      <c r="Z35" s="274"/>
      <c r="AA35" s="415"/>
    </row>
    <row r="36" spans="1:92" ht="15" customHeight="1">
      <c r="A36" s="641"/>
      <c r="B36" s="376" t="s">
        <v>709</v>
      </c>
      <c r="C36" s="372">
        <f>+_xlfn.XLOOKUP($B36,'FASE 2  '!$C$408:$Q$408,'FASE 2  '!$C$410:$Q$410)</f>
        <v>8.3333333333333329E-2</v>
      </c>
      <c r="D36" s="264">
        <f>+_xlfn.XLOOKUP($B36,'FASE 2  '!$C$408:$Q$408,'FASE 2  '!$C$411:$Q$411)</f>
        <v>0</v>
      </c>
      <c r="E36" s="264">
        <f>+_xlfn.XLOOKUP($B36,'FASE 2  '!$C$408:$Q$408,'FASE 2  '!$C$412:$Q$412)</f>
        <v>0</v>
      </c>
      <c r="F36" s="264">
        <f>+_xlfn.XLOOKUP($B36,'FASE 2  '!$C$408:$Q$408,'FASE 2  '!$C$413:$Q$413)</f>
        <v>0</v>
      </c>
      <c r="G36" s="264">
        <f>+_xlfn.XLOOKUP($B36,'FASE 2  '!$C$408:$Q$408,'FASE 2  '!$C$414:$Q$414)</f>
        <v>0</v>
      </c>
      <c r="H36" s="264">
        <f>+_xlfn.XLOOKUP($B36,'FASE 2  '!$C$408:$Q$408,'FASE 2  '!$C$415:$Q$415)</f>
        <v>0</v>
      </c>
      <c r="I36" s="264">
        <f>+_xlfn.XLOOKUP($B36,'FASE 2  '!$C$408:$Q$408,'FASE 2  '!$C$416:$Q$416)</f>
        <v>0</v>
      </c>
      <c r="J36" s="264">
        <f>+_xlfn.XLOOKUP($B36,'FASE 2  '!$C$408:$Q$408,'FASE 2  '!$C$417:$Q$417)</f>
        <v>0</v>
      </c>
      <c r="K36" s="264">
        <f>+_xlfn.XLOOKUP($B36,'FASE 2  '!$C$408:$Q$408,'FASE 2  '!$C$418:$Q$418)</f>
        <v>0</v>
      </c>
      <c r="L36" s="273">
        <f t="shared" si="12"/>
        <v>9.2592592592592587E-3</v>
      </c>
      <c r="M36" s="274"/>
      <c r="N36" s="273">
        <f t="shared" si="14"/>
        <v>8.3333333333333329E-2</v>
      </c>
      <c r="O36" s="273">
        <f t="shared" si="15"/>
        <v>0</v>
      </c>
      <c r="P36" s="273">
        <f t="shared" si="16"/>
        <v>0</v>
      </c>
      <c r="Q36" s="273">
        <f t="shared" si="17"/>
        <v>0</v>
      </c>
      <c r="R36" s="273">
        <f t="shared" si="18"/>
        <v>0</v>
      </c>
      <c r="S36" s="273">
        <f t="shared" si="19"/>
        <v>0</v>
      </c>
      <c r="T36" s="273">
        <f t="shared" si="20"/>
        <v>0</v>
      </c>
      <c r="U36" s="273">
        <f t="shared" si="21"/>
        <v>0</v>
      </c>
      <c r="V36" s="273">
        <f t="shared" si="22"/>
        <v>0</v>
      </c>
      <c r="W36" s="274"/>
      <c r="X36" s="274"/>
      <c r="Y36" s="274"/>
      <c r="Z36" s="274"/>
      <c r="AA36" s="415"/>
    </row>
    <row r="37" spans="1:92" ht="15" customHeight="1">
      <c r="A37" s="641"/>
      <c r="B37" s="376" t="s">
        <v>749</v>
      </c>
      <c r="C37" s="372">
        <f>+_xlfn.XLOOKUP($B37,'FASE 2  '!$C$408:$Q$408,'FASE 2  '!$C$410:$Q$410)</f>
        <v>8.3333333333333329E-2</v>
      </c>
      <c r="D37" s="264">
        <f>+_xlfn.XLOOKUP($B37,'FASE 2  '!$C$408:$Q$408,'FASE 2  '!$C$411:$Q$411)</f>
        <v>0</v>
      </c>
      <c r="E37" s="264">
        <f>+_xlfn.XLOOKUP($B37,'FASE 2  '!$C$408:$Q$408,'FASE 2  '!$C$412:$Q$412)</f>
        <v>0</v>
      </c>
      <c r="F37" s="264">
        <f>+_xlfn.XLOOKUP($B37,'FASE 2  '!$C$408:$Q$408,'FASE 2  '!$C$413:$Q$413)</f>
        <v>0</v>
      </c>
      <c r="G37" s="264">
        <f>+_xlfn.XLOOKUP($B37,'FASE 2  '!$C$408:$Q$408,'FASE 2  '!$C$414:$Q$414)</f>
        <v>0</v>
      </c>
      <c r="H37" s="264">
        <f>+_xlfn.XLOOKUP($B37,'FASE 2  '!$C$408:$Q$408,'FASE 2  '!$C$415:$Q$415)</f>
        <v>0</v>
      </c>
      <c r="I37" s="264">
        <f>+_xlfn.XLOOKUP($B37,'FASE 2  '!$C$408:$Q$408,'FASE 2  '!$C$416:$Q$416)</f>
        <v>0</v>
      </c>
      <c r="J37" s="264">
        <f>+_xlfn.XLOOKUP($B37,'FASE 2  '!$C$408:$Q$408,'FASE 2  '!$C$417:$Q$417)</f>
        <v>0</v>
      </c>
      <c r="K37" s="264">
        <f>+_xlfn.XLOOKUP($B37,'FASE 2  '!$C$408:$Q$408,'FASE 2  '!$C$418:$Q$418)</f>
        <v>0</v>
      </c>
      <c r="L37" s="273">
        <f t="shared" si="12"/>
        <v>9.2592592592592587E-3</v>
      </c>
      <c r="M37" s="274"/>
      <c r="N37" s="273">
        <f t="shared" si="14"/>
        <v>8.3333333333333329E-2</v>
      </c>
      <c r="O37" s="273">
        <f t="shared" si="15"/>
        <v>0</v>
      </c>
      <c r="P37" s="273">
        <f t="shared" si="16"/>
        <v>0</v>
      </c>
      <c r="Q37" s="273">
        <f t="shared" si="17"/>
        <v>0</v>
      </c>
      <c r="R37" s="273">
        <f t="shared" si="18"/>
        <v>0</v>
      </c>
      <c r="S37" s="273">
        <f t="shared" si="19"/>
        <v>0</v>
      </c>
      <c r="T37" s="273">
        <f t="shared" si="20"/>
        <v>0</v>
      </c>
      <c r="U37" s="273">
        <f t="shared" si="21"/>
        <v>0</v>
      </c>
      <c r="V37" s="273">
        <f t="shared" si="22"/>
        <v>0</v>
      </c>
      <c r="W37" s="274"/>
      <c r="X37" s="274"/>
      <c r="Y37" s="274"/>
      <c r="Z37" s="274"/>
      <c r="AA37" s="415"/>
    </row>
    <row r="38" spans="1:92" ht="15" customHeight="1">
      <c r="A38" s="641"/>
      <c r="B38" s="376" t="s">
        <v>710</v>
      </c>
      <c r="C38" s="372">
        <f>+_xlfn.XLOOKUP($B38,'FASE 2  '!$C$408:$Q$408,'FASE 2  '!$C$410:$Q$410)</f>
        <v>8.3333333333333329E-2</v>
      </c>
      <c r="D38" s="264">
        <f>+_xlfn.XLOOKUP($B38,'FASE 2  '!$C$408:$Q$408,'FASE 2  '!$C$411:$Q$411)</f>
        <v>0</v>
      </c>
      <c r="E38" s="264">
        <f>+_xlfn.XLOOKUP($B38,'FASE 2  '!$C$408:$Q$408,'FASE 2  '!$C$412:$Q$412)</f>
        <v>0</v>
      </c>
      <c r="F38" s="264">
        <f>+_xlfn.XLOOKUP($B38,'FASE 2  '!$C$408:$Q$408,'FASE 2  '!$C$413:$Q$413)</f>
        <v>0</v>
      </c>
      <c r="G38" s="264">
        <f>+_xlfn.XLOOKUP($B38,'FASE 2  '!$C$408:$Q$408,'FASE 2  '!$C$414:$Q$414)</f>
        <v>0</v>
      </c>
      <c r="H38" s="264">
        <f>+_xlfn.XLOOKUP($B38,'FASE 2  '!$C$408:$Q$408,'FASE 2  '!$C$415:$Q$415)</f>
        <v>0</v>
      </c>
      <c r="I38" s="264">
        <f>+_xlfn.XLOOKUP($B38,'FASE 2  '!$C$408:$Q$408,'FASE 2  '!$C$416:$Q$416)</f>
        <v>0</v>
      </c>
      <c r="J38" s="264">
        <f>+_xlfn.XLOOKUP($B38,'FASE 2  '!$C$408:$Q$408,'FASE 2  '!$C$417:$Q$417)</f>
        <v>0</v>
      </c>
      <c r="K38" s="264">
        <f>+_xlfn.XLOOKUP($B38,'FASE 2  '!$C$408:$Q$408,'FASE 2  '!$C$418:$Q$418)</f>
        <v>0</v>
      </c>
      <c r="L38" s="273">
        <f t="shared" si="12"/>
        <v>9.2592592592592587E-3</v>
      </c>
      <c r="M38" s="274"/>
      <c r="N38" s="273">
        <f t="shared" si="14"/>
        <v>8.3333333333333329E-2</v>
      </c>
      <c r="O38" s="273">
        <f t="shared" si="15"/>
        <v>0</v>
      </c>
      <c r="P38" s="273">
        <f t="shared" si="16"/>
        <v>0</v>
      </c>
      <c r="Q38" s="273">
        <f t="shared" si="17"/>
        <v>0</v>
      </c>
      <c r="R38" s="273">
        <f t="shared" si="18"/>
        <v>0</v>
      </c>
      <c r="S38" s="273">
        <f t="shared" si="19"/>
        <v>0</v>
      </c>
      <c r="T38" s="273">
        <f t="shared" si="20"/>
        <v>0</v>
      </c>
      <c r="U38" s="273">
        <f t="shared" si="21"/>
        <v>0</v>
      </c>
      <c r="V38" s="273">
        <f t="shared" si="22"/>
        <v>0</v>
      </c>
      <c r="W38" s="274"/>
      <c r="X38" s="274"/>
      <c r="Y38" s="274"/>
      <c r="Z38" s="274"/>
      <c r="AA38" s="415"/>
    </row>
    <row r="39" spans="1:92" ht="15" customHeight="1">
      <c r="A39" s="641"/>
      <c r="B39" s="376" t="s">
        <v>711</v>
      </c>
      <c r="C39" s="372">
        <f>+_xlfn.XLOOKUP($B39,'FASE 2  '!$C$408:$Q$408,'FASE 2  '!$C$410:$Q$410)</f>
        <v>8.3333333333333329E-2</v>
      </c>
      <c r="D39" s="264">
        <f>+_xlfn.XLOOKUP($B39,'FASE 2  '!$C$408:$Q$408,'FASE 2  '!$C$411:$Q$411)</f>
        <v>0</v>
      </c>
      <c r="E39" s="264">
        <f>+_xlfn.XLOOKUP($B39,'FASE 2  '!$C$408:$Q$408,'FASE 2  '!$C$412:$Q$412)</f>
        <v>0</v>
      </c>
      <c r="F39" s="264">
        <f>+_xlfn.XLOOKUP($B39,'FASE 2  '!$C$408:$Q$408,'FASE 2  '!$C$413:$Q$413)</f>
        <v>0</v>
      </c>
      <c r="G39" s="264">
        <f>+_xlfn.XLOOKUP($B39,'FASE 2  '!$C$408:$Q$408,'FASE 2  '!$C$414:$Q$414)</f>
        <v>0</v>
      </c>
      <c r="H39" s="264">
        <f>+_xlfn.XLOOKUP($B39,'FASE 2  '!$C$408:$Q$408,'FASE 2  '!$C$415:$Q$415)</f>
        <v>0</v>
      </c>
      <c r="I39" s="264">
        <f>+_xlfn.XLOOKUP($B39,'FASE 2  '!$C$408:$Q$408,'FASE 2  '!$C$416:$Q$416)</f>
        <v>0</v>
      </c>
      <c r="J39" s="264">
        <f>+_xlfn.XLOOKUP($B39,'FASE 2  '!$C$408:$Q$408,'FASE 2  '!$C$417:$Q$417)</f>
        <v>0</v>
      </c>
      <c r="K39" s="264">
        <f>+_xlfn.XLOOKUP($B39,'FASE 2  '!$C$408:$Q$408,'FASE 2  '!$C$418:$Q$418)</f>
        <v>0</v>
      </c>
      <c r="L39" s="273">
        <f t="shared" si="12"/>
        <v>9.2592592592592587E-3</v>
      </c>
      <c r="M39" s="274"/>
      <c r="N39" s="273">
        <f t="shared" si="14"/>
        <v>8.3333333333333329E-2</v>
      </c>
      <c r="O39" s="273">
        <f t="shared" si="15"/>
        <v>0</v>
      </c>
      <c r="P39" s="273">
        <f t="shared" si="16"/>
        <v>0</v>
      </c>
      <c r="Q39" s="273">
        <f t="shared" si="17"/>
        <v>0</v>
      </c>
      <c r="R39" s="273">
        <f t="shared" si="18"/>
        <v>0</v>
      </c>
      <c r="S39" s="273">
        <f t="shared" si="19"/>
        <v>0</v>
      </c>
      <c r="T39" s="273">
        <f t="shared" si="20"/>
        <v>0</v>
      </c>
      <c r="U39" s="273">
        <f t="shared" si="21"/>
        <v>0</v>
      </c>
      <c r="V39" s="273">
        <f t="shared" si="22"/>
        <v>0</v>
      </c>
      <c r="W39" s="274"/>
      <c r="X39" s="274"/>
      <c r="Y39" s="274"/>
      <c r="Z39" s="274"/>
      <c r="AA39" s="415"/>
    </row>
    <row r="40" spans="1:92" ht="15" customHeight="1">
      <c r="A40" s="641"/>
      <c r="B40" s="376" t="s">
        <v>712</v>
      </c>
      <c r="C40" s="372">
        <f>+_xlfn.XLOOKUP($B40,'FASE 2  '!$C$408:$Q$408,'FASE 2  '!$C$410:$Q$410)</f>
        <v>4.1666666666666664E-2</v>
      </c>
      <c r="D40" s="264">
        <f>+_xlfn.XLOOKUP($B40,'FASE 2  '!$C$408:$Q$408,'FASE 2  '!$C$411:$Q$411)</f>
        <v>0</v>
      </c>
      <c r="E40" s="264">
        <f>+_xlfn.XLOOKUP($B40,'FASE 2  '!$C$408:$Q$408,'FASE 2  '!$C$412:$Q$412)</f>
        <v>0</v>
      </c>
      <c r="F40" s="264">
        <f>+_xlfn.XLOOKUP($B40,'FASE 2  '!$C$408:$Q$408,'FASE 2  '!$C$413:$Q$413)</f>
        <v>0</v>
      </c>
      <c r="G40" s="264">
        <f>+_xlfn.XLOOKUP($B40,'FASE 2  '!$C$408:$Q$408,'FASE 2  '!$C$414:$Q$414)</f>
        <v>0</v>
      </c>
      <c r="H40" s="264">
        <f>+_xlfn.XLOOKUP($B40,'FASE 2  '!$C$408:$Q$408,'FASE 2  '!$C$415:$Q$415)</f>
        <v>0</v>
      </c>
      <c r="I40" s="264">
        <f>+_xlfn.XLOOKUP($B40,'FASE 2  '!$C$408:$Q$408,'FASE 2  '!$C$416:$Q$416)</f>
        <v>0</v>
      </c>
      <c r="J40" s="264">
        <f>+_xlfn.XLOOKUP($B40,'FASE 2  '!$C$408:$Q$408,'FASE 2  '!$C$417:$Q$417)</f>
        <v>0</v>
      </c>
      <c r="K40" s="264">
        <f>+_xlfn.XLOOKUP($B40,'FASE 2  '!$C$408:$Q$408,'FASE 2  '!$C$418:$Q$418)</f>
        <v>0</v>
      </c>
      <c r="L40" s="273">
        <f t="shared" si="12"/>
        <v>4.6296296296296294E-3</v>
      </c>
      <c r="M40" s="274"/>
      <c r="N40" s="273">
        <f t="shared" si="14"/>
        <v>4.1666666666666664E-2</v>
      </c>
      <c r="O40" s="273">
        <f t="shared" si="15"/>
        <v>0</v>
      </c>
      <c r="P40" s="273">
        <f t="shared" si="16"/>
        <v>0</v>
      </c>
      <c r="Q40" s="273">
        <f t="shared" si="17"/>
        <v>0</v>
      </c>
      <c r="R40" s="273">
        <f t="shared" si="18"/>
        <v>0</v>
      </c>
      <c r="S40" s="273">
        <f t="shared" si="19"/>
        <v>0</v>
      </c>
      <c r="T40" s="273">
        <f t="shared" si="20"/>
        <v>0</v>
      </c>
      <c r="U40" s="273">
        <f t="shared" si="21"/>
        <v>0</v>
      </c>
      <c r="V40" s="273">
        <f t="shared" si="22"/>
        <v>0</v>
      </c>
      <c r="W40" s="274"/>
      <c r="X40" s="274"/>
      <c r="Y40" s="274"/>
      <c r="Z40" s="274"/>
      <c r="AA40" s="415"/>
    </row>
    <row r="41" spans="1:92" ht="15" customHeight="1">
      <c r="A41" s="641"/>
      <c r="B41" s="376" t="s">
        <v>713</v>
      </c>
      <c r="C41" s="372">
        <f>+_xlfn.XLOOKUP($B41,'FASE 2  '!$C$408:$Q$408,'FASE 2  '!$C$410:$Q$410)</f>
        <v>4.1666666666666664E-2</v>
      </c>
      <c r="D41" s="264">
        <f>+_xlfn.XLOOKUP($B41,'FASE 2  '!$C$408:$Q$408,'FASE 2  '!$C$411:$Q$411)</f>
        <v>0</v>
      </c>
      <c r="E41" s="264">
        <f>+_xlfn.XLOOKUP($B41,'FASE 2  '!$C$408:$Q$408,'FASE 2  '!$C$412:$Q$412)</f>
        <v>0</v>
      </c>
      <c r="F41" s="264">
        <f>+_xlfn.XLOOKUP($B41,'FASE 2  '!$C$408:$Q$408,'FASE 2  '!$C$413:$Q$413)</f>
        <v>0</v>
      </c>
      <c r="G41" s="264">
        <f>+_xlfn.XLOOKUP($B41,'FASE 2  '!$C$408:$Q$408,'FASE 2  '!$C$414:$Q$414)</f>
        <v>0</v>
      </c>
      <c r="H41" s="264">
        <f>+_xlfn.XLOOKUP($B41,'FASE 2  '!$C$408:$Q$408,'FASE 2  '!$C$415:$Q$415)</f>
        <v>0</v>
      </c>
      <c r="I41" s="264">
        <f>+_xlfn.XLOOKUP($B41,'FASE 2  '!$C$408:$Q$408,'FASE 2  '!$C$416:$Q$416)</f>
        <v>0</v>
      </c>
      <c r="J41" s="264">
        <f>+_xlfn.XLOOKUP($B41,'FASE 2  '!$C$408:$Q$408,'FASE 2  '!$C$417:$Q$417)</f>
        <v>0</v>
      </c>
      <c r="K41" s="264">
        <f>+_xlfn.XLOOKUP($B41,'FASE 2  '!$C$408:$Q$408,'FASE 2  '!$C$418:$Q$418)</f>
        <v>0</v>
      </c>
      <c r="L41" s="273">
        <f t="shared" si="12"/>
        <v>4.6296296296296294E-3</v>
      </c>
      <c r="M41" s="274"/>
      <c r="N41" s="273">
        <f t="shared" si="14"/>
        <v>4.1666666666666664E-2</v>
      </c>
      <c r="O41" s="273">
        <f t="shared" si="15"/>
        <v>0</v>
      </c>
      <c r="P41" s="273">
        <f t="shared" si="16"/>
        <v>0</v>
      </c>
      <c r="Q41" s="273">
        <f t="shared" si="17"/>
        <v>0</v>
      </c>
      <c r="R41" s="273">
        <f t="shared" si="18"/>
        <v>0</v>
      </c>
      <c r="S41" s="273">
        <f t="shared" si="19"/>
        <v>0</v>
      </c>
      <c r="T41" s="273">
        <f t="shared" si="20"/>
        <v>0</v>
      </c>
      <c r="U41" s="273">
        <f t="shared" si="21"/>
        <v>0</v>
      </c>
      <c r="V41" s="273">
        <f t="shared" si="22"/>
        <v>0</v>
      </c>
      <c r="W41" s="274"/>
      <c r="X41" s="274"/>
      <c r="Y41" s="274"/>
      <c r="Z41" s="274"/>
      <c r="AA41" s="415"/>
    </row>
    <row r="42" spans="1:92" ht="15" customHeight="1">
      <c r="A42" s="641"/>
      <c r="B42" s="376" t="s">
        <v>690</v>
      </c>
      <c r="C42" s="372">
        <f>+_xlfn.XLOOKUP($B42,'FASE 2  '!$C$408:$Q$408,'FASE 2  '!$C$410:$Q$410)</f>
        <v>0</v>
      </c>
      <c r="D42" s="264">
        <f>+_xlfn.XLOOKUP($B42,'FASE 2  '!$C$408:$Q$408,'FASE 2  '!$C$411:$Q$411)</f>
        <v>0</v>
      </c>
      <c r="E42" s="264">
        <f>+_xlfn.XLOOKUP($B42,'FASE 2  '!$C$408:$Q$408,'FASE 2  '!$C$412:$Q$412)</f>
        <v>0</v>
      </c>
      <c r="F42" s="264">
        <f>+_xlfn.XLOOKUP($B42,'FASE 2  '!$C$408:$Q$408,'FASE 2  '!$C$413:$Q$413)</f>
        <v>0</v>
      </c>
      <c r="G42" s="264">
        <f>+_xlfn.XLOOKUP($B42,'FASE 2  '!$C$408:$Q$408,'FASE 2  '!$C$414:$Q$414)</f>
        <v>0</v>
      </c>
      <c r="H42" s="264">
        <f>+_xlfn.XLOOKUP($B42,'FASE 2  '!$C$408:$Q$408,'FASE 2  '!$C$415:$Q$415)</f>
        <v>0</v>
      </c>
      <c r="I42" s="264">
        <f>+_xlfn.XLOOKUP($B42,'FASE 2  '!$C$408:$Q$408,'FASE 2  '!$C$416:$Q$416)</f>
        <v>0</v>
      </c>
      <c r="J42" s="264">
        <f>+_xlfn.XLOOKUP($B42,'FASE 2  '!$C$408:$Q$408,'FASE 2  '!$C$417:$Q$417)</f>
        <v>0</v>
      </c>
      <c r="K42" s="264">
        <f>+_xlfn.XLOOKUP($B42,'FASE 2  '!$C$408:$Q$408,'FASE 2  '!$C$418:$Q$418)</f>
        <v>0</v>
      </c>
      <c r="L42" s="273">
        <f t="shared" si="12"/>
        <v>0</v>
      </c>
      <c r="M42" s="274"/>
      <c r="N42" s="273">
        <f t="shared" si="14"/>
        <v>0</v>
      </c>
      <c r="O42" s="273">
        <f t="shared" si="15"/>
        <v>0</v>
      </c>
      <c r="P42" s="273">
        <f t="shared" si="16"/>
        <v>0</v>
      </c>
      <c r="Q42" s="273">
        <f t="shared" si="17"/>
        <v>0</v>
      </c>
      <c r="R42" s="273">
        <f t="shared" si="18"/>
        <v>0</v>
      </c>
      <c r="S42" s="273">
        <f t="shared" si="19"/>
        <v>0</v>
      </c>
      <c r="T42" s="273">
        <f t="shared" si="20"/>
        <v>0</v>
      </c>
      <c r="U42" s="273">
        <f t="shared" si="21"/>
        <v>0</v>
      </c>
      <c r="V42" s="273">
        <f t="shared" si="22"/>
        <v>0</v>
      </c>
      <c r="W42" s="274"/>
      <c r="X42" s="274"/>
      <c r="Y42" s="274"/>
      <c r="Z42" s="274"/>
      <c r="AA42" s="415"/>
    </row>
    <row r="43" spans="1:92" ht="15" customHeight="1">
      <c r="A43" s="641"/>
      <c r="B43" s="376" t="s">
        <v>714</v>
      </c>
      <c r="C43" s="372">
        <f>+_xlfn.XLOOKUP($B43,'FASE 2  '!$C$408:$Q$408,'FASE 2  '!$C$410:$Q$410)</f>
        <v>4.1666666666666664E-2</v>
      </c>
      <c r="D43" s="264">
        <f>+_xlfn.XLOOKUP($B43,'FASE 2  '!$C$408:$Q$408,'FASE 2  '!$C$411:$Q$411)</f>
        <v>0</v>
      </c>
      <c r="E43" s="264">
        <f>+_xlfn.XLOOKUP($B43,'FASE 2  '!$C$408:$Q$408,'FASE 2  '!$C$412:$Q$412)</f>
        <v>0</v>
      </c>
      <c r="F43" s="264">
        <f>+_xlfn.XLOOKUP($B43,'FASE 2  '!$C$408:$Q$408,'FASE 2  '!$C$413:$Q$413)</f>
        <v>0</v>
      </c>
      <c r="G43" s="264">
        <f>+_xlfn.XLOOKUP($B43,'FASE 2  '!$C$408:$Q$408,'FASE 2  '!$C$414:$Q$414)</f>
        <v>0</v>
      </c>
      <c r="H43" s="264">
        <f>+_xlfn.XLOOKUP($B43,'FASE 2  '!$C$408:$Q$408,'FASE 2  '!$C$415:$Q$415)</f>
        <v>0</v>
      </c>
      <c r="I43" s="264">
        <f>+_xlfn.XLOOKUP($B43,'FASE 2  '!$C$408:$Q$408,'FASE 2  '!$C$416:$Q$416)</f>
        <v>0</v>
      </c>
      <c r="J43" s="264">
        <f>+_xlfn.XLOOKUP($B43,'FASE 2  '!$C$408:$Q$408,'FASE 2  '!$C$417:$Q$417)</f>
        <v>0</v>
      </c>
      <c r="K43" s="264">
        <f>+_xlfn.XLOOKUP($B43,'FASE 2  '!$C$408:$Q$408,'FASE 2  '!$C$418:$Q$418)</f>
        <v>0</v>
      </c>
      <c r="L43" s="273">
        <f t="shared" si="12"/>
        <v>4.6296296296296294E-3</v>
      </c>
      <c r="M43" s="274"/>
      <c r="N43" s="273">
        <f t="shared" si="14"/>
        <v>4.1666666666666664E-2</v>
      </c>
      <c r="O43" s="273">
        <f t="shared" si="15"/>
        <v>0</v>
      </c>
      <c r="P43" s="273">
        <f t="shared" si="16"/>
        <v>0</v>
      </c>
      <c r="Q43" s="273">
        <f t="shared" si="17"/>
        <v>0</v>
      </c>
      <c r="R43" s="273">
        <f t="shared" si="18"/>
        <v>0</v>
      </c>
      <c r="S43" s="273">
        <f t="shared" si="19"/>
        <v>0</v>
      </c>
      <c r="T43" s="273">
        <f t="shared" si="20"/>
        <v>0</v>
      </c>
      <c r="U43" s="273">
        <f t="shared" si="21"/>
        <v>0</v>
      </c>
      <c r="V43" s="273">
        <f t="shared" si="22"/>
        <v>0</v>
      </c>
      <c r="W43" s="274"/>
      <c r="X43" s="274"/>
      <c r="Y43" s="274"/>
      <c r="Z43" s="274"/>
      <c r="AA43" s="415"/>
    </row>
    <row r="44" spans="1:92" ht="15" customHeight="1">
      <c r="A44" s="641"/>
      <c r="B44" s="376" t="s">
        <v>723</v>
      </c>
      <c r="C44" s="372">
        <f>+_xlfn.XLOOKUP($B44,'FASE 2  '!$C$408:$Q$408,'FASE 2  '!$C$410:$Q$410)</f>
        <v>0.125</v>
      </c>
      <c r="D44" s="264">
        <f>+_xlfn.XLOOKUP($B44,'FASE 2  '!$C$408:$Q$408,'FASE 2  '!$C$411:$Q$411)</f>
        <v>0</v>
      </c>
      <c r="E44" s="264">
        <f>+_xlfn.XLOOKUP($B44,'FASE 2  '!$C$408:$Q$408,'FASE 2  '!$C$412:$Q$412)</f>
        <v>0</v>
      </c>
      <c r="F44" s="264">
        <f>+_xlfn.XLOOKUP($B44,'FASE 2  '!$C$408:$Q$408,'FASE 2  '!$C$413:$Q$413)</f>
        <v>0</v>
      </c>
      <c r="G44" s="264">
        <f>+_xlfn.XLOOKUP($B44,'FASE 2  '!$C$408:$Q$408,'FASE 2  '!$C$414:$Q$414)</f>
        <v>0</v>
      </c>
      <c r="H44" s="264">
        <f>+_xlfn.XLOOKUP($B44,'FASE 2  '!$C$408:$Q$408,'FASE 2  '!$C$415:$Q$415)</f>
        <v>0</v>
      </c>
      <c r="I44" s="264">
        <f>+_xlfn.XLOOKUP($B44,'FASE 2  '!$C$408:$Q$408,'FASE 2  '!$C$416:$Q$416)</f>
        <v>0</v>
      </c>
      <c r="J44" s="264">
        <f>+_xlfn.XLOOKUP($B44,'FASE 2  '!$C$408:$Q$408,'FASE 2  '!$C$417:$Q$417)</f>
        <v>0</v>
      </c>
      <c r="K44" s="264">
        <f>+_xlfn.XLOOKUP($B44,'FASE 2  '!$C$408:$Q$408,'FASE 2  '!$C$418:$Q$418)</f>
        <v>0</v>
      </c>
      <c r="L44" s="273">
        <f t="shared" si="12"/>
        <v>1.3888888888888888E-2</v>
      </c>
      <c r="M44" s="274"/>
      <c r="N44" s="273">
        <f t="shared" si="14"/>
        <v>0.125</v>
      </c>
      <c r="O44" s="273">
        <f t="shared" si="15"/>
        <v>0</v>
      </c>
      <c r="P44" s="273">
        <f t="shared" si="16"/>
        <v>0</v>
      </c>
      <c r="Q44" s="273">
        <f t="shared" si="17"/>
        <v>0</v>
      </c>
      <c r="R44" s="273">
        <f t="shared" si="18"/>
        <v>0</v>
      </c>
      <c r="S44" s="273">
        <f t="shared" si="19"/>
        <v>0</v>
      </c>
      <c r="T44" s="273">
        <f t="shared" si="20"/>
        <v>0</v>
      </c>
      <c r="U44" s="273">
        <f t="shared" si="21"/>
        <v>0</v>
      </c>
      <c r="V44" s="273">
        <f t="shared" si="22"/>
        <v>0</v>
      </c>
      <c r="W44" s="274"/>
      <c r="X44" s="274"/>
      <c r="Y44" s="274"/>
      <c r="Z44" s="274"/>
      <c r="AA44" s="415"/>
    </row>
    <row r="45" spans="1:92" s="272" customFormat="1" ht="20.100000000000001" customHeight="1">
      <c r="A45" s="641"/>
      <c r="B45" s="379" t="s">
        <v>783</v>
      </c>
      <c r="C45" s="373">
        <f>+AVERAGE(C30:C44)</f>
        <v>0.1186111111111111</v>
      </c>
      <c r="D45" s="373">
        <f t="shared" ref="D45:K45" si="23">+AVERAGE(D30:D44)</f>
        <v>0</v>
      </c>
      <c r="E45" s="373">
        <f t="shared" si="23"/>
        <v>0</v>
      </c>
      <c r="F45" s="373">
        <f t="shared" si="23"/>
        <v>0</v>
      </c>
      <c r="G45" s="373">
        <f t="shared" si="23"/>
        <v>0</v>
      </c>
      <c r="H45" s="373">
        <f t="shared" si="23"/>
        <v>0</v>
      </c>
      <c r="I45" s="373">
        <f t="shared" si="23"/>
        <v>0</v>
      </c>
      <c r="J45" s="373">
        <f t="shared" si="23"/>
        <v>0</v>
      </c>
      <c r="K45" s="373">
        <f t="shared" si="23"/>
        <v>0</v>
      </c>
      <c r="L45" s="622"/>
      <c r="M45" s="388"/>
      <c r="N45" s="388"/>
      <c r="O45" s="388"/>
      <c r="P45" s="388"/>
      <c r="Q45" s="388"/>
      <c r="R45" s="388"/>
      <c r="S45" s="388"/>
      <c r="T45" s="388"/>
      <c r="U45" s="388"/>
      <c r="V45" s="388"/>
      <c r="W45" s="388"/>
      <c r="X45" s="388"/>
      <c r="Y45" s="388"/>
      <c r="Z45" s="388"/>
      <c r="AA45" s="416"/>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70"/>
      <c r="AZ45" s="370"/>
      <c r="BA45" s="370"/>
      <c r="BB45" s="370"/>
      <c r="BC45" s="370"/>
      <c r="BD45" s="370"/>
      <c r="BE45" s="370"/>
      <c r="BF45" s="370"/>
      <c r="BG45" s="370"/>
      <c r="BH45" s="370"/>
      <c r="BI45" s="370"/>
      <c r="BJ45" s="370"/>
      <c r="BK45" s="370"/>
      <c r="BL45" s="370"/>
      <c r="BM45" s="370"/>
      <c r="BN45" s="370"/>
      <c r="BO45" s="370"/>
      <c r="BP45" s="370"/>
      <c r="BQ45" s="370"/>
      <c r="BR45" s="370"/>
      <c r="BS45" s="370"/>
      <c r="BT45" s="370"/>
      <c r="BU45" s="370"/>
      <c r="BV45" s="370"/>
      <c r="BW45" s="370"/>
      <c r="BX45" s="370"/>
      <c r="BY45" s="370"/>
      <c r="BZ45" s="370"/>
      <c r="CA45" s="370"/>
      <c r="CB45" s="370"/>
      <c r="CC45" s="370"/>
      <c r="CD45" s="370"/>
      <c r="CE45" s="370"/>
      <c r="CF45" s="370"/>
      <c r="CG45" s="370"/>
      <c r="CH45" s="370"/>
      <c r="CI45" s="370"/>
      <c r="CJ45" s="370"/>
      <c r="CK45" s="370"/>
      <c r="CL45" s="370"/>
      <c r="CM45" s="370"/>
      <c r="CN45" s="370"/>
    </row>
    <row r="46" spans="1:92" s="272" customFormat="1" ht="20.100000000000001" customHeight="1" thickBot="1">
      <c r="A46" s="641"/>
      <c r="B46" s="421" t="s">
        <v>782</v>
      </c>
      <c r="C46" s="632">
        <f>+AVERAGE(C45:K45)</f>
        <v>1.317901234567901E-2</v>
      </c>
      <c r="D46" s="633"/>
      <c r="E46" s="633"/>
      <c r="F46" s="633"/>
      <c r="G46" s="633"/>
      <c r="H46" s="633"/>
      <c r="I46" s="633"/>
      <c r="J46" s="633"/>
      <c r="K46" s="633"/>
      <c r="L46" s="639"/>
      <c r="M46" s="404"/>
      <c r="N46" s="404"/>
      <c r="O46" s="405"/>
      <c r="P46" s="405"/>
      <c r="Q46" s="405"/>
      <c r="R46" s="405"/>
      <c r="S46" s="405"/>
      <c r="T46" s="405"/>
      <c r="U46" s="405"/>
      <c r="V46" s="405"/>
      <c r="W46" s="405"/>
      <c r="X46" s="405"/>
      <c r="Y46" s="405"/>
      <c r="Z46" s="404"/>
      <c r="AA46" s="423"/>
      <c r="AB46" s="370"/>
      <c r="AC46" s="370"/>
      <c r="AD46" s="370"/>
      <c r="AE46" s="370"/>
      <c r="AF46" s="370"/>
      <c r="AG46" s="370"/>
      <c r="AH46" s="370"/>
      <c r="AI46" s="370"/>
      <c r="AJ46" s="370"/>
      <c r="AK46" s="370"/>
      <c r="AL46" s="370"/>
      <c r="AM46" s="370"/>
      <c r="AN46" s="370"/>
      <c r="AO46" s="370"/>
      <c r="AP46" s="370"/>
      <c r="AQ46" s="370"/>
      <c r="AR46" s="370"/>
      <c r="AS46" s="370"/>
      <c r="AT46" s="370"/>
      <c r="AU46" s="370"/>
      <c r="AV46" s="370"/>
      <c r="AW46" s="370"/>
      <c r="AX46" s="370"/>
      <c r="AY46" s="370"/>
      <c r="AZ46" s="370"/>
      <c r="BA46" s="370"/>
      <c r="BB46" s="370"/>
      <c r="BC46" s="370"/>
      <c r="BD46" s="370"/>
      <c r="BE46" s="370"/>
      <c r="BF46" s="370"/>
      <c r="BG46" s="370"/>
      <c r="BH46" s="370"/>
      <c r="BI46" s="370"/>
      <c r="BJ46" s="370"/>
      <c r="BK46" s="370"/>
      <c r="BL46" s="370"/>
      <c r="BM46" s="370"/>
      <c r="BN46" s="370"/>
      <c r="BO46" s="370"/>
      <c r="BP46" s="370"/>
      <c r="BQ46" s="370"/>
      <c r="BR46" s="370"/>
      <c r="BS46" s="370"/>
      <c r="BT46" s="370"/>
      <c r="BU46" s="370"/>
      <c r="BV46" s="370"/>
      <c r="BW46" s="370"/>
      <c r="BX46" s="370"/>
      <c r="BY46" s="370"/>
      <c r="BZ46" s="370"/>
      <c r="CA46" s="370"/>
      <c r="CB46" s="370"/>
      <c r="CC46" s="370"/>
      <c r="CD46" s="370"/>
      <c r="CE46" s="370"/>
      <c r="CF46" s="370"/>
      <c r="CG46" s="370"/>
      <c r="CH46" s="370"/>
      <c r="CI46" s="370"/>
      <c r="CJ46" s="370"/>
      <c r="CK46" s="370"/>
      <c r="CL46" s="370"/>
      <c r="CM46" s="370"/>
      <c r="CN46" s="370"/>
    </row>
    <row r="47" spans="1:92" s="272" customFormat="1" ht="15" customHeight="1">
      <c r="A47" s="626" t="s">
        <v>46</v>
      </c>
      <c r="B47" s="429" t="s">
        <v>984</v>
      </c>
      <c r="C47" s="410" t="s">
        <v>516</v>
      </c>
      <c r="D47" s="410" t="s">
        <v>517</v>
      </c>
      <c r="E47" s="410" t="s">
        <v>518</v>
      </c>
      <c r="F47" s="410" t="s">
        <v>519</v>
      </c>
      <c r="G47" s="410" t="s">
        <v>520</v>
      </c>
      <c r="H47" s="410" t="s">
        <v>521</v>
      </c>
      <c r="I47" s="410" t="s">
        <v>522</v>
      </c>
      <c r="J47" s="410" t="s">
        <v>523</v>
      </c>
      <c r="K47" s="410" t="s">
        <v>524</v>
      </c>
      <c r="L47" s="430" t="s">
        <v>40</v>
      </c>
      <c r="M47" s="425"/>
      <c r="N47" s="425"/>
      <c r="O47" s="426"/>
      <c r="P47" s="426"/>
      <c r="Q47" s="426"/>
      <c r="R47" s="426"/>
      <c r="S47" s="426"/>
      <c r="T47" s="426"/>
      <c r="U47" s="426"/>
      <c r="V47" s="426"/>
      <c r="W47" s="426"/>
      <c r="X47" s="426"/>
      <c r="Y47" s="426"/>
      <c r="Z47" s="425"/>
      <c r="AA47" s="427"/>
      <c r="AB47" s="370"/>
      <c r="AC47" s="370"/>
      <c r="AD47" s="370"/>
      <c r="AE47" s="370"/>
      <c r="AF47" s="370"/>
      <c r="AG47" s="370"/>
      <c r="AH47" s="370"/>
      <c r="AI47" s="370"/>
      <c r="AJ47" s="370"/>
      <c r="AK47" s="370"/>
      <c r="AL47" s="370"/>
      <c r="AM47" s="370"/>
      <c r="AN47" s="370"/>
      <c r="AO47" s="370"/>
      <c r="AP47" s="370"/>
      <c r="AQ47" s="370"/>
      <c r="AR47" s="370"/>
      <c r="AS47" s="370"/>
      <c r="AT47" s="370"/>
      <c r="AU47" s="370"/>
      <c r="AV47" s="370"/>
      <c r="AW47" s="370"/>
      <c r="AX47" s="370"/>
      <c r="AY47" s="370"/>
      <c r="AZ47" s="370"/>
      <c r="BA47" s="370"/>
      <c r="BB47" s="370"/>
      <c r="BC47" s="370"/>
      <c r="BD47" s="370"/>
      <c r="BE47" s="370"/>
      <c r="BF47" s="370"/>
      <c r="BG47" s="370"/>
      <c r="BH47" s="370"/>
      <c r="BI47" s="370"/>
      <c r="BJ47" s="370"/>
      <c r="BK47" s="370"/>
      <c r="BL47" s="370"/>
      <c r="BM47" s="370"/>
      <c r="BN47" s="370"/>
      <c r="BO47" s="370"/>
      <c r="BP47" s="370"/>
      <c r="BQ47" s="370"/>
      <c r="BR47" s="370"/>
      <c r="BS47" s="370"/>
      <c r="BT47" s="370"/>
      <c r="BU47" s="370"/>
      <c r="BV47" s="370"/>
      <c r="BW47" s="370"/>
      <c r="BX47" s="370"/>
      <c r="BY47" s="370"/>
      <c r="BZ47" s="370"/>
      <c r="CA47" s="370"/>
      <c r="CB47" s="370"/>
      <c r="CC47" s="370"/>
      <c r="CD47" s="370"/>
      <c r="CE47" s="370"/>
      <c r="CF47" s="370"/>
      <c r="CG47" s="370"/>
      <c r="CH47" s="370"/>
      <c r="CI47" s="370"/>
      <c r="CJ47" s="370"/>
      <c r="CK47" s="370"/>
      <c r="CL47" s="370"/>
      <c r="CM47" s="370"/>
      <c r="CN47" s="370"/>
    </row>
    <row r="48" spans="1:92" ht="15" customHeight="1">
      <c r="A48" s="627"/>
      <c r="B48" s="422" t="s">
        <v>715</v>
      </c>
      <c r="C48" s="264">
        <f>+_xlfn.XLOOKUP($B48,'FASE 3 '!$C$408:$W$408,'FASE 3 '!$C$410:$W$410)</f>
        <v>0</v>
      </c>
      <c r="D48" s="264">
        <f>+_xlfn.XLOOKUP($B48,'FASE 3 '!$C$408:$W$408,'FASE 3 '!$C$411:$W$411)</f>
        <v>0</v>
      </c>
      <c r="E48" s="264">
        <f>+_xlfn.XLOOKUP($B48,'FASE 3 '!$C$408:$W$408,'FASE 3 '!$C$412:$W$412)</f>
        <v>0</v>
      </c>
      <c r="F48" s="264">
        <f>+_xlfn.XLOOKUP($B48,'FASE 3 '!$C$408:$W$408,'FASE 3 '!$C$413:$W$413)</f>
        <v>0</v>
      </c>
      <c r="G48" s="264">
        <f>+_xlfn.XLOOKUP($B48,'FASE 3 '!$C$408:$W$408,'FASE 3 '!$C$414:$W$414)</f>
        <v>0</v>
      </c>
      <c r="H48" s="264">
        <f>+_xlfn.XLOOKUP($B48,'FASE 3 '!$C$408:$W$408,'FASE 3 '!$C$415:$W$415)</f>
        <v>0</v>
      </c>
      <c r="I48" s="264">
        <f>+_xlfn.XLOOKUP($B48,'FASE 3 '!$C$408:$W$408,'FASE 3 '!$C$416:$W$416)</f>
        <v>0</v>
      </c>
      <c r="J48" s="264">
        <f>+_xlfn.XLOOKUP($B48,'FASE 3 '!$C$408:$W$408,'FASE 3 '!$C$417:$W$417)</f>
        <v>0</v>
      </c>
      <c r="K48" s="264">
        <f>+_xlfn.XLOOKUP($B48,'FASE 3 '!$C$408:$W$408,'FASE 3 '!$C$418:$W$418)</f>
        <v>0</v>
      </c>
      <c r="L48" s="273">
        <f t="shared" ref="L48:L68" si="24">+AVERAGE(C48:K48)</f>
        <v>0</v>
      </c>
      <c r="M48" s="408"/>
      <c r="N48" s="408"/>
      <c r="O48" s="407">
        <f>C48</f>
        <v>0</v>
      </c>
      <c r="P48" s="407">
        <f t="shared" ref="P48:W48" si="25">D48</f>
        <v>0</v>
      </c>
      <c r="Q48" s="407">
        <f t="shared" si="25"/>
        <v>0</v>
      </c>
      <c r="R48" s="407">
        <f t="shared" si="25"/>
        <v>0</v>
      </c>
      <c r="S48" s="407">
        <f t="shared" si="25"/>
        <v>0</v>
      </c>
      <c r="T48" s="407">
        <f t="shared" si="25"/>
        <v>0</v>
      </c>
      <c r="U48" s="407">
        <f t="shared" si="25"/>
        <v>0</v>
      </c>
      <c r="V48" s="407">
        <f t="shared" si="25"/>
        <v>0</v>
      </c>
      <c r="W48" s="407">
        <f t="shared" si="25"/>
        <v>0</v>
      </c>
      <c r="X48" s="408"/>
      <c r="Y48" s="408"/>
      <c r="Z48" s="408"/>
      <c r="AA48" s="428"/>
    </row>
    <row r="49" spans="1:27" ht="15" customHeight="1">
      <c r="A49" s="627"/>
      <c r="B49" s="375" t="s">
        <v>716</v>
      </c>
      <c r="C49" s="372">
        <f>+_xlfn.XLOOKUP($B49,'FASE 3 '!$C$408:$W$408,'FASE 3 '!$C$410:$W$410)</f>
        <v>8.3333333333333329E-2</v>
      </c>
      <c r="D49" s="264">
        <f>+_xlfn.XLOOKUP($B49,'FASE 3 '!$C$408:$W$408,'FASE 3 '!$C$411:$W$411)</f>
        <v>0</v>
      </c>
      <c r="E49" s="264">
        <f>+_xlfn.XLOOKUP($B49,'FASE 3 '!$C$408:$W$408,'FASE 3 '!$C$412:$W$412)</f>
        <v>0</v>
      </c>
      <c r="F49" s="264">
        <f>+_xlfn.XLOOKUP($B49,'FASE 3 '!$C$408:$W$408,'FASE 3 '!$C$413:$W$413)</f>
        <v>0</v>
      </c>
      <c r="G49" s="264">
        <f>+_xlfn.XLOOKUP($B49,'FASE 3 '!$C$408:$W$408,'FASE 3 '!$C$414:$W$414)</f>
        <v>0</v>
      </c>
      <c r="H49" s="264">
        <f>+_xlfn.XLOOKUP($B49,'FASE 3 '!$C$408:$W$408,'FASE 3 '!$C$415:$W$415)</f>
        <v>0</v>
      </c>
      <c r="I49" s="264">
        <f>+_xlfn.XLOOKUP($B49,'FASE 3 '!$C$408:$W$408,'FASE 3 '!$C$416:$W$416)</f>
        <v>0</v>
      </c>
      <c r="J49" s="264">
        <f>+_xlfn.XLOOKUP($B49,'FASE 3 '!$C$408:$W$408,'FASE 3 '!$C$417:$W$417)</f>
        <v>0</v>
      </c>
      <c r="K49" s="264">
        <f>+_xlfn.XLOOKUP($B49,'FASE 3 '!$C$408:$W$408,'FASE 3 '!$C$418:$W$418)</f>
        <v>0</v>
      </c>
      <c r="L49" s="273">
        <f t="shared" si="24"/>
        <v>9.2592592592592587E-3</v>
      </c>
      <c r="M49" s="274"/>
      <c r="N49" s="274"/>
      <c r="O49" s="273">
        <f t="shared" ref="O49:O68" si="26">C49</f>
        <v>8.3333333333333329E-2</v>
      </c>
      <c r="P49" s="273">
        <f t="shared" ref="P49:P68" si="27">D49</f>
        <v>0</v>
      </c>
      <c r="Q49" s="273">
        <f t="shared" ref="Q49:Q68" si="28">E49</f>
        <v>0</v>
      </c>
      <c r="R49" s="273">
        <f t="shared" ref="R49:R68" si="29">F49</f>
        <v>0</v>
      </c>
      <c r="S49" s="273">
        <f t="shared" ref="S49:S68" si="30">G49</f>
        <v>0</v>
      </c>
      <c r="T49" s="273">
        <f t="shared" ref="T49:T68" si="31">H49</f>
        <v>0</v>
      </c>
      <c r="U49" s="273">
        <f t="shared" ref="U49:U68" si="32">I49</f>
        <v>0</v>
      </c>
      <c r="V49" s="273">
        <f t="shared" ref="V49:V68" si="33">J49</f>
        <v>0</v>
      </c>
      <c r="W49" s="273">
        <f t="shared" ref="W49:W68" si="34">K49</f>
        <v>0</v>
      </c>
      <c r="X49" s="274"/>
      <c r="Y49" s="274"/>
      <c r="Z49" s="274"/>
      <c r="AA49" s="415"/>
    </row>
    <row r="50" spans="1:27" ht="15" customHeight="1">
      <c r="A50" s="627"/>
      <c r="B50" s="375" t="s">
        <v>717</v>
      </c>
      <c r="C50" s="372">
        <f>+_xlfn.XLOOKUP($B50,'FASE 3 '!$C$408:$W$408,'FASE 3 '!$C$410:$W$410)</f>
        <v>0.33333333333333331</v>
      </c>
      <c r="D50" s="264">
        <f>+_xlfn.XLOOKUP($B50,'FASE 3 '!$C$408:$W$408,'FASE 3 '!$C$411:$W$411)</f>
        <v>0</v>
      </c>
      <c r="E50" s="264">
        <f>+_xlfn.XLOOKUP($B50,'FASE 3 '!$C$408:$W$408,'FASE 3 '!$C$412:$W$412)</f>
        <v>0</v>
      </c>
      <c r="F50" s="264">
        <f>+_xlfn.XLOOKUP($B50,'FASE 3 '!$C$408:$W$408,'FASE 3 '!$C$413:$W$413)</f>
        <v>0</v>
      </c>
      <c r="G50" s="264">
        <f>+_xlfn.XLOOKUP($B50,'FASE 3 '!$C$408:$W$408,'FASE 3 '!$C$414:$W$414)</f>
        <v>0</v>
      </c>
      <c r="H50" s="264">
        <f>+_xlfn.XLOOKUP($B50,'FASE 3 '!$C$408:$W$408,'FASE 3 '!$C$415:$W$415)</f>
        <v>0</v>
      </c>
      <c r="I50" s="264">
        <f>+_xlfn.XLOOKUP($B50,'FASE 3 '!$C$408:$W$408,'FASE 3 '!$C$416:$W$416)</f>
        <v>0</v>
      </c>
      <c r="J50" s="264">
        <f>+_xlfn.XLOOKUP($B50,'FASE 3 '!$C$408:$W$408,'FASE 3 '!$C$417:$W$417)</f>
        <v>0</v>
      </c>
      <c r="K50" s="264">
        <f>+_xlfn.XLOOKUP($B50,'FASE 3 '!$C$408:$W$408,'FASE 3 '!$C$418:$W$418)</f>
        <v>0</v>
      </c>
      <c r="L50" s="273">
        <f t="shared" si="24"/>
        <v>3.7037037037037035E-2</v>
      </c>
      <c r="M50" s="274"/>
      <c r="N50" s="274"/>
      <c r="O50" s="273">
        <f t="shared" si="26"/>
        <v>0.33333333333333331</v>
      </c>
      <c r="P50" s="273">
        <f t="shared" si="27"/>
        <v>0</v>
      </c>
      <c r="Q50" s="273">
        <f t="shared" si="28"/>
        <v>0</v>
      </c>
      <c r="R50" s="273">
        <f t="shared" si="29"/>
        <v>0</v>
      </c>
      <c r="S50" s="273">
        <f t="shared" si="30"/>
        <v>0</v>
      </c>
      <c r="T50" s="273">
        <f t="shared" si="31"/>
        <v>0</v>
      </c>
      <c r="U50" s="273">
        <f t="shared" si="32"/>
        <v>0</v>
      </c>
      <c r="V50" s="273">
        <f t="shared" si="33"/>
        <v>0</v>
      </c>
      <c r="W50" s="273">
        <f t="shared" si="34"/>
        <v>0</v>
      </c>
      <c r="X50" s="274"/>
      <c r="Y50" s="274"/>
      <c r="Z50" s="274"/>
      <c r="AA50" s="415"/>
    </row>
    <row r="51" spans="1:27" ht="15" customHeight="1">
      <c r="A51" s="627"/>
      <c r="B51" s="375" t="s">
        <v>718</v>
      </c>
      <c r="C51" s="372">
        <f>+_xlfn.XLOOKUP($B51,'FASE 3 '!$C$408:$W$408,'FASE 3 '!$C$410:$W$410)</f>
        <v>8.3333333333333329E-2</v>
      </c>
      <c r="D51" s="264">
        <f>+_xlfn.XLOOKUP($B51,'FASE 3 '!$C$408:$W$408,'FASE 3 '!$C$411:$W$411)</f>
        <v>0</v>
      </c>
      <c r="E51" s="264">
        <f>+_xlfn.XLOOKUP($B51,'FASE 3 '!$C$408:$W$408,'FASE 3 '!$C$412:$W$412)</f>
        <v>0</v>
      </c>
      <c r="F51" s="264">
        <f>+_xlfn.XLOOKUP($B51,'FASE 3 '!$C$408:$W$408,'FASE 3 '!$C$413:$W$413)</f>
        <v>0</v>
      </c>
      <c r="G51" s="264">
        <f>+_xlfn.XLOOKUP($B51,'FASE 3 '!$C$408:$W$408,'FASE 3 '!$C$414:$W$414)</f>
        <v>0</v>
      </c>
      <c r="H51" s="264">
        <f>+_xlfn.XLOOKUP($B51,'FASE 3 '!$C$408:$W$408,'FASE 3 '!$C$415:$W$415)</f>
        <v>0</v>
      </c>
      <c r="I51" s="264">
        <f>+_xlfn.XLOOKUP($B51,'FASE 3 '!$C$408:$W$408,'FASE 3 '!$C$416:$W$416)</f>
        <v>0</v>
      </c>
      <c r="J51" s="264">
        <f>+_xlfn.XLOOKUP($B51,'FASE 3 '!$C$408:$W$408,'FASE 3 '!$C$417:$W$417)</f>
        <v>0</v>
      </c>
      <c r="K51" s="264">
        <f>+_xlfn.XLOOKUP($B51,'FASE 3 '!$C$408:$W$408,'FASE 3 '!$C$418:$W$418)</f>
        <v>0</v>
      </c>
      <c r="L51" s="273">
        <f t="shared" si="24"/>
        <v>9.2592592592592587E-3</v>
      </c>
      <c r="M51" s="274"/>
      <c r="N51" s="274"/>
      <c r="O51" s="273">
        <f t="shared" si="26"/>
        <v>8.3333333333333329E-2</v>
      </c>
      <c r="P51" s="273">
        <f t="shared" si="27"/>
        <v>0</v>
      </c>
      <c r="Q51" s="273">
        <f t="shared" si="28"/>
        <v>0</v>
      </c>
      <c r="R51" s="273">
        <f t="shared" si="29"/>
        <v>0</v>
      </c>
      <c r="S51" s="273">
        <f t="shared" si="30"/>
        <v>0</v>
      </c>
      <c r="T51" s="273">
        <f t="shared" si="31"/>
        <v>0</v>
      </c>
      <c r="U51" s="273">
        <f t="shared" si="32"/>
        <v>0</v>
      </c>
      <c r="V51" s="273">
        <f t="shared" si="33"/>
        <v>0</v>
      </c>
      <c r="W51" s="273">
        <f t="shared" si="34"/>
        <v>0</v>
      </c>
      <c r="X51" s="274"/>
      <c r="Y51" s="274"/>
      <c r="Z51" s="274"/>
      <c r="AA51" s="415"/>
    </row>
    <row r="52" spans="1:27" ht="15" customHeight="1">
      <c r="A52" s="627"/>
      <c r="B52" s="375" t="s">
        <v>719</v>
      </c>
      <c r="C52" s="372">
        <f>+_xlfn.XLOOKUP($B52,'FASE 3 '!$C$408:$W$408,'FASE 3 '!$C$410:$W$410)</f>
        <v>8.3333333333333329E-2</v>
      </c>
      <c r="D52" s="264">
        <f>+_xlfn.XLOOKUP($B52,'FASE 3 '!$C$408:$W$408,'FASE 3 '!$C$411:$W$411)</f>
        <v>0</v>
      </c>
      <c r="E52" s="264">
        <f>+_xlfn.XLOOKUP($B52,'FASE 3 '!$C$408:$W$408,'FASE 3 '!$C$412:$W$412)</f>
        <v>0</v>
      </c>
      <c r="F52" s="264">
        <f>+_xlfn.XLOOKUP($B52,'FASE 3 '!$C$408:$W$408,'FASE 3 '!$C$413:$W$413)</f>
        <v>0</v>
      </c>
      <c r="G52" s="264">
        <f>+_xlfn.XLOOKUP($B52,'FASE 3 '!$C$408:$W$408,'FASE 3 '!$C$414:$W$414)</f>
        <v>0</v>
      </c>
      <c r="H52" s="264">
        <f>+_xlfn.XLOOKUP($B52,'FASE 3 '!$C$408:$W$408,'FASE 3 '!$C$415:$W$415)</f>
        <v>0</v>
      </c>
      <c r="I52" s="264">
        <f>+_xlfn.XLOOKUP($B52,'FASE 3 '!$C$408:$W$408,'FASE 3 '!$C$416:$W$416)</f>
        <v>0</v>
      </c>
      <c r="J52" s="264">
        <f>+_xlfn.XLOOKUP($B52,'FASE 3 '!$C$408:$W$408,'FASE 3 '!$C$417:$W$417)</f>
        <v>0</v>
      </c>
      <c r="K52" s="264">
        <f>+_xlfn.XLOOKUP($B52,'FASE 3 '!$C$408:$W$408,'FASE 3 '!$C$418:$W$418)</f>
        <v>0</v>
      </c>
      <c r="L52" s="273">
        <f t="shared" si="24"/>
        <v>9.2592592592592587E-3</v>
      </c>
      <c r="M52" s="274"/>
      <c r="N52" s="274"/>
      <c r="O52" s="273">
        <f t="shared" si="26"/>
        <v>8.3333333333333329E-2</v>
      </c>
      <c r="P52" s="273">
        <f t="shared" si="27"/>
        <v>0</v>
      </c>
      <c r="Q52" s="273">
        <f t="shared" si="28"/>
        <v>0</v>
      </c>
      <c r="R52" s="273">
        <f t="shared" si="29"/>
        <v>0</v>
      </c>
      <c r="S52" s="273">
        <f t="shared" si="30"/>
        <v>0</v>
      </c>
      <c r="T52" s="273">
        <f t="shared" si="31"/>
        <v>0</v>
      </c>
      <c r="U52" s="273">
        <f t="shared" si="32"/>
        <v>0</v>
      </c>
      <c r="V52" s="273">
        <f t="shared" si="33"/>
        <v>0</v>
      </c>
      <c r="W52" s="273">
        <f t="shared" si="34"/>
        <v>0</v>
      </c>
      <c r="X52" s="274"/>
      <c r="Y52" s="274"/>
      <c r="Z52" s="274"/>
      <c r="AA52" s="415"/>
    </row>
    <row r="53" spans="1:27" ht="15" customHeight="1">
      <c r="A53" s="627"/>
      <c r="B53" s="375" t="s">
        <v>720</v>
      </c>
      <c r="C53" s="372">
        <f>+_xlfn.XLOOKUP($B53,'FASE 3 '!$C$408:$W$408,'FASE 3 '!$C$410:$W$410)</f>
        <v>0</v>
      </c>
      <c r="D53" s="264">
        <f>+_xlfn.XLOOKUP($B53,'FASE 3 '!$C$408:$W$408,'FASE 3 '!$C$411:$W$411)</f>
        <v>0</v>
      </c>
      <c r="E53" s="264">
        <f>+_xlfn.XLOOKUP($B53,'FASE 3 '!$C$408:$W$408,'FASE 3 '!$C$412:$W$412)</f>
        <v>0</v>
      </c>
      <c r="F53" s="264">
        <f>+_xlfn.XLOOKUP($B53,'FASE 3 '!$C$408:$W$408,'FASE 3 '!$C$413:$W$413)</f>
        <v>0</v>
      </c>
      <c r="G53" s="264">
        <f>+_xlfn.XLOOKUP($B53,'FASE 3 '!$C$408:$W$408,'FASE 3 '!$C$414:$W$414)</f>
        <v>0</v>
      </c>
      <c r="H53" s="264">
        <f>+_xlfn.XLOOKUP($B53,'FASE 3 '!$C$408:$W$408,'FASE 3 '!$C$415:$W$415)</f>
        <v>0</v>
      </c>
      <c r="I53" s="264">
        <f>+_xlfn.XLOOKUP($B53,'FASE 3 '!$C$408:$W$408,'FASE 3 '!$C$416:$W$416)</f>
        <v>0</v>
      </c>
      <c r="J53" s="264">
        <f>+_xlfn.XLOOKUP($B53,'FASE 3 '!$C$408:$W$408,'FASE 3 '!$C$417:$W$417)</f>
        <v>0</v>
      </c>
      <c r="K53" s="264">
        <f>+_xlfn.XLOOKUP($B53,'FASE 3 '!$C$408:$W$408,'FASE 3 '!$C$418:$W$418)</f>
        <v>0</v>
      </c>
      <c r="L53" s="273">
        <f t="shared" si="24"/>
        <v>0</v>
      </c>
      <c r="M53" s="274"/>
      <c r="N53" s="274"/>
      <c r="O53" s="273">
        <f t="shared" si="26"/>
        <v>0</v>
      </c>
      <c r="P53" s="273">
        <f t="shared" si="27"/>
        <v>0</v>
      </c>
      <c r="Q53" s="273">
        <f t="shared" si="28"/>
        <v>0</v>
      </c>
      <c r="R53" s="273">
        <f t="shared" si="29"/>
        <v>0</v>
      </c>
      <c r="S53" s="273">
        <f t="shared" si="30"/>
        <v>0</v>
      </c>
      <c r="T53" s="273">
        <f t="shared" si="31"/>
        <v>0</v>
      </c>
      <c r="U53" s="273">
        <f t="shared" si="32"/>
        <v>0</v>
      </c>
      <c r="V53" s="273">
        <f t="shared" si="33"/>
        <v>0</v>
      </c>
      <c r="W53" s="273">
        <f t="shared" si="34"/>
        <v>0</v>
      </c>
      <c r="X53" s="274"/>
      <c r="Y53" s="274"/>
      <c r="Z53" s="274"/>
      <c r="AA53" s="415"/>
    </row>
    <row r="54" spans="1:27" ht="15" customHeight="1">
      <c r="A54" s="627"/>
      <c r="B54" s="375" t="s">
        <v>721</v>
      </c>
      <c r="C54" s="372">
        <f>+_xlfn.XLOOKUP($B54,'FASE 3 '!$C$408:$W$408,'FASE 3 '!$C$410:$W$410)</f>
        <v>8.3333333333333329E-2</v>
      </c>
      <c r="D54" s="264">
        <f>+_xlfn.XLOOKUP($B54,'FASE 3 '!$C$408:$W$408,'FASE 3 '!$C$411:$W$411)</f>
        <v>0</v>
      </c>
      <c r="E54" s="264">
        <f>+_xlfn.XLOOKUP($B54,'FASE 3 '!$C$408:$W$408,'FASE 3 '!$C$412:$W$412)</f>
        <v>0</v>
      </c>
      <c r="F54" s="264">
        <f>+_xlfn.XLOOKUP($B54,'FASE 3 '!$C$408:$W$408,'FASE 3 '!$C$413:$W$413)</f>
        <v>0</v>
      </c>
      <c r="G54" s="264">
        <f>+_xlfn.XLOOKUP($B54,'FASE 3 '!$C$408:$W$408,'FASE 3 '!$C$414:$W$414)</f>
        <v>0</v>
      </c>
      <c r="H54" s="264">
        <f>+_xlfn.XLOOKUP($B54,'FASE 3 '!$C$408:$W$408,'FASE 3 '!$C$415:$W$415)</f>
        <v>0</v>
      </c>
      <c r="I54" s="264">
        <f>+_xlfn.XLOOKUP($B54,'FASE 3 '!$C$408:$W$408,'FASE 3 '!$C$416:$W$416)</f>
        <v>0</v>
      </c>
      <c r="J54" s="264">
        <f>+_xlfn.XLOOKUP($B54,'FASE 3 '!$C$408:$W$408,'FASE 3 '!$C$417:$W$417)</f>
        <v>0</v>
      </c>
      <c r="K54" s="264">
        <f>+_xlfn.XLOOKUP($B54,'FASE 3 '!$C$408:$W$408,'FASE 3 '!$C$418:$W$418)</f>
        <v>0</v>
      </c>
      <c r="L54" s="273">
        <f t="shared" si="24"/>
        <v>9.2592592592592587E-3</v>
      </c>
      <c r="M54" s="274"/>
      <c r="N54" s="274"/>
      <c r="O54" s="273">
        <f t="shared" si="26"/>
        <v>8.3333333333333329E-2</v>
      </c>
      <c r="P54" s="273">
        <f t="shared" si="27"/>
        <v>0</v>
      </c>
      <c r="Q54" s="273">
        <f t="shared" si="28"/>
        <v>0</v>
      </c>
      <c r="R54" s="273">
        <f t="shared" si="29"/>
        <v>0</v>
      </c>
      <c r="S54" s="273">
        <f t="shared" si="30"/>
        <v>0</v>
      </c>
      <c r="T54" s="273">
        <f t="shared" si="31"/>
        <v>0</v>
      </c>
      <c r="U54" s="273">
        <f t="shared" si="32"/>
        <v>0</v>
      </c>
      <c r="V54" s="273">
        <f t="shared" si="33"/>
        <v>0</v>
      </c>
      <c r="W54" s="273">
        <f t="shared" si="34"/>
        <v>0</v>
      </c>
      <c r="X54" s="274"/>
      <c r="Y54" s="274"/>
      <c r="Z54" s="274"/>
      <c r="AA54" s="415"/>
    </row>
    <row r="55" spans="1:27" ht="15" customHeight="1">
      <c r="A55" s="627"/>
      <c r="B55" s="375" t="s">
        <v>722</v>
      </c>
      <c r="C55" s="372">
        <f>+_xlfn.XLOOKUP($B55,'FASE 3 '!$C$408:$W$408,'FASE 3 '!$C$410:$W$410)</f>
        <v>8.3333333333333329E-2</v>
      </c>
      <c r="D55" s="264">
        <f>+_xlfn.XLOOKUP($B55,'FASE 3 '!$C$408:$W$408,'FASE 3 '!$C$411:$W$411)</f>
        <v>0</v>
      </c>
      <c r="E55" s="264">
        <f>+_xlfn.XLOOKUP($B55,'FASE 3 '!$C$408:$W$408,'FASE 3 '!$C$412:$W$412)</f>
        <v>0</v>
      </c>
      <c r="F55" s="264">
        <f>+_xlfn.XLOOKUP($B55,'FASE 3 '!$C$408:$W$408,'FASE 3 '!$C$413:$W$413)</f>
        <v>0</v>
      </c>
      <c r="G55" s="264">
        <f>+_xlfn.XLOOKUP($B55,'FASE 3 '!$C$408:$W$408,'FASE 3 '!$C$414:$W$414)</f>
        <v>0</v>
      </c>
      <c r="H55" s="264">
        <f>+_xlfn.XLOOKUP($B55,'FASE 3 '!$C$408:$W$408,'FASE 3 '!$C$415:$W$415)</f>
        <v>0</v>
      </c>
      <c r="I55" s="264">
        <f>+_xlfn.XLOOKUP($B55,'FASE 3 '!$C$408:$W$408,'FASE 3 '!$C$416:$W$416)</f>
        <v>0</v>
      </c>
      <c r="J55" s="264">
        <f>+_xlfn.XLOOKUP($B55,'FASE 3 '!$C$408:$W$408,'FASE 3 '!$C$417:$W$417)</f>
        <v>0</v>
      </c>
      <c r="K55" s="264">
        <f>+_xlfn.XLOOKUP($B55,'FASE 3 '!$C$408:$W$408,'FASE 3 '!$C$418:$W$418)</f>
        <v>0</v>
      </c>
      <c r="L55" s="273">
        <f t="shared" si="24"/>
        <v>9.2592592592592587E-3</v>
      </c>
      <c r="M55" s="274"/>
      <c r="N55" s="274"/>
      <c r="O55" s="273">
        <f t="shared" si="26"/>
        <v>8.3333333333333329E-2</v>
      </c>
      <c r="P55" s="273">
        <f t="shared" si="27"/>
        <v>0</v>
      </c>
      <c r="Q55" s="273">
        <f t="shared" si="28"/>
        <v>0</v>
      </c>
      <c r="R55" s="273">
        <f t="shared" si="29"/>
        <v>0</v>
      </c>
      <c r="S55" s="273">
        <f t="shared" si="30"/>
        <v>0</v>
      </c>
      <c r="T55" s="273">
        <f t="shared" si="31"/>
        <v>0</v>
      </c>
      <c r="U55" s="273">
        <f t="shared" si="32"/>
        <v>0</v>
      </c>
      <c r="V55" s="273">
        <f t="shared" si="33"/>
        <v>0</v>
      </c>
      <c r="W55" s="273">
        <f t="shared" si="34"/>
        <v>0</v>
      </c>
      <c r="X55" s="274"/>
      <c r="Y55" s="274"/>
      <c r="Z55" s="274"/>
      <c r="AA55" s="415"/>
    </row>
    <row r="56" spans="1:27" ht="15" customHeight="1">
      <c r="A56" s="627"/>
      <c r="B56" s="375" t="s">
        <v>724</v>
      </c>
      <c r="C56" s="372">
        <f>+_xlfn.XLOOKUP($B56,'FASE 3 '!$C$408:$W$408,'FASE 3 '!$C$410:$W$410)</f>
        <v>0</v>
      </c>
      <c r="D56" s="264">
        <f>+_xlfn.XLOOKUP($B56,'FASE 3 '!$C$408:$W$408,'FASE 3 '!$C$411:$W$411)</f>
        <v>0</v>
      </c>
      <c r="E56" s="264">
        <f>+_xlfn.XLOOKUP($B56,'FASE 3 '!$C$408:$W$408,'FASE 3 '!$C$412:$W$412)</f>
        <v>0</v>
      </c>
      <c r="F56" s="264">
        <f>+_xlfn.XLOOKUP($B56,'FASE 3 '!$C$408:$W$408,'FASE 3 '!$C$413:$W$413)</f>
        <v>0</v>
      </c>
      <c r="G56" s="264">
        <f>+_xlfn.XLOOKUP($B56,'FASE 3 '!$C$408:$W$408,'FASE 3 '!$C$414:$W$414)</f>
        <v>0</v>
      </c>
      <c r="H56" s="264">
        <f>+_xlfn.XLOOKUP($B56,'FASE 3 '!$C$408:$W$408,'FASE 3 '!$C$415:$W$415)</f>
        <v>0</v>
      </c>
      <c r="I56" s="264">
        <f>+_xlfn.XLOOKUP($B56,'FASE 3 '!$C$408:$W$408,'FASE 3 '!$C$416:$W$416)</f>
        <v>0</v>
      </c>
      <c r="J56" s="264">
        <f>+_xlfn.XLOOKUP($B56,'FASE 3 '!$C$408:$W$408,'FASE 3 '!$C$417:$W$417)</f>
        <v>0</v>
      </c>
      <c r="K56" s="264">
        <f>+_xlfn.XLOOKUP($B56,'FASE 3 '!$C$408:$W$408,'FASE 3 '!$C$418:$W$418)</f>
        <v>0</v>
      </c>
      <c r="L56" s="273">
        <f t="shared" si="24"/>
        <v>0</v>
      </c>
      <c r="M56" s="274"/>
      <c r="N56" s="274"/>
      <c r="O56" s="273">
        <f t="shared" si="26"/>
        <v>0</v>
      </c>
      <c r="P56" s="273">
        <f t="shared" si="27"/>
        <v>0</v>
      </c>
      <c r="Q56" s="273">
        <f t="shared" si="28"/>
        <v>0</v>
      </c>
      <c r="R56" s="273">
        <f t="shared" si="29"/>
        <v>0</v>
      </c>
      <c r="S56" s="273">
        <f t="shared" si="30"/>
        <v>0</v>
      </c>
      <c r="T56" s="273">
        <f t="shared" si="31"/>
        <v>0</v>
      </c>
      <c r="U56" s="273">
        <f t="shared" si="32"/>
        <v>0</v>
      </c>
      <c r="V56" s="273">
        <f t="shared" si="33"/>
        <v>0</v>
      </c>
      <c r="W56" s="273">
        <f t="shared" si="34"/>
        <v>0</v>
      </c>
      <c r="X56" s="274"/>
      <c r="Y56" s="274"/>
      <c r="Z56" s="274"/>
      <c r="AA56" s="415"/>
    </row>
    <row r="57" spans="1:27" ht="15" customHeight="1">
      <c r="A57" s="627"/>
      <c r="B57" s="375" t="s">
        <v>725</v>
      </c>
      <c r="C57" s="372">
        <f>+_xlfn.XLOOKUP($B57,'FASE 3 '!$C$408:$W$408,'FASE 3 '!$C$410:$W$410)</f>
        <v>8.3333333333333329E-2</v>
      </c>
      <c r="D57" s="264">
        <f>+_xlfn.XLOOKUP($B57,'FASE 3 '!$C$408:$W$408,'FASE 3 '!$C$411:$W$411)</f>
        <v>0</v>
      </c>
      <c r="E57" s="264">
        <f>+_xlfn.XLOOKUP($B57,'FASE 3 '!$C$408:$W$408,'FASE 3 '!$C$412:$W$412)</f>
        <v>0</v>
      </c>
      <c r="F57" s="264">
        <f>+_xlfn.XLOOKUP($B57,'FASE 3 '!$C$408:$W$408,'FASE 3 '!$C$413:$W$413)</f>
        <v>0</v>
      </c>
      <c r="G57" s="264">
        <f>+_xlfn.XLOOKUP($B57,'FASE 3 '!$C$408:$W$408,'FASE 3 '!$C$414:$W$414)</f>
        <v>0</v>
      </c>
      <c r="H57" s="264">
        <f>+_xlfn.XLOOKUP($B57,'FASE 3 '!$C$408:$W$408,'FASE 3 '!$C$415:$W$415)</f>
        <v>0</v>
      </c>
      <c r="I57" s="264">
        <f>+_xlfn.XLOOKUP($B57,'FASE 3 '!$C$408:$W$408,'FASE 3 '!$C$416:$W$416)</f>
        <v>0</v>
      </c>
      <c r="J57" s="264">
        <f>+_xlfn.XLOOKUP($B57,'FASE 3 '!$C$408:$W$408,'FASE 3 '!$C$417:$W$417)</f>
        <v>0</v>
      </c>
      <c r="K57" s="264">
        <f>+_xlfn.XLOOKUP($B57,'FASE 3 '!$C$408:$W$408,'FASE 3 '!$C$418:$W$418)</f>
        <v>0</v>
      </c>
      <c r="L57" s="273">
        <f t="shared" si="24"/>
        <v>9.2592592592592587E-3</v>
      </c>
      <c r="M57" s="274"/>
      <c r="N57" s="274"/>
      <c r="O57" s="273">
        <f t="shared" si="26"/>
        <v>8.3333333333333329E-2</v>
      </c>
      <c r="P57" s="273">
        <f t="shared" si="27"/>
        <v>0</v>
      </c>
      <c r="Q57" s="273">
        <f t="shared" si="28"/>
        <v>0</v>
      </c>
      <c r="R57" s="273">
        <f t="shared" si="29"/>
        <v>0</v>
      </c>
      <c r="S57" s="273">
        <f t="shared" si="30"/>
        <v>0</v>
      </c>
      <c r="T57" s="273">
        <f t="shared" si="31"/>
        <v>0</v>
      </c>
      <c r="U57" s="273">
        <f t="shared" si="32"/>
        <v>0</v>
      </c>
      <c r="V57" s="273">
        <f t="shared" si="33"/>
        <v>0</v>
      </c>
      <c r="W57" s="273">
        <f t="shared" si="34"/>
        <v>0</v>
      </c>
      <c r="X57" s="274"/>
      <c r="Y57" s="274"/>
      <c r="Z57" s="274"/>
      <c r="AA57" s="415"/>
    </row>
    <row r="58" spans="1:27" ht="15" customHeight="1">
      <c r="A58" s="627"/>
      <c r="B58" s="375" t="s">
        <v>726</v>
      </c>
      <c r="C58" s="372">
        <f>+_xlfn.XLOOKUP($B58,'FASE 3 '!$C$408:$W$408,'FASE 3 '!$C$410:$W$410)</f>
        <v>8.3333333333333329E-2</v>
      </c>
      <c r="D58" s="264">
        <f>+_xlfn.XLOOKUP($B58,'FASE 3 '!$C$408:$W$408,'FASE 3 '!$C$411:$W$411)</f>
        <v>0</v>
      </c>
      <c r="E58" s="264">
        <f>+_xlfn.XLOOKUP($B58,'FASE 3 '!$C$408:$W$408,'FASE 3 '!$C$412:$W$412)</f>
        <v>0</v>
      </c>
      <c r="F58" s="264">
        <f>+_xlfn.XLOOKUP($B58,'FASE 3 '!$C$408:$W$408,'FASE 3 '!$C$413:$W$413)</f>
        <v>0</v>
      </c>
      <c r="G58" s="264">
        <f>+_xlfn.XLOOKUP($B58,'FASE 3 '!$C$408:$W$408,'FASE 3 '!$C$414:$W$414)</f>
        <v>0</v>
      </c>
      <c r="H58" s="264">
        <f>+_xlfn.XLOOKUP($B58,'FASE 3 '!$C$408:$W$408,'FASE 3 '!$C$415:$W$415)</f>
        <v>0</v>
      </c>
      <c r="I58" s="264">
        <f>+_xlfn.XLOOKUP($B58,'FASE 3 '!$C$408:$W$408,'FASE 3 '!$C$416:$W$416)</f>
        <v>0</v>
      </c>
      <c r="J58" s="264">
        <f>+_xlfn.XLOOKUP($B58,'FASE 3 '!$C$408:$W$408,'FASE 3 '!$C$417:$W$417)</f>
        <v>0</v>
      </c>
      <c r="K58" s="264">
        <f>+_xlfn.XLOOKUP($B58,'FASE 3 '!$C$408:$W$408,'FASE 3 '!$C$418:$W$418)</f>
        <v>0</v>
      </c>
      <c r="L58" s="273">
        <f t="shared" si="24"/>
        <v>9.2592592592592587E-3</v>
      </c>
      <c r="M58" s="274"/>
      <c r="N58" s="274"/>
      <c r="O58" s="273">
        <f t="shared" si="26"/>
        <v>8.3333333333333329E-2</v>
      </c>
      <c r="P58" s="273">
        <f t="shared" si="27"/>
        <v>0</v>
      </c>
      <c r="Q58" s="273">
        <f t="shared" si="28"/>
        <v>0</v>
      </c>
      <c r="R58" s="273">
        <f t="shared" si="29"/>
        <v>0</v>
      </c>
      <c r="S58" s="273">
        <f t="shared" si="30"/>
        <v>0</v>
      </c>
      <c r="T58" s="273">
        <f t="shared" si="31"/>
        <v>0</v>
      </c>
      <c r="U58" s="273">
        <f t="shared" si="32"/>
        <v>0</v>
      </c>
      <c r="V58" s="273">
        <f t="shared" si="33"/>
        <v>0</v>
      </c>
      <c r="W58" s="273">
        <f t="shared" si="34"/>
        <v>0</v>
      </c>
      <c r="X58" s="274"/>
      <c r="Y58" s="274"/>
      <c r="Z58" s="274"/>
      <c r="AA58" s="415"/>
    </row>
    <row r="59" spans="1:27" ht="15" customHeight="1">
      <c r="A59" s="627"/>
      <c r="B59" s="375" t="s">
        <v>751</v>
      </c>
      <c r="C59" s="372">
        <f>+_xlfn.XLOOKUP($B59,'FASE 3 '!$C$408:$W$408,'FASE 3 '!$C$410:$W$410)</f>
        <v>8.3333333333333329E-2</v>
      </c>
      <c r="D59" s="264">
        <f>+_xlfn.XLOOKUP($B59,'FASE 3 '!$C$408:$W$408,'FASE 3 '!$C$411:$W$411)</f>
        <v>0</v>
      </c>
      <c r="E59" s="264">
        <f>+_xlfn.XLOOKUP($B59,'FASE 3 '!$C$408:$W$408,'FASE 3 '!$C$412:$W$412)</f>
        <v>0</v>
      </c>
      <c r="F59" s="264">
        <f>+_xlfn.XLOOKUP($B59,'FASE 3 '!$C$408:$W$408,'FASE 3 '!$C$413:$W$413)</f>
        <v>0</v>
      </c>
      <c r="G59" s="264">
        <f>+_xlfn.XLOOKUP($B59,'FASE 3 '!$C$408:$W$408,'FASE 3 '!$C$414:$W$414)</f>
        <v>0</v>
      </c>
      <c r="H59" s="264">
        <f>+_xlfn.XLOOKUP($B59,'FASE 3 '!$C$408:$W$408,'FASE 3 '!$C$415:$W$415)</f>
        <v>0</v>
      </c>
      <c r="I59" s="264">
        <f>+_xlfn.XLOOKUP($B59,'FASE 3 '!$C$408:$W$408,'FASE 3 '!$C$416:$W$416)</f>
        <v>0</v>
      </c>
      <c r="J59" s="264">
        <f>+_xlfn.XLOOKUP($B59,'FASE 3 '!$C$408:$W$408,'FASE 3 '!$C$417:$W$417)</f>
        <v>0</v>
      </c>
      <c r="K59" s="264">
        <f>+_xlfn.XLOOKUP($B59,'FASE 3 '!$C$408:$W$408,'FASE 3 '!$C$418:$W$418)</f>
        <v>0</v>
      </c>
      <c r="L59" s="273">
        <f t="shared" si="24"/>
        <v>9.2592592592592587E-3</v>
      </c>
      <c r="M59" s="274"/>
      <c r="N59" s="274"/>
      <c r="O59" s="273">
        <f t="shared" si="26"/>
        <v>8.3333333333333329E-2</v>
      </c>
      <c r="P59" s="273">
        <f t="shared" si="27"/>
        <v>0</v>
      </c>
      <c r="Q59" s="273">
        <f t="shared" si="28"/>
        <v>0</v>
      </c>
      <c r="R59" s="273">
        <f t="shared" si="29"/>
        <v>0</v>
      </c>
      <c r="S59" s="273">
        <f t="shared" si="30"/>
        <v>0</v>
      </c>
      <c r="T59" s="273">
        <f t="shared" si="31"/>
        <v>0</v>
      </c>
      <c r="U59" s="273">
        <f t="shared" si="32"/>
        <v>0</v>
      </c>
      <c r="V59" s="273">
        <f t="shared" si="33"/>
        <v>0</v>
      </c>
      <c r="W59" s="273">
        <f t="shared" si="34"/>
        <v>0</v>
      </c>
      <c r="X59" s="274"/>
      <c r="Y59" s="274"/>
      <c r="Z59" s="274"/>
      <c r="AA59" s="415"/>
    </row>
    <row r="60" spans="1:27" ht="15" customHeight="1">
      <c r="A60" s="627"/>
      <c r="B60" s="375" t="s">
        <v>727</v>
      </c>
      <c r="C60" s="372">
        <f>+_xlfn.XLOOKUP($B60,'FASE 3 '!$C$408:$W$408,'FASE 3 '!$C$410:$W$410)</f>
        <v>8.3333333333333329E-2</v>
      </c>
      <c r="D60" s="264">
        <f>+_xlfn.XLOOKUP($B60,'FASE 3 '!$C$408:$W$408,'FASE 3 '!$C$411:$W$411)</f>
        <v>0</v>
      </c>
      <c r="E60" s="264">
        <f>+_xlfn.XLOOKUP($B60,'FASE 3 '!$C$408:$W$408,'FASE 3 '!$C$412:$W$412)</f>
        <v>0</v>
      </c>
      <c r="F60" s="264">
        <f>+_xlfn.XLOOKUP($B60,'FASE 3 '!$C$408:$W$408,'FASE 3 '!$C$413:$W$413)</f>
        <v>0</v>
      </c>
      <c r="G60" s="264">
        <f>+_xlfn.XLOOKUP($B60,'FASE 3 '!$C$408:$W$408,'FASE 3 '!$C$414:$W$414)</f>
        <v>0</v>
      </c>
      <c r="H60" s="264">
        <f>+_xlfn.XLOOKUP($B60,'FASE 3 '!$C$408:$W$408,'FASE 3 '!$C$415:$W$415)</f>
        <v>0</v>
      </c>
      <c r="I60" s="264">
        <f>+_xlfn.XLOOKUP($B60,'FASE 3 '!$C$408:$W$408,'FASE 3 '!$C$416:$W$416)</f>
        <v>0</v>
      </c>
      <c r="J60" s="264">
        <f>+_xlfn.XLOOKUP($B60,'FASE 3 '!$C$408:$W$408,'FASE 3 '!$C$417:$W$417)</f>
        <v>0</v>
      </c>
      <c r="K60" s="264">
        <f>+_xlfn.XLOOKUP($B60,'FASE 3 '!$C$408:$W$408,'FASE 3 '!$C$418:$W$418)</f>
        <v>0</v>
      </c>
      <c r="L60" s="273">
        <f t="shared" si="24"/>
        <v>9.2592592592592587E-3</v>
      </c>
      <c r="M60" s="274"/>
      <c r="N60" s="274"/>
      <c r="O60" s="273">
        <f t="shared" si="26"/>
        <v>8.3333333333333329E-2</v>
      </c>
      <c r="P60" s="273">
        <f t="shared" si="27"/>
        <v>0</v>
      </c>
      <c r="Q60" s="273">
        <f t="shared" si="28"/>
        <v>0</v>
      </c>
      <c r="R60" s="273">
        <f t="shared" si="29"/>
        <v>0</v>
      </c>
      <c r="S60" s="273">
        <f t="shared" si="30"/>
        <v>0</v>
      </c>
      <c r="T60" s="273">
        <f t="shared" si="31"/>
        <v>0</v>
      </c>
      <c r="U60" s="273">
        <f t="shared" si="32"/>
        <v>0</v>
      </c>
      <c r="V60" s="273">
        <f t="shared" si="33"/>
        <v>0</v>
      </c>
      <c r="W60" s="273">
        <f t="shared" si="34"/>
        <v>0</v>
      </c>
      <c r="X60" s="274"/>
      <c r="Y60" s="274"/>
      <c r="Z60" s="274"/>
      <c r="AA60" s="415"/>
    </row>
    <row r="61" spans="1:27" ht="15" customHeight="1">
      <c r="A61" s="627"/>
      <c r="B61" s="375" t="s">
        <v>728</v>
      </c>
      <c r="C61" s="372">
        <f>+_xlfn.XLOOKUP($B61,'FASE 3 '!$C$408:$W$408,'FASE 3 '!$C$410:$W$410)</f>
        <v>8.3333333333333329E-2</v>
      </c>
      <c r="D61" s="264">
        <f>+_xlfn.XLOOKUP($B61,'FASE 3 '!$C$408:$W$408,'FASE 3 '!$C$411:$W$411)</f>
        <v>0</v>
      </c>
      <c r="E61" s="264">
        <f>+_xlfn.XLOOKUP($B61,'FASE 3 '!$C$408:$W$408,'FASE 3 '!$C$412:$W$412)</f>
        <v>0</v>
      </c>
      <c r="F61" s="264">
        <f>+_xlfn.XLOOKUP($B61,'FASE 3 '!$C$408:$W$408,'FASE 3 '!$C$413:$W$413)</f>
        <v>0</v>
      </c>
      <c r="G61" s="264">
        <f>+_xlfn.XLOOKUP($B61,'FASE 3 '!$C$408:$W$408,'FASE 3 '!$C$414:$W$414)</f>
        <v>0</v>
      </c>
      <c r="H61" s="264">
        <f>+_xlfn.XLOOKUP($B61,'FASE 3 '!$C$408:$W$408,'FASE 3 '!$C$415:$W$415)</f>
        <v>0</v>
      </c>
      <c r="I61" s="264">
        <f>+_xlfn.XLOOKUP($B61,'FASE 3 '!$C$408:$W$408,'FASE 3 '!$C$416:$W$416)</f>
        <v>0</v>
      </c>
      <c r="J61" s="264">
        <f>+_xlfn.XLOOKUP($B61,'FASE 3 '!$C$408:$W$408,'FASE 3 '!$C$417:$W$417)</f>
        <v>0</v>
      </c>
      <c r="K61" s="264">
        <f>+_xlfn.XLOOKUP($B61,'FASE 3 '!$C$408:$W$408,'FASE 3 '!$C$418:$W$418)</f>
        <v>0</v>
      </c>
      <c r="L61" s="273">
        <f t="shared" si="24"/>
        <v>9.2592592592592587E-3</v>
      </c>
      <c r="M61" s="274"/>
      <c r="N61" s="274"/>
      <c r="O61" s="273">
        <f t="shared" si="26"/>
        <v>8.3333333333333329E-2</v>
      </c>
      <c r="P61" s="273">
        <f t="shared" si="27"/>
        <v>0</v>
      </c>
      <c r="Q61" s="273">
        <f t="shared" si="28"/>
        <v>0</v>
      </c>
      <c r="R61" s="273">
        <f t="shared" si="29"/>
        <v>0</v>
      </c>
      <c r="S61" s="273">
        <f t="shared" si="30"/>
        <v>0</v>
      </c>
      <c r="T61" s="273">
        <f t="shared" si="31"/>
        <v>0</v>
      </c>
      <c r="U61" s="273">
        <f t="shared" si="32"/>
        <v>0</v>
      </c>
      <c r="V61" s="273">
        <f t="shared" si="33"/>
        <v>0</v>
      </c>
      <c r="W61" s="273">
        <f t="shared" si="34"/>
        <v>0</v>
      </c>
      <c r="X61" s="274"/>
      <c r="Y61" s="274"/>
      <c r="Z61" s="274"/>
      <c r="AA61" s="415"/>
    </row>
    <row r="62" spans="1:27" ht="15" customHeight="1">
      <c r="A62" s="627"/>
      <c r="B62" s="375" t="s">
        <v>729</v>
      </c>
      <c r="C62" s="372">
        <f>+_xlfn.XLOOKUP($B62,'FASE 3 '!$C$408:$W$408,'FASE 3 '!$C$410:$W$410)</f>
        <v>8.3333333333333329E-2</v>
      </c>
      <c r="D62" s="264">
        <f>+_xlfn.XLOOKUP($B62,'FASE 3 '!$C$408:$W$408,'FASE 3 '!$C$411:$W$411)</f>
        <v>0</v>
      </c>
      <c r="E62" s="264">
        <f>+_xlfn.XLOOKUP($B62,'FASE 3 '!$C$408:$W$408,'FASE 3 '!$C$412:$W$412)</f>
        <v>0</v>
      </c>
      <c r="F62" s="264">
        <f>+_xlfn.XLOOKUP($B62,'FASE 3 '!$C$408:$W$408,'FASE 3 '!$C$413:$W$413)</f>
        <v>0</v>
      </c>
      <c r="G62" s="264">
        <f>+_xlfn.XLOOKUP($B62,'FASE 3 '!$C$408:$W$408,'FASE 3 '!$C$414:$W$414)</f>
        <v>0</v>
      </c>
      <c r="H62" s="264">
        <f>+_xlfn.XLOOKUP($B62,'FASE 3 '!$C$408:$W$408,'FASE 3 '!$C$415:$W$415)</f>
        <v>0</v>
      </c>
      <c r="I62" s="264">
        <f>+_xlfn.XLOOKUP($B62,'FASE 3 '!$C$408:$W$408,'FASE 3 '!$C$416:$W$416)</f>
        <v>0</v>
      </c>
      <c r="J62" s="264">
        <f>+_xlfn.XLOOKUP($B62,'FASE 3 '!$C$408:$W$408,'FASE 3 '!$C$417:$W$417)</f>
        <v>0</v>
      </c>
      <c r="K62" s="264">
        <f>+_xlfn.XLOOKUP($B62,'FASE 3 '!$C$408:$W$408,'FASE 3 '!$C$418:$W$418)</f>
        <v>0</v>
      </c>
      <c r="L62" s="273">
        <f t="shared" si="24"/>
        <v>9.2592592592592587E-3</v>
      </c>
      <c r="M62" s="274"/>
      <c r="N62" s="274"/>
      <c r="O62" s="273">
        <f t="shared" si="26"/>
        <v>8.3333333333333329E-2</v>
      </c>
      <c r="P62" s="273">
        <f t="shared" si="27"/>
        <v>0</v>
      </c>
      <c r="Q62" s="273">
        <f t="shared" si="28"/>
        <v>0</v>
      </c>
      <c r="R62" s="273">
        <f t="shared" si="29"/>
        <v>0</v>
      </c>
      <c r="S62" s="273">
        <f t="shared" si="30"/>
        <v>0</v>
      </c>
      <c r="T62" s="273">
        <f t="shared" si="31"/>
        <v>0</v>
      </c>
      <c r="U62" s="273">
        <f t="shared" si="32"/>
        <v>0</v>
      </c>
      <c r="V62" s="273">
        <f t="shared" si="33"/>
        <v>0</v>
      </c>
      <c r="W62" s="273">
        <f t="shared" si="34"/>
        <v>0</v>
      </c>
      <c r="X62" s="274"/>
      <c r="Y62" s="274"/>
      <c r="Z62" s="274"/>
      <c r="AA62" s="415"/>
    </row>
    <row r="63" spans="1:27" ht="15" customHeight="1">
      <c r="A63" s="627"/>
      <c r="B63" s="375" t="s">
        <v>730</v>
      </c>
      <c r="C63" s="372">
        <f>+_xlfn.XLOOKUP($B63,'FASE 3 '!$C$408:$W$408,'FASE 3 '!$C$410:$W$410)</f>
        <v>8.3333333333333329E-2</v>
      </c>
      <c r="D63" s="264">
        <f>+_xlfn.XLOOKUP($B63,'FASE 3 '!$C$408:$W$408,'FASE 3 '!$C$411:$W$411)</f>
        <v>0</v>
      </c>
      <c r="E63" s="264">
        <f>+_xlfn.XLOOKUP($B63,'FASE 3 '!$C$408:$W$408,'FASE 3 '!$C$412:$W$412)</f>
        <v>0</v>
      </c>
      <c r="F63" s="264">
        <f>+_xlfn.XLOOKUP($B63,'FASE 3 '!$C$408:$W$408,'FASE 3 '!$C$413:$W$413)</f>
        <v>0</v>
      </c>
      <c r="G63" s="264">
        <f>+_xlfn.XLOOKUP($B63,'FASE 3 '!$C$408:$W$408,'FASE 3 '!$C$414:$W$414)</f>
        <v>0</v>
      </c>
      <c r="H63" s="264">
        <f>+_xlfn.XLOOKUP($B63,'FASE 3 '!$C$408:$W$408,'FASE 3 '!$C$415:$W$415)</f>
        <v>0</v>
      </c>
      <c r="I63" s="264">
        <f>+_xlfn.XLOOKUP($B63,'FASE 3 '!$C$408:$W$408,'FASE 3 '!$C$416:$W$416)</f>
        <v>0</v>
      </c>
      <c r="J63" s="264">
        <f>+_xlfn.XLOOKUP($B63,'FASE 3 '!$C$408:$W$408,'FASE 3 '!$C$417:$W$417)</f>
        <v>0</v>
      </c>
      <c r="K63" s="264">
        <f>+_xlfn.XLOOKUP($B63,'FASE 3 '!$C$408:$W$408,'FASE 3 '!$C$418:$W$418)</f>
        <v>0</v>
      </c>
      <c r="L63" s="273">
        <f t="shared" si="24"/>
        <v>9.2592592592592587E-3</v>
      </c>
      <c r="M63" s="274"/>
      <c r="N63" s="274"/>
      <c r="O63" s="273">
        <f t="shared" si="26"/>
        <v>8.3333333333333329E-2</v>
      </c>
      <c r="P63" s="273">
        <f t="shared" si="27"/>
        <v>0</v>
      </c>
      <c r="Q63" s="273">
        <f t="shared" si="28"/>
        <v>0</v>
      </c>
      <c r="R63" s="273">
        <f t="shared" si="29"/>
        <v>0</v>
      </c>
      <c r="S63" s="273">
        <f t="shared" si="30"/>
        <v>0</v>
      </c>
      <c r="T63" s="273">
        <f t="shared" si="31"/>
        <v>0</v>
      </c>
      <c r="U63" s="273">
        <f t="shared" si="32"/>
        <v>0</v>
      </c>
      <c r="V63" s="273">
        <f t="shared" si="33"/>
        <v>0</v>
      </c>
      <c r="W63" s="273">
        <f t="shared" si="34"/>
        <v>0</v>
      </c>
      <c r="X63" s="274"/>
      <c r="Y63" s="274"/>
      <c r="Z63" s="274"/>
      <c r="AA63" s="415"/>
    </row>
    <row r="64" spans="1:27" ht="15" customHeight="1">
      <c r="A64" s="627"/>
      <c r="B64" s="375" t="s">
        <v>733</v>
      </c>
      <c r="C64" s="372">
        <f>+_xlfn.XLOOKUP($B64,'FASE 3 '!$C$408:$W$408,'FASE 3 '!$C$410:$W$410)</f>
        <v>8.3333333333333329E-2</v>
      </c>
      <c r="D64" s="264">
        <f>+_xlfn.XLOOKUP($B64,'FASE 3 '!$C$408:$W$408,'FASE 3 '!$C$411:$W$411)</f>
        <v>0</v>
      </c>
      <c r="E64" s="264">
        <f>+_xlfn.XLOOKUP($B64,'FASE 3 '!$C$408:$W$408,'FASE 3 '!$C$412:$W$412)</f>
        <v>0</v>
      </c>
      <c r="F64" s="264">
        <f>+_xlfn.XLOOKUP($B64,'FASE 3 '!$C$408:$W$408,'FASE 3 '!$C$413:$W$413)</f>
        <v>0</v>
      </c>
      <c r="G64" s="264">
        <f>+_xlfn.XLOOKUP($B64,'FASE 3 '!$C$408:$W$408,'FASE 3 '!$C$414:$W$414)</f>
        <v>0</v>
      </c>
      <c r="H64" s="264">
        <f>+_xlfn.XLOOKUP($B64,'FASE 3 '!$C$408:$W$408,'FASE 3 '!$C$415:$W$415)</f>
        <v>0</v>
      </c>
      <c r="I64" s="264">
        <f>+_xlfn.XLOOKUP($B64,'FASE 3 '!$C$408:$W$408,'FASE 3 '!$C$416:$W$416)</f>
        <v>0</v>
      </c>
      <c r="J64" s="264">
        <f>+_xlfn.XLOOKUP($B64,'FASE 3 '!$C$408:$W$408,'FASE 3 '!$C$417:$W$417)</f>
        <v>0</v>
      </c>
      <c r="K64" s="264">
        <f>+_xlfn.XLOOKUP($B64,'FASE 3 '!$C$408:$W$408,'FASE 3 '!$C$418:$W$418)</f>
        <v>0</v>
      </c>
      <c r="L64" s="273">
        <f t="shared" si="24"/>
        <v>9.2592592592592587E-3</v>
      </c>
      <c r="M64" s="274"/>
      <c r="N64" s="274"/>
      <c r="O64" s="273">
        <f t="shared" si="26"/>
        <v>8.3333333333333329E-2</v>
      </c>
      <c r="P64" s="273">
        <f t="shared" si="27"/>
        <v>0</v>
      </c>
      <c r="Q64" s="273">
        <f t="shared" si="28"/>
        <v>0</v>
      </c>
      <c r="R64" s="273">
        <f t="shared" si="29"/>
        <v>0</v>
      </c>
      <c r="S64" s="273">
        <f t="shared" si="30"/>
        <v>0</v>
      </c>
      <c r="T64" s="273">
        <f t="shared" si="31"/>
        <v>0</v>
      </c>
      <c r="U64" s="273">
        <f t="shared" si="32"/>
        <v>0</v>
      </c>
      <c r="V64" s="273">
        <f t="shared" si="33"/>
        <v>0</v>
      </c>
      <c r="W64" s="273">
        <f t="shared" si="34"/>
        <v>0</v>
      </c>
      <c r="X64" s="274"/>
      <c r="Y64" s="274"/>
      <c r="Z64" s="274"/>
      <c r="AA64" s="415"/>
    </row>
    <row r="65" spans="1:92" ht="15" customHeight="1">
      <c r="A65" s="627"/>
      <c r="B65" s="375" t="s">
        <v>734</v>
      </c>
      <c r="C65" s="372">
        <f>+_xlfn.XLOOKUP($B65,'FASE 3 '!$C$408:$W$408,'FASE 3 '!$C$410:$W$410)</f>
        <v>8.3333333333333329E-2</v>
      </c>
      <c r="D65" s="264">
        <f>+_xlfn.XLOOKUP($B65,'FASE 3 '!$C$408:$W$408,'FASE 3 '!$C$411:$W$411)</f>
        <v>0</v>
      </c>
      <c r="E65" s="264">
        <f>+_xlfn.XLOOKUP($B65,'FASE 3 '!$C$408:$W$408,'FASE 3 '!$C$412:$W$412)</f>
        <v>0</v>
      </c>
      <c r="F65" s="264">
        <f>+_xlfn.XLOOKUP($B65,'FASE 3 '!$C$408:$W$408,'FASE 3 '!$C$413:$W$413)</f>
        <v>0</v>
      </c>
      <c r="G65" s="264">
        <f>+_xlfn.XLOOKUP($B65,'FASE 3 '!$C$408:$W$408,'FASE 3 '!$C$414:$W$414)</f>
        <v>0</v>
      </c>
      <c r="H65" s="264">
        <f>+_xlfn.XLOOKUP($B65,'FASE 3 '!$C$408:$W$408,'FASE 3 '!$C$415:$W$415)</f>
        <v>0</v>
      </c>
      <c r="I65" s="264">
        <f>+_xlfn.XLOOKUP($B65,'FASE 3 '!$C$408:$W$408,'FASE 3 '!$C$416:$W$416)</f>
        <v>0</v>
      </c>
      <c r="J65" s="264">
        <f>+_xlfn.XLOOKUP($B65,'FASE 3 '!$C$408:$W$408,'FASE 3 '!$C$417:$W$417)</f>
        <v>0</v>
      </c>
      <c r="K65" s="264">
        <f>+_xlfn.XLOOKUP($B65,'FASE 3 '!$C$408:$W$408,'FASE 3 '!$C$418:$W$418)</f>
        <v>0</v>
      </c>
      <c r="L65" s="273">
        <f t="shared" si="24"/>
        <v>9.2592592592592587E-3</v>
      </c>
      <c r="M65" s="274"/>
      <c r="N65" s="274"/>
      <c r="O65" s="273">
        <f t="shared" si="26"/>
        <v>8.3333333333333329E-2</v>
      </c>
      <c r="P65" s="273">
        <f t="shared" si="27"/>
        <v>0</v>
      </c>
      <c r="Q65" s="273">
        <f t="shared" si="28"/>
        <v>0</v>
      </c>
      <c r="R65" s="273">
        <f t="shared" si="29"/>
        <v>0</v>
      </c>
      <c r="S65" s="273">
        <f t="shared" si="30"/>
        <v>0</v>
      </c>
      <c r="T65" s="273">
        <f t="shared" si="31"/>
        <v>0</v>
      </c>
      <c r="U65" s="273">
        <f t="shared" si="32"/>
        <v>0</v>
      </c>
      <c r="V65" s="273">
        <f t="shared" si="33"/>
        <v>0</v>
      </c>
      <c r="W65" s="273">
        <f t="shared" si="34"/>
        <v>0</v>
      </c>
      <c r="X65" s="274"/>
      <c r="Y65" s="274"/>
      <c r="Z65" s="274"/>
      <c r="AA65" s="415"/>
    </row>
    <row r="66" spans="1:92" ht="15" customHeight="1">
      <c r="A66" s="627"/>
      <c r="B66" s="375" t="s">
        <v>735</v>
      </c>
      <c r="C66" s="372">
        <f>+_xlfn.XLOOKUP($B66,'FASE 3 '!$C$408:$W$408,'FASE 3 '!$C$410:$W$410)</f>
        <v>8.3333333333333329E-2</v>
      </c>
      <c r="D66" s="264">
        <f>+_xlfn.XLOOKUP($B66,'FASE 3 '!$C$408:$W$408,'FASE 3 '!$C$411:$W$411)</f>
        <v>0</v>
      </c>
      <c r="E66" s="264">
        <f>+_xlfn.XLOOKUP($B66,'FASE 3 '!$C$408:$W$408,'FASE 3 '!$C$412:$W$412)</f>
        <v>0</v>
      </c>
      <c r="F66" s="264">
        <f>+_xlfn.XLOOKUP($B66,'FASE 3 '!$C$408:$W$408,'FASE 3 '!$C$413:$W$413)</f>
        <v>0</v>
      </c>
      <c r="G66" s="264">
        <f>+_xlfn.XLOOKUP($B66,'FASE 3 '!$C$408:$W$408,'FASE 3 '!$C$414:$W$414)</f>
        <v>0</v>
      </c>
      <c r="H66" s="264">
        <f>+_xlfn.XLOOKUP($B66,'FASE 3 '!$C$408:$W$408,'FASE 3 '!$C$415:$W$415)</f>
        <v>0</v>
      </c>
      <c r="I66" s="264">
        <f>+_xlfn.XLOOKUP($B66,'FASE 3 '!$C$408:$W$408,'FASE 3 '!$C$416:$W$416)</f>
        <v>0</v>
      </c>
      <c r="J66" s="264">
        <f>+_xlfn.XLOOKUP($B66,'FASE 3 '!$C$408:$W$408,'FASE 3 '!$C$417:$W$417)</f>
        <v>0</v>
      </c>
      <c r="K66" s="264">
        <f>+_xlfn.XLOOKUP($B66,'FASE 3 '!$C$408:$W$408,'FASE 3 '!$C$418:$W$418)</f>
        <v>0</v>
      </c>
      <c r="L66" s="273">
        <f t="shared" si="24"/>
        <v>9.2592592592592587E-3</v>
      </c>
      <c r="M66" s="274"/>
      <c r="N66" s="274"/>
      <c r="O66" s="273">
        <f t="shared" si="26"/>
        <v>8.3333333333333329E-2</v>
      </c>
      <c r="P66" s="273">
        <f t="shared" si="27"/>
        <v>0</v>
      </c>
      <c r="Q66" s="273">
        <f t="shared" si="28"/>
        <v>0</v>
      </c>
      <c r="R66" s="273">
        <f t="shared" si="29"/>
        <v>0</v>
      </c>
      <c r="S66" s="273">
        <f t="shared" si="30"/>
        <v>0</v>
      </c>
      <c r="T66" s="273">
        <f t="shared" si="31"/>
        <v>0</v>
      </c>
      <c r="U66" s="273">
        <f t="shared" si="32"/>
        <v>0</v>
      </c>
      <c r="V66" s="273">
        <f t="shared" si="33"/>
        <v>0</v>
      </c>
      <c r="W66" s="273">
        <f t="shared" si="34"/>
        <v>0</v>
      </c>
      <c r="X66" s="274"/>
      <c r="Y66" s="274"/>
      <c r="Z66" s="274"/>
      <c r="AA66" s="415"/>
    </row>
    <row r="67" spans="1:92" ht="15" customHeight="1">
      <c r="A67" s="627"/>
      <c r="B67" s="375" t="s">
        <v>736</v>
      </c>
      <c r="C67" s="372">
        <f>+_xlfn.XLOOKUP($B67,'FASE 3 '!$C$408:$W$408,'FASE 3 '!$C$410:$W$410)</f>
        <v>8.3333333333333329E-2</v>
      </c>
      <c r="D67" s="264">
        <f>+_xlfn.XLOOKUP($B67,'FASE 3 '!$C$408:$W$408,'FASE 3 '!$C$411:$W$411)</f>
        <v>0</v>
      </c>
      <c r="E67" s="264">
        <f>+_xlfn.XLOOKUP($B67,'FASE 3 '!$C$408:$W$408,'FASE 3 '!$C$412:$W$412)</f>
        <v>0</v>
      </c>
      <c r="F67" s="264">
        <f>+_xlfn.XLOOKUP($B67,'FASE 3 '!$C$408:$W$408,'FASE 3 '!$C$413:$W$413)</f>
        <v>0</v>
      </c>
      <c r="G67" s="264">
        <f>+_xlfn.XLOOKUP($B67,'FASE 3 '!$C$408:$W$408,'FASE 3 '!$C$414:$W$414)</f>
        <v>0</v>
      </c>
      <c r="H67" s="264">
        <f>+_xlfn.XLOOKUP($B67,'FASE 3 '!$C$408:$W$408,'FASE 3 '!$C$415:$W$415)</f>
        <v>0</v>
      </c>
      <c r="I67" s="264">
        <f>+_xlfn.XLOOKUP($B67,'FASE 3 '!$C$408:$W$408,'FASE 3 '!$C$416:$W$416)</f>
        <v>0</v>
      </c>
      <c r="J67" s="264">
        <f>+_xlfn.XLOOKUP($B67,'FASE 3 '!$C$408:$W$408,'FASE 3 '!$C$417:$W$417)</f>
        <v>0</v>
      </c>
      <c r="K67" s="264">
        <f>+_xlfn.XLOOKUP($B67,'FASE 3 '!$C$408:$W$408,'FASE 3 '!$C$418:$W$418)</f>
        <v>0</v>
      </c>
      <c r="L67" s="273">
        <f t="shared" si="24"/>
        <v>9.2592592592592587E-3</v>
      </c>
      <c r="M67" s="274"/>
      <c r="N67" s="274"/>
      <c r="O67" s="273">
        <f t="shared" si="26"/>
        <v>8.3333333333333329E-2</v>
      </c>
      <c r="P67" s="273">
        <f t="shared" si="27"/>
        <v>0</v>
      </c>
      <c r="Q67" s="273">
        <f t="shared" si="28"/>
        <v>0</v>
      </c>
      <c r="R67" s="273">
        <f t="shared" si="29"/>
        <v>0</v>
      </c>
      <c r="S67" s="273">
        <f t="shared" si="30"/>
        <v>0</v>
      </c>
      <c r="T67" s="273">
        <f t="shared" si="31"/>
        <v>0</v>
      </c>
      <c r="U67" s="273">
        <f t="shared" si="32"/>
        <v>0</v>
      </c>
      <c r="V67" s="273">
        <f t="shared" si="33"/>
        <v>0</v>
      </c>
      <c r="W67" s="273">
        <f t="shared" si="34"/>
        <v>0</v>
      </c>
      <c r="X67" s="274"/>
      <c r="Y67" s="274"/>
      <c r="Z67" s="274"/>
      <c r="AA67" s="415"/>
    </row>
    <row r="68" spans="1:92" ht="15" customHeight="1">
      <c r="A68" s="627"/>
      <c r="B68" s="375" t="s">
        <v>738</v>
      </c>
      <c r="C68" s="372">
        <f>+_xlfn.XLOOKUP($B68,'FASE 3 '!$C$408:$W$408,'FASE 3 '!$C$410:$W$410)</f>
        <v>0</v>
      </c>
      <c r="D68" s="264">
        <f>+_xlfn.XLOOKUP($B68,'FASE 3 '!$C$408:$W$408,'FASE 3 '!$C$411:$W$411)</f>
        <v>0</v>
      </c>
      <c r="E68" s="264">
        <f>+_xlfn.XLOOKUP($B68,'FASE 3 '!$C$408:$W$408,'FASE 3 '!$C$412:$W$412)</f>
        <v>0</v>
      </c>
      <c r="F68" s="264">
        <f>+_xlfn.XLOOKUP($B68,'FASE 3 '!$C$408:$W$408,'FASE 3 '!$C$413:$W$413)</f>
        <v>0</v>
      </c>
      <c r="G68" s="264">
        <f>+_xlfn.XLOOKUP($B68,'FASE 3 '!$C$408:$W$408,'FASE 3 '!$C$414:$W$414)</f>
        <v>0</v>
      </c>
      <c r="H68" s="264">
        <f>+_xlfn.XLOOKUP($B68,'FASE 3 '!$C$408:$W$408,'FASE 3 '!$C$415:$W$415)</f>
        <v>0</v>
      </c>
      <c r="I68" s="264">
        <f>+_xlfn.XLOOKUP($B68,'FASE 3 '!$C$408:$W$408,'FASE 3 '!$C$416:$W$416)</f>
        <v>0</v>
      </c>
      <c r="J68" s="264">
        <f>+_xlfn.XLOOKUP($B68,'FASE 3 '!$C$408:$W$408,'FASE 3 '!$C$417:$W$417)</f>
        <v>0</v>
      </c>
      <c r="K68" s="264">
        <f>+_xlfn.XLOOKUP($B68,'FASE 3 '!$C$408:$W$408,'FASE 3 '!$C$418:$W$418)</f>
        <v>0</v>
      </c>
      <c r="L68" s="273">
        <f t="shared" si="24"/>
        <v>0</v>
      </c>
      <c r="M68" s="274"/>
      <c r="N68" s="274"/>
      <c r="O68" s="273">
        <f t="shared" si="26"/>
        <v>0</v>
      </c>
      <c r="P68" s="273">
        <f t="shared" si="27"/>
        <v>0</v>
      </c>
      <c r="Q68" s="273">
        <f t="shared" si="28"/>
        <v>0</v>
      </c>
      <c r="R68" s="273">
        <f t="shared" si="29"/>
        <v>0</v>
      </c>
      <c r="S68" s="273">
        <f t="shared" si="30"/>
        <v>0</v>
      </c>
      <c r="T68" s="273">
        <f t="shared" si="31"/>
        <v>0</v>
      </c>
      <c r="U68" s="273">
        <f t="shared" si="32"/>
        <v>0</v>
      </c>
      <c r="V68" s="273">
        <f t="shared" si="33"/>
        <v>0</v>
      </c>
      <c r="W68" s="273">
        <f t="shared" si="34"/>
        <v>0</v>
      </c>
      <c r="X68" s="274"/>
      <c r="Y68" s="274"/>
      <c r="Z68" s="274"/>
      <c r="AA68" s="415"/>
    </row>
    <row r="69" spans="1:92" s="272" customFormat="1" ht="20.100000000000001" customHeight="1">
      <c r="A69" s="627"/>
      <c r="B69" s="380" t="s">
        <v>783</v>
      </c>
      <c r="C69" s="373">
        <f>+AVERAGE(C49:C68)</f>
        <v>8.3333333333333301E-2</v>
      </c>
      <c r="D69" s="373">
        <f t="shared" ref="D69" si="35">+AVERAGE(D49:D68)</f>
        <v>0</v>
      </c>
      <c r="E69" s="373">
        <f t="shared" ref="E69" si="36">+AVERAGE(E49:E68)</f>
        <v>0</v>
      </c>
      <c r="F69" s="373">
        <f t="shared" ref="F69" si="37">+AVERAGE(F49:F68)</f>
        <v>0</v>
      </c>
      <c r="G69" s="373">
        <f t="shared" ref="G69" si="38">+AVERAGE(G49:G68)</f>
        <v>0</v>
      </c>
      <c r="H69" s="373">
        <f t="shared" ref="H69" si="39">+AVERAGE(H49:H68)</f>
        <v>0</v>
      </c>
      <c r="I69" s="373">
        <f t="shared" ref="I69" si="40">+AVERAGE(I49:I68)</f>
        <v>0</v>
      </c>
      <c r="J69" s="373">
        <f t="shared" ref="J69" si="41">+AVERAGE(J49:J68)</f>
        <v>0</v>
      </c>
      <c r="K69" s="373">
        <f t="shared" ref="K69" si="42">+AVERAGE(K49:K68)</f>
        <v>0</v>
      </c>
      <c r="L69" s="622"/>
      <c r="M69" s="388"/>
      <c r="N69" s="388"/>
      <c r="O69" s="388"/>
      <c r="P69" s="388"/>
      <c r="Q69" s="388"/>
      <c r="R69" s="388"/>
      <c r="S69" s="388"/>
      <c r="T69" s="388"/>
      <c r="U69" s="388"/>
      <c r="V69" s="388"/>
      <c r="W69" s="388"/>
      <c r="X69" s="388"/>
      <c r="Y69" s="388"/>
      <c r="Z69" s="388"/>
      <c r="AA69" s="416"/>
      <c r="AB69" s="370"/>
      <c r="AC69" s="370"/>
      <c r="AD69" s="370"/>
      <c r="AE69" s="370"/>
      <c r="AF69" s="370"/>
      <c r="AG69" s="370"/>
      <c r="AH69" s="370"/>
      <c r="AI69" s="370"/>
      <c r="AJ69" s="370"/>
      <c r="AK69" s="370"/>
      <c r="AL69" s="370"/>
      <c r="AM69" s="370"/>
      <c r="AN69" s="370"/>
      <c r="AO69" s="370"/>
      <c r="AP69" s="370"/>
      <c r="AQ69" s="370"/>
      <c r="AR69" s="370"/>
      <c r="AS69" s="370"/>
      <c r="AT69" s="370"/>
      <c r="AU69" s="370"/>
      <c r="AV69" s="370"/>
      <c r="AW69" s="370"/>
      <c r="AX69" s="370"/>
      <c r="AY69" s="370"/>
      <c r="AZ69" s="370"/>
      <c r="BA69" s="370"/>
      <c r="BB69" s="370"/>
      <c r="BC69" s="370"/>
      <c r="BD69" s="370"/>
      <c r="BE69" s="370"/>
      <c r="BF69" s="370"/>
      <c r="BG69" s="370"/>
      <c r="BH69" s="370"/>
      <c r="BI69" s="370"/>
      <c r="BJ69" s="370"/>
      <c r="BK69" s="370"/>
      <c r="BL69" s="370"/>
      <c r="BM69" s="370"/>
      <c r="BN69" s="370"/>
      <c r="BO69" s="370"/>
      <c r="BP69" s="370"/>
      <c r="BQ69" s="370"/>
      <c r="BR69" s="370"/>
      <c r="BS69" s="370"/>
      <c r="BT69" s="370"/>
      <c r="BU69" s="370"/>
      <c r="BV69" s="370"/>
      <c r="BW69" s="370"/>
      <c r="BX69" s="370"/>
      <c r="BY69" s="370"/>
      <c r="BZ69" s="370"/>
      <c r="CA69" s="370"/>
      <c r="CB69" s="370"/>
      <c r="CC69" s="370"/>
      <c r="CD69" s="370"/>
      <c r="CE69" s="370"/>
      <c r="CF69" s="370"/>
      <c r="CG69" s="370"/>
      <c r="CH69" s="370"/>
      <c r="CI69" s="370"/>
      <c r="CJ69" s="370"/>
      <c r="CK69" s="370"/>
      <c r="CL69" s="370"/>
      <c r="CM69" s="370"/>
      <c r="CN69" s="370"/>
    </row>
    <row r="70" spans="1:92" s="272" customFormat="1" ht="20.100000000000001" customHeight="1" thickBot="1">
      <c r="A70" s="628"/>
      <c r="B70" s="381" t="s">
        <v>782</v>
      </c>
      <c r="C70" s="620">
        <f>+AVERAGE(C69:K69)</f>
        <v>9.2592592592592553E-3</v>
      </c>
      <c r="D70" s="621"/>
      <c r="E70" s="621"/>
      <c r="F70" s="621"/>
      <c r="G70" s="621"/>
      <c r="H70" s="621"/>
      <c r="I70" s="621"/>
      <c r="J70" s="621"/>
      <c r="K70" s="621"/>
      <c r="L70" s="623"/>
      <c r="M70" s="417"/>
      <c r="N70" s="417"/>
      <c r="O70" s="417"/>
      <c r="P70" s="418"/>
      <c r="Q70" s="418"/>
      <c r="R70" s="418"/>
      <c r="S70" s="418"/>
      <c r="T70" s="418"/>
      <c r="U70" s="418"/>
      <c r="V70" s="418"/>
      <c r="W70" s="418"/>
      <c r="X70" s="418"/>
      <c r="Y70" s="418"/>
      <c r="Z70" s="417"/>
      <c r="AA70" s="419"/>
      <c r="AB70" s="370"/>
      <c r="AC70" s="370"/>
      <c r="AD70" s="370"/>
      <c r="AE70" s="370"/>
      <c r="AF70" s="370"/>
      <c r="AG70" s="370"/>
      <c r="AH70" s="370"/>
      <c r="AI70" s="370"/>
      <c r="AJ70" s="370"/>
      <c r="AK70" s="370"/>
      <c r="AL70" s="370"/>
      <c r="AM70" s="370"/>
      <c r="AN70" s="370"/>
      <c r="AO70" s="370"/>
      <c r="AP70" s="370"/>
      <c r="AQ70" s="370"/>
      <c r="AR70" s="370"/>
      <c r="AS70" s="370"/>
      <c r="AT70" s="370"/>
      <c r="AU70" s="370"/>
      <c r="AV70" s="370"/>
      <c r="AW70" s="370"/>
      <c r="AX70" s="370"/>
      <c r="AY70" s="370"/>
      <c r="AZ70" s="370"/>
      <c r="BA70" s="370"/>
      <c r="BB70" s="370"/>
      <c r="BC70" s="370"/>
      <c r="BD70" s="370"/>
      <c r="BE70" s="370"/>
      <c r="BF70" s="370"/>
      <c r="BG70" s="370"/>
      <c r="BH70" s="370"/>
      <c r="BI70" s="370"/>
      <c r="BJ70" s="370"/>
      <c r="BK70" s="370"/>
      <c r="BL70" s="370"/>
      <c r="BM70" s="370"/>
      <c r="BN70" s="370"/>
      <c r="BO70" s="370"/>
      <c r="BP70" s="370"/>
      <c r="BQ70" s="370"/>
      <c r="BR70" s="370"/>
      <c r="BS70" s="370"/>
      <c r="BT70" s="370"/>
      <c r="BU70" s="370"/>
      <c r="BV70" s="370"/>
      <c r="BW70" s="370"/>
      <c r="BX70" s="370"/>
      <c r="BY70" s="370"/>
      <c r="BZ70" s="370"/>
      <c r="CA70" s="370"/>
      <c r="CB70" s="370"/>
      <c r="CC70" s="370"/>
      <c r="CD70" s="370"/>
      <c r="CE70" s="370"/>
      <c r="CF70" s="370"/>
      <c r="CG70" s="370"/>
      <c r="CH70" s="370"/>
      <c r="CI70" s="370"/>
      <c r="CJ70" s="370"/>
      <c r="CK70" s="370"/>
      <c r="CL70" s="370"/>
      <c r="CM70" s="370"/>
      <c r="CN70" s="370"/>
    </row>
    <row r="71" spans="1:92" s="272" customFormat="1" ht="15" customHeight="1">
      <c r="A71" s="629" t="s">
        <v>47</v>
      </c>
      <c r="B71" s="431" t="s">
        <v>985</v>
      </c>
      <c r="C71" s="432" t="s">
        <v>516</v>
      </c>
      <c r="D71" s="433" t="s">
        <v>517</v>
      </c>
      <c r="E71" s="433" t="s">
        <v>518</v>
      </c>
      <c r="F71" s="433" t="s">
        <v>519</v>
      </c>
      <c r="G71" s="433" t="s">
        <v>520</v>
      </c>
      <c r="H71" s="433" t="s">
        <v>521</v>
      </c>
      <c r="I71" s="433" t="s">
        <v>522</v>
      </c>
      <c r="J71" s="433" t="s">
        <v>523</v>
      </c>
      <c r="K71" s="433" t="s">
        <v>524</v>
      </c>
      <c r="L71" s="434" t="s">
        <v>40</v>
      </c>
      <c r="M71" s="425"/>
      <c r="N71" s="425"/>
      <c r="O71" s="425"/>
      <c r="P71" s="426"/>
      <c r="Q71" s="426"/>
      <c r="R71" s="426"/>
      <c r="S71" s="426"/>
      <c r="T71" s="426"/>
      <c r="U71" s="426"/>
      <c r="V71" s="426"/>
      <c r="W71" s="426"/>
      <c r="X71" s="426"/>
      <c r="Y71" s="426"/>
      <c r="Z71" s="425"/>
      <c r="AA71" s="427"/>
      <c r="AB71" s="370"/>
      <c r="AC71" s="370"/>
      <c r="AD71" s="370"/>
      <c r="AE71" s="370"/>
      <c r="AF71" s="370"/>
      <c r="AG71" s="370"/>
      <c r="AH71" s="370"/>
      <c r="AI71" s="370"/>
      <c r="AJ71" s="370"/>
      <c r="AK71" s="370"/>
      <c r="AL71" s="370"/>
      <c r="AM71" s="370"/>
      <c r="AN71" s="370"/>
      <c r="AO71" s="370"/>
      <c r="AP71" s="370"/>
      <c r="AQ71" s="370"/>
      <c r="AR71" s="370"/>
      <c r="AS71" s="370"/>
      <c r="AT71" s="370"/>
      <c r="AU71" s="370"/>
      <c r="AV71" s="370"/>
      <c r="AW71" s="370"/>
      <c r="AX71" s="370"/>
      <c r="AY71" s="370"/>
      <c r="AZ71" s="370"/>
      <c r="BA71" s="370"/>
      <c r="BB71" s="370"/>
      <c r="BC71" s="370"/>
      <c r="BD71" s="370"/>
      <c r="BE71" s="370"/>
      <c r="BF71" s="370"/>
      <c r="BG71" s="370"/>
      <c r="BH71" s="370"/>
      <c r="BI71" s="370"/>
      <c r="BJ71" s="370"/>
      <c r="BK71" s="370"/>
      <c r="BL71" s="370"/>
      <c r="BM71" s="370"/>
      <c r="BN71" s="370"/>
      <c r="BO71" s="370"/>
      <c r="BP71" s="370"/>
      <c r="BQ71" s="370"/>
      <c r="BR71" s="370"/>
      <c r="BS71" s="370"/>
      <c r="BT71" s="370"/>
      <c r="BU71" s="370"/>
      <c r="BV71" s="370"/>
      <c r="BW71" s="370"/>
      <c r="BX71" s="370"/>
      <c r="BY71" s="370"/>
      <c r="BZ71" s="370"/>
      <c r="CA71" s="370"/>
      <c r="CB71" s="370"/>
      <c r="CC71" s="370"/>
      <c r="CD71" s="370"/>
      <c r="CE71" s="370"/>
      <c r="CF71" s="370"/>
      <c r="CG71" s="370"/>
      <c r="CH71" s="370"/>
      <c r="CI71" s="370"/>
      <c r="CJ71" s="370"/>
      <c r="CK71" s="370"/>
      <c r="CL71" s="370"/>
      <c r="CM71" s="370"/>
      <c r="CN71" s="370"/>
    </row>
    <row r="72" spans="1:92" ht="15" customHeight="1">
      <c r="A72" s="630"/>
      <c r="B72" s="424" t="str">
        <f>+'FASE 4'!C6</f>
        <v>Instalacion de Artefactos Sanitarios.</v>
      </c>
      <c r="C72" s="402">
        <f>_xlfn.XLOOKUP($B72,'FASE 4'!$C$407:$N$407,'FASE 4'!$C$409:$N$409)</f>
        <v>0</v>
      </c>
      <c r="D72" s="403">
        <f>_xlfn.XLOOKUP($B72,'FASE 4'!$C$407:$N$407,'FASE 4'!$C$410:$N$410)</f>
        <v>0</v>
      </c>
      <c r="E72" s="403">
        <f>_xlfn.XLOOKUP($B72,'FASE 4'!$C$407:$N$407,'FASE 4'!$C$411:$N$411)</f>
        <v>0</v>
      </c>
      <c r="F72" s="403">
        <f>_xlfn.XLOOKUP($B72,'FASE 4'!$C$407:$N$407,'FASE 4'!$C$412:$N$412)</f>
        <v>0</v>
      </c>
      <c r="G72" s="403">
        <f>_xlfn.XLOOKUP($B72,'FASE 4'!$C$407:$N$407,'FASE 4'!$C$413:$N$413)</f>
        <v>0</v>
      </c>
      <c r="H72" s="403">
        <f>_xlfn.XLOOKUP($B72,'FASE 4'!$C$407:$N$407,'FASE 4'!$C$414:$N$414)</f>
        <v>0</v>
      </c>
      <c r="I72" s="403">
        <f>_xlfn.XLOOKUP($B72,'FASE 4'!$C$407:$N$407,'FASE 4'!$C$415:$N$415)</f>
        <v>0</v>
      </c>
      <c r="J72" s="403">
        <f>_xlfn.XLOOKUP($B72,'FASE 4'!$C$407:$N$407,'FASE 4'!$C$416:$N$416)</f>
        <v>0</v>
      </c>
      <c r="K72" s="403">
        <f>_xlfn.XLOOKUP($B72,'FASE 4'!$C$407:$N$407,'FASE 4'!$C$417:$N$417)</f>
        <v>0</v>
      </c>
      <c r="L72" s="407">
        <f t="shared" ref="L72:L83" si="43">+AVERAGE(C72:K72)</f>
        <v>0</v>
      </c>
      <c r="M72" s="408"/>
      <c r="N72" s="408"/>
      <c r="O72" s="408"/>
      <c r="P72" s="407">
        <f>C72</f>
        <v>0</v>
      </c>
      <c r="Q72" s="407">
        <f t="shared" ref="Q72:X72" si="44">D72</f>
        <v>0</v>
      </c>
      <c r="R72" s="407">
        <f t="shared" si="44"/>
        <v>0</v>
      </c>
      <c r="S72" s="407">
        <f t="shared" si="44"/>
        <v>0</v>
      </c>
      <c r="T72" s="407">
        <f t="shared" si="44"/>
        <v>0</v>
      </c>
      <c r="U72" s="407">
        <f t="shared" si="44"/>
        <v>0</v>
      </c>
      <c r="V72" s="407">
        <f t="shared" si="44"/>
        <v>0</v>
      </c>
      <c r="W72" s="407">
        <f t="shared" si="44"/>
        <v>0</v>
      </c>
      <c r="X72" s="407">
        <f t="shared" si="44"/>
        <v>0</v>
      </c>
      <c r="Y72" s="408"/>
      <c r="Z72" s="408"/>
      <c r="AA72" s="428"/>
    </row>
    <row r="73" spans="1:92" ht="15" customHeight="1">
      <c r="A73" s="630"/>
      <c r="B73" s="374" t="str">
        <f>+'FASE 4'!D6</f>
        <v>Extractor de baño.</v>
      </c>
      <c r="C73" s="372">
        <f>_xlfn.XLOOKUP($B73,'FASE 4'!$C$407:$N$407,'FASE 4'!$C$409:$N$409)</f>
        <v>0</v>
      </c>
      <c r="D73" s="264">
        <f>_xlfn.XLOOKUP($B73,'FASE 4'!$C$407:$N$407,'FASE 4'!$C$410:$N$410)</f>
        <v>0</v>
      </c>
      <c r="E73" s="264">
        <f>_xlfn.XLOOKUP($B73,'FASE 4'!$C$407:$N$407,'FASE 4'!$C$411:$N$411)</f>
        <v>0</v>
      </c>
      <c r="F73" s="264">
        <f>_xlfn.XLOOKUP($B73,'FASE 4'!$C$407:$N$407,'FASE 4'!$C$412:$N$412)</f>
        <v>0</v>
      </c>
      <c r="G73" s="264">
        <f>_xlfn.XLOOKUP($B73,'FASE 4'!$C$407:$N$407,'FASE 4'!$C$413:$N$413)</f>
        <v>0</v>
      </c>
      <c r="H73" s="264">
        <f>_xlfn.XLOOKUP($B73,'FASE 4'!$C$407:$N$407,'FASE 4'!$C$414:$N$414)</f>
        <v>0</v>
      </c>
      <c r="I73" s="264">
        <f>_xlfn.XLOOKUP($B73,'FASE 4'!$C$407:$N$407,'FASE 4'!$C$415:$N$415)</f>
        <v>0</v>
      </c>
      <c r="J73" s="264">
        <f>_xlfn.XLOOKUP($B73,'FASE 4'!$C$407:$N$407,'FASE 4'!$C$416:$N$416)</f>
        <v>0</v>
      </c>
      <c r="K73" s="264">
        <f>_xlfn.XLOOKUP($B73,'FASE 4'!$C$407:$N$407,'FASE 4'!$C$417:$N$417)</f>
        <v>0</v>
      </c>
      <c r="L73" s="273">
        <f t="shared" si="43"/>
        <v>0</v>
      </c>
      <c r="M73" s="274"/>
      <c r="N73" s="274"/>
      <c r="O73" s="274"/>
      <c r="P73" s="273">
        <f t="shared" ref="P73:P83" si="45">C73</f>
        <v>0</v>
      </c>
      <c r="Q73" s="273">
        <f t="shared" ref="Q73:Q83" si="46">D73</f>
        <v>0</v>
      </c>
      <c r="R73" s="273">
        <f t="shared" ref="R73:R83" si="47">E73</f>
        <v>0</v>
      </c>
      <c r="S73" s="273">
        <f t="shared" ref="S73:S83" si="48">F73</f>
        <v>0</v>
      </c>
      <c r="T73" s="273">
        <f t="shared" ref="T73:T83" si="49">G73</f>
        <v>0</v>
      </c>
      <c r="U73" s="273">
        <f t="shared" ref="U73:U83" si="50">H73</f>
        <v>0</v>
      </c>
      <c r="V73" s="273">
        <f t="shared" ref="V73:V83" si="51">I73</f>
        <v>0</v>
      </c>
      <c r="W73" s="273">
        <f t="shared" ref="W73:W83" si="52">J73</f>
        <v>0</v>
      </c>
      <c r="X73" s="273">
        <f t="shared" ref="X73:X83" si="53">K73</f>
        <v>0</v>
      </c>
      <c r="Y73" s="274"/>
      <c r="Z73" s="274"/>
      <c r="AA73" s="415"/>
    </row>
    <row r="74" spans="1:92" ht="15" customHeight="1">
      <c r="A74" s="630"/>
      <c r="B74" s="374" t="str">
        <f>+'FASE 4'!E6</f>
        <v xml:space="preserve">Instalación de Shower Door </v>
      </c>
      <c r="C74" s="372">
        <f>_xlfn.XLOOKUP($B74,'FASE 4'!$C$407:$N$407,'FASE 4'!$C$409:$N$409)</f>
        <v>0</v>
      </c>
      <c r="D74" s="264">
        <f>_xlfn.XLOOKUP($B74,'FASE 4'!$C$407:$N$407,'FASE 4'!$C$410:$N$410)</f>
        <v>0</v>
      </c>
      <c r="E74" s="264">
        <f>_xlfn.XLOOKUP($B74,'FASE 4'!$C$407:$N$407,'FASE 4'!$C$411:$N$411)</f>
        <v>0</v>
      </c>
      <c r="F74" s="264">
        <f>_xlfn.XLOOKUP($B74,'FASE 4'!$C$407:$N$407,'FASE 4'!$C$412:$N$412)</f>
        <v>0</v>
      </c>
      <c r="G74" s="264">
        <f>_xlfn.XLOOKUP($B74,'FASE 4'!$C$407:$N$407,'FASE 4'!$C$413:$N$413)</f>
        <v>0</v>
      </c>
      <c r="H74" s="264">
        <f>_xlfn.XLOOKUP($B74,'FASE 4'!$C$407:$N$407,'FASE 4'!$C$414:$N$414)</f>
        <v>0</v>
      </c>
      <c r="I74" s="264">
        <f>_xlfn.XLOOKUP($B74,'FASE 4'!$C$407:$N$407,'FASE 4'!$C$415:$N$415)</f>
        <v>0</v>
      </c>
      <c r="J74" s="264">
        <f>_xlfn.XLOOKUP($B74,'FASE 4'!$C$407:$N$407,'FASE 4'!$C$416:$N$416)</f>
        <v>0</v>
      </c>
      <c r="K74" s="264">
        <f>_xlfn.XLOOKUP($B74,'FASE 4'!$C$407:$N$407,'FASE 4'!$C$417:$N$417)</f>
        <v>0</v>
      </c>
      <c r="L74" s="273">
        <f t="shared" si="43"/>
        <v>0</v>
      </c>
      <c r="M74" s="274"/>
      <c r="N74" s="274"/>
      <c r="O74" s="274"/>
      <c r="P74" s="273">
        <f t="shared" si="45"/>
        <v>0</v>
      </c>
      <c r="Q74" s="273">
        <f t="shared" si="46"/>
        <v>0</v>
      </c>
      <c r="R74" s="273">
        <f t="shared" si="47"/>
        <v>0</v>
      </c>
      <c r="S74" s="273">
        <f t="shared" si="48"/>
        <v>0</v>
      </c>
      <c r="T74" s="273">
        <f t="shared" si="49"/>
        <v>0</v>
      </c>
      <c r="U74" s="273">
        <f t="shared" si="50"/>
        <v>0</v>
      </c>
      <c r="V74" s="273">
        <f t="shared" si="51"/>
        <v>0</v>
      </c>
      <c r="W74" s="273">
        <f t="shared" si="52"/>
        <v>0</v>
      </c>
      <c r="X74" s="273">
        <f t="shared" si="53"/>
        <v>0</v>
      </c>
      <c r="Y74" s="274"/>
      <c r="Z74" s="274"/>
      <c r="AA74" s="415"/>
    </row>
    <row r="75" spans="1:92" ht="15" customHeight="1">
      <c r="A75" s="630"/>
      <c r="B75" s="374" t="str">
        <f>+'FASE 4'!F6</f>
        <v>Instalacion de Espejos y Retropintados</v>
      </c>
      <c r="C75" s="372">
        <f>_xlfn.XLOOKUP($B75,'FASE 4'!$C$407:$N$407,'FASE 4'!$C$409:$N$409)</f>
        <v>0</v>
      </c>
      <c r="D75" s="264">
        <f>_xlfn.XLOOKUP($B75,'FASE 4'!$C$407:$N$407,'FASE 4'!$C$410:$N$410)</f>
        <v>0</v>
      </c>
      <c r="E75" s="264">
        <f>_xlfn.XLOOKUP($B75,'FASE 4'!$C$407:$N$407,'FASE 4'!$C$411:$N$411)</f>
        <v>0</v>
      </c>
      <c r="F75" s="264">
        <f>_xlfn.XLOOKUP($B75,'FASE 4'!$C$407:$N$407,'FASE 4'!$C$412:$N$412)</f>
        <v>0</v>
      </c>
      <c r="G75" s="264">
        <f>_xlfn.XLOOKUP($B75,'FASE 4'!$C$407:$N$407,'FASE 4'!$C$413:$N$413)</f>
        <v>0</v>
      </c>
      <c r="H75" s="264">
        <f>_xlfn.XLOOKUP($B75,'FASE 4'!$C$407:$N$407,'FASE 4'!$C$414:$N$414)</f>
        <v>0</v>
      </c>
      <c r="I75" s="264">
        <f>_xlfn.XLOOKUP($B75,'FASE 4'!$C$407:$N$407,'FASE 4'!$C$415:$N$415)</f>
        <v>0</v>
      </c>
      <c r="J75" s="264">
        <f>_xlfn.XLOOKUP($B75,'FASE 4'!$C$407:$N$407,'FASE 4'!$C$416:$N$416)</f>
        <v>0</v>
      </c>
      <c r="K75" s="264">
        <f>_xlfn.XLOOKUP($B75,'FASE 4'!$C$407:$N$407,'FASE 4'!$C$417:$N$417)</f>
        <v>0</v>
      </c>
      <c r="L75" s="273">
        <f t="shared" si="43"/>
        <v>0</v>
      </c>
      <c r="M75" s="274"/>
      <c r="N75" s="274"/>
      <c r="O75" s="274"/>
      <c r="P75" s="273">
        <f t="shared" si="45"/>
        <v>0</v>
      </c>
      <c r="Q75" s="273">
        <f t="shared" si="46"/>
        <v>0</v>
      </c>
      <c r="R75" s="273">
        <f t="shared" si="47"/>
        <v>0</v>
      </c>
      <c r="S75" s="273">
        <f t="shared" si="48"/>
        <v>0</v>
      </c>
      <c r="T75" s="273">
        <f t="shared" si="49"/>
        <v>0</v>
      </c>
      <c r="U75" s="273">
        <f t="shared" si="50"/>
        <v>0</v>
      </c>
      <c r="V75" s="273">
        <f t="shared" si="51"/>
        <v>0</v>
      </c>
      <c r="W75" s="273">
        <f t="shared" si="52"/>
        <v>0</v>
      </c>
      <c r="X75" s="273">
        <f t="shared" si="53"/>
        <v>0</v>
      </c>
      <c r="Y75" s="274"/>
      <c r="Z75" s="274"/>
      <c r="AA75" s="415"/>
    </row>
    <row r="76" spans="1:92" ht="15" customHeight="1">
      <c r="A76" s="630"/>
      <c r="B76" s="374" t="str">
        <f>+'FASE 4'!G6</f>
        <v>Kit de cocina (Horno-Encimera -Campana - Lavaplato)</v>
      </c>
      <c r="C76" s="372">
        <f>_xlfn.XLOOKUP($B76,'FASE 4'!$C$407:$N$407,'FASE 4'!$C$409:$N$409)</f>
        <v>0</v>
      </c>
      <c r="D76" s="264">
        <f>_xlfn.XLOOKUP($B76,'FASE 4'!$C$407:$N$407,'FASE 4'!$C$410:$N$410)</f>
        <v>0</v>
      </c>
      <c r="E76" s="264">
        <f>_xlfn.XLOOKUP($B76,'FASE 4'!$C$407:$N$407,'FASE 4'!$C$411:$N$411)</f>
        <v>0</v>
      </c>
      <c r="F76" s="264">
        <f>_xlfn.XLOOKUP($B76,'FASE 4'!$C$407:$N$407,'FASE 4'!$C$412:$N$412)</f>
        <v>0</v>
      </c>
      <c r="G76" s="264">
        <f>_xlfn.XLOOKUP($B76,'FASE 4'!$C$407:$N$407,'FASE 4'!$C$413:$N$413)</f>
        <v>0</v>
      </c>
      <c r="H76" s="264">
        <f>_xlfn.XLOOKUP($B76,'FASE 4'!$C$407:$N$407,'FASE 4'!$C$414:$N$414)</f>
        <v>0</v>
      </c>
      <c r="I76" s="264">
        <f>_xlfn.XLOOKUP($B76,'FASE 4'!$C$407:$N$407,'FASE 4'!$C$415:$N$415)</f>
        <v>0</v>
      </c>
      <c r="J76" s="264">
        <f>_xlfn.XLOOKUP($B76,'FASE 4'!$C$407:$N$407,'FASE 4'!$C$416:$N$416)</f>
        <v>0</v>
      </c>
      <c r="K76" s="264">
        <f>_xlfn.XLOOKUP($B76,'FASE 4'!$C$407:$N$407,'FASE 4'!$C$417:$N$417)</f>
        <v>0</v>
      </c>
      <c r="L76" s="273">
        <f t="shared" si="43"/>
        <v>0</v>
      </c>
      <c r="M76" s="274"/>
      <c r="N76" s="274"/>
      <c r="O76" s="274"/>
      <c r="P76" s="273">
        <f t="shared" si="45"/>
        <v>0</v>
      </c>
      <c r="Q76" s="273">
        <f t="shared" si="46"/>
        <v>0</v>
      </c>
      <c r="R76" s="273">
        <f t="shared" si="47"/>
        <v>0</v>
      </c>
      <c r="S76" s="273">
        <f t="shared" si="48"/>
        <v>0</v>
      </c>
      <c r="T76" s="273">
        <f t="shared" si="49"/>
        <v>0</v>
      </c>
      <c r="U76" s="273">
        <f t="shared" si="50"/>
        <v>0</v>
      </c>
      <c r="V76" s="273">
        <f t="shared" si="51"/>
        <v>0</v>
      </c>
      <c r="W76" s="273">
        <f t="shared" si="52"/>
        <v>0</v>
      </c>
      <c r="X76" s="273">
        <f t="shared" si="53"/>
        <v>0</v>
      </c>
      <c r="Y76" s="274"/>
      <c r="Z76" s="274"/>
      <c r="AA76" s="415"/>
    </row>
    <row r="77" spans="1:92" ht="15" customHeight="1">
      <c r="A77" s="630"/>
      <c r="B77" s="374" t="str">
        <f>+'FASE 4'!H6</f>
        <v>Griferia.</v>
      </c>
      <c r="C77" s="372">
        <f>_xlfn.XLOOKUP($B77,'FASE 4'!$C$407:$N$407,'FASE 4'!$C$409:$N$409)</f>
        <v>0</v>
      </c>
      <c r="D77" s="264">
        <f>_xlfn.XLOOKUP($B77,'FASE 4'!$C$407:$N$407,'FASE 4'!$C$410:$N$410)</f>
        <v>0</v>
      </c>
      <c r="E77" s="264">
        <f>_xlfn.XLOOKUP($B77,'FASE 4'!$C$407:$N$407,'FASE 4'!$C$411:$N$411)</f>
        <v>0</v>
      </c>
      <c r="F77" s="264">
        <f>_xlfn.XLOOKUP($B77,'FASE 4'!$C$407:$N$407,'FASE 4'!$C$412:$N$412)</f>
        <v>0</v>
      </c>
      <c r="G77" s="264">
        <f>_xlfn.XLOOKUP($B77,'FASE 4'!$C$407:$N$407,'FASE 4'!$C$413:$N$413)</f>
        <v>0</v>
      </c>
      <c r="H77" s="264">
        <f>_xlfn.XLOOKUP($B77,'FASE 4'!$C$407:$N$407,'FASE 4'!$C$414:$N$414)</f>
        <v>0</v>
      </c>
      <c r="I77" s="264">
        <f>_xlfn.XLOOKUP($B77,'FASE 4'!$C$407:$N$407,'FASE 4'!$C$415:$N$415)</f>
        <v>0</v>
      </c>
      <c r="J77" s="264">
        <f>_xlfn.XLOOKUP($B77,'FASE 4'!$C$407:$N$407,'FASE 4'!$C$416:$N$416)</f>
        <v>0</v>
      </c>
      <c r="K77" s="264">
        <f>_xlfn.XLOOKUP($B77,'FASE 4'!$C$407:$N$407,'FASE 4'!$C$417:$N$417)</f>
        <v>0</v>
      </c>
      <c r="L77" s="273">
        <f t="shared" si="43"/>
        <v>0</v>
      </c>
      <c r="M77" s="274"/>
      <c r="N77" s="274"/>
      <c r="O77" s="274"/>
      <c r="P77" s="273">
        <f t="shared" si="45"/>
        <v>0</v>
      </c>
      <c r="Q77" s="273">
        <f t="shared" si="46"/>
        <v>0</v>
      </c>
      <c r="R77" s="273">
        <f t="shared" si="47"/>
        <v>0</v>
      </c>
      <c r="S77" s="273">
        <f t="shared" si="48"/>
        <v>0</v>
      </c>
      <c r="T77" s="273">
        <f t="shared" si="49"/>
        <v>0</v>
      </c>
      <c r="U77" s="273">
        <f t="shared" si="50"/>
        <v>0</v>
      </c>
      <c r="V77" s="273">
        <f t="shared" si="51"/>
        <v>0</v>
      </c>
      <c r="W77" s="273">
        <f t="shared" si="52"/>
        <v>0</v>
      </c>
      <c r="X77" s="273">
        <f t="shared" si="53"/>
        <v>0</v>
      </c>
      <c r="Y77" s="274"/>
      <c r="Z77" s="274"/>
      <c r="AA77" s="415"/>
    </row>
    <row r="78" spans="1:92" ht="15" customHeight="1">
      <c r="A78" s="630"/>
      <c r="B78" s="374" t="str">
        <f>+'FASE 4'!I6</f>
        <v>Pruebas de Instalaciones.</v>
      </c>
      <c r="C78" s="372">
        <f>_xlfn.XLOOKUP($B78,'FASE 4'!$C$407:$N$407,'FASE 4'!$C$409:$N$409)</f>
        <v>0</v>
      </c>
      <c r="D78" s="264">
        <f>_xlfn.XLOOKUP($B78,'FASE 4'!$C$407:$N$407,'FASE 4'!$C$410:$N$410)</f>
        <v>0</v>
      </c>
      <c r="E78" s="264">
        <f>_xlfn.XLOOKUP($B78,'FASE 4'!$C$407:$N$407,'FASE 4'!$C$411:$N$411)</f>
        <v>0</v>
      </c>
      <c r="F78" s="264">
        <f>_xlfn.XLOOKUP($B78,'FASE 4'!$C$407:$N$407,'FASE 4'!$C$412:$N$412)</f>
        <v>0</v>
      </c>
      <c r="G78" s="264">
        <f>_xlfn.XLOOKUP($B78,'FASE 4'!$C$407:$N$407,'FASE 4'!$C$413:$N$413)</f>
        <v>0</v>
      </c>
      <c r="H78" s="264">
        <f>_xlfn.XLOOKUP($B78,'FASE 4'!$C$407:$N$407,'FASE 4'!$C$414:$N$414)</f>
        <v>0</v>
      </c>
      <c r="I78" s="264">
        <f>_xlfn.XLOOKUP($B78,'FASE 4'!$C$407:$N$407,'FASE 4'!$C$415:$N$415)</f>
        <v>0</v>
      </c>
      <c r="J78" s="264">
        <f>_xlfn.XLOOKUP($B78,'FASE 4'!$C$407:$N$407,'FASE 4'!$C$416:$N$416)</f>
        <v>0</v>
      </c>
      <c r="K78" s="264">
        <f>_xlfn.XLOOKUP($B78,'FASE 4'!$C$407:$N$407,'FASE 4'!$C$417:$N$417)</f>
        <v>0</v>
      </c>
      <c r="L78" s="273">
        <f t="shared" si="43"/>
        <v>0</v>
      </c>
      <c r="M78" s="274"/>
      <c r="N78" s="274"/>
      <c r="O78" s="274"/>
      <c r="P78" s="273">
        <f t="shared" si="45"/>
        <v>0</v>
      </c>
      <c r="Q78" s="273">
        <f t="shared" si="46"/>
        <v>0</v>
      </c>
      <c r="R78" s="273">
        <f t="shared" si="47"/>
        <v>0</v>
      </c>
      <c r="S78" s="273">
        <f t="shared" si="48"/>
        <v>0</v>
      </c>
      <c r="T78" s="273">
        <f t="shared" si="49"/>
        <v>0</v>
      </c>
      <c r="U78" s="273">
        <f t="shared" si="50"/>
        <v>0</v>
      </c>
      <c r="V78" s="273">
        <f t="shared" si="51"/>
        <v>0</v>
      </c>
      <c r="W78" s="273">
        <f t="shared" si="52"/>
        <v>0</v>
      </c>
      <c r="X78" s="273">
        <f t="shared" si="53"/>
        <v>0</v>
      </c>
      <c r="Y78" s="274"/>
      <c r="Z78" s="274"/>
      <c r="AA78" s="415"/>
    </row>
    <row r="79" spans="1:92" ht="15" customHeight="1">
      <c r="A79" s="630"/>
      <c r="B79" s="374" t="str">
        <f>+'FASE 4'!J6</f>
        <v>Piso Flotante + cubrejunta + junquillo</v>
      </c>
      <c r="C79" s="372">
        <f>_xlfn.XLOOKUP($B79,'FASE 4'!$C$407:$N$407,'FASE 4'!$C$409:$N$409)</f>
        <v>0</v>
      </c>
      <c r="D79" s="264">
        <f>_xlfn.XLOOKUP($B79,'FASE 4'!$C$407:$N$407,'FASE 4'!$C$410:$N$410)</f>
        <v>0</v>
      </c>
      <c r="E79" s="264">
        <f>_xlfn.XLOOKUP($B79,'FASE 4'!$C$407:$N$407,'FASE 4'!$C$411:$N$411)</f>
        <v>0</v>
      </c>
      <c r="F79" s="264">
        <f>_xlfn.XLOOKUP($B79,'FASE 4'!$C$407:$N$407,'FASE 4'!$C$412:$N$412)</f>
        <v>0</v>
      </c>
      <c r="G79" s="264">
        <f>_xlfn.XLOOKUP($B79,'FASE 4'!$C$407:$N$407,'FASE 4'!$C$413:$N$413)</f>
        <v>0</v>
      </c>
      <c r="H79" s="264">
        <f>_xlfn.XLOOKUP($B79,'FASE 4'!$C$407:$N$407,'FASE 4'!$C$414:$N$414)</f>
        <v>0</v>
      </c>
      <c r="I79" s="264">
        <f>_xlfn.XLOOKUP($B79,'FASE 4'!$C$407:$N$407,'FASE 4'!$C$415:$N$415)</f>
        <v>0</v>
      </c>
      <c r="J79" s="264">
        <f>_xlfn.XLOOKUP($B79,'FASE 4'!$C$407:$N$407,'FASE 4'!$C$416:$N$416)</f>
        <v>0</v>
      </c>
      <c r="K79" s="264">
        <f>_xlfn.XLOOKUP($B79,'FASE 4'!$C$407:$N$407,'FASE 4'!$C$417:$N$417)</f>
        <v>0</v>
      </c>
      <c r="L79" s="273">
        <f t="shared" si="43"/>
        <v>0</v>
      </c>
      <c r="M79" s="274"/>
      <c r="N79" s="274"/>
      <c r="O79" s="274"/>
      <c r="P79" s="273">
        <f t="shared" si="45"/>
        <v>0</v>
      </c>
      <c r="Q79" s="273">
        <f t="shared" si="46"/>
        <v>0</v>
      </c>
      <c r="R79" s="273">
        <f t="shared" si="47"/>
        <v>0</v>
      </c>
      <c r="S79" s="273">
        <f t="shared" si="48"/>
        <v>0</v>
      </c>
      <c r="T79" s="273">
        <f t="shared" si="49"/>
        <v>0</v>
      </c>
      <c r="U79" s="273">
        <f t="shared" si="50"/>
        <v>0</v>
      </c>
      <c r="V79" s="273">
        <f t="shared" si="51"/>
        <v>0</v>
      </c>
      <c r="W79" s="273">
        <f t="shared" si="52"/>
        <v>0</v>
      </c>
      <c r="X79" s="273">
        <f t="shared" si="53"/>
        <v>0</v>
      </c>
      <c r="Y79" s="274"/>
      <c r="Z79" s="274"/>
      <c r="AA79" s="415"/>
    </row>
    <row r="80" spans="1:92" ht="15" customHeight="1">
      <c r="A80" s="630"/>
      <c r="B80" s="374" t="str">
        <f>+'FASE 4'!K6</f>
        <v xml:space="preserve">Protección Piso Flotante </v>
      </c>
      <c r="C80" s="372">
        <f>_xlfn.XLOOKUP($B80,'FASE 4'!$C$407:$N$407,'FASE 4'!$C$409:$N$409)</f>
        <v>0</v>
      </c>
      <c r="D80" s="264">
        <f>_xlfn.XLOOKUP($B80,'FASE 4'!$C$407:$N$407,'FASE 4'!$C$410:$N$410)</f>
        <v>0</v>
      </c>
      <c r="E80" s="264">
        <f>_xlfn.XLOOKUP($B80,'FASE 4'!$C$407:$N$407,'FASE 4'!$C$411:$N$411)</f>
        <v>0</v>
      </c>
      <c r="F80" s="264">
        <f>_xlfn.XLOOKUP($B80,'FASE 4'!$C$407:$N$407,'FASE 4'!$C$412:$N$412)</f>
        <v>0</v>
      </c>
      <c r="G80" s="264">
        <f>_xlfn.XLOOKUP($B80,'FASE 4'!$C$407:$N$407,'FASE 4'!$C$413:$N$413)</f>
        <v>0</v>
      </c>
      <c r="H80" s="264">
        <f>_xlfn.XLOOKUP($B80,'FASE 4'!$C$407:$N$407,'FASE 4'!$C$414:$N$414)</f>
        <v>0</v>
      </c>
      <c r="I80" s="264">
        <f>_xlfn.XLOOKUP($B80,'FASE 4'!$C$407:$N$407,'FASE 4'!$C$415:$N$415)</f>
        <v>0</v>
      </c>
      <c r="J80" s="264">
        <f>_xlfn.XLOOKUP($B80,'FASE 4'!$C$407:$N$407,'FASE 4'!$C$416:$N$416)</f>
        <v>0</v>
      </c>
      <c r="K80" s="264">
        <f>_xlfn.XLOOKUP($B80,'FASE 4'!$C$407:$N$407,'FASE 4'!$C$417:$N$417)</f>
        <v>0</v>
      </c>
      <c r="L80" s="273">
        <f t="shared" si="43"/>
        <v>0</v>
      </c>
      <c r="M80" s="274"/>
      <c r="N80" s="274"/>
      <c r="O80" s="274"/>
      <c r="P80" s="273">
        <f t="shared" si="45"/>
        <v>0</v>
      </c>
      <c r="Q80" s="273">
        <f t="shared" si="46"/>
        <v>0</v>
      </c>
      <c r="R80" s="273">
        <f t="shared" si="47"/>
        <v>0</v>
      </c>
      <c r="S80" s="273">
        <f t="shared" si="48"/>
        <v>0</v>
      </c>
      <c r="T80" s="273">
        <f t="shared" si="49"/>
        <v>0</v>
      </c>
      <c r="U80" s="273">
        <f t="shared" si="50"/>
        <v>0</v>
      </c>
      <c r="V80" s="273">
        <f t="shared" si="51"/>
        <v>0</v>
      </c>
      <c r="W80" s="273">
        <f t="shared" si="52"/>
        <v>0</v>
      </c>
      <c r="X80" s="273">
        <f t="shared" si="53"/>
        <v>0</v>
      </c>
      <c r="Y80" s="274"/>
      <c r="Z80" s="274"/>
      <c r="AA80" s="415"/>
    </row>
    <row r="81" spans="1:92" ht="15" customHeight="1">
      <c r="A81" s="630"/>
      <c r="B81" s="374" t="str">
        <f>+'FASE 4'!L6</f>
        <v xml:space="preserve">2da Mano de Pintura </v>
      </c>
      <c r="C81" s="372">
        <f>_xlfn.XLOOKUP($B81,'FASE 4'!$C$407:$N$407,'FASE 4'!$C$409:$N$409)</f>
        <v>0</v>
      </c>
      <c r="D81" s="264">
        <f>_xlfn.XLOOKUP($B81,'FASE 4'!$C$407:$N$407,'FASE 4'!$C$410:$N$410)</f>
        <v>0</v>
      </c>
      <c r="E81" s="264">
        <f>_xlfn.XLOOKUP($B81,'FASE 4'!$C$407:$N$407,'FASE 4'!$C$411:$N$411)</f>
        <v>0</v>
      </c>
      <c r="F81" s="264">
        <f>_xlfn.XLOOKUP($B81,'FASE 4'!$C$407:$N$407,'FASE 4'!$C$412:$N$412)</f>
        <v>0</v>
      </c>
      <c r="G81" s="264">
        <f>_xlfn.XLOOKUP($B81,'FASE 4'!$C$407:$N$407,'FASE 4'!$C$413:$N$413)</f>
        <v>0</v>
      </c>
      <c r="H81" s="264">
        <f>_xlfn.XLOOKUP($B81,'FASE 4'!$C$407:$N$407,'FASE 4'!$C$414:$N$414)</f>
        <v>0</v>
      </c>
      <c r="I81" s="264">
        <f>_xlfn.XLOOKUP($B81,'FASE 4'!$C$407:$N$407,'FASE 4'!$C$415:$N$415)</f>
        <v>0</v>
      </c>
      <c r="J81" s="264">
        <f>_xlfn.XLOOKUP($B81,'FASE 4'!$C$407:$N$407,'FASE 4'!$C$416:$N$416)</f>
        <v>0</v>
      </c>
      <c r="K81" s="264">
        <f>_xlfn.XLOOKUP($B81,'FASE 4'!$C$407:$N$407,'FASE 4'!$C$417:$N$417)</f>
        <v>0</v>
      </c>
      <c r="L81" s="273">
        <f t="shared" si="43"/>
        <v>0</v>
      </c>
      <c r="M81" s="274"/>
      <c r="N81" s="274"/>
      <c r="O81" s="274"/>
      <c r="P81" s="273">
        <f t="shared" si="45"/>
        <v>0</v>
      </c>
      <c r="Q81" s="273">
        <f t="shared" si="46"/>
        <v>0</v>
      </c>
      <c r="R81" s="273">
        <f t="shared" si="47"/>
        <v>0</v>
      </c>
      <c r="S81" s="273">
        <f t="shared" si="48"/>
        <v>0</v>
      </c>
      <c r="T81" s="273">
        <f t="shared" si="49"/>
        <v>0</v>
      </c>
      <c r="U81" s="273">
        <f t="shared" si="50"/>
        <v>0</v>
      </c>
      <c r="V81" s="273">
        <f t="shared" si="51"/>
        <v>0</v>
      </c>
      <c r="W81" s="273">
        <f t="shared" si="52"/>
        <v>0</v>
      </c>
      <c r="X81" s="273">
        <f t="shared" si="53"/>
        <v>0</v>
      </c>
      <c r="Y81" s="274"/>
      <c r="Z81" s="274"/>
      <c r="AA81" s="415"/>
    </row>
    <row r="82" spans="1:92" ht="15" customHeight="1">
      <c r="A82" s="630"/>
      <c r="B82" s="374" t="str">
        <f>+'FASE 4'!M6</f>
        <v>Instalación de Papel Mural</v>
      </c>
      <c r="C82" s="372">
        <f>_xlfn.XLOOKUP($B82,'FASE 4'!$C$407:$N$407,'FASE 4'!$C$409:$N$409)</f>
        <v>0</v>
      </c>
      <c r="D82" s="264">
        <f>_xlfn.XLOOKUP($B82,'FASE 4'!$C$407:$N$407,'FASE 4'!$C$410:$N$410)</f>
        <v>0</v>
      </c>
      <c r="E82" s="264">
        <f>_xlfn.XLOOKUP($B82,'FASE 4'!$C$407:$N$407,'FASE 4'!$C$411:$N$411)</f>
        <v>0</v>
      </c>
      <c r="F82" s="264">
        <f>_xlfn.XLOOKUP($B82,'FASE 4'!$C$407:$N$407,'FASE 4'!$C$412:$N$412)</f>
        <v>0</v>
      </c>
      <c r="G82" s="264">
        <f>_xlfn.XLOOKUP($B82,'FASE 4'!$C$407:$N$407,'FASE 4'!$C$413:$N$413)</f>
        <v>0</v>
      </c>
      <c r="H82" s="264">
        <f>_xlfn.XLOOKUP($B82,'FASE 4'!$C$407:$N$407,'FASE 4'!$C$414:$N$414)</f>
        <v>0</v>
      </c>
      <c r="I82" s="264">
        <f>_xlfn.XLOOKUP($B82,'FASE 4'!$C$407:$N$407,'FASE 4'!$C$415:$N$415)</f>
        <v>0</v>
      </c>
      <c r="J82" s="264">
        <f>_xlfn.XLOOKUP($B82,'FASE 4'!$C$407:$N$407,'FASE 4'!$C$416:$N$416)</f>
        <v>0</v>
      </c>
      <c r="K82" s="264">
        <f>_xlfn.XLOOKUP($B82,'FASE 4'!$C$407:$N$407,'FASE 4'!$C$417:$N$417)</f>
        <v>0</v>
      </c>
      <c r="L82" s="273">
        <f t="shared" si="43"/>
        <v>0</v>
      </c>
      <c r="M82" s="274"/>
      <c r="N82" s="274"/>
      <c r="O82" s="274"/>
      <c r="P82" s="273">
        <f t="shared" si="45"/>
        <v>0</v>
      </c>
      <c r="Q82" s="273">
        <f t="shared" si="46"/>
        <v>0</v>
      </c>
      <c r="R82" s="273">
        <f t="shared" si="47"/>
        <v>0</v>
      </c>
      <c r="S82" s="273">
        <f t="shared" si="48"/>
        <v>0</v>
      </c>
      <c r="T82" s="273">
        <f t="shared" si="49"/>
        <v>0</v>
      </c>
      <c r="U82" s="273">
        <f t="shared" si="50"/>
        <v>0</v>
      </c>
      <c r="V82" s="273">
        <f t="shared" si="51"/>
        <v>0</v>
      </c>
      <c r="W82" s="273">
        <f t="shared" si="52"/>
        <v>0</v>
      </c>
      <c r="X82" s="273">
        <f t="shared" si="53"/>
        <v>0</v>
      </c>
      <c r="Y82" s="274"/>
      <c r="Z82" s="274"/>
      <c r="AA82" s="415"/>
    </row>
    <row r="83" spans="1:92" ht="15" customHeight="1">
      <c r="A83" s="630"/>
      <c r="B83" s="374" t="str">
        <f>+'FASE 4'!N6</f>
        <v>Topes en piso y Accesorios</v>
      </c>
      <c r="C83" s="372">
        <f>_xlfn.XLOOKUP($B83,'FASE 4'!$C$407:$N$407,'FASE 4'!$C$409:$N$409)</f>
        <v>0</v>
      </c>
      <c r="D83" s="264">
        <f>_xlfn.XLOOKUP($B83,'FASE 4'!$C$407:$N$407,'FASE 4'!$C$410:$N$410)</f>
        <v>0</v>
      </c>
      <c r="E83" s="264">
        <f>_xlfn.XLOOKUP($B83,'FASE 4'!$C$407:$N$407,'FASE 4'!$C$411:$N$411)</f>
        <v>0</v>
      </c>
      <c r="F83" s="264">
        <f>_xlfn.XLOOKUP($B83,'FASE 4'!$C$407:$N$407,'FASE 4'!$C$412:$N$412)</f>
        <v>0</v>
      </c>
      <c r="G83" s="264">
        <f>_xlfn.XLOOKUP($B83,'FASE 4'!$C$407:$N$407,'FASE 4'!$C$413:$N$413)</f>
        <v>0</v>
      </c>
      <c r="H83" s="264">
        <f>_xlfn.XLOOKUP($B83,'FASE 4'!$C$407:$N$407,'FASE 4'!$C$414:$N$414)</f>
        <v>0</v>
      </c>
      <c r="I83" s="264">
        <f>_xlfn.XLOOKUP($B83,'FASE 4'!$C$407:$N$407,'FASE 4'!$C$415:$N$415)</f>
        <v>0</v>
      </c>
      <c r="J83" s="264">
        <f>_xlfn.XLOOKUP($B83,'FASE 4'!$C$407:$N$407,'FASE 4'!$C$416:$N$416)</f>
        <v>0</v>
      </c>
      <c r="K83" s="264">
        <f>_xlfn.XLOOKUP($B83,'FASE 4'!$C$407:$N$407,'FASE 4'!$C$417:$N$417)</f>
        <v>0</v>
      </c>
      <c r="L83" s="273">
        <f t="shared" si="43"/>
        <v>0</v>
      </c>
      <c r="M83" s="274"/>
      <c r="N83" s="274"/>
      <c r="O83" s="274"/>
      <c r="P83" s="273">
        <f t="shared" si="45"/>
        <v>0</v>
      </c>
      <c r="Q83" s="273">
        <f t="shared" si="46"/>
        <v>0</v>
      </c>
      <c r="R83" s="273">
        <f t="shared" si="47"/>
        <v>0</v>
      </c>
      <c r="S83" s="273">
        <f t="shared" si="48"/>
        <v>0</v>
      </c>
      <c r="T83" s="273">
        <f t="shared" si="49"/>
        <v>0</v>
      </c>
      <c r="U83" s="273">
        <f t="shared" si="50"/>
        <v>0</v>
      </c>
      <c r="V83" s="273">
        <f t="shared" si="51"/>
        <v>0</v>
      </c>
      <c r="W83" s="273">
        <f t="shared" si="52"/>
        <v>0</v>
      </c>
      <c r="X83" s="273">
        <f t="shared" si="53"/>
        <v>0</v>
      </c>
      <c r="Y83" s="274"/>
      <c r="Z83" s="274"/>
      <c r="AA83" s="435"/>
    </row>
    <row r="84" spans="1:92" s="365" customFormat="1" ht="20.100000000000001" customHeight="1">
      <c r="A84" s="630"/>
      <c r="B84" s="382" t="s">
        <v>783</v>
      </c>
      <c r="C84" s="373">
        <f>+AVERAGE(C63:C83)</f>
        <v>2.5462962962962958E-2</v>
      </c>
      <c r="D84" s="373">
        <f t="shared" ref="D84" si="54">+AVERAGE(D63:D83)</f>
        <v>0</v>
      </c>
      <c r="E84" s="373">
        <f t="shared" ref="E84" si="55">+AVERAGE(E63:E83)</f>
        <v>0</v>
      </c>
      <c r="F84" s="373">
        <f t="shared" ref="F84" si="56">+AVERAGE(F63:F83)</f>
        <v>0</v>
      </c>
      <c r="G84" s="373">
        <f t="shared" ref="G84" si="57">+AVERAGE(G63:G83)</f>
        <v>0</v>
      </c>
      <c r="H84" s="373">
        <f t="shared" ref="H84" si="58">+AVERAGE(H63:H83)</f>
        <v>0</v>
      </c>
      <c r="I84" s="373">
        <f t="shared" ref="I84" si="59">+AVERAGE(I63:I83)</f>
        <v>0</v>
      </c>
      <c r="J84" s="373">
        <f t="shared" ref="J84" si="60">+AVERAGE(J63:J83)</f>
        <v>0</v>
      </c>
      <c r="K84" s="373">
        <f t="shared" ref="K84" si="61">+AVERAGE(K63:K83)</f>
        <v>0</v>
      </c>
      <c r="L84" s="624"/>
      <c r="M84" s="275"/>
      <c r="N84" s="275"/>
      <c r="O84" s="275"/>
      <c r="P84" s="275"/>
      <c r="Q84" s="275"/>
      <c r="R84" s="275"/>
      <c r="S84" s="275"/>
      <c r="T84" s="275"/>
      <c r="U84" s="275"/>
      <c r="V84" s="275"/>
      <c r="W84" s="275"/>
      <c r="X84" s="275"/>
      <c r="Y84" s="275"/>
      <c r="Z84" s="275"/>
      <c r="AA84" s="436"/>
      <c r="AB84" s="275"/>
      <c r="AC84" s="275"/>
      <c r="AD84" s="275"/>
      <c r="AE84" s="275"/>
      <c r="AF84" s="275"/>
      <c r="AG84" s="275"/>
      <c r="AH84" s="275"/>
      <c r="AI84" s="275"/>
      <c r="AJ84" s="275"/>
      <c r="AK84" s="275"/>
      <c r="AL84" s="275"/>
      <c r="AM84" s="275"/>
      <c r="AN84" s="275"/>
      <c r="AO84" s="275"/>
      <c r="AP84" s="275"/>
      <c r="AQ84" s="275"/>
      <c r="AR84" s="275"/>
      <c r="AS84" s="275"/>
      <c r="AT84" s="275"/>
      <c r="AU84" s="275"/>
      <c r="AV84" s="275"/>
      <c r="AW84" s="275"/>
      <c r="AX84" s="275"/>
      <c r="AY84" s="275"/>
      <c r="AZ84" s="275"/>
      <c r="BA84" s="275"/>
      <c r="BB84" s="275"/>
      <c r="BC84" s="275"/>
      <c r="BD84" s="275"/>
      <c r="BE84" s="275"/>
      <c r="BF84" s="275"/>
      <c r="BG84" s="275"/>
      <c r="BH84" s="275"/>
      <c r="BI84" s="275"/>
      <c r="BJ84" s="275"/>
      <c r="BK84" s="275"/>
      <c r="BL84" s="275"/>
      <c r="BM84" s="275"/>
      <c r="BN84" s="275"/>
      <c r="BO84" s="275"/>
      <c r="BP84" s="275"/>
      <c r="BQ84" s="275"/>
      <c r="BR84" s="275"/>
      <c r="BS84" s="275"/>
      <c r="BT84" s="275"/>
      <c r="BU84" s="275"/>
      <c r="BV84" s="275"/>
      <c r="BW84" s="275"/>
      <c r="BX84" s="275"/>
      <c r="BY84" s="275"/>
      <c r="BZ84" s="275"/>
      <c r="CA84" s="275"/>
      <c r="CB84" s="275"/>
      <c r="CC84" s="275"/>
      <c r="CD84" s="275"/>
      <c r="CE84" s="275"/>
      <c r="CF84" s="275"/>
      <c r="CG84" s="275"/>
      <c r="CH84" s="275"/>
      <c r="CI84" s="275"/>
      <c r="CJ84" s="275"/>
      <c r="CK84" s="275"/>
      <c r="CL84" s="275"/>
      <c r="CM84" s="275"/>
      <c r="CN84" s="275"/>
    </row>
    <row r="85" spans="1:92" s="275" customFormat="1" ht="20.100000000000001" customHeight="1" thickBot="1">
      <c r="A85" s="631"/>
      <c r="B85" s="383" t="s">
        <v>782</v>
      </c>
      <c r="C85" s="620">
        <f>+AVERAGE(C84:K84)</f>
        <v>2.829218106995884E-3</v>
      </c>
      <c r="D85" s="621"/>
      <c r="E85" s="621"/>
      <c r="F85" s="621"/>
      <c r="G85" s="621"/>
      <c r="H85" s="621"/>
      <c r="I85" s="621"/>
      <c r="J85" s="621"/>
      <c r="K85" s="621"/>
      <c r="L85" s="625"/>
      <c r="M85" s="437"/>
      <c r="N85" s="437"/>
      <c r="O85" s="437"/>
      <c r="P85" s="437"/>
      <c r="Q85" s="437"/>
      <c r="R85" s="437"/>
      <c r="S85" s="437"/>
      <c r="T85" s="437"/>
      <c r="U85" s="437"/>
      <c r="V85" s="437"/>
      <c r="W85" s="437"/>
      <c r="X85" s="437"/>
      <c r="Y85" s="437"/>
      <c r="Z85" s="437"/>
      <c r="AA85" s="438"/>
    </row>
    <row r="86" spans="1:92" s="275" customFormat="1">
      <c r="A86" s="367"/>
      <c r="B86" s="368"/>
    </row>
    <row r="87" spans="1:92" s="275" customFormat="1">
      <c r="A87" s="367"/>
      <c r="B87" s="368"/>
    </row>
    <row r="88" spans="1:92" s="275" customFormat="1">
      <c r="A88" s="367"/>
      <c r="B88" s="368"/>
    </row>
    <row r="89" spans="1:92" s="275" customFormat="1">
      <c r="A89" s="367"/>
      <c r="B89" s="368"/>
    </row>
    <row r="90" spans="1:92" s="275" customFormat="1">
      <c r="A90" s="367"/>
      <c r="B90" s="368"/>
    </row>
    <row r="91" spans="1:92" s="275" customFormat="1">
      <c r="A91" s="367"/>
      <c r="B91" s="368"/>
    </row>
    <row r="92" spans="1:92" s="275" customFormat="1">
      <c r="A92" s="367"/>
      <c r="B92" s="368"/>
    </row>
    <row r="93" spans="1:92" s="275" customFormat="1">
      <c r="A93" s="367"/>
      <c r="B93" s="368"/>
    </row>
    <row r="94" spans="1:92" s="275" customFormat="1">
      <c r="A94" s="367"/>
      <c r="B94" s="368"/>
    </row>
    <row r="95" spans="1:92" s="275" customFormat="1">
      <c r="A95" s="367"/>
      <c r="B95" s="439" t="s">
        <v>986</v>
      </c>
      <c r="C95" s="290" t="s">
        <v>516</v>
      </c>
      <c r="D95" s="290" t="s">
        <v>517</v>
      </c>
      <c r="E95" s="290" t="s">
        <v>518</v>
      </c>
      <c r="F95" s="290" t="s">
        <v>519</v>
      </c>
      <c r="G95" s="290" t="s">
        <v>520</v>
      </c>
      <c r="H95" s="290" t="s">
        <v>521</v>
      </c>
      <c r="I95" s="290" t="s">
        <v>522</v>
      </c>
      <c r="J95" s="290" t="s">
        <v>523</v>
      </c>
      <c r="K95" s="290" t="s">
        <v>524</v>
      </c>
      <c r="L95" s="394" t="s">
        <v>40</v>
      </c>
    </row>
    <row r="96" spans="1:92" s="275" customFormat="1">
      <c r="A96" s="367"/>
      <c r="B96" s="439" t="s">
        <v>126</v>
      </c>
      <c r="C96" s="440">
        <f>C27</f>
        <v>0.41520833333333335</v>
      </c>
      <c r="D96" s="440">
        <f t="shared" ref="D96:K96" si="62">D27</f>
        <v>0.22343023255813951</v>
      </c>
      <c r="E96" s="440">
        <f t="shared" si="62"/>
        <v>6.6363636363636375E-2</v>
      </c>
      <c r="F96" s="440">
        <f t="shared" si="62"/>
        <v>0</v>
      </c>
      <c r="G96" s="440">
        <f t="shared" si="62"/>
        <v>0</v>
      </c>
      <c r="H96" s="440">
        <f t="shared" si="62"/>
        <v>0</v>
      </c>
      <c r="I96" s="440">
        <f t="shared" si="62"/>
        <v>0</v>
      </c>
      <c r="J96" s="440">
        <f t="shared" si="62"/>
        <v>0</v>
      </c>
      <c r="K96" s="440">
        <f t="shared" si="62"/>
        <v>0</v>
      </c>
      <c r="L96" s="440">
        <f>AVERAGE(C96:K96)</f>
        <v>7.8333578028345466E-2</v>
      </c>
    </row>
    <row r="97" spans="1:12" s="275" customFormat="1">
      <c r="A97" s="367"/>
      <c r="B97" s="439" t="s">
        <v>45</v>
      </c>
      <c r="C97" s="440">
        <f>C45</f>
        <v>0.1186111111111111</v>
      </c>
      <c r="D97" s="440">
        <f t="shared" ref="D97:K97" si="63">D45</f>
        <v>0</v>
      </c>
      <c r="E97" s="440">
        <f t="shared" si="63"/>
        <v>0</v>
      </c>
      <c r="F97" s="440">
        <f t="shared" si="63"/>
        <v>0</v>
      </c>
      <c r="G97" s="440">
        <f t="shared" si="63"/>
        <v>0</v>
      </c>
      <c r="H97" s="440">
        <f t="shared" si="63"/>
        <v>0</v>
      </c>
      <c r="I97" s="440">
        <f t="shared" si="63"/>
        <v>0</v>
      </c>
      <c r="J97" s="440">
        <f t="shared" si="63"/>
        <v>0</v>
      </c>
      <c r="K97" s="440">
        <f t="shared" si="63"/>
        <v>0</v>
      </c>
      <c r="L97" s="440">
        <f t="shared" ref="L97:L99" si="64">AVERAGE(C97:K97)</f>
        <v>1.317901234567901E-2</v>
      </c>
    </row>
    <row r="98" spans="1:12" s="275" customFormat="1">
      <c r="A98" s="367"/>
      <c r="B98" s="439" t="s">
        <v>46</v>
      </c>
      <c r="C98" s="440">
        <f>C69</f>
        <v>8.3333333333333301E-2</v>
      </c>
      <c r="D98" s="440">
        <f t="shared" ref="D98:K98" si="65">D69</f>
        <v>0</v>
      </c>
      <c r="E98" s="440">
        <f t="shared" si="65"/>
        <v>0</v>
      </c>
      <c r="F98" s="440">
        <f t="shared" si="65"/>
        <v>0</v>
      </c>
      <c r="G98" s="440">
        <f t="shared" si="65"/>
        <v>0</v>
      </c>
      <c r="H98" s="440">
        <f t="shared" si="65"/>
        <v>0</v>
      </c>
      <c r="I98" s="440">
        <f t="shared" si="65"/>
        <v>0</v>
      </c>
      <c r="J98" s="440">
        <f t="shared" si="65"/>
        <v>0</v>
      </c>
      <c r="K98" s="440">
        <f t="shared" si="65"/>
        <v>0</v>
      </c>
      <c r="L98" s="440">
        <f t="shared" si="64"/>
        <v>9.2592592592592553E-3</v>
      </c>
    </row>
    <row r="99" spans="1:12" s="275" customFormat="1">
      <c r="A99" s="367"/>
      <c r="B99" s="439" t="s">
        <v>47</v>
      </c>
      <c r="C99" s="440">
        <f>C84</f>
        <v>2.5462962962962958E-2</v>
      </c>
      <c r="D99" s="440">
        <f t="shared" ref="D99:K99" si="66">D84</f>
        <v>0</v>
      </c>
      <c r="E99" s="440">
        <f t="shared" si="66"/>
        <v>0</v>
      </c>
      <c r="F99" s="440">
        <f t="shared" si="66"/>
        <v>0</v>
      </c>
      <c r="G99" s="440">
        <f t="shared" si="66"/>
        <v>0</v>
      </c>
      <c r="H99" s="440">
        <f t="shared" si="66"/>
        <v>0</v>
      </c>
      <c r="I99" s="440">
        <f t="shared" si="66"/>
        <v>0</v>
      </c>
      <c r="J99" s="440">
        <f t="shared" si="66"/>
        <v>0</v>
      </c>
      <c r="K99" s="440">
        <f t="shared" si="66"/>
        <v>0</v>
      </c>
      <c r="L99" s="440">
        <f t="shared" si="64"/>
        <v>2.829218106995884E-3</v>
      </c>
    </row>
    <row r="100" spans="1:12" s="275" customFormat="1">
      <c r="A100" s="367"/>
      <c r="B100" s="439"/>
      <c r="C100" s="290" t="s">
        <v>516</v>
      </c>
      <c r="D100" s="290" t="s">
        <v>517</v>
      </c>
      <c r="E100" s="290" t="s">
        <v>518</v>
      </c>
      <c r="F100" s="290" t="s">
        <v>519</v>
      </c>
      <c r="G100" s="290" t="s">
        <v>520</v>
      </c>
      <c r="H100" s="290" t="s">
        <v>521</v>
      </c>
      <c r="I100" s="290" t="s">
        <v>522</v>
      </c>
      <c r="J100" s="290" t="s">
        <v>523</v>
      </c>
      <c r="K100" s="290" t="s">
        <v>524</v>
      </c>
      <c r="L100" s="440"/>
    </row>
    <row r="101" spans="1:12" s="275" customFormat="1">
      <c r="A101" s="367"/>
      <c r="B101" s="439" t="s">
        <v>987</v>
      </c>
      <c r="C101" s="440">
        <f>AVERAGE(C96:C99)</f>
        <v>0.16065393518518514</v>
      </c>
      <c r="D101" s="440">
        <f t="shared" ref="D101:K101" si="67">AVERAGE(D96:D99)</f>
        <v>5.5857558139534878E-2</v>
      </c>
      <c r="E101" s="440">
        <f t="shared" si="67"/>
        <v>1.6590909090909094E-2</v>
      </c>
      <c r="F101" s="440">
        <f t="shared" si="67"/>
        <v>0</v>
      </c>
      <c r="G101" s="440">
        <f t="shared" si="67"/>
        <v>0</v>
      </c>
      <c r="H101" s="440">
        <f t="shared" si="67"/>
        <v>0</v>
      </c>
      <c r="I101" s="440">
        <f t="shared" si="67"/>
        <v>0</v>
      </c>
      <c r="J101" s="440">
        <f t="shared" si="67"/>
        <v>0</v>
      </c>
      <c r="K101" s="440">
        <f t="shared" si="67"/>
        <v>0</v>
      </c>
      <c r="L101" s="440"/>
    </row>
    <row r="102" spans="1:12" s="275" customFormat="1">
      <c r="A102" s="367"/>
      <c r="B102" s="368"/>
    </row>
    <row r="103" spans="1:12" s="275" customFormat="1">
      <c r="A103" s="367"/>
      <c r="B103" s="368"/>
    </row>
    <row r="104" spans="1:12" s="275" customFormat="1">
      <c r="A104" s="367"/>
      <c r="B104" s="368"/>
    </row>
    <row r="105" spans="1:12" s="275" customFormat="1">
      <c r="A105" s="367"/>
      <c r="B105" s="368"/>
    </row>
    <row r="106" spans="1:12" s="275" customFormat="1">
      <c r="A106" s="367"/>
      <c r="B106" s="368"/>
    </row>
    <row r="107" spans="1:12" s="275" customFormat="1">
      <c r="A107" s="367"/>
      <c r="B107" s="368"/>
    </row>
    <row r="108" spans="1:12" s="275" customFormat="1">
      <c r="A108" s="367"/>
      <c r="B108" s="368"/>
    </row>
    <row r="109" spans="1:12" s="275" customFormat="1">
      <c r="A109" s="367"/>
      <c r="B109" s="368"/>
    </row>
    <row r="110" spans="1:12" s="275" customFormat="1">
      <c r="A110" s="367"/>
      <c r="B110" s="368"/>
    </row>
    <row r="111" spans="1:12" s="275" customFormat="1">
      <c r="A111" s="367"/>
      <c r="B111" s="368"/>
    </row>
    <row r="112" spans="1:12" s="275" customFormat="1">
      <c r="A112" s="367"/>
      <c r="B112" s="368"/>
    </row>
    <row r="113" spans="1:2" s="275" customFormat="1">
      <c r="A113" s="367"/>
      <c r="B113" s="368"/>
    </row>
    <row r="114" spans="1:2" s="275" customFormat="1">
      <c r="A114" s="367"/>
      <c r="B114" s="368"/>
    </row>
    <row r="115" spans="1:2" s="275" customFormat="1">
      <c r="A115" s="367"/>
      <c r="B115" s="368"/>
    </row>
    <row r="116" spans="1:2" s="275" customFormat="1">
      <c r="A116" s="367"/>
      <c r="B116" s="368"/>
    </row>
    <row r="117" spans="1:2" s="275" customFormat="1">
      <c r="A117" s="367"/>
      <c r="B117" s="368"/>
    </row>
    <row r="118" spans="1:2" s="275" customFormat="1">
      <c r="A118" s="367"/>
      <c r="B118" s="368"/>
    </row>
    <row r="119" spans="1:2" s="275" customFormat="1">
      <c r="A119" s="367"/>
      <c r="B119" s="368"/>
    </row>
    <row r="120" spans="1:2" s="275" customFormat="1">
      <c r="A120" s="367"/>
      <c r="B120" s="368"/>
    </row>
    <row r="121" spans="1:2" s="275" customFormat="1">
      <c r="A121" s="367"/>
      <c r="B121" s="368"/>
    </row>
    <row r="122" spans="1:2" s="275" customFormat="1">
      <c r="A122" s="367"/>
      <c r="B122" s="368"/>
    </row>
    <row r="123" spans="1:2" s="275" customFormat="1">
      <c r="A123" s="367"/>
      <c r="B123" s="368"/>
    </row>
    <row r="124" spans="1:2" s="275" customFormat="1">
      <c r="A124" s="367"/>
      <c r="B124" s="368"/>
    </row>
    <row r="125" spans="1:2" s="275" customFormat="1">
      <c r="A125" s="367"/>
      <c r="B125" s="368"/>
    </row>
    <row r="126" spans="1:2" s="275" customFormat="1">
      <c r="A126" s="367"/>
      <c r="B126" s="368"/>
    </row>
    <row r="127" spans="1:2" s="275" customFormat="1">
      <c r="A127" s="367"/>
      <c r="B127" s="368"/>
    </row>
    <row r="128" spans="1:2" s="275" customFormat="1">
      <c r="A128" s="367"/>
      <c r="B128" s="368"/>
    </row>
    <row r="129" spans="1:2" s="275" customFormat="1">
      <c r="A129" s="367"/>
      <c r="B129" s="368"/>
    </row>
    <row r="130" spans="1:2" s="275" customFormat="1">
      <c r="A130" s="367"/>
      <c r="B130" s="368"/>
    </row>
    <row r="131" spans="1:2" s="275" customFormat="1">
      <c r="A131" s="367"/>
      <c r="B131" s="368"/>
    </row>
    <row r="132" spans="1:2" s="275" customFormat="1">
      <c r="A132" s="367"/>
      <c r="B132" s="368"/>
    </row>
    <row r="133" spans="1:2" s="275" customFormat="1">
      <c r="A133" s="367"/>
      <c r="B133" s="368"/>
    </row>
    <row r="134" spans="1:2" s="275" customFormat="1">
      <c r="A134" s="367"/>
      <c r="B134" s="368"/>
    </row>
    <row r="135" spans="1:2" s="275" customFormat="1">
      <c r="A135" s="367"/>
      <c r="B135" s="368"/>
    </row>
    <row r="136" spans="1:2" s="275" customFormat="1">
      <c r="A136" s="367"/>
      <c r="B136" s="368"/>
    </row>
    <row r="137" spans="1:2" s="275" customFormat="1">
      <c r="A137" s="367"/>
      <c r="B137" s="368"/>
    </row>
    <row r="138" spans="1:2" s="275" customFormat="1">
      <c r="A138" s="367"/>
      <c r="B138" s="368"/>
    </row>
    <row r="139" spans="1:2" s="275" customFormat="1">
      <c r="A139" s="367"/>
      <c r="B139" s="368"/>
    </row>
    <row r="140" spans="1:2" s="275" customFormat="1">
      <c r="A140" s="367"/>
      <c r="B140" s="368"/>
    </row>
    <row r="141" spans="1:2" s="275" customFormat="1">
      <c r="A141" s="367"/>
      <c r="B141" s="368"/>
    </row>
    <row r="142" spans="1:2" s="275" customFormat="1">
      <c r="A142" s="367"/>
      <c r="B142" s="368"/>
    </row>
    <row r="143" spans="1:2" s="275" customFormat="1">
      <c r="A143" s="367"/>
      <c r="B143" s="368"/>
    </row>
    <row r="144" spans="1:2" s="275" customFormat="1">
      <c r="A144" s="367"/>
      <c r="B144" s="368"/>
    </row>
    <row r="145" spans="1:2" s="275" customFormat="1">
      <c r="A145" s="367"/>
      <c r="B145" s="368"/>
    </row>
    <row r="146" spans="1:2" s="275" customFormat="1">
      <c r="A146" s="367"/>
      <c r="B146" s="368"/>
    </row>
    <row r="147" spans="1:2" s="275" customFormat="1">
      <c r="A147" s="367"/>
      <c r="B147" s="368"/>
    </row>
    <row r="148" spans="1:2" s="275" customFormat="1">
      <c r="A148" s="367"/>
      <c r="B148" s="368"/>
    </row>
    <row r="149" spans="1:2" s="275" customFormat="1">
      <c r="A149" s="367"/>
      <c r="B149" s="368"/>
    </row>
    <row r="150" spans="1:2" s="275" customFormat="1">
      <c r="A150" s="367"/>
      <c r="B150" s="368"/>
    </row>
  </sheetData>
  <mergeCells count="13">
    <mergeCell ref="C28:K28"/>
    <mergeCell ref="M2:Z2"/>
    <mergeCell ref="C46:K46"/>
    <mergeCell ref="A7:A28"/>
    <mergeCell ref="L45:L46"/>
    <mergeCell ref="L27:L28"/>
    <mergeCell ref="A29:A46"/>
    <mergeCell ref="C70:K70"/>
    <mergeCell ref="C85:K85"/>
    <mergeCell ref="L69:L70"/>
    <mergeCell ref="L84:L85"/>
    <mergeCell ref="A47:A70"/>
    <mergeCell ref="A71:A85"/>
  </mergeCells>
  <phoneticPr fontId="28" type="noConversion"/>
  <conditionalFormatting sqref="C28:C29">
    <cfRule type="iconSet" priority="70">
      <iconSet iconSet="3Symbols2">
        <cfvo type="percent" val="0"/>
        <cfvo type="percent" val="24" gte="0"/>
        <cfvo type="percent" val="76" gte="0"/>
      </iconSet>
    </cfRule>
  </conditionalFormatting>
  <conditionalFormatting sqref="C46:C47">
    <cfRule type="iconSet" priority="32">
      <iconSet iconSet="3Symbols2">
        <cfvo type="percent" val="0"/>
        <cfvo type="percent" val="24" gte="0"/>
        <cfvo type="percent" val="76" gte="0"/>
      </iconSet>
    </cfRule>
  </conditionalFormatting>
  <conditionalFormatting sqref="C70:C71">
    <cfRule type="iconSet" priority="25">
      <iconSet iconSet="3Symbols2">
        <cfvo type="percent" val="0"/>
        <cfvo type="percent" val="24" gte="0"/>
        <cfvo type="percent" val="76" gte="0"/>
      </iconSet>
    </cfRule>
  </conditionalFormatting>
  <conditionalFormatting sqref="C85">
    <cfRule type="iconSet" priority="18">
      <iconSet iconSet="3Symbols2">
        <cfvo type="percent" val="0"/>
        <cfvo type="percent" val="24" gte="0"/>
        <cfvo type="percent" val="76" gte="0"/>
      </iconSet>
    </cfRule>
  </conditionalFormatting>
  <conditionalFormatting sqref="C7:K26">
    <cfRule type="dataBar" priority="46">
      <dataBar>
        <cfvo type="min"/>
        <cfvo type="max"/>
        <color theme="4" tint="0.79998168889431442"/>
      </dataBar>
      <extLst>
        <ext xmlns:x14="http://schemas.microsoft.com/office/spreadsheetml/2009/9/main" uri="{B025F937-C7B1-47D3-B67F-A62EFF666E3E}">
          <x14:id>{3C38A4FD-55EC-49AD-9141-B20042B1010B}</x14:id>
        </ext>
      </extLst>
    </cfRule>
  </conditionalFormatting>
  <conditionalFormatting sqref="C27:K29">
    <cfRule type="colorScale" priority="8">
      <colorScale>
        <cfvo type="min"/>
        <cfvo type="percentile" val="50"/>
        <cfvo type="max"/>
        <color rgb="FF63BE7B"/>
        <color rgb="FFFFEB84"/>
        <color rgb="FFF8696B"/>
      </colorScale>
    </cfRule>
  </conditionalFormatting>
  <conditionalFormatting sqref="C30:K44">
    <cfRule type="dataBar" priority="45">
      <dataBar>
        <cfvo type="min"/>
        <cfvo type="max"/>
        <color theme="5" tint="0.79998168889431442"/>
      </dataBar>
      <extLst>
        <ext xmlns:x14="http://schemas.microsoft.com/office/spreadsheetml/2009/9/main" uri="{B025F937-C7B1-47D3-B67F-A62EFF666E3E}">
          <x14:id>{AC32561B-92D2-45AA-A377-19BF72D14813}</x14:id>
        </ext>
      </extLst>
    </cfRule>
  </conditionalFormatting>
  <conditionalFormatting sqref="C45:K47">
    <cfRule type="colorScale" priority="9">
      <colorScale>
        <cfvo type="min"/>
        <cfvo type="percentile" val="50"/>
        <cfvo type="max"/>
        <color rgb="FF63BE7B"/>
        <color rgb="FFFFEB84"/>
        <color rgb="FFF8696B"/>
      </colorScale>
    </cfRule>
  </conditionalFormatting>
  <conditionalFormatting sqref="C48:K68">
    <cfRule type="dataBar" priority="44">
      <dataBar>
        <cfvo type="min"/>
        <cfvo type="max"/>
        <color theme="6" tint="0.79998168889431442"/>
      </dataBar>
      <extLst>
        <ext xmlns:x14="http://schemas.microsoft.com/office/spreadsheetml/2009/9/main" uri="{B025F937-C7B1-47D3-B67F-A62EFF666E3E}">
          <x14:id>{0A9A54AF-A320-4D9A-837C-C77ACB96F7C5}</x14:id>
        </ext>
      </extLst>
    </cfRule>
  </conditionalFormatting>
  <conditionalFormatting sqref="C69:K71">
    <cfRule type="colorScale" priority="10">
      <colorScale>
        <cfvo type="min"/>
        <cfvo type="percentile" val="50"/>
        <cfvo type="max"/>
        <color rgb="FF63BE7B"/>
        <color rgb="FFFFEB84"/>
        <color rgb="FFF8696B"/>
      </colorScale>
    </cfRule>
  </conditionalFormatting>
  <conditionalFormatting sqref="C72:K83">
    <cfRule type="dataBar" priority="43">
      <dataBar>
        <cfvo type="min"/>
        <cfvo type="max"/>
        <color theme="7" tint="0.79998168889431442"/>
      </dataBar>
      <extLst>
        <ext xmlns:x14="http://schemas.microsoft.com/office/spreadsheetml/2009/9/main" uri="{B025F937-C7B1-47D3-B67F-A62EFF666E3E}">
          <x14:id>{0968A2BF-1C70-42FB-8E33-B69BB3CE061C}</x14:id>
        </ext>
      </extLst>
    </cfRule>
  </conditionalFormatting>
  <conditionalFormatting sqref="C84:K85">
    <cfRule type="colorScale" priority="11">
      <colorScale>
        <cfvo type="min"/>
        <cfvo type="percentile" val="50"/>
        <cfvo type="max"/>
        <color rgb="FF63BE7B"/>
        <color rgb="FFFFEB84"/>
        <color rgb="FFF8696B"/>
      </colorScale>
    </cfRule>
  </conditionalFormatting>
  <conditionalFormatting sqref="L7:L26">
    <cfRule type="colorScale" priority="40">
      <colorScale>
        <cfvo type="min"/>
        <cfvo type="percentile" val="50"/>
        <cfvo type="max"/>
        <color rgb="FF63BE7B"/>
        <color rgb="FFFFEB84"/>
        <color rgb="FFF8696B"/>
      </colorScale>
    </cfRule>
    <cfRule type="iconSet" priority="41">
      <iconSet iconSet="3Symbols2">
        <cfvo type="percent" val="0"/>
        <cfvo type="percent" val="24" gte="0"/>
        <cfvo type="percent" val="76" gte="0"/>
      </iconSet>
    </cfRule>
  </conditionalFormatting>
  <conditionalFormatting sqref="L7:L27 L72:L83 L48:L69 L30:L45">
    <cfRule type="colorScale" priority="39">
      <colorScale>
        <cfvo type="min"/>
        <cfvo type="percentile" val="50"/>
        <cfvo type="max"/>
        <color rgb="FF63BE7B"/>
        <color rgb="FFFFEB84"/>
        <color rgb="FFF8696B"/>
      </colorScale>
    </cfRule>
  </conditionalFormatting>
  <conditionalFormatting sqref="L30:L44 N48:N68 N72:O83 L48:L68 L72:L83">
    <cfRule type="iconSet" priority="807">
      <iconSet iconSet="3Symbols2">
        <cfvo type="percent" val="0"/>
        <cfvo type="percent" val="33"/>
        <cfvo type="percent" val="67"/>
      </iconSet>
    </cfRule>
  </conditionalFormatting>
  <conditionalFormatting sqref="L30:L44">
    <cfRule type="colorScale" priority="37">
      <colorScale>
        <cfvo type="min"/>
        <cfvo type="percentile" val="50"/>
        <cfvo type="max"/>
        <color rgb="FF63BE7B"/>
        <color rgb="FFFFEB84"/>
        <color rgb="FFF8696B"/>
      </colorScale>
    </cfRule>
    <cfRule type="iconSet" priority="38">
      <iconSet iconSet="3Symbols2">
        <cfvo type="percent" val="0"/>
        <cfvo type="percent" val="24" gte="0"/>
        <cfvo type="percent" val="76" gte="0"/>
      </iconSet>
    </cfRule>
  </conditionalFormatting>
  <conditionalFormatting sqref="L48:L68">
    <cfRule type="colorScale" priority="35">
      <colorScale>
        <cfvo type="min"/>
        <cfvo type="percentile" val="50"/>
        <cfvo type="max"/>
        <color rgb="FF63BE7B"/>
        <color rgb="FFFFEB84"/>
        <color rgb="FFF8696B"/>
      </colorScale>
    </cfRule>
    <cfRule type="iconSet" priority="36">
      <iconSet iconSet="3Symbols2">
        <cfvo type="percent" val="0"/>
        <cfvo type="percent" val="24" gte="0"/>
        <cfvo type="percent" val="76" gte="0"/>
      </iconSet>
    </cfRule>
  </conditionalFormatting>
  <conditionalFormatting sqref="L72:L83">
    <cfRule type="colorScale" priority="33">
      <colorScale>
        <cfvo type="min"/>
        <cfvo type="percentile" val="50"/>
        <cfvo type="max"/>
        <color rgb="FF63BE7B"/>
        <color rgb="FFFFEB84"/>
        <color rgb="FFF8696B"/>
      </colorScale>
    </cfRule>
    <cfRule type="iconSet" priority="34">
      <iconSet iconSet="3Symbols2">
        <cfvo type="percent" val="0"/>
        <cfvo type="percent" val="24" gte="0"/>
        <cfvo type="percent" val="76" gte="0"/>
      </iconSet>
    </cfRule>
  </conditionalFormatting>
  <conditionalFormatting sqref="M7:M26">
    <cfRule type="iconSet" priority="7">
      <iconSet iconSet="3Symbols2">
        <cfvo type="percent" val="0"/>
        <cfvo type="percent" val="24" gte="0"/>
        <cfvo type="percent" val="76" gte="0"/>
      </iconSet>
    </cfRule>
  </conditionalFormatting>
  <conditionalFormatting sqref="N7:U26">
    <cfRule type="iconSet" priority="4">
      <iconSet iconSet="3Symbols2">
        <cfvo type="percent" val="0"/>
        <cfvo type="percent" val="24" gte="0"/>
        <cfvo type="percent" val="76" gte="0"/>
      </iconSet>
    </cfRule>
  </conditionalFormatting>
  <conditionalFormatting sqref="N30:V44">
    <cfRule type="iconSet" priority="3">
      <iconSet iconSet="3Symbols2">
        <cfvo type="percent" val="0"/>
        <cfvo type="percent" val="24" gte="0"/>
        <cfvo type="percent" val="76" gte="0"/>
      </iconSet>
    </cfRule>
  </conditionalFormatting>
  <conditionalFormatting sqref="O48:W68">
    <cfRule type="iconSet" priority="2">
      <iconSet iconSet="3Symbols2">
        <cfvo type="percent" val="0"/>
        <cfvo type="percent" val="24" gte="0"/>
        <cfvo type="percent" val="76" gte="0"/>
      </iconSet>
    </cfRule>
  </conditionalFormatting>
  <conditionalFormatting sqref="P72:X83">
    <cfRule type="iconSet" priority="1">
      <iconSet iconSet="3Symbols2">
        <cfvo type="percent" val="0"/>
        <cfvo type="percent" val="24" gte="0"/>
        <cfvo type="percent" val="76" gte="0"/>
      </iconSet>
    </cfRule>
  </conditionalFormatting>
  <conditionalFormatting sqref="V7:Z26">
    <cfRule type="dataBar" priority="868">
      <dataBar>
        <cfvo type="min"/>
        <cfvo type="max"/>
        <color rgb="FF92D050"/>
      </dataBar>
      <extLst>
        <ext xmlns:x14="http://schemas.microsoft.com/office/spreadsheetml/2009/9/main" uri="{B025F937-C7B1-47D3-B67F-A62EFF666E3E}">
          <x14:id>{385EAF22-AC76-4CEB-84B9-CE8987B5FEB4}</x14:id>
        </ext>
      </extLst>
    </cfRule>
  </conditionalFormatting>
  <conditionalFormatting sqref="W30:Z44 X48:Z68 Y72:Z83">
    <cfRule type="dataBar" priority="828">
      <dataBar>
        <cfvo type="min"/>
        <cfvo type="max"/>
        <color rgb="FF008AEF"/>
      </dataBar>
      <extLst>
        <ext xmlns:x14="http://schemas.microsoft.com/office/spreadsheetml/2009/9/main" uri="{B025F937-C7B1-47D3-B67F-A62EFF666E3E}">
          <x14:id>{3AA0C1BB-7F94-42D3-A6A4-6DEFE09BBDF1}</x14:id>
        </ext>
      </extLst>
    </cfRule>
  </conditionalFormatting>
  <conditionalFormatting sqref="X48:Z48">
    <cfRule type="dataBar" priority="82">
      <dataBar>
        <cfvo type="min"/>
        <cfvo type="max"/>
        <color rgb="FF008AEF"/>
      </dataBar>
      <extLst>
        <ext xmlns:x14="http://schemas.microsoft.com/office/spreadsheetml/2009/9/main" uri="{B025F937-C7B1-47D3-B67F-A62EFF666E3E}">
          <x14:id>{CA2F4997-BF0B-45D8-9C0C-B55F030D1942}</x14:id>
        </ext>
      </extLst>
    </cfRule>
  </conditionalFormatting>
  <conditionalFormatting sqref="X48:Z68 Y72:Z83">
    <cfRule type="dataBar" priority="831">
      <dataBar>
        <cfvo type="min"/>
        <cfvo type="max"/>
        <color rgb="FF008AEF"/>
      </dataBar>
      <extLst>
        <ext xmlns:x14="http://schemas.microsoft.com/office/spreadsheetml/2009/9/main" uri="{B025F937-C7B1-47D3-B67F-A62EFF666E3E}">
          <x14:id>{B9355F13-8637-42D2-BEE8-CAFCE1604CB8}</x14:id>
        </ext>
      </extLst>
    </cfRule>
  </conditionalFormatting>
  <printOptions horizontalCentered="1"/>
  <pageMargins left="0.23622047244094491" right="0.23622047244094491" top="0.74803149606299213" bottom="0.74803149606299213" header="0.31496062992125984" footer="0.31496062992125984"/>
  <pageSetup paperSize="8" scale="24" orientation="portrait" r:id="rId1"/>
  <drawing r:id="rId2"/>
  <extLst>
    <ext xmlns:x14="http://schemas.microsoft.com/office/spreadsheetml/2009/9/main" uri="{78C0D931-6437-407d-A8EE-F0AAD7539E65}">
      <x14:conditionalFormattings>
        <x14:conditionalFormatting xmlns:xm="http://schemas.microsoft.com/office/excel/2006/main">
          <x14:cfRule type="dataBar" id="{3C38A4FD-55EC-49AD-9141-B20042B1010B}">
            <x14:dataBar minLength="0" maxLength="100" gradient="0">
              <x14:cfvo type="autoMin"/>
              <x14:cfvo type="autoMax"/>
              <x14:negativeFillColor rgb="FFFF0000"/>
              <x14:axisColor rgb="FF000000"/>
            </x14:dataBar>
          </x14:cfRule>
          <xm:sqref>C7:K26</xm:sqref>
        </x14:conditionalFormatting>
        <x14:conditionalFormatting xmlns:xm="http://schemas.microsoft.com/office/excel/2006/main">
          <x14:cfRule type="dataBar" id="{AC32561B-92D2-45AA-A377-19BF72D14813}">
            <x14:dataBar minLength="0" maxLength="100" gradient="0">
              <x14:cfvo type="autoMin"/>
              <x14:cfvo type="autoMax"/>
              <x14:negativeFillColor rgb="FFFF0000"/>
              <x14:axisColor rgb="FF000000"/>
            </x14:dataBar>
          </x14:cfRule>
          <xm:sqref>C30:K44</xm:sqref>
        </x14:conditionalFormatting>
        <x14:conditionalFormatting xmlns:xm="http://schemas.microsoft.com/office/excel/2006/main">
          <x14:cfRule type="dataBar" id="{0A9A54AF-A320-4D9A-837C-C77ACB96F7C5}">
            <x14:dataBar minLength="0" maxLength="100" gradient="0">
              <x14:cfvo type="autoMin"/>
              <x14:cfvo type="autoMax"/>
              <x14:negativeFillColor rgb="FFFF0000"/>
              <x14:axisColor rgb="FF000000"/>
            </x14:dataBar>
          </x14:cfRule>
          <xm:sqref>C48:K68</xm:sqref>
        </x14:conditionalFormatting>
        <x14:conditionalFormatting xmlns:xm="http://schemas.microsoft.com/office/excel/2006/main">
          <x14:cfRule type="dataBar" id="{0968A2BF-1C70-42FB-8E33-B69BB3CE061C}">
            <x14:dataBar minLength="0" maxLength="100" gradient="0">
              <x14:cfvo type="autoMin"/>
              <x14:cfvo type="autoMax"/>
              <x14:negativeFillColor rgb="FFFF0000"/>
              <x14:axisColor rgb="FF000000"/>
            </x14:dataBar>
          </x14:cfRule>
          <xm:sqref>C72:K83</xm:sqref>
        </x14:conditionalFormatting>
        <x14:conditionalFormatting xmlns:xm="http://schemas.microsoft.com/office/excel/2006/main">
          <x14:cfRule type="dataBar" id="{385EAF22-AC76-4CEB-84B9-CE8987B5FEB4}">
            <x14:dataBar minLength="0" maxLength="100" border="1">
              <x14:cfvo type="autoMin"/>
              <x14:cfvo type="autoMax"/>
              <x14:borderColor rgb="FF000000"/>
              <x14:negativeFillColor rgb="FFFF0000"/>
              <x14:axisColor rgb="FF000000"/>
            </x14:dataBar>
          </x14:cfRule>
          <xm:sqref>V7:Z26</xm:sqref>
        </x14:conditionalFormatting>
        <x14:conditionalFormatting xmlns:xm="http://schemas.microsoft.com/office/excel/2006/main">
          <x14:cfRule type="dataBar" id="{3AA0C1BB-7F94-42D3-A6A4-6DEFE09BBDF1}">
            <x14:dataBar minLength="0" maxLength="100" negativeBarColorSameAsPositive="1" axisPosition="none">
              <x14:cfvo type="min"/>
              <x14:cfvo type="max"/>
            </x14:dataBar>
          </x14:cfRule>
          <xm:sqref>W30:Z44 X48:Z68 Y72:Z83</xm:sqref>
        </x14:conditionalFormatting>
        <x14:conditionalFormatting xmlns:xm="http://schemas.microsoft.com/office/excel/2006/main">
          <x14:cfRule type="dataBar" id="{CA2F4997-BF0B-45D8-9C0C-B55F030D1942}">
            <x14:dataBar minLength="0" maxLength="100" negativeBarColorSameAsPositive="1" axisPosition="none">
              <x14:cfvo type="min"/>
              <x14:cfvo type="max"/>
            </x14:dataBar>
          </x14:cfRule>
          <xm:sqref>X48:Z48</xm:sqref>
        </x14:conditionalFormatting>
        <x14:conditionalFormatting xmlns:xm="http://schemas.microsoft.com/office/excel/2006/main">
          <x14:cfRule type="dataBar" id="{B9355F13-8637-42D2-BEE8-CAFCE1604CB8}">
            <x14:dataBar minLength="0" maxLength="100" negativeBarColorSameAsPositive="1" axisPosition="none">
              <x14:cfvo type="min"/>
              <x14:cfvo type="max"/>
            </x14:dataBar>
          </x14:cfRule>
          <xm:sqref>X48:Z68 Y72:Z83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FD0BA-D3A2-45A6-9EB4-84CFC1C9BDD9}">
  <sheetPr codeName="Hoja4"/>
  <dimension ref="A3:AC245"/>
  <sheetViews>
    <sheetView zoomScaleNormal="100" zoomScalePageLayoutView="20" workbookViewId="0">
      <pane ySplit="5" topLeftCell="A6" activePane="bottomLeft" state="frozen"/>
      <selection activeCell="U1" sqref="U1"/>
      <selection pane="bottomLeft" activeCell="G10" sqref="G10"/>
    </sheetView>
  </sheetViews>
  <sheetFormatPr baseColWidth="10" defaultColWidth="10.7109375" defaultRowHeight="15"/>
  <cols>
    <col min="2" max="2" width="9.7109375" style="240" customWidth="1"/>
  </cols>
  <sheetData>
    <row r="3" spans="2:29" ht="45">
      <c r="D3" s="642" t="s">
        <v>796</v>
      </c>
      <c r="E3" s="642"/>
      <c r="F3" s="642"/>
      <c r="G3" s="642"/>
      <c r="H3" s="642"/>
      <c r="I3" s="642"/>
      <c r="J3" s="642"/>
      <c r="K3" s="642"/>
      <c r="L3" s="642"/>
      <c r="M3" s="642"/>
      <c r="N3" s="642"/>
      <c r="O3" s="642"/>
      <c r="P3" s="642"/>
      <c r="Q3" s="642"/>
      <c r="R3" s="642"/>
      <c r="S3" s="642"/>
      <c r="T3" s="642"/>
      <c r="U3" s="642"/>
      <c r="V3" s="642"/>
      <c r="W3" s="642"/>
      <c r="X3" s="642"/>
      <c r="Y3" s="642"/>
      <c r="Z3" s="642"/>
      <c r="AA3" s="642"/>
      <c r="AB3" s="642"/>
      <c r="AC3" s="642"/>
    </row>
    <row r="5" spans="2:29" s="239" customFormat="1" ht="154.5" customHeight="1">
      <c r="B5" s="244" t="s">
        <v>799</v>
      </c>
      <c r="C5" s="245" t="s">
        <v>784</v>
      </c>
      <c r="D5" s="245" t="s">
        <v>694</v>
      </c>
      <c r="E5" s="245" t="s">
        <v>693</v>
      </c>
      <c r="F5" s="245" t="s">
        <v>697</v>
      </c>
      <c r="G5" s="245" t="s">
        <v>785</v>
      </c>
      <c r="H5" s="245" t="s">
        <v>789</v>
      </c>
      <c r="I5" s="245" t="s">
        <v>788</v>
      </c>
      <c r="J5" s="245" t="s">
        <v>786</v>
      </c>
      <c r="K5" s="245" t="s">
        <v>795</v>
      </c>
      <c r="L5" s="245" t="s">
        <v>790</v>
      </c>
      <c r="M5" s="245" t="s">
        <v>806</v>
      </c>
      <c r="N5" s="245" t="s">
        <v>787</v>
      </c>
      <c r="O5" s="245" t="s">
        <v>797</v>
      </c>
      <c r="P5" s="245" t="s">
        <v>791</v>
      </c>
      <c r="Q5" s="245" t="s">
        <v>952</v>
      </c>
      <c r="R5" s="245" t="s">
        <v>803</v>
      </c>
      <c r="S5" s="245" t="s">
        <v>794</v>
      </c>
      <c r="T5" s="245" t="s">
        <v>804</v>
      </c>
      <c r="U5" s="245" t="s">
        <v>793</v>
      </c>
      <c r="V5" s="245" t="s">
        <v>798</v>
      </c>
      <c r="W5" s="238"/>
    </row>
    <row r="6" spans="2:29" ht="15.75">
      <c r="B6" s="242">
        <v>102</v>
      </c>
      <c r="C6" s="247">
        <f>'FASE 1   '!E34</f>
        <v>0</v>
      </c>
      <c r="D6" s="248">
        <f>'FASE 1   '!K34</f>
        <v>0</v>
      </c>
      <c r="E6" s="248">
        <f>'FASE 1   '!J34</f>
        <v>0</v>
      </c>
      <c r="F6" s="248">
        <f>'FASE 1   '!P34</f>
        <v>0</v>
      </c>
      <c r="G6" s="248">
        <f>'FASE 1   '!L34</f>
        <v>0</v>
      </c>
      <c r="H6" s="248">
        <f>'FASE 1   '!S34</f>
        <v>0</v>
      </c>
      <c r="I6" s="248">
        <f>'FASE 1   '!N34</f>
        <v>0</v>
      </c>
      <c r="J6" s="248">
        <f>'FASE 1   '!T34</f>
        <v>0</v>
      </c>
      <c r="K6" s="248">
        <f>AVERAGE('FASE 2  '!D34:E34)</f>
        <v>0</v>
      </c>
      <c r="L6" s="248">
        <f>AVERAGE('FASE 2  '!M34:N34,'FASE 2  '!Q34)</f>
        <v>0</v>
      </c>
      <c r="M6" s="248">
        <f>'FASE 4'!J34</f>
        <v>0</v>
      </c>
      <c r="N6" s="248">
        <f>'FASE 2  '!L34</f>
        <v>0</v>
      </c>
      <c r="O6" s="248">
        <f>'FASE 3 '!N34</f>
        <v>0</v>
      </c>
      <c r="P6" s="248">
        <f>'FASE 3 '!L34</f>
        <v>0</v>
      </c>
      <c r="Q6" s="248">
        <f>AVERAGE('FASE 3 '!O34,'FASE 3 '!P34,'FASE 3 '!Q34,'FASE 3 '!R34)</f>
        <v>0</v>
      </c>
      <c r="R6" s="248">
        <f>AVERAGE('FASE 3 '!T34,'FASE 3 '!U34,'FASE 3 '!S34)</f>
        <v>0</v>
      </c>
      <c r="S6" s="248">
        <f>'FASE 3 '!W34</f>
        <v>0</v>
      </c>
      <c r="T6" s="248">
        <f>'FASE 3 '!V34</f>
        <v>0</v>
      </c>
      <c r="U6" s="248">
        <f>'FASE 4'!F34</f>
        <v>0</v>
      </c>
      <c r="V6" s="251">
        <f>AVERAGE(C6:U6)</f>
        <v>0</v>
      </c>
    </row>
    <row r="7" spans="2:29" ht="15.75">
      <c r="B7" s="242">
        <v>103</v>
      </c>
      <c r="C7" s="247">
        <f>'FASE 1   '!E35</f>
        <v>0</v>
      </c>
      <c r="D7" s="248">
        <f>'FASE 1   '!K35</f>
        <v>0</v>
      </c>
      <c r="E7" s="248">
        <f>'FASE 1   '!J35</f>
        <v>0</v>
      </c>
      <c r="F7" s="248">
        <f>'FASE 1   '!P35</f>
        <v>0</v>
      </c>
      <c r="G7" s="248">
        <f>'FASE 1   '!L35</f>
        <v>0</v>
      </c>
      <c r="H7" s="248">
        <f>'FASE 1   '!S35</f>
        <v>0</v>
      </c>
      <c r="I7" s="248">
        <f>'FASE 1   '!N35</f>
        <v>0</v>
      </c>
      <c r="J7" s="248">
        <f>'FASE 1   '!T35</f>
        <v>0</v>
      </c>
      <c r="K7" s="248">
        <f>AVERAGE('FASE 2  '!D65:E65)</f>
        <v>0</v>
      </c>
      <c r="L7" s="248">
        <f>AVERAGE('FASE 2  '!M65:N65,'FASE 2  '!Q65)</f>
        <v>0</v>
      </c>
      <c r="M7" s="248">
        <f>'FASE 4'!J65</f>
        <v>0</v>
      </c>
      <c r="N7" s="248">
        <f>'FASE 2  '!L65</f>
        <v>0</v>
      </c>
      <c r="O7" s="248">
        <f>'FASE 3 '!N65</f>
        <v>0</v>
      </c>
      <c r="P7" s="248">
        <f>'FASE 3 '!L65</f>
        <v>0</v>
      </c>
      <c r="Q7" s="248">
        <f>AVERAGE('FASE 3 '!O65,'FASE 3 '!P65,'FASE 3 '!Q65,'FASE 3 '!R65)</f>
        <v>0</v>
      </c>
      <c r="R7" s="248">
        <f>AVERAGE('FASE 3 '!T65,'FASE 3 '!U65,'FASE 3 '!S65)</f>
        <v>0</v>
      </c>
      <c r="S7" s="248">
        <f>'FASE 3 '!W65</f>
        <v>0</v>
      </c>
      <c r="T7" s="248">
        <f>'FASE 3 '!V65</f>
        <v>0</v>
      </c>
      <c r="U7" s="248">
        <f>'FASE 4'!F65</f>
        <v>0</v>
      </c>
      <c r="V7" s="251">
        <f t="shared" ref="V7:V100" si="0">AVERAGE(C7:U7)</f>
        <v>0</v>
      </c>
    </row>
    <row r="8" spans="2:29" ht="15.75">
      <c r="B8" s="242">
        <v>104</v>
      </c>
      <c r="C8" s="247">
        <f>'FASE 1   '!E36</f>
        <v>0</v>
      </c>
      <c r="D8" s="248">
        <f>'FASE 1   '!K36</f>
        <v>0</v>
      </c>
      <c r="E8" s="248">
        <f>'FASE 1   '!J36</f>
        <v>0</v>
      </c>
      <c r="F8" s="248">
        <f>'FASE 1   '!P36</f>
        <v>0</v>
      </c>
      <c r="G8" s="248">
        <f>'FASE 1   '!L36</f>
        <v>0</v>
      </c>
      <c r="H8" s="248">
        <f>'FASE 1   '!S36</f>
        <v>0</v>
      </c>
      <c r="I8" s="248">
        <f>'FASE 1   '!N36</f>
        <v>0</v>
      </c>
      <c r="J8" s="248">
        <f>'FASE 1   '!T36</f>
        <v>0</v>
      </c>
      <c r="K8" s="248">
        <f>AVERAGE('FASE 2  '!D66:E66)</f>
        <v>0</v>
      </c>
      <c r="L8" s="248">
        <f>AVERAGE('FASE 2  '!M66:N66,'FASE 2  '!Q66)</f>
        <v>0</v>
      </c>
      <c r="M8" s="248">
        <f>'FASE 4'!J66</f>
        <v>0</v>
      </c>
      <c r="N8" s="248">
        <f>'FASE 2  '!L66</f>
        <v>0</v>
      </c>
      <c r="O8" s="248">
        <f>'FASE 3 '!N66</f>
        <v>0</v>
      </c>
      <c r="P8" s="248">
        <f>'FASE 3 '!L66</f>
        <v>0</v>
      </c>
      <c r="Q8" s="248">
        <f>AVERAGE('FASE 3 '!O66,'FASE 3 '!P66,'FASE 3 '!Q66,'FASE 3 '!R66)</f>
        <v>0</v>
      </c>
      <c r="R8" s="248">
        <f>AVERAGE('FASE 3 '!T66,'FASE 3 '!U66,'FASE 3 '!S66)</f>
        <v>0</v>
      </c>
      <c r="S8" s="248">
        <f>'FASE 3 '!W66</f>
        <v>0</v>
      </c>
      <c r="T8" s="248">
        <f>'FASE 3 '!V66</f>
        <v>0</v>
      </c>
      <c r="U8" s="248">
        <f>'FASE 4'!F66</f>
        <v>0</v>
      </c>
      <c r="V8" s="251">
        <f t="shared" si="0"/>
        <v>0</v>
      </c>
    </row>
    <row r="9" spans="2:29" ht="15.75">
      <c r="B9" s="242">
        <v>105</v>
      </c>
      <c r="C9" s="247">
        <f>'FASE 1   '!E66</f>
        <v>0.2</v>
      </c>
      <c r="D9" s="248">
        <f>'FASE 1   '!K66</f>
        <v>0</v>
      </c>
      <c r="E9" s="248">
        <f>'FASE 1   '!J66</f>
        <v>0.9</v>
      </c>
      <c r="F9" s="248">
        <f>'FASE 1   '!P66</f>
        <v>0</v>
      </c>
      <c r="G9" s="248">
        <f>'FASE 1   '!L66</f>
        <v>0</v>
      </c>
      <c r="H9" s="248">
        <f>'FASE 1   '!S66</f>
        <v>0</v>
      </c>
      <c r="I9" s="248">
        <f>'FASE 1   '!N66</f>
        <v>0</v>
      </c>
      <c r="J9" s="248">
        <f>'FASE 1   '!T66</f>
        <v>0</v>
      </c>
      <c r="K9" s="248">
        <f>AVERAGE('FASE 2  '!D67:E67)</f>
        <v>0</v>
      </c>
      <c r="L9" s="248">
        <f>AVERAGE('FASE 2  '!M67:N67,'FASE 2  '!Q67)</f>
        <v>0</v>
      </c>
      <c r="M9" s="248">
        <f>'FASE 4'!J67</f>
        <v>0</v>
      </c>
      <c r="N9" s="248">
        <f>'FASE 2  '!L67</f>
        <v>0</v>
      </c>
      <c r="O9" s="248">
        <f>'FASE 3 '!N67</f>
        <v>0</v>
      </c>
      <c r="P9" s="248">
        <f>'FASE 3 '!L67</f>
        <v>0</v>
      </c>
      <c r="Q9" s="248">
        <f>AVERAGE('FASE 3 '!O67,'FASE 3 '!P67,'FASE 3 '!Q67,'FASE 3 '!R67)</f>
        <v>0</v>
      </c>
      <c r="R9" s="248">
        <f>AVERAGE('FASE 3 '!T67,'FASE 3 '!U67,'FASE 3 '!S67)</f>
        <v>0</v>
      </c>
      <c r="S9" s="248">
        <f>'FASE 3 '!W67</f>
        <v>0</v>
      </c>
      <c r="T9" s="248">
        <f>'FASE 3 '!V67</f>
        <v>0</v>
      </c>
      <c r="U9" s="248">
        <f>'FASE 4'!F67</f>
        <v>0</v>
      </c>
      <c r="V9" s="251">
        <f t="shared" si="0"/>
        <v>5.789473684210527E-2</v>
      </c>
    </row>
    <row r="10" spans="2:29" ht="15.75">
      <c r="B10" s="242">
        <v>106</v>
      </c>
      <c r="C10" s="247">
        <f>'FASE 1   '!E67</f>
        <v>0.2</v>
      </c>
      <c r="D10" s="248">
        <f>'FASE 1   '!K67</f>
        <v>0</v>
      </c>
      <c r="E10" s="248">
        <f>'FASE 1   '!J67</f>
        <v>0.9</v>
      </c>
      <c r="F10" s="248">
        <f>'FASE 1   '!P67</f>
        <v>0</v>
      </c>
      <c r="G10" s="248">
        <f>'FASE 1   '!L67</f>
        <v>0</v>
      </c>
      <c r="H10" s="248">
        <f>'FASE 1   '!S67</f>
        <v>0</v>
      </c>
      <c r="I10" s="248">
        <f>'FASE 1   '!N67</f>
        <v>0</v>
      </c>
      <c r="J10" s="248">
        <f>'FASE 1   '!T67</f>
        <v>0</v>
      </c>
      <c r="K10" s="248">
        <f>AVERAGE('FASE 2  '!D68:E68)</f>
        <v>0</v>
      </c>
      <c r="L10" s="248">
        <f>AVERAGE('FASE 2  '!M68:N68,'FASE 2  '!Q68)</f>
        <v>0</v>
      </c>
      <c r="M10" s="248">
        <f>'FASE 4'!J68</f>
        <v>0</v>
      </c>
      <c r="N10" s="248">
        <f>'FASE 2  '!L68</f>
        <v>0</v>
      </c>
      <c r="O10" s="248">
        <f>'FASE 3 '!N68</f>
        <v>0</v>
      </c>
      <c r="P10" s="248">
        <f>'FASE 3 '!L68</f>
        <v>0</v>
      </c>
      <c r="Q10" s="248">
        <f>AVERAGE('FASE 3 '!O68,'FASE 3 '!P68,'FASE 3 '!Q68,'FASE 3 '!R68)</f>
        <v>0</v>
      </c>
      <c r="R10" s="248">
        <f>AVERAGE('FASE 3 '!T68,'FASE 3 '!U68,'FASE 3 '!S68)</f>
        <v>0</v>
      </c>
      <c r="S10" s="248">
        <f>'FASE 3 '!W68</f>
        <v>0</v>
      </c>
      <c r="T10" s="248">
        <f>'FASE 3 '!V68</f>
        <v>0</v>
      </c>
      <c r="U10" s="248">
        <f>'FASE 4'!F68</f>
        <v>0</v>
      </c>
      <c r="V10" s="251">
        <f t="shared" si="0"/>
        <v>5.789473684210527E-2</v>
      </c>
    </row>
    <row r="11" spans="2:29" ht="15.75">
      <c r="B11" s="242">
        <v>107</v>
      </c>
      <c r="C11" s="247">
        <f>'FASE 1   '!E68</f>
        <v>0.2</v>
      </c>
      <c r="D11" s="248">
        <f>'FASE 1   '!K68</f>
        <v>0</v>
      </c>
      <c r="E11" s="248">
        <f>'FASE 1   '!J68</f>
        <v>0.9</v>
      </c>
      <c r="F11" s="248">
        <f>'FASE 1   '!P68</f>
        <v>0</v>
      </c>
      <c r="G11" s="248">
        <f>'FASE 1   '!L68</f>
        <v>0</v>
      </c>
      <c r="H11" s="248">
        <f>'FASE 1   '!S68</f>
        <v>0</v>
      </c>
      <c r="I11" s="248">
        <f>'FASE 1   '!N68</f>
        <v>0</v>
      </c>
      <c r="J11" s="248">
        <f>'FASE 1   '!T68</f>
        <v>0</v>
      </c>
      <c r="K11" s="248">
        <f>AVERAGE('FASE 2  '!D69:E69)</f>
        <v>0</v>
      </c>
      <c r="L11" s="248">
        <f>AVERAGE('FASE 2  '!M69:N69,'FASE 2  '!Q69)</f>
        <v>0</v>
      </c>
      <c r="M11" s="248">
        <f>'FASE 4'!J69</f>
        <v>0</v>
      </c>
      <c r="N11" s="248">
        <f>'FASE 2  '!L69</f>
        <v>0</v>
      </c>
      <c r="O11" s="248">
        <f>'FASE 3 '!N69</f>
        <v>0</v>
      </c>
      <c r="P11" s="248">
        <f>'FASE 3 '!L69</f>
        <v>0</v>
      </c>
      <c r="Q11" s="248">
        <f>AVERAGE('FASE 3 '!O69,'FASE 3 '!P69,'FASE 3 '!Q69,'FASE 3 '!R69)</f>
        <v>0</v>
      </c>
      <c r="R11" s="248">
        <f>AVERAGE('FASE 3 '!T69,'FASE 3 '!U69,'FASE 3 '!S69)</f>
        <v>0</v>
      </c>
      <c r="S11" s="248">
        <f>'FASE 3 '!W69</f>
        <v>0</v>
      </c>
      <c r="T11" s="248">
        <f>'FASE 3 '!V69</f>
        <v>0</v>
      </c>
      <c r="U11" s="248">
        <f>'FASE 4'!F69</f>
        <v>0</v>
      </c>
      <c r="V11" s="251">
        <f t="shared" si="0"/>
        <v>5.789473684210527E-2</v>
      </c>
    </row>
    <row r="12" spans="2:29" ht="15.75">
      <c r="B12" s="242">
        <v>108</v>
      </c>
      <c r="C12" s="247">
        <f>'FASE 1   '!E69</f>
        <v>0.2</v>
      </c>
      <c r="D12" s="248">
        <f>'FASE 1   '!K69</f>
        <v>0</v>
      </c>
      <c r="E12" s="248">
        <f>'FASE 1   '!J69</f>
        <v>0.9</v>
      </c>
      <c r="F12" s="248">
        <f>'FASE 1   '!P69</f>
        <v>0</v>
      </c>
      <c r="G12" s="248">
        <f>'FASE 1   '!L69</f>
        <v>0</v>
      </c>
      <c r="H12" s="248">
        <f>'FASE 1   '!S69</f>
        <v>0</v>
      </c>
      <c r="I12" s="248">
        <f>'FASE 1   '!N69</f>
        <v>0</v>
      </c>
      <c r="J12" s="248">
        <f>'FASE 1   '!T69</f>
        <v>0</v>
      </c>
      <c r="K12" s="248">
        <f>AVERAGE('FASE 2  '!D70:E70)</f>
        <v>0</v>
      </c>
      <c r="L12" s="248">
        <f>AVERAGE('FASE 2  '!M70:N70,'FASE 2  '!Q70)</f>
        <v>0</v>
      </c>
      <c r="M12" s="248">
        <f>'FASE 4'!J70</f>
        <v>0</v>
      </c>
      <c r="N12" s="248">
        <f>'FASE 2  '!L70</f>
        <v>0</v>
      </c>
      <c r="O12" s="248">
        <f>'FASE 3 '!N70</f>
        <v>0</v>
      </c>
      <c r="P12" s="248">
        <f>'FASE 3 '!L70</f>
        <v>0</v>
      </c>
      <c r="Q12" s="248">
        <f>AVERAGE('FASE 3 '!O70,'FASE 3 '!P70,'FASE 3 '!Q70,'FASE 3 '!R70)</f>
        <v>0</v>
      </c>
      <c r="R12" s="248">
        <f>AVERAGE('FASE 3 '!T70,'FASE 3 '!U70,'FASE 3 '!S70)</f>
        <v>0</v>
      </c>
      <c r="S12" s="248">
        <f>'FASE 3 '!W70</f>
        <v>0</v>
      </c>
      <c r="T12" s="248">
        <f>'FASE 3 '!V70</f>
        <v>0</v>
      </c>
      <c r="U12" s="248">
        <f>'FASE 4'!F70</f>
        <v>0</v>
      </c>
      <c r="V12" s="251">
        <f t="shared" si="0"/>
        <v>5.789473684210527E-2</v>
      </c>
    </row>
    <row r="13" spans="2:29" ht="15.75">
      <c r="B13" s="242">
        <v>208</v>
      </c>
      <c r="C13" s="247">
        <f>'FASE 1   '!E70</f>
        <v>0.2</v>
      </c>
      <c r="D13" s="248">
        <f>'FASE 1   '!K70</f>
        <v>0</v>
      </c>
      <c r="E13" s="248">
        <f>'FASE 1   '!J70</f>
        <v>0.9</v>
      </c>
      <c r="F13" s="248">
        <f>'FASE 1   '!P70</f>
        <v>0</v>
      </c>
      <c r="G13" s="248">
        <f>'FASE 1   '!L70</f>
        <v>0</v>
      </c>
      <c r="H13" s="248">
        <f>'FASE 1   '!S70</f>
        <v>0</v>
      </c>
      <c r="I13" s="248">
        <f>'FASE 1   '!N70</f>
        <v>0</v>
      </c>
      <c r="J13" s="248">
        <f>'FASE 1   '!T70</f>
        <v>0</v>
      </c>
      <c r="K13" s="248">
        <f>AVERAGE('FASE 2  '!D71:E71)</f>
        <v>0</v>
      </c>
      <c r="L13" s="248">
        <f>AVERAGE('FASE 2  '!M71:N71,'FASE 2  '!Q71)</f>
        <v>0</v>
      </c>
      <c r="M13" s="248">
        <f>'FASE 4'!J71</f>
        <v>0</v>
      </c>
      <c r="N13" s="248">
        <f>'FASE 2  '!L71</f>
        <v>0</v>
      </c>
      <c r="O13" s="248">
        <f>'FASE 3 '!N71</f>
        <v>0</v>
      </c>
      <c r="P13" s="248">
        <f>'FASE 3 '!L71</f>
        <v>0</v>
      </c>
      <c r="Q13" s="248">
        <f>AVERAGE('FASE 3 '!O71,'FASE 3 '!P71,'FASE 3 '!Q71,'FASE 3 '!R71)</f>
        <v>0</v>
      </c>
      <c r="R13" s="248">
        <f>AVERAGE('FASE 3 '!T71,'FASE 3 '!U71,'FASE 3 '!S71)</f>
        <v>0</v>
      </c>
      <c r="S13" s="248">
        <f>'FASE 3 '!W71</f>
        <v>0</v>
      </c>
      <c r="T13" s="248">
        <f>'FASE 3 '!V71</f>
        <v>0</v>
      </c>
      <c r="U13" s="248">
        <f>'FASE 4'!F71</f>
        <v>0</v>
      </c>
      <c r="V13" s="251">
        <f t="shared" si="0"/>
        <v>5.789473684210527E-2</v>
      </c>
    </row>
    <row r="14" spans="2:29" ht="15.75">
      <c r="B14" s="242">
        <v>209</v>
      </c>
      <c r="C14" s="247">
        <f>'FASE 1   '!E71</f>
        <v>0.2</v>
      </c>
      <c r="D14" s="248">
        <f>'FASE 1   '!K71</f>
        <v>0</v>
      </c>
      <c r="E14" s="248">
        <f>'FASE 1   '!J71</f>
        <v>0.9</v>
      </c>
      <c r="F14" s="248">
        <f>'FASE 1   '!P71</f>
        <v>0</v>
      </c>
      <c r="G14" s="248">
        <f>'FASE 1   '!L71</f>
        <v>0</v>
      </c>
      <c r="H14" s="248">
        <f>'FASE 1   '!S71</f>
        <v>0</v>
      </c>
      <c r="I14" s="248">
        <f>'FASE 1   '!N71</f>
        <v>0</v>
      </c>
      <c r="J14" s="248">
        <f>'FASE 1   '!T71</f>
        <v>0</v>
      </c>
      <c r="K14" s="248">
        <f>AVERAGE('FASE 2  '!D72:E72)</f>
        <v>0</v>
      </c>
      <c r="L14" s="248">
        <f>AVERAGE('FASE 2  '!M72:N72,'FASE 2  '!Q72)</f>
        <v>0</v>
      </c>
      <c r="M14" s="248">
        <f>'FASE 4'!J72</f>
        <v>0</v>
      </c>
      <c r="N14" s="248">
        <f>'FASE 2  '!L72</f>
        <v>0</v>
      </c>
      <c r="O14" s="248">
        <f>'FASE 3 '!N72</f>
        <v>0</v>
      </c>
      <c r="P14" s="248">
        <f>'FASE 3 '!L72</f>
        <v>0</v>
      </c>
      <c r="Q14" s="248">
        <f>AVERAGE('FASE 3 '!O72,'FASE 3 '!P72,'FASE 3 '!Q72,'FASE 3 '!R72)</f>
        <v>0</v>
      </c>
      <c r="R14" s="248">
        <f>AVERAGE('FASE 3 '!T72,'FASE 3 '!U72,'FASE 3 '!S72)</f>
        <v>0</v>
      </c>
      <c r="S14" s="248">
        <f>'FASE 3 '!W72</f>
        <v>0</v>
      </c>
      <c r="T14" s="248">
        <f>'FASE 3 '!V72</f>
        <v>0</v>
      </c>
      <c r="U14" s="248">
        <f>'FASE 4'!F72</f>
        <v>0</v>
      </c>
      <c r="V14" s="251">
        <f t="shared" si="0"/>
        <v>5.789473684210527E-2</v>
      </c>
    </row>
    <row r="15" spans="2:29" ht="15.75">
      <c r="B15" s="242">
        <v>210</v>
      </c>
      <c r="C15" s="247">
        <f>'FASE 1   '!E72</f>
        <v>0.2</v>
      </c>
      <c r="D15" s="248">
        <f>'FASE 1   '!K72</f>
        <v>0</v>
      </c>
      <c r="E15" s="248">
        <f>'FASE 1   '!J72</f>
        <v>0.9</v>
      </c>
      <c r="F15" s="248">
        <f>'FASE 1   '!P72</f>
        <v>0</v>
      </c>
      <c r="G15" s="248">
        <f>'FASE 1   '!L72</f>
        <v>0</v>
      </c>
      <c r="H15" s="248">
        <f>'FASE 1   '!S72</f>
        <v>0</v>
      </c>
      <c r="I15" s="248">
        <f>'FASE 1   '!N72</f>
        <v>0</v>
      </c>
      <c r="J15" s="248">
        <f>'FASE 1   '!T72</f>
        <v>0</v>
      </c>
      <c r="K15" s="248">
        <f>AVERAGE('FASE 2  '!D73:E73)</f>
        <v>0</v>
      </c>
      <c r="L15" s="248">
        <f>AVERAGE('FASE 2  '!M73:N73,'FASE 2  '!Q73)</f>
        <v>0</v>
      </c>
      <c r="M15" s="248">
        <f>'FASE 4'!J73</f>
        <v>0</v>
      </c>
      <c r="N15" s="248">
        <f>'FASE 2  '!L73</f>
        <v>0</v>
      </c>
      <c r="O15" s="248">
        <f>'FASE 3 '!N73</f>
        <v>0</v>
      </c>
      <c r="P15" s="248">
        <f>'FASE 3 '!L73</f>
        <v>0</v>
      </c>
      <c r="Q15" s="248">
        <f>AVERAGE('FASE 3 '!O73,'FASE 3 '!P73,'FASE 3 '!Q73,'FASE 3 '!R73)</f>
        <v>0</v>
      </c>
      <c r="R15" s="248">
        <f>AVERAGE('FASE 3 '!T73,'FASE 3 '!U73,'FASE 3 '!S73)</f>
        <v>0</v>
      </c>
      <c r="S15" s="248">
        <f>'FASE 3 '!W73</f>
        <v>0</v>
      </c>
      <c r="T15" s="248">
        <f>'FASE 3 '!V73</f>
        <v>0</v>
      </c>
      <c r="U15" s="248">
        <f>'FASE 4'!F73</f>
        <v>0</v>
      </c>
      <c r="V15" s="251">
        <f t="shared" si="0"/>
        <v>5.789473684210527E-2</v>
      </c>
    </row>
    <row r="16" spans="2:29" ht="15.75">
      <c r="B16" s="242">
        <v>211</v>
      </c>
      <c r="C16" s="247">
        <f>'FASE 1   '!E73</f>
        <v>0.2</v>
      </c>
      <c r="D16" s="248">
        <f>'FASE 1   '!K73</f>
        <v>0</v>
      </c>
      <c r="E16" s="248">
        <f>'FASE 1   '!J73</f>
        <v>0.9</v>
      </c>
      <c r="F16" s="248">
        <f>'FASE 1   '!P73</f>
        <v>0</v>
      </c>
      <c r="G16" s="248">
        <f>'FASE 1   '!L73</f>
        <v>0</v>
      </c>
      <c r="H16" s="248">
        <f>'FASE 1   '!S73</f>
        <v>0</v>
      </c>
      <c r="I16" s="248">
        <f>'FASE 1   '!N73</f>
        <v>0</v>
      </c>
      <c r="J16" s="248">
        <f>'FASE 1   '!T73</f>
        <v>0</v>
      </c>
      <c r="K16" s="248">
        <f>AVERAGE('FASE 2  '!D74:E74)</f>
        <v>0</v>
      </c>
      <c r="L16" s="248">
        <f>AVERAGE('FASE 2  '!M74:N74,'FASE 2  '!Q74)</f>
        <v>0</v>
      </c>
      <c r="M16" s="248">
        <f>'FASE 4'!J74</f>
        <v>0</v>
      </c>
      <c r="N16" s="248">
        <f>'FASE 2  '!L74</f>
        <v>0</v>
      </c>
      <c r="O16" s="248">
        <f>'FASE 3 '!N74</f>
        <v>0</v>
      </c>
      <c r="P16" s="248">
        <f>'FASE 3 '!L74</f>
        <v>0</v>
      </c>
      <c r="Q16" s="248">
        <f>AVERAGE('FASE 3 '!O74,'FASE 3 '!P74,'FASE 3 '!Q74,'FASE 3 '!R74)</f>
        <v>0</v>
      </c>
      <c r="R16" s="248">
        <f>AVERAGE('FASE 3 '!T74,'FASE 3 '!U74,'FASE 3 '!S74)</f>
        <v>0</v>
      </c>
      <c r="S16" s="248">
        <f>'FASE 3 '!W74</f>
        <v>0</v>
      </c>
      <c r="T16" s="248">
        <f>'FASE 3 '!V74</f>
        <v>0</v>
      </c>
      <c r="U16" s="248">
        <f>'FASE 4'!F74</f>
        <v>0</v>
      </c>
      <c r="V16" s="251">
        <f t="shared" si="0"/>
        <v>5.789473684210527E-2</v>
      </c>
    </row>
    <row r="17" spans="2:23" ht="15.75">
      <c r="B17" s="242">
        <v>212</v>
      </c>
      <c r="C17" s="247">
        <f>'FASE 1   '!E74</f>
        <v>0.2</v>
      </c>
      <c r="D17" s="248">
        <f>'FASE 1   '!K74</f>
        <v>0</v>
      </c>
      <c r="E17" s="248">
        <f>'FASE 1   '!J74</f>
        <v>0.9</v>
      </c>
      <c r="F17" s="248">
        <f>'FASE 1   '!P74</f>
        <v>0</v>
      </c>
      <c r="G17" s="248">
        <f>'FASE 1   '!L74</f>
        <v>0</v>
      </c>
      <c r="H17" s="248">
        <f>'FASE 1   '!S74</f>
        <v>0</v>
      </c>
      <c r="I17" s="248">
        <f>'FASE 1   '!N74</f>
        <v>0</v>
      </c>
      <c r="J17" s="248">
        <f>'FASE 1   '!T74</f>
        <v>0</v>
      </c>
      <c r="K17" s="248">
        <f>AVERAGE('FASE 2  '!D75:E75)</f>
        <v>0</v>
      </c>
      <c r="L17" s="248">
        <f>AVERAGE('FASE 2  '!M75:N75,'FASE 2  '!Q75)</f>
        <v>0</v>
      </c>
      <c r="M17" s="248">
        <f>'FASE 4'!J75</f>
        <v>0</v>
      </c>
      <c r="N17" s="248">
        <f>'FASE 2  '!L75</f>
        <v>0</v>
      </c>
      <c r="O17" s="248">
        <f>'FASE 3 '!N75</f>
        <v>0</v>
      </c>
      <c r="P17" s="248">
        <f>'FASE 3 '!L75</f>
        <v>0</v>
      </c>
      <c r="Q17" s="248">
        <f>AVERAGE('FASE 3 '!O75,'FASE 3 '!P75,'FASE 3 '!Q75,'FASE 3 '!R75)</f>
        <v>0</v>
      </c>
      <c r="R17" s="248">
        <f>AVERAGE('FASE 3 '!T75,'FASE 3 '!U75,'FASE 3 '!S75)</f>
        <v>0</v>
      </c>
      <c r="S17" s="248">
        <f>'FASE 3 '!W75</f>
        <v>0</v>
      </c>
      <c r="T17" s="248">
        <f>'FASE 3 '!V75</f>
        <v>0</v>
      </c>
      <c r="U17" s="248">
        <f>'FASE 4'!F75</f>
        <v>0</v>
      </c>
      <c r="V17" s="251">
        <f t="shared" si="0"/>
        <v>5.789473684210527E-2</v>
      </c>
    </row>
    <row r="18" spans="2:23" ht="15.75">
      <c r="B18" s="242">
        <v>213</v>
      </c>
      <c r="C18" s="247">
        <f>'FASE 1   '!E75</f>
        <v>0.2</v>
      </c>
      <c r="D18" s="248">
        <f>'FASE 1   '!K75</f>
        <v>0</v>
      </c>
      <c r="E18" s="248">
        <f>'FASE 1   '!J75</f>
        <v>0.9</v>
      </c>
      <c r="F18" s="248">
        <f>'FASE 1   '!P75</f>
        <v>0</v>
      </c>
      <c r="G18" s="248">
        <f>'FASE 1   '!L75</f>
        <v>0</v>
      </c>
      <c r="H18" s="248">
        <f>'FASE 1   '!S75</f>
        <v>0</v>
      </c>
      <c r="I18" s="248">
        <f>'FASE 1   '!N75</f>
        <v>0</v>
      </c>
      <c r="J18" s="248">
        <f>'FASE 1   '!T75</f>
        <v>0</v>
      </c>
      <c r="K18" s="248">
        <f>AVERAGE('FASE 2  '!D76:E76)</f>
        <v>0</v>
      </c>
      <c r="L18" s="248">
        <f>AVERAGE('FASE 2  '!M76:N76,'FASE 2  '!Q76)</f>
        <v>0</v>
      </c>
      <c r="M18" s="248">
        <f>'FASE 4'!J76</f>
        <v>0</v>
      </c>
      <c r="N18" s="248">
        <f>'FASE 2  '!L76</f>
        <v>0</v>
      </c>
      <c r="O18" s="248">
        <f>'FASE 3 '!N76</f>
        <v>0</v>
      </c>
      <c r="P18" s="248">
        <f>'FASE 3 '!L76</f>
        <v>0</v>
      </c>
      <c r="Q18" s="248">
        <f>AVERAGE('FASE 3 '!O76,'FASE 3 '!P76,'FASE 3 '!Q76,'FASE 3 '!R76)</f>
        <v>0</v>
      </c>
      <c r="R18" s="248">
        <f>AVERAGE('FASE 3 '!T76,'FASE 3 '!U76,'FASE 3 '!S76)</f>
        <v>0</v>
      </c>
      <c r="S18" s="248">
        <f>'FASE 3 '!W76</f>
        <v>0</v>
      </c>
      <c r="T18" s="248">
        <f>'FASE 3 '!V76</f>
        <v>0</v>
      </c>
      <c r="U18" s="248">
        <f>'FASE 4'!F76</f>
        <v>0</v>
      </c>
      <c r="V18" s="251">
        <f t="shared" si="0"/>
        <v>5.789473684210527E-2</v>
      </c>
    </row>
    <row r="19" spans="2:23" ht="15.75">
      <c r="B19" s="242">
        <v>214</v>
      </c>
      <c r="C19" s="247">
        <f>'FASE 1   '!E76</f>
        <v>0.2</v>
      </c>
      <c r="D19" s="248">
        <f>'FASE 1   '!K76</f>
        <v>0</v>
      </c>
      <c r="E19" s="248">
        <f>'FASE 1   '!J76</f>
        <v>0.9</v>
      </c>
      <c r="F19" s="248">
        <f>'FASE 1   '!P76</f>
        <v>0</v>
      </c>
      <c r="G19" s="248">
        <f>'FASE 1   '!L76</f>
        <v>0</v>
      </c>
      <c r="H19" s="248">
        <f>'FASE 1   '!S76</f>
        <v>0</v>
      </c>
      <c r="I19" s="248">
        <f>'FASE 1   '!N76</f>
        <v>0</v>
      </c>
      <c r="J19" s="248">
        <f>'FASE 1   '!T76</f>
        <v>0</v>
      </c>
      <c r="K19" s="248" t="e">
        <f>AVERAGE('FASE 2  '!#REF!)</f>
        <v>#REF!</v>
      </c>
      <c r="L19" s="248" t="e">
        <f>AVERAGE('FASE 2  '!#REF!,'FASE 2  '!#REF!)</f>
        <v>#REF!</v>
      </c>
      <c r="M19" s="248" t="e">
        <f>'FASE 4'!#REF!</f>
        <v>#REF!</v>
      </c>
      <c r="N19" s="248" t="e">
        <f>'FASE 2  '!#REF!</f>
        <v>#REF!</v>
      </c>
      <c r="O19" s="248" t="e">
        <f>'FASE 3 '!#REF!</f>
        <v>#REF!</v>
      </c>
      <c r="P19" s="248" t="e">
        <f>'FASE 3 '!#REF!</f>
        <v>#REF!</v>
      </c>
      <c r="Q19" s="248" t="e">
        <f>AVERAGE('FASE 3 '!#REF!,'FASE 3 '!#REF!,'FASE 3 '!#REF!,'FASE 3 '!#REF!)</f>
        <v>#REF!</v>
      </c>
      <c r="R19" s="248" t="e">
        <f>AVERAGE('FASE 3 '!#REF!,'FASE 3 '!#REF!,'FASE 3 '!#REF!)</f>
        <v>#REF!</v>
      </c>
      <c r="S19" s="248" t="e">
        <f>'FASE 3 '!#REF!</f>
        <v>#REF!</v>
      </c>
      <c r="T19" s="248" t="e">
        <f>'FASE 3 '!#REF!</f>
        <v>#REF!</v>
      </c>
      <c r="U19" s="248" t="e">
        <f>'FASE 4'!#REF!</f>
        <v>#REF!</v>
      </c>
      <c r="V19" s="251" t="e">
        <f t="shared" si="0"/>
        <v>#REF!</v>
      </c>
    </row>
    <row r="20" spans="2:23" ht="15.75">
      <c r="B20" s="242">
        <v>215</v>
      </c>
      <c r="C20" s="247" t="e">
        <f>'FASE 1   '!#REF!</f>
        <v>#REF!</v>
      </c>
      <c r="D20" s="248" t="e">
        <f>'FASE 1   '!#REF!</f>
        <v>#REF!</v>
      </c>
      <c r="E20" s="248" t="e">
        <f>'FASE 1   '!#REF!</f>
        <v>#REF!</v>
      </c>
      <c r="F20" s="248" t="e">
        <f>'FASE 1   '!#REF!</f>
        <v>#REF!</v>
      </c>
      <c r="G20" s="248" t="e">
        <f>'FASE 1   '!#REF!</f>
        <v>#REF!</v>
      </c>
      <c r="H20" s="248" t="e">
        <f>'FASE 1   '!#REF!</f>
        <v>#REF!</v>
      </c>
      <c r="I20" s="248" t="e">
        <f>'FASE 1   '!#REF!</f>
        <v>#REF!</v>
      </c>
      <c r="J20" s="248" t="e">
        <f>'FASE 1   '!#REF!</f>
        <v>#REF!</v>
      </c>
      <c r="K20" s="248" t="e">
        <f>AVERAGE('FASE 2  '!#REF!)</f>
        <v>#REF!</v>
      </c>
      <c r="L20" s="248" t="e">
        <f>AVERAGE('FASE 2  '!#REF!,'FASE 2  '!#REF!)</f>
        <v>#REF!</v>
      </c>
      <c r="M20" s="248" t="e">
        <f>'FASE 4'!#REF!</f>
        <v>#REF!</v>
      </c>
      <c r="N20" s="248" t="e">
        <f>'FASE 2  '!#REF!</f>
        <v>#REF!</v>
      </c>
      <c r="O20" s="248" t="e">
        <f>'FASE 3 '!#REF!</f>
        <v>#REF!</v>
      </c>
      <c r="P20" s="248" t="e">
        <f>'FASE 3 '!#REF!</f>
        <v>#REF!</v>
      </c>
      <c r="Q20" s="248" t="e">
        <f>AVERAGE('FASE 3 '!#REF!,'FASE 3 '!#REF!,'FASE 3 '!#REF!,'FASE 3 '!#REF!)</f>
        <v>#REF!</v>
      </c>
      <c r="R20" s="248" t="e">
        <f>AVERAGE('FASE 3 '!#REF!,'FASE 3 '!#REF!,'FASE 3 '!#REF!)</f>
        <v>#REF!</v>
      </c>
      <c r="S20" s="248" t="e">
        <f>'FASE 3 '!#REF!</f>
        <v>#REF!</v>
      </c>
      <c r="T20" s="248" t="e">
        <f>'FASE 3 '!#REF!</f>
        <v>#REF!</v>
      </c>
      <c r="U20" s="248" t="e">
        <f>'FASE 4'!#REF!</f>
        <v>#REF!</v>
      </c>
      <c r="V20" s="251" t="e">
        <f t="shared" si="0"/>
        <v>#REF!</v>
      </c>
    </row>
    <row r="21" spans="2:23" ht="15.75">
      <c r="B21" s="242">
        <v>216</v>
      </c>
      <c r="C21" s="247" t="e">
        <f>'FASE 1   '!#REF!</f>
        <v>#REF!</v>
      </c>
      <c r="D21" s="248" t="e">
        <f>'FASE 1   '!#REF!</f>
        <v>#REF!</v>
      </c>
      <c r="E21" s="248" t="e">
        <f>'FASE 1   '!#REF!</f>
        <v>#REF!</v>
      </c>
      <c r="F21" s="248" t="e">
        <f>'FASE 1   '!#REF!</f>
        <v>#REF!</v>
      </c>
      <c r="G21" s="248" t="e">
        <f>'FASE 1   '!#REF!</f>
        <v>#REF!</v>
      </c>
      <c r="H21" s="248" t="e">
        <f>'FASE 1   '!#REF!</f>
        <v>#REF!</v>
      </c>
      <c r="I21" s="248" t="e">
        <f>'FASE 1   '!#REF!</f>
        <v>#REF!</v>
      </c>
      <c r="J21" s="248" t="e">
        <f>'FASE 1   '!#REF!</f>
        <v>#REF!</v>
      </c>
      <c r="K21" s="248" t="e">
        <f>AVERAGE('FASE 2  '!#REF!)</f>
        <v>#REF!</v>
      </c>
      <c r="L21" s="248" t="e">
        <f>AVERAGE('FASE 2  '!#REF!,'FASE 2  '!#REF!)</f>
        <v>#REF!</v>
      </c>
      <c r="M21" s="248" t="e">
        <f>'FASE 4'!#REF!</f>
        <v>#REF!</v>
      </c>
      <c r="N21" s="248" t="e">
        <f>'FASE 2  '!#REF!</f>
        <v>#REF!</v>
      </c>
      <c r="O21" s="248" t="e">
        <f>'FASE 3 '!#REF!</f>
        <v>#REF!</v>
      </c>
      <c r="P21" s="248" t="e">
        <f>'FASE 3 '!#REF!</f>
        <v>#REF!</v>
      </c>
      <c r="Q21" s="248" t="e">
        <f>AVERAGE('FASE 3 '!#REF!,'FASE 3 '!#REF!,'FASE 3 '!#REF!,'FASE 3 '!#REF!)</f>
        <v>#REF!</v>
      </c>
      <c r="R21" s="248" t="e">
        <f>AVERAGE('FASE 3 '!#REF!,'FASE 3 '!#REF!,'FASE 3 '!#REF!)</f>
        <v>#REF!</v>
      </c>
      <c r="S21" s="248" t="e">
        <f>'FASE 3 '!#REF!</f>
        <v>#REF!</v>
      </c>
      <c r="T21" s="248" t="e">
        <f>'FASE 3 '!#REF!</f>
        <v>#REF!</v>
      </c>
      <c r="U21" s="248" t="e">
        <f>'FASE 4'!#REF!</f>
        <v>#REF!</v>
      </c>
      <c r="V21" s="251" t="e">
        <f t="shared" si="0"/>
        <v>#REF!</v>
      </c>
    </row>
    <row r="22" spans="2:23" ht="16.5" thickBot="1">
      <c r="B22" s="242">
        <v>217</v>
      </c>
      <c r="C22" s="247" t="e">
        <f>'FASE 1   '!#REF!</f>
        <v>#REF!</v>
      </c>
      <c r="D22" s="248" t="e">
        <f>'FASE 1   '!#REF!</f>
        <v>#REF!</v>
      </c>
      <c r="E22" s="248" t="e">
        <f>'FASE 1   '!#REF!</f>
        <v>#REF!</v>
      </c>
      <c r="F22" s="248" t="e">
        <f>'FASE 1   '!#REF!</f>
        <v>#REF!</v>
      </c>
      <c r="G22" s="248" t="e">
        <f>'FASE 1   '!#REF!</f>
        <v>#REF!</v>
      </c>
      <c r="H22" s="248" t="e">
        <f>'FASE 1   '!#REF!</f>
        <v>#REF!</v>
      </c>
      <c r="I22" s="248" t="e">
        <f>'FASE 1   '!#REF!</f>
        <v>#REF!</v>
      </c>
      <c r="J22" s="248" t="e">
        <f>'FASE 1   '!#REF!</f>
        <v>#REF!</v>
      </c>
      <c r="K22" s="248" t="e">
        <f>AVERAGE('FASE 2  '!#REF!)</f>
        <v>#REF!</v>
      </c>
      <c r="L22" s="248" t="e">
        <f>AVERAGE('FASE 2  '!#REF!,'FASE 2  '!#REF!)</f>
        <v>#REF!</v>
      </c>
      <c r="M22" s="248" t="e">
        <f>'FASE 4'!#REF!</f>
        <v>#REF!</v>
      </c>
      <c r="N22" s="248" t="e">
        <f>'FASE 2  '!#REF!</f>
        <v>#REF!</v>
      </c>
      <c r="O22" s="248" t="e">
        <f>'FASE 3 '!#REF!</f>
        <v>#REF!</v>
      </c>
      <c r="P22" s="248" t="e">
        <f>'FASE 3 '!#REF!</f>
        <v>#REF!</v>
      </c>
      <c r="Q22" s="248" t="e">
        <f>AVERAGE('FASE 3 '!#REF!,'FASE 3 '!#REF!,'FASE 3 '!#REF!,'FASE 3 '!#REF!)</f>
        <v>#REF!</v>
      </c>
      <c r="R22" s="248" t="e">
        <f>AVERAGE('FASE 3 '!#REF!,'FASE 3 '!#REF!,'FASE 3 '!#REF!)</f>
        <v>#REF!</v>
      </c>
      <c r="S22" s="248" t="e">
        <f>'FASE 3 '!#REF!</f>
        <v>#REF!</v>
      </c>
      <c r="T22" s="248" t="e">
        <f>'FASE 3 '!#REF!</f>
        <v>#REF!</v>
      </c>
      <c r="U22" s="248" t="e">
        <f>'FASE 4'!#REF!</f>
        <v>#REF!</v>
      </c>
      <c r="V22" s="254" t="e">
        <f t="shared" si="0"/>
        <v>#REF!</v>
      </c>
    </row>
    <row r="23" spans="2:23" ht="16.5" thickBot="1">
      <c r="B23" s="243" t="s">
        <v>517</v>
      </c>
      <c r="C23" s="251" t="e">
        <f t="shared" ref="C23:U23" si="1">AVERAGE(C6:C22)</f>
        <v>#REF!</v>
      </c>
      <c r="D23" s="251" t="e">
        <f t="shared" si="1"/>
        <v>#REF!</v>
      </c>
      <c r="E23" s="251" t="e">
        <f t="shared" si="1"/>
        <v>#REF!</v>
      </c>
      <c r="F23" s="251" t="e">
        <f t="shared" si="1"/>
        <v>#REF!</v>
      </c>
      <c r="G23" s="251" t="e">
        <f t="shared" si="1"/>
        <v>#REF!</v>
      </c>
      <c r="H23" s="251" t="e">
        <f t="shared" si="1"/>
        <v>#REF!</v>
      </c>
      <c r="I23" s="251" t="e">
        <f t="shared" si="1"/>
        <v>#REF!</v>
      </c>
      <c r="J23" s="251" t="e">
        <f t="shared" si="1"/>
        <v>#REF!</v>
      </c>
      <c r="K23" s="251" t="e">
        <f t="shared" si="1"/>
        <v>#REF!</v>
      </c>
      <c r="L23" s="251" t="e">
        <f t="shared" si="1"/>
        <v>#REF!</v>
      </c>
      <c r="M23" s="251" t="e">
        <f t="shared" si="1"/>
        <v>#REF!</v>
      </c>
      <c r="N23" s="251" t="e">
        <f t="shared" si="1"/>
        <v>#REF!</v>
      </c>
      <c r="O23" s="251" t="e">
        <f t="shared" si="1"/>
        <v>#REF!</v>
      </c>
      <c r="P23" s="251" t="e">
        <f t="shared" si="1"/>
        <v>#REF!</v>
      </c>
      <c r="Q23" s="251" t="e">
        <f t="shared" si="1"/>
        <v>#REF!</v>
      </c>
      <c r="R23" s="251" t="e">
        <f t="shared" si="1"/>
        <v>#REF!</v>
      </c>
      <c r="S23" s="251" t="e">
        <f t="shared" si="1"/>
        <v>#REF!</v>
      </c>
      <c r="T23" s="251" t="e">
        <f t="shared" si="1"/>
        <v>#REF!</v>
      </c>
      <c r="U23" s="253" t="e">
        <f t="shared" si="1"/>
        <v>#REF!</v>
      </c>
      <c r="V23" s="256" t="e">
        <f>AVERAGE(C23:U23)</f>
        <v>#REF!</v>
      </c>
      <c r="W23" s="2"/>
    </row>
    <row r="24" spans="2:23" ht="15.75">
      <c r="B24" s="242">
        <v>301</v>
      </c>
      <c r="C24" s="247">
        <f>'FASE 1   '!E80</f>
        <v>0</v>
      </c>
      <c r="D24" s="248">
        <f>'FASE 1   '!K80</f>
        <v>0</v>
      </c>
      <c r="E24" s="248">
        <f>'FASE 1   '!J80</f>
        <v>0</v>
      </c>
      <c r="F24" s="248">
        <f>'FASE 1   '!P80</f>
        <v>0</v>
      </c>
      <c r="G24" s="248">
        <f>'FASE 1   '!L80</f>
        <v>0</v>
      </c>
      <c r="H24" s="248">
        <f>'FASE 1   '!S80</f>
        <v>0</v>
      </c>
      <c r="I24" s="248">
        <f>'FASE 1   '!N80</f>
        <v>0</v>
      </c>
      <c r="J24" s="248">
        <f>'FASE 1   '!T80</f>
        <v>0</v>
      </c>
      <c r="K24" s="248">
        <f>AVERAGE('FASE 2  '!F80:G113)</f>
        <v>0</v>
      </c>
      <c r="L24" s="248">
        <f>AVERAGE('FASE 2  '!M80:N80,'FASE 2  '!Q80)</f>
        <v>0</v>
      </c>
      <c r="M24" s="248">
        <f>'FASE 4'!J80</f>
        <v>0</v>
      </c>
      <c r="N24" s="248">
        <f>'FASE 2  '!L80</f>
        <v>0</v>
      </c>
      <c r="O24" s="248">
        <f>'FASE 3 '!N80</f>
        <v>0</v>
      </c>
      <c r="P24" s="248">
        <f>'FASE 3 '!L80</f>
        <v>0</v>
      </c>
      <c r="Q24" s="248">
        <f>AVERAGE('FASE 3 '!O80,'FASE 3 '!P80,'FASE 3 '!Q80,'FASE 3 '!R80)</f>
        <v>0</v>
      </c>
      <c r="R24" s="248">
        <f>AVERAGE('FASE 3 '!T80,'FASE 3 '!U80,'FASE 3 '!S80)</f>
        <v>0</v>
      </c>
      <c r="S24" s="248">
        <f>'FASE 3 '!W80</f>
        <v>0</v>
      </c>
      <c r="T24" s="248">
        <f>'FASE 3 '!V80</f>
        <v>0</v>
      </c>
      <c r="U24" s="248">
        <f>'FASE 4'!F80</f>
        <v>0</v>
      </c>
      <c r="V24" s="255">
        <f t="shared" si="0"/>
        <v>0</v>
      </c>
    </row>
    <row r="25" spans="2:23" ht="15.75">
      <c r="B25" s="242">
        <v>302</v>
      </c>
      <c r="C25" s="247">
        <f>'FASE 1   '!E81</f>
        <v>0</v>
      </c>
      <c r="D25" s="248">
        <f>'FASE 1   '!K81</f>
        <v>0</v>
      </c>
      <c r="E25" s="248">
        <f>'FASE 1   '!J81</f>
        <v>0</v>
      </c>
      <c r="F25" s="248">
        <f>'FASE 1   '!P81</f>
        <v>0</v>
      </c>
      <c r="G25" s="248">
        <f>'FASE 1   '!L81</f>
        <v>0</v>
      </c>
      <c r="H25" s="248">
        <f>'FASE 1   '!S81</f>
        <v>0</v>
      </c>
      <c r="I25" s="248">
        <f>'FASE 1   '!N81</f>
        <v>0</v>
      </c>
      <c r="J25" s="248">
        <f>'FASE 1   '!T81</f>
        <v>0</v>
      </c>
      <c r="K25" s="248">
        <f>AVERAGE('FASE 2  '!F111:G114)</f>
        <v>0</v>
      </c>
      <c r="L25" s="248">
        <f>AVERAGE('FASE 2  '!M111:N111,'FASE 2  '!Q111)</f>
        <v>0</v>
      </c>
      <c r="M25" s="248">
        <f>'FASE 4'!J111</f>
        <v>0</v>
      </c>
      <c r="N25" s="248">
        <f>'FASE 2  '!L111</f>
        <v>0</v>
      </c>
      <c r="O25" s="248">
        <f>'FASE 3 '!N111</f>
        <v>0</v>
      </c>
      <c r="P25" s="248">
        <f>'FASE 3 '!L111</f>
        <v>0</v>
      </c>
      <c r="Q25" s="248">
        <f>AVERAGE('FASE 3 '!O111,'FASE 3 '!P111,'FASE 3 '!Q111,'FASE 3 '!R111)</f>
        <v>0</v>
      </c>
      <c r="R25" s="248">
        <f>AVERAGE('FASE 3 '!T111,'FASE 3 '!U111,'FASE 3 '!S111)</f>
        <v>0</v>
      </c>
      <c r="S25" s="248">
        <f>'FASE 3 '!W111</f>
        <v>0</v>
      </c>
      <c r="T25" s="248">
        <f>'FASE 3 '!V111</f>
        <v>0</v>
      </c>
      <c r="U25" s="248">
        <f>'FASE 4'!F111</f>
        <v>0</v>
      </c>
      <c r="V25" s="251">
        <f t="shared" si="0"/>
        <v>0</v>
      </c>
    </row>
    <row r="26" spans="2:23" ht="15.75">
      <c r="B26" s="242">
        <v>303</v>
      </c>
      <c r="C26" s="247">
        <f>'FASE 1   '!E82</f>
        <v>0</v>
      </c>
      <c r="D26" s="248">
        <f>'FASE 1   '!K82</f>
        <v>0</v>
      </c>
      <c r="E26" s="248">
        <f>'FASE 1   '!J82</f>
        <v>0</v>
      </c>
      <c r="F26" s="248">
        <f>'FASE 1   '!P82</f>
        <v>0</v>
      </c>
      <c r="G26" s="248">
        <f>'FASE 1   '!L82</f>
        <v>0</v>
      </c>
      <c r="H26" s="248">
        <f>'FASE 1   '!S82</f>
        <v>0</v>
      </c>
      <c r="I26" s="248">
        <f>'FASE 1   '!N82</f>
        <v>0</v>
      </c>
      <c r="J26" s="248">
        <f>'FASE 1   '!T82</f>
        <v>0</v>
      </c>
      <c r="K26" s="248">
        <f>AVERAGE('FASE 2  '!F112:G115)</f>
        <v>0</v>
      </c>
      <c r="L26" s="248">
        <f>AVERAGE('FASE 2  '!M112:N112,'FASE 2  '!Q112)</f>
        <v>0</v>
      </c>
      <c r="M26" s="248">
        <f>'FASE 4'!J112</f>
        <v>0</v>
      </c>
      <c r="N26" s="248">
        <f>'FASE 2  '!L112</f>
        <v>0</v>
      </c>
      <c r="O26" s="248">
        <f>'FASE 3 '!N112</f>
        <v>0</v>
      </c>
      <c r="P26" s="248">
        <f>'FASE 3 '!L112</f>
        <v>0</v>
      </c>
      <c r="Q26" s="248">
        <f>AVERAGE('FASE 3 '!O112,'FASE 3 '!P112,'FASE 3 '!Q112,'FASE 3 '!R112)</f>
        <v>0</v>
      </c>
      <c r="R26" s="248">
        <f>AVERAGE('FASE 3 '!T112,'FASE 3 '!U112,'FASE 3 '!S112)</f>
        <v>0</v>
      </c>
      <c r="S26" s="248">
        <f>'FASE 3 '!W112</f>
        <v>0</v>
      </c>
      <c r="T26" s="248">
        <f>'FASE 3 '!V112</f>
        <v>0</v>
      </c>
      <c r="U26" s="248">
        <f>'FASE 4'!F112</f>
        <v>0</v>
      </c>
      <c r="V26" s="251">
        <f t="shared" si="0"/>
        <v>0</v>
      </c>
    </row>
    <row r="27" spans="2:23" ht="15.75">
      <c r="B27" s="242">
        <v>304</v>
      </c>
      <c r="C27" s="247">
        <f>'FASE 1   '!E83</f>
        <v>0</v>
      </c>
      <c r="D27" s="248">
        <f>'FASE 1   '!K83</f>
        <v>0</v>
      </c>
      <c r="E27" s="248">
        <f>'FASE 1   '!J83</f>
        <v>0</v>
      </c>
      <c r="F27" s="248">
        <f>'FASE 1   '!P83</f>
        <v>0</v>
      </c>
      <c r="G27" s="248">
        <f>'FASE 1   '!L83</f>
        <v>0</v>
      </c>
      <c r="H27" s="248">
        <f>'FASE 1   '!S83</f>
        <v>0</v>
      </c>
      <c r="I27" s="248">
        <f>'FASE 1   '!N83</f>
        <v>0</v>
      </c>
      <c r="J27" s="248">
        <f>'FASE 1   '!T83</f>
        <v>0</v>
      </c>
      <c r="K27" s="248">
        <f>AVERAGE('FASE 2  '!F113:G116)</f>
        <v>0</v>
      </c>
      <c r="L27" s="248">
        <f>AVERAGE('FASE 2  '!M113:N113,'FASE 2  '!Q113)</f>
        <v>0</v>
      </c>
      <c r="M27" s="248">
        <f>'FASE 4'!J113</f>
        <v>0</v>
      </c>
      <c r="N27" s="248">
        <f>'FASE 2  '!L113</f>
        <v>0</v>
      </c>
      <c r="O27" s="248">
        <f>'FASE 3 '!N113</f>
        <v>0</v>
      </c>
      <c r="P27" s="248">
        <f>'FASE 3 '!L113</f>
        <v>0</v>
      </c>
      <c r="Q27" s="248">
        <f>AVERAGE('FASE 3 '!O113,'FASE 3 '!P113,'FASE 3 '!Q113,'FASE 3 '!R113)</f>
        <v>0</v>
      </c>
      <c r="R27" s="248">
        <f>AVERAGE('FASE 3 '!T113,'FASE 3 '!U113,'FASE 3 '!S113)</f>
        <v>0</v>
      </c>
      <c r="S27" s="248">
        <f>'FASE 3 '!W113</f>
        <v>0</v>
      </c>
      <c r="T27" s="248">
        <f>'FASE 3 '!V113</f>
        <v>0</v>
      </c>
      <c r="U27" s="248">
        <f>'FASE 4'!F113</f>
        <v>0</v>
      </c>
      <c r="V27" s="251">
        <f t="shared" si="0"/>
        <v>0</v>
      </c>
    </row>
    <row r="28" spans="2:23" ht="15.75">
      <c r="B28" s="242">
        <v>305</v>
      </c>
      <c r="C28" s="247">
        <f>'FASE 1   '!E106</f>
        <v>1</v>
      </c>
      <c r="D28" s="248">
        <f>'FASE 1   '!K106</f>
        <v>0</v>
      </c>
      <c r="E28" s="248">
        <f>'FASE 1   '!J106</f>
        <v>1</v>
      </c>
      <c r="F28" s="248">
        <f>'FASE 1   '!P106</f>
        <v>0</v>
      </c>
      <c r="G28" s="248">
        <f>'FASE 1   '!L106</f>
        <v>0</v>
      </c>
      <c r="H28" s="248">
        <f>'FASE 1   '!S106</f>
        <v>0</v>
      </c>
      <c r="I28" s="248">
        <f>'FASE 1   '!N106</f>
        <v>0</v>
      </c>
      <c r="J28" s="248">
        <f>'FASE 1   '!T106</f>
        <v>0</v>
      </c>
      <c r="K28" s="248">
        <f>AVERAGE('FASE 2  '!F114:G117)</f>
        <v>0</v>
      </c>
      <c r="L28" s="248">
        <f>AVERAGE('FASE 2  '!M114:N114,'FASE 2  '!Q114)</f>
        <v>0</v>
      </c>
      <c r="M28" s="248">
        <f>'FASE 4'!J114</f>
        <v>0</v>
      </c>
      <c r="N28" s="248">
        <f>'FASE 2  '!L114</f>
        <v>0</v>
      </c>
      <c r="O28" s="248">
        <f>'FASE 3 '!N114</f>
        <v>0</v>
      </c>
      <c r="P28" s="248">
        <f>'FASE 3 '!L114</f>
        <v>0</v>
      </c>
      <c r="Q28" s="248">
        <f>AVERAGE('FASE 3 '!O114,'FASE 3 '!P114,'FASE 3 '!Q114,'FASE 3 '!R114)</f>
        <v>0</v>
      </c>
      <c r="R28" s="248">
        <f>AVERAGE('FASE 3 '!T114,'FASE 3 '!U114,'FASE 3 '!S114)</f>
        <v>0</v>
      </c>
      <c r="S28" s="248">
        <f>'FASE 3 '!W114</f>
        <v>0</v>
      </c>
      <c r="T28" s="248">
        <f>'FASE 3 '!V114</f>
        <v>0</v>
      </c>
      <c r="U28" s="248">
        <f>'FASE 4'!F114</f>
        <v>0</v>
      </c>
      <c r="V28" s="251">
        <f t="shared" si="0"/>
        <v>0.10526315789473684</v>
      </c>
    </row>
    <row r="29" spans="2:23" ht="15.75">
      <c r="B29" s="242">
        <v>306</v>
      </c>
      <c r="C29" s="247">
        <f>'FASE 1   '!E112</f>
        <v>0</v>
      </c>
      <c r="D29" s="248">
        <f>'FASE 1   '!K112</f>
        <v>0</v>
      </c>
      <c r="E29" s="248">
        <f>'FASE 1   '!J112</f>
        <v>0</v>
      </c>
      <c r="F29" s="248">
        <f>'FASE 1   '!P112</f>
        <v>0</v>
      </c>
      <c r="G29" s="248">
        <f>'FASE 1   '!L112</f>
        <v>0</v>
      </c>
      <c r="H29" s="248">
        <f>'FASE 1   '!S112</f>
        <v>0</v>
      </c>
      <c r="I29" s="248">
        <f>'FASE 1   '!N112</f>
        <v>0</v>
      </c>
      <c r="J29" s="248">
        <f>'FASE 1   '!T112</f>
        <v>0</v>
      </c>
      <c r="K29" s="248">
        <f>AVERAGE('FASE 2  '!F115:G118)</f>
        <v>0</v>
      </c>
      <c r="L29" s="248">
        <f>AVERAGE('FASE 2  '!M115:N115,'FASE 2  '!Q115)</f>
        <v>0</v>
      </c>
      <c r="M29" s="248">
        <f>'FASE 4'!J115</f>
        <v>0</v>
      </c>
      <c r="N29" s="248">
        <f>'FASE 2  '!L115</f>
        <v>0</v>
      </c>
      <c r="O29" s="248">
        <f>'FASE 3 '!N115</f>
        <v>0</v>
      </c>
      <c r="P29" s="248">
        <f>'FASE 3 '!L115</f>
        <v>0</v>
      </c>
      <c r="Q29" s="248">
        <f>AVERAGE('FASE 3 '!O115,'FASE 3 '!P115,'FASE 3 '!Q115,'FASE 3 '!R115)</f>
        <v>0</v>
      </c>
      <c r="R29" s="248">
        <f>AVERAGE('FASE 3 '!T115,'FASE 3 '!U115,'FASE 3 '!S115)</f>
        <v>0</v>
      </c>
      <c r="S29" s="248">
        <f>'FASE 3 '!W115</f>
        <v>0</v>
      </c>
      <c r="T29" s="248">
        <f>'FASE 3 '!V115</f>
        <v>0</v>
      </c>
      <c r="U29" s="248">
        <f>'FASE 4'!F115</f>
        <v>0</v>
      </c>
      <c r="V29" s="251">
        <f t="shared" si="0"/>
        <v>0</v>
      </c>
    </row>
    <row r="30" spans="2:23" ht="15.75">
      <c r="B30" s="242">
        <v>307</v>
      </c>
      <c r="C30" s="247">
        <f>'FASE 1   '!E113</f>
        <v>0</v>
      </c>
      <c r="D30" s="248">
        <f>'FASE 1   '!K113</f>
        <v>0</v>
      </c>
      <c r="E30" s="248">
        <f>'FASE 1   '!J113</f>
        <v>0</v>
      </c>
      <c r="F30" s="248">
        <f>'FASE 1   '!P113</f>
        <v>0</v>
      </c>
      <c r="G30" s="248">
        <f>'FASE 1   '!L113</f>
        <v>0</v>
      </c>
      <c r="H30" s="248">
        <f>'FASE 1   '!S113</f>
        <v>0</v>
      </c>
      <c r="I30" s="248">
        <f>'FASE 1   '!N113</f>
        <v>0</v>
      </c>
      <c r="J30" s="248">
        <f>'FASE 1   '!T113</f>
        <v>0</v>
      </c>
      <c r="K30" s="248">
        <f>AVERAGE('FASE 2  '!F116:G119)</f>
        <v>0</v>
      </c>
      <c r="L30" s="248">
        <f>AVERAGE('FASE 2  '!M116:N116,'FASE 2  '!Q116)</f>
        <v>0</v>
      </c>
      <c r="M30" s="248">
        <f>'FASE 4'!J116</f>
        <v>0</v>
      </c>
      <c r="N30" s="248">
        <f>'FASE 2  '!L116</f>
        <v>0</v>
      </c>
      <c r="O30" s="248">
        <f>'FASE 3 '!N116</f>
        <v>0</v>
      </c>
      <c r="P30" s="248">
        <f>'FASE 3 '!L116</f>
        <v>0</v>
      </c>
      <c r="Q30" s="248">
        <f>AVERAGE('FASE 3 '!O116,'FASE 3 '!P116,'FASE 3 '!Q116,'FASE 3 '!R116)</f>
        <v>0</v>
      </c>
      <c r="R30" s="248">
        <f>AVERAGE('FASE 3 '!T116,'FASE 3 '!U116,'FASE 3 '!S116)</f>
        <v>0</v>
      </c>
      <c r="S30" s="248">
        <f>'FASE 3 '!W116</f>
        <v>0</v>
      </c>
      <c r="T30" s="248">
        <f>'FASE 3 '!V116</f>
        <v>0</v>
      </c>
      <c r="U30" s="248">
        <f>'FASE 4'!F116</f>
        <v>0</v>
      </c>
      <c r="V30" s="251">
        <f t="shared" si="0"/>
        <v>0</v>
      </c>
    </row>
    <row r="31" spans="2:23" ht="15.75">
      <c r="B31" s="242">
        <v>308</v>
      </c>
      <c r="C31" s="247">
        <f>'FASE 1   '!E114</f>
        <v>0</v>
      </c>
      <c r="D31" s="248">
        <f>'FASE 1   '!K114</f>
        <v>0</v>
      </c>
      <c r="E31" s="248">
        <f>'FASE 1   '!J114</f>
        <v>0</v>
      </c>
      <c r="F31" s="248">
        <f>'FASE 1   '!P114</f>
        <v>0</v>
      </c>
      <c r="G31" s="248">
        <f>'FASE 1   '!L114</f>
        <v>0</v>
      </c>
      <c r="H31" s="248">
        <f>'FASE 1   '!S114</f>
        <v>0</v>
      </c>
      <c r="I31" s="248">
        <f>'FASE 1   '!N114</f>
        <v>0</v>
      </c>
      <c r="J31" s="248">
        <f>'FASE 1   '!T114</f>
        <v>0</v>
      </c>
      <c r="K31" s="248">
        <f>AVERAGE('FASE 2  '!F117:G120)</f>
        <v>0</v>
      </c>
      <c r="L31" s="248">
        <f>AVERAGE('FASE 2  '!M117:N117,'FASE 2  '!Q117)</f>
        <v>0</v>
      </c>
      <c r="M31" s="248">
        <f>'FASE 4'!J117</f>
        <v>0</v>
      </c>
      <c r="N31" s="248">
        <f>'FASE 2  '!L117</f>
        <v>0</v>
      </c>
      <c r="O31" s="248">
        <f>'FASE 3 '!N117</f>
        <v>0</v>
      </c>
      <c r="P31" s="248">
        <f>'FASE 3 '!L117</f>
        <v>0</v>
      </c>
      <c r="Q31" s="248">
        <f>AVERAGE('FASE 3 '!O117,'FASE 3 '!P117,'FASE 3 '!Q117,'FASE 3 '!R117)</f>
        <v>0</v>
      </c>
      <c r="R31" s="248">
        <f>AVERAGE('FASE 3 '!T117,'FASE 3 '!U117,'FASE 3 '!S117)</f>
        <v>0</v>
      </c>
      <c r="S31" s="248">
        <f>'FASE 3 '!W117</f>
        <v>0</v>
      </c>
      <c r="T31" s="248">
        <f>'FASE 3 '!V117</f>
        <v>0</v>
      </c>
      <c r="U31" s="248">
        <f>'FASE 4'!F117</f>
        <v>0</v>
      </c>
      <c r="V31" s="251">
        <f t="shared" si="0"/>
        <v>0</v>
      </c>
    </row>
    <row r="32" spans="2:23" ht="15.75">
      <c r="B32" s="242">
        <v>309</v>
      </c>
      <c r="C32" s="247">
        <f>'FASE 1   '!E115</f>
        <v>0</v>
      </c>
      <c r="D32" s="248">
        <f>'FASE 1   '!K115</f>
        <v>0</v>
      </c>
      <c r="E32" s="248">
        <f>'FASE 1   '!J115</f>
        <v>0</v>
      </c>
      <c r="F32" s="248">
        <f>'FASE 1   '!P115</f>
        <v>0</v>
      </c>
      <c r="G32" s="248">
        <f>'FASE 1   '!L115</f>
        <v>0</v>
      </c>
      <c r="H32" s="248">
        <f>'FASE 1   '!S115</f>
        <v>0</v>
      </c>
      <c r="I32" s="248">
        <f>'FASE 1   '!N115</f>
        <v>0</v>
      </c>
      <c r="J32" s="248">
        <f>'FASE 1   '!T115</f>
        <v>0</v>
      </c>
      <c r="K32" s="248">
        <f>AVERAGE('FASE 2  '!F118:G121)</f>
        <v>0</v>
      </c>
      <c r="L32" s="248">
        <f>AVERAGE('FASE 2  '!M118:N118,'FASE 2  '!Q118)</f>
        <v>0</v>
      </c>
      <c r="M32" s="248">
        <f>'FASE 4'!J118</f>
        <v>0</v>
      </c>
      <c r="N32" s="248">
        <f>'FASE 2  '!L118</f>
        <v>0</v>
      </c>
      <c r="O32" s="248">
        <f>'FASE 3 '!N118</f>
        <v>0</v>
      </c>
      <c r="P32" s="248">
        <f>'FASE 3 '!L118</f>
        <v>0</v>
      </c>
      <c r="Q32" s="248">
        <f>AVERAGE('FASE 3 '!O118,'FASE 3 '!P118,'FASE 3 '!Q118,'FASE 3 '!R118)</f>
        <v>0</v>
      </c>
      <c r="R32" s="248">
        <f>AVERAGE('FASE 3 '!T118,'FASE 3 '!U118,'FASE 3 '!S118)</f>
        <v>0</v>
      </c>
      <c r="S32" s="248">
        <f>'FASE 3 '!W118</f>
        <v>0</v>
      </c>
      <c r="T32" s="248">
        <f>'FASE 3 '!V118</f>
        <v>0</v>
      </c>
      <c r="U32" s="248">
        <f>'FASE 4'!F118</f>
        <v>0</v>
      </c>
      <c r="V32" s="251">
        <f t="shared" si="0"/>
        <v>0</v>
      </c>
    </row>
    <row r="33" spans="2:23" ht="15.75">
      <c r="B33" s="242">
        <v>310</v>
      </c>
      <c r="C33" s="247">
        <f>'FASE 1   '!E116</f>
        <v>0</v>
      </c>
      <c r="D33" s="248">
        <f>'FASE 1   '!K116</f>
        <v>0</v>
      </c>
      <c r="E33" s="248">
        <f>'FASE 1   '!J116</f>
        <v>0</v>
      </c>
      <c r="F33" s="248">
        <f>'FASE 1   '!P116</f>
        <v>0</v>
      </c>
      <c r="G33" s="248">
        <f>'FASE 1   '!L116</f>
        <v>0</v>
      </c>
      <c r="H33" s="248">
        <f>'FASE 1   '!S116</f>
        <v>0</v>
      </c>
      <c r="I33" s="248">
        <f>'FASE 1   '!N116</f>
        <v>0</v>
      </c>
      <c r="J33" s="248">
        <f>'FASE 1   '!T116</f>
        <v>0</v>
      </c>
      <c r="K33" s="248">
        <f>AVERAGE('FASE 2  '!F119:G122)</f>
        <v>0</v>
      </c>
      <c r="L33" s="248">
        <f>AVERAGE('FASE 2  '!M119:N119,'FASE 2  '!Q119)</f>
        <v>0</v>
      </c>
      <c r="M33" s="248">
        <f>'FASE 4'!J119</f>
        <v>0</v>
      </c>
      <c r="N33" s="248">
        <f>'FASE 2  '!L119</f>
        <v>0</v>
      </c>
      <c r="O33" s="248">
        <f>'FASE 3 '!N119</f>
        <v>0</v>
      </c>
      <c r="P33" s="248">
        <f>'FASE 3 '!L119</f>
        <v>0</v>
      </c>
      <c r="Q33" s="248">
        <f>AVERAGE('FASE 3 '!O119,'FASE 3 '!P119,'FASE 3 '!Q119,'FASE 3 '!R119)</f>
        <v>0</v>
      </c>
      <c r="R33" s="248">
        <f>AVERAGE('FASE 3 '!T119,'FASE 3 '!U119,'FASE 3 '!S119)</f>
        <v>0</v>
      </c>
      <c r="S33" s="248">
        <f>'FASE 3 '!W119</f>
        <v>0</v>
      </c>
      <c r="T33" s="248">
        <f>'FASE 3 '!V119</f>
        <v>0</v>
      </c>
      <c r="U33" s="248">
        <f>'FASE 4'!F119</f>
        <v>0</v>
      </c>
      <c r="V33" s="251">
        <f t="shared" si="0"/>
        <v>0</v>
      </c>
    </row>
    <row r="34" spans="2:23" ht="15.75">
      <c r="B34" s="242">
        <v>311</v>
      </c>
      <c r="C34" s="247">
        <f>'FASE 1   '!E117</f>
        <v>0</v>
      </c>
      <c r="D34" s="248">
        <f>'FASE 1   '!K117</f>
        <v>0</v>
      </c>
      <c r="E34" s="248">
        <f>'FASE 1   '!J117</f>
        <v>0</v>
      </c>
      <c r="F34" s="248">
        <f>'FASE 1   '!P117</f>
        <v>0</v>
      </c>
      <c r="G34" s="248">
        <f>'FASE 1   '!L117</f>
        <v>0</v>
      </c>
      <c r="H34" s="248">
        <f>'FASE 1   '!S117</f>
        <v>0</v>
      </c>
      <c r="I34" s="248">
        <f>'FASE 1   '!N117</f>
        <v>0</v>
      </c>
      <c r="J34" s="248">
        <f>'FASE 1   '!T117</f>
        <v>0</v>
      </c>
      <c r="K34" s="248">
        <f>AVERAGE('FASE 2  '!F120:G123)</f>
        <v>0</v>
      </c>
      <c r="L34" s="248">
        <f>AVERAGE('FASE 2  '!M120:N120,'FASE 2  '!Q120)</f>
        <v>0</v>
      </c>
      <c r="M34" s="248">
        <f>'FASE 4'!J120</f>
        <v>0</v>
      </c>
      <c r="N34" s="248">
        <f>'FASE 2  '!L120</f>
        <v>0</v>
      </c>
      <c r="O34" s="248">
        <f>'FASE 3 '!N120</f>
        <v>0</v>
      </c>
      <c r="P34" s="248">
        <f>'FASE 3 '!L120</f>
        <v>0</v>
      </c>
      <c r="Q34" s="248">
        <f>AVERAGE('FASE 3 '!O120,'FASE 3 '!P120,'FASE 3 '!Q120,'FASE 3 '!R120)</f>
        <v>0</v>
      </c>
      <c r="R34" s="248">
        <f>AVERAGE('FASE 3 '!T120,'FASE 3 '!U120,'FASE 3 '!S120)</f>
        <v>0</v>
      </c>
      <c r="S34" s="248">
        <f>'FASE 3 '!W120</f>
        <v>0</v>
      </c>
      <c r="T34" s="248">
        <f>'FASE 3 '!V120</f>
        <v>0</v>
      </c>
      <c r="U34" s="248">
        <f>'FASE 4'!F120</f>
        <v>0</v>
      </c>
      <c r="V34" s="251">
        <f t="shared" si="0"/>
        <v>0</v>
      </c>
    </row>
    <row r="35" spans="2:23" ht="15.75">
      <c r="B35" s="242">
        <v>312</v>
      </c>
      <c r="C35" s="247">
        <f>'FASE 1   '!E118</f>
        <v>0</v>
      </c>
      <c r="D35" s="248">
        <f>'FASE 1   '!K118</f>
        <v>0</v>
      </c>
      <c r="E35" s="248">
        <f>'FASE 1   '!J118</f>
        <v>0</v>
      </c>
      <c r="F35" s="248">
        <f>'FASE 1   '!P118</f>
        <v>0</v>
      </c>
      <c r="G35" s="248">
        <f>'FASE 1   '!L118</f>
        <v>0</v>
      </c>
      <c r="H35" s="248">
        <f>'FASE 1   '!S118</f>
        <v>0</v>
      </c>
      <c r="I35" s="248">
        <f>'FASE 1   '!N118</f>
        <v>0</v>
      </c>
      <c r="J35" s="248">
        <f>'FASE 1   '!T118</f>
        <v>0</v>
      </c>
      <c r="K35" s="248">
        <f>AVERAGE('FASE 2  '!F121:G123)</f>
        <v>0</v>
      </c>
      <c r="L35" s="248">
        <f>AVERAGE('FASE 2  '!M121:N121,'FASE 2  '!Q121)</f>
        <v>0</v>
      </c>
      <c r="M35" s="248">
        <f>'FASE 4'!J121</f>
        <v>0</v>
      </c>
      <c r="N35" s="248">
        <f>'FASE 2  '!L121</f>
        <v>0</v>
      </c>
      <c r="O35" s="248">
        <f>'FASE 3 '!N121</f>
        <v>0</v>
      </c>
      <c r="P35" s="248">
        <f>'FASE 3 '!L121</f>
        <v>0</v>
      </c>
      <c r="Q35" s="248">
        <f>AVERAGE('FASE 3 '!O121,'FASE 3 '!P121,'FASE 3 '!Q121,'FASE 3 '!R121)</f>
        <v>0</v>
      </c>
      <c r="R35" s="248">
        <f>AVERAGE('FASE 3 '!T121,'FASE 3 '!U121,'FASE 3 '!S121)</f>
        <v>0</v>
      </c>
      <c r="S35" s="248">
        <f>'FASE 3 '!W121</f>
        <v>0</v>
      </c>
      <c r="T35" s="248">
        <f>'FASE 3 '!V121</f>
        <v>0</v>
      </c>
      <c r="U35" s="248">
        <f>'FASE 4'!F121</f>
        <v>0</v>
      </c>
      <c r="V35" s="251">
        <f t="shared" si="0"/>
        <v>0</v>
      </c>
    </row>
    <row r="36" spans="2:23" ht="15.75">
      <c r="B36" s="242">
        <v>313</v>
      </c>
      <c r="C36" s="247">
        <f>'FASE 1   '!E119</f>
        <v>0</v>
      </c>
      <c r="D36" s="248">
        <f>'FASE 1   '!K119</f>
        <v>0</v>
      </c>
      <c r="E36" s="248">
        <f>'FASE 1   '!J119</f>
        <v>0</v>
      </c>
      <c r="F36" s="248">
        <f>'FASE 1   '!P119</f>
        <v>0</v>
      </c>
      <c r="G36" s="248">
        <f>'FASE 1   '!L119</f>
        <v>0</v>
      </c>
      <c r="H36" s="248">
        <f>'FASE 1   '!S119</f>
        <v>0</v>
      </c>
      <c r="I36" s="248">
        <f>'FASE 1   '!N119</f>
        <v>0</v>
      </c>
      <c r="J36" s="248">
        <f>'FASE 1   '!T119</f>
        <v>0</v>
      </c>
      <c r="K36" s="248">
        <f>AVERAGE('FASE 2  '!F122:G123)</f>
        <v>0</v>
      </c>
      <c r="L36" s="248">
        <f>AVERAGE('FASE 2  '!M122:N122,'FASE 2  '!Q122)</f>
        <v>0</v>
      </c>
      <c r="M36" s="248">
        <f>'FASE 4'!J122</f>
        <v>0</v>
      </c>
      <c r="N36" s="248">
        <f>'FASE 2  '!L122</f>
        <v>0</v>
      </c>
      <c r="O36" s="248">
        <f>'FASE 3 '!N122</f>
        <v>0</v>
      </c>
      <c r="P36" s="248">
        <f>'FASE 3 '!L122</f>
        <v>0</v>
      </c>
      <c r="Q36" s="248">
        <f>AVERAGE('FASE 3 '!O122,'FASE 3 '!P122,'FASE 3 '!Q122,'FASE 3 '!R122)</f>
        <v>0</v>
      </c>
      <c r="R36" s="248">
        <f>AVERAGE('FASE 3 '!T122,'FASE 3 '!U122,'FASE 3 '!S122)</f>
        <v>0</v>
      </c>
      <c r="S36" s="248">
        <f>'FASE 3 '!W122</f>
        <v>0</v>
      </c>
      <c r="T36" s="248">
        <f>'FASE 3 '!V122</f>
        <v>0</v>
      </c>
      <c r="U36" s="248">
        <f>'FASE 4'!F122</f>
        <v>0</v>
      </c>
      <c r="V36" s="251">
        <f t="shared" si="0"/>
        <v>0</v>
      </c>
    </row>
    <row r="37" spans="2:23" ht="15.75">
      <c r="B37" s="242">
        <v>314</v>
      </c>
      <c r="C37" s="247">
        <f>'FASE 1   '!E120</f>
        <v>0</v>
      </c>
      <c r="D37" s="248">
        <f>'FASE 1   '!K120</f>
        <v>0</v>
      </c>
      <c r="E37" s="248">
        <f>'FASE 1   '!J120</f>
        <v>0</v>
      </c>
      <c r="F37" s="248">
        <f>'FASE 1   '!P120</f>
        <v>0</v>
      </c>
      <c r="G37" s="248">
        <f>'FASE 1   '!L120</f>
        <v>0</v>
      </c>
      <c r="H37" s="248">
        <f>'FASE 1   '!S120</f>
        <v>0</v>
      </c>
      <c r="I37" s="248">
        <f>'FASE 1   '!N120</f>
        <v>0</v>
      </c>
      <c r="J37" s="248">
        <f>'FASE 1   '!T120</f>
        <v>0</v>
      </c>
      <c r="K37" s="248">
        <f>AVERAGE('FASE 2  '!F123:G123)</f>
        <v>0</v>
      </c>
      <c r="L37" s="248">
        <f>AVERAGE('FASE 2  '!M123:N123,'FASE 2  '!Q123)</f>
        <v>0</v>
      </c>
      <c r="M37" s="248">
        <f>'FASE 4'!J123</f>
        <v>0</v>
      </c>
      <c r="N37" s="248">
        <f>'FASE 2  '!L123</f>
        <v>0</v>
      </c>
      <c r="O37" s="248">
        <f>'FASE 3 '!N123</f>
        <v>0</v>
      </c>
      <c r="P37" s="248">
        <f>'FASE 3 '!L123</f>
        <v>0</v>
      </c>
      <c r="Q37" s="248">
        <f>AVERAGE('FASE 3 '!O123,'FASE 3 '!P123,'FASE 3 '!Q123,'FASE 3 '!R123)</f>
        <v>0</v>
      </c>
      <c r="R37" s="248">
        <f>AVERAGE('FASE 3 '!T123,'FASE 3 '!U123,'FASE 3 '!S123)</f>
        <v>0</v>
      </c>
      <c r="S37" s="248">
        <f>'FASE 3 '!W123</f>
        <v>0</v>
      </c>
      <c r="T37" s="248">
        <f>'FASE 3 '!V123</f>
        <v>0</v>
      </c>
      <c r="U37" s="248">
        <f>'FASE 4'!F123</f>
        <v>0</v>
      </c>
      <c r="V37" s="251">
        <f t="shared" si="0"/>
        <v>0</v>
      </c>
    </row>
    <row r="38" spans="2:23" ht="15.75">
      <c r="B38" s="242">
        <v>315</v>
      </c>
      <c r="C38" s="247">
        <f>'FASE 1   '!E121</f>
        <v>0</v>
      </c>
      <c r="D38" s="248">
        <f>'FASE 1   '!K121</f>
        <v>0</v>
      </c>
      <c r="E38" s="248">
        <f>'FASE 1   '!J121</f>
        <v>0</v>
      </c>
      <c r="F38" s="248">
        <f>'FASE 1   '!P121</f>
        <v>0</v>
      </c>
      <c r="G38" s="248">
        <f>'FASE 1   '!L121</f>
        <v>0</v>
      </c>
      <c r="H38" s="248">
        <f>'FASE 1   '!S121</f>
        <v>0</v>
      </c>
      <c r="I38" s="248">
        <f>'FASE 1   '!N121</f>
        <v>0</v>
      </c>
      <c r="J38" s="248">
        <f>'FASE 1   '!T121</f>
        <v>0</v>
      </c>
      <c r="K38" s="248" t="e">
        <f>AVERAGE('FASE 2  '!F124:G124)</f>
        <v>#DIV/0!</v>
      </c>
      <c r="L38" s="248" t="e">
        <f>AVERAGE('FASE 2  '!#REF!,'FASE 2  '!#REF!)</f>
        <v>#REF!</v>
      </c>
      <c r="M38" s="248" t="e">
        <f>'FASE 4'!#REF!</f>
        <v>#REF!</v>
      </c>
      <c r="N38" s="248" t="e">
        <f>'FASE 2  '!#REF!</f>
        <v>#REF!</v>
      </c>
      <c r="O38" s="248" t="e">
        <f>'FASE 3 '!#REF!</f>
        <v>#REF!</v>
      </c>
      <c r="P38" s="248" t="e">
        <f>'FASE 3 '!#REF!</f>
        <v>#REF!</v>
      </c>
      <c r="Q38" s="248" t="e">
        <f>AVERAGE('FASE 3 '!#REF!,'FASE 3 '!#REF!,'FASE 3 '!#REF!,'FASE 3 '!#REF!)</f>
        <v>#REF!</v>
      </c>
      <c r="R38" s="248" t="e">
        <f>AVERAGE('FASE 3 '!#REF!,'FASE 3 '!#REF!,'FASE 3 '!#REF!)</f>
        <v>#REF!</v>
      </c>
      <c r="S38" s="248" t="e">
        <f>'FASE 3 '!#REF!</f>
        <v>#REF!</v>
      </c>
      <c r="T38" s="248" t="e">
        <f>'FASE 3 '!#REF!</f>
        <v>#REF!</v>
      </c>
      <c r="U38" s="248" t="e">
        <f>'FASE 4'!#REF!</f>
        <v>#REF!</v>
      </c>
      <c r="V38" s="251" t="e">
        <f t="shared" si="0"/>
        <v>#DIV/0!</v>
      </c>
    </row>
    <row r="39" spans="2:23" ht="15.75">
      <c r="B39" s="242">
        <v>316</v>
      </c>
      <c r="C39" s="247">
        <f>'FASE 1   '!E122</f>
        <v>0</v>
      </c>
      <c r="D39" s="248">
        <f>'FASE 1   '!K122</f>
        <v>0</v>
      </c>
      <c r="E39" s="248">
        <f>'FASE 1   '!J122</f>
        <v>0</v>
      </c>
      <c r="F39" s="248">
        <f>'FASE 1   '!P122</f>
        <v>0</v>
      </c>
      <c r="G39" s="248">
        <f>'FASE 1   '!L122</f>
        <v>0</v>
      </c>
      <c r="H39" s="248">
        <f>'FASE 1   '!S122</f>
        <v>0</v>
      </c>
      <c r="I39" s="248">
        <f>'FASE 1   '!N122</f>
        <v>0</v>
      </c>
      <c r="J39" s="248">
        <f>'FASE 1   '!T122</f>
        <v>0</v>
      </c>
      <c r="K39" s="248">
        <f>AVERAGE('FASE 2  '!F124:G125)</f>
        <v>0</v>
      </c>
      <c r="L39" s="248" t="e">
        <f>AVERAGE('FASE 2  '!#REF!,'FASE 2  '!#REF!)</f>
        <v>#REF!</v>
      </c>
      <c r="M39" s="248" t="e">
        <f>'FASE 4'!#REF!</f>
        <v>#REF!</v>
      </c>
      <c r="N39" s="248" t="e">
        <f>'FASE 2  '!#REF!</f>
        <v>#REF!</v>
      </c>
      <c r="O39" s="248" t="e">
        <f>'FASE 3 '!#REF!</f>
        <v>#REF!</v>
      </c>
      <c r="P39" s="248" t="e">
        <f>'FASE 3 '!#REF!</f>
        <v>#REF!</v>
      </c>
      <c r="Q39" s="248" t="e">
        <f>AVERAGE('FASE 3 '!#REF!,'FASE 3 '!#REF!,'FASE 3 '!#REF!,'FASE 3 '!#REF!)</f>
        <v>#REF!</v>
      </c>
      <c r="R39" s="248" t="e">
        <f>AVERAGE('FASE 3 '!#REF!,'FASE 3 '!#REF!,'FASE 3 '!#REF!)</f>
        <v>#REF!</v>
      </c>
      <c r="S39" s="248" t="e">
        <f>'FASE 3 '!#REF!</f>
        <v>#REF!</v>
      </c>
      <c r="T39" s="248" t="e">
        <f>'FASE 3 '!#REF!</f>
        <v>#REF!</v>
      </c>
      <c r="U39" s="248" t="e">
        <f>'FASE 4'!#REF!</f>
        <v>#REF!</v>
      </c>
      <c r="V39" s="251" t="e">
        <f t="shared" si="0"/>
        <v>#REF!</v>
      </c>
    </row>
    <row r="40" spans="2:23" ht="16.5" thickBot="1">
      <c r="B40" s="242">
        <v>317</v>
      </c>
      <c r="C40" s="247">
        <f>'FASE 1   '!E123</f>
        <v>0</v>
      </c>
      <c r="D40" s="248">
        <f>'FASE 1   '!K123</f>
        <v>0</v>
      </c>
      <c r="E40" s="248">
        <f>'FASE 1   '!J123</f>
        <v>0</v>
      </c>
      <c r="F40" s="248">
        <f>'FASE 1   '!P123</f>
        <v>0</v>
      </c>
      <c r="G40" s="248">
        <f>'FASE 1   '!L123</f>
        <v>0</v>
      </c>
      <c r="H40" s="248">
        <f>'FASE 1   '!S123</f>
        <v>0</v>
      </c>
      <c r="I40" s="248">
        <f>'FASE 1   '!N123</f>
        <v>0</v>
      </c>
      <c r="J40" s="248">
        <f>'FASE 1   '!T123</f>
        <v>0</v>
      </c>
      <c r="K40" s="248">
        <f>AVERAGE('FASE 2  '!F124:G126)</f>
        <v>0</v>
      </c>
      <c r="L40" s="248" t="e">
        <f>AVERAGE('FASE 2  '!#REF!,'FASE 2  '!#REF!)</f>
        <v>#REF!</v>
      </c>
      <c r="M40" s="248" t="e">
        <f>'FASE 4'!#REF!</f>
        <v>#REF!</v>
      </c>
      <c r="N40" s="248" t="e">
        <f>'FASE 2  '!#REF!</f>
        <v>#REF!</v>
      </c>
      <c r="O40" s="248" t="e">
        <f>'FASE 3 '!#REF!</f>
        <v>#REF!</v>
      </c>
      <c r="P40" s="248" t="e">
        <f>'FASE 3 '!#REF!</f>
        <v>#REF!</v>
      </c>
      <c r="Q40" s="248" t="e">
        <f>AVERAGE('FASE 3 '!#REF!,'FASE 3 '!#REF!,'FASE 3 '!#REF!,'FASE 3 '!#REF!)</f>
        <v>#REF!</v>
      </c>
      <c r="R40" s="248" t="e">
        <f>AVERAGE('FASE 3 '!#REF!,'FASE 3 '!#REF!,'FASE 3 '!#REF!)</f>
        <v>#REF!</v>
      </c>
      <c r="S40" s="248" t="e">
        <f>'FASE 3 '!#REF!</f>
        <v>#REF!</v>
      </c>
      <c r="T40" s="248" t="e">
        <f>'FASE 3 '!#REF!</f>
        <v>#REF!</v>
      </c>
      <c r="U40" s="248" t="e">
        <f>'FASE 4'!#REF!</f>
        <v>#REF!</v>
      </c>
      <c r="V40" s="254" t="e">
        <f t="shared" si="0"/>
        <v>#REF!</v>
      </c>
    </row>
    <row r="41" spans="2:23" ht="16.5" thickBot="1">
      <c r="B41" s="243" t="s">
        <v>518</v>
      </c>
      <c r="C41" s="251">
        <f t="shared" ref="C41:U41" si="2">AVERAGE(C24:C40)</f>
        <v>5.8823529411764705E-2</v>
      </c>
      <c r="D41" s="251">
        <f t="shared" si="2"/>
        <v>0</v>
      </c>
      <c r="E41" s="251">
        <f t="shared" si="2"/>
        <v>5.8823529411764705E-2</v>
      </c>
      <c r="F41" s="251">
        <f t="shared" si="2"/>
        <v>0</v>
      </c>
      <c r="G41" s="251">
        <f t="shared" si="2"/>
        <v>0</v>
      </c>
      <c r="H41" s="251">
        <f t="shared" si="2"/>
        <v>0</v>
      </c>
      <c r="I41" s="251">
        <f t="shared" si="2"/>
        <v>0</v>
      </c>
      <c r="J41" s="251">
        <f t="shared" si="2"/>
        <v>0</v>
      </c>
      <c r="K41" s="251" t="e">
        <f t="shared" si="2"/>
        <v>#DIV/0!</v>
      </c>
      <c r="L41" s="251" t="e">
        <f t="shared" si="2"/>
        <v>#REF!</v>
      </c>
      <c r="M41" s="251" t="e">
        <f t="shared" si="2"/>
        <v>#REF!</v>
      </c>
      <c r="N41" s="251" t="e">
        <f t="shared" si="2"/>
        <v>#REF!</v>
      </c>
      <c r="O41" s="251" t="e">
        <f t="shared" si="2"/>
        <v>#REF!</v>
      </c>
      <c r="P41" s="251" t="e">
        <f t="shared" si="2"/>
        <v>#REF!</v>
      </c>
      <c r="Q41" s="251" t="e">
        <f t="shared" si="2"/>
        <v>#REF!</v>
      </c>
      <c r="R41" s="251" t="e">
        <f t="shared" si="2"/>
        <v>#REF!</v>
      </c>
      <c r="S41" s="251" t="e">
        <f t="shared" si="2"/>
        <v>#REF!</v>
      </c>
      <c r="T41" s="251" t="e">
        <f t="shared" si="2"/>
        <v>#REF!</v>
      </c>
      <c r="U41" s="253" t="e">
        <f t="shared" si="2"/>
        <v>#REF!</v>
      </c>
      <c r="V41" s="256" t="e">
        <f>AVERAGE(C41:U41)</f>
        <v>#DIV/0!</v>
      </c>
      <c r="W41" s="2"/>
    </row>
    <row r="42" spans="2:23" ht="15.75">
      <c r="B42" s="242">
        <v>401</v>
      </c>
      <c r="C42" s="247">
        <f>'FASE 1   '!E127</f>
        <v>0</v>
      </c>
      <c r="D42" s="248">
        <f>'FASE 1   '!K127</f>
        <v>0</v>
      </c>
      <c r="E42" s="248">
        <f>'FASE 1   '!J127</f>
        <v>0</v>
      </c>
      <c r="F42" s="248">
        <f>'FASE 1   '!P127</f>
        <v>0</v>
      </c>
      <c r="G42" s="248">
        <f>'FASE 1   '!L127</f>
        <v>0</v>
      </c>
      <c r="H42" s="248">
        <f>'FASE 1   '!S127</f>
        <v>0</v>
      </c>
      <c r="I42" s="248">
        <f>'FASE 1   '!N127</f>
        <v>0</v>
      </c>
      <c r="J42" s="248">
        <f>'FASE 1   '!T127</f>
        <v>0</v>
      </c>
      <c r="K42" s="248">
        <f>AVERAGE('FASE 2  '!D127:E127)</f>
        <v>0</v>
      </c>
      <c r="L42" s="248">
        <f>AVERAGE('FASE 2  '!M127:N127,'FASE 2  '!Q127)</f>
        <v>0</v>
      </c>
      <c r="M42" s="248">
        <f>'FASE 4'!J127</f>
        <v>0</v>
      </c>
      <c r="N42" s="248">
        <f>'FASE 2  '!L127</f>
        <v>0</v>
      </c>
      <c r="O42" s="248">
        <f>'FASE 3 '!N127</f>
        <v>0</v>
      </c>
      <c r="P42" s="248">
        <f>'FASE 3 '!L127</f>
        <v>0</v>
      </c>
      <c r="Q42" s="248">
        <f>AVERAGE('FASE 3 '!O127,'FASE 3 '!P127,'FASE 3 '!Q127,'FASE 3 '!R127)</f>
        <v>0</v>
      </c>
      <c r="R42" s="248">
        <f>AVERAGE('FASE 3 '!T127,'FASE 3 '!U127,'FASE 3 '!S127)</f>
        <v>0</v>
      </c>
      <c r="S42" s="248">
        <f>'FASE 3 '!W127</f>
        <v>0</v>
      </c>
      <c r="T42" s="248">
        <f>'FASE 3 '!V127</f>
        <v>0</v>
      </c>
      <c r="U42" s="248">
        <f>'FASE 4'!F127</f>
        <v>0</v>
      </c>
      <c r="V42" s="255">
        <f t="shared" si="0"/>
        <v>0</v>
      </c>
    </row>
    <row r="43" spans="2:23" ht="15.75">
      <c r="B43" s="242">
        <v>402</v>
      </c>
      <c r="C43" s="247">
        <f>'FASE 1   '!E154</f>
        <v>0</v>
      </c>
      <c r="D43" s="248">
        <f>'FASE 1   '!K154</f>
        <v>0</v>
      </c>
      <c r="E43" s="248">
        <f>'FASE 1   '!J154</f>
        <v>0</v>
      </c>
      <c r="F43" s="248">
        <f>'FASE 1   '!P154</f>
        <v>0</v>
      </c>
      <c r="G43" s="248">
        <f>'FASE 1   '!L154</f>
        <v>0</v>
      </c>
      <c r="H43" s="248">
        <f>'FASE 1   '!S154</f>
        <v>0</v>
      </c>
      <c r="I43" s="248">
        <f>'FASE 1   '!N154</f>
        <v>0</v>
      </c>
      <c r="J43" s="248">
        <f>'FASE 1   '!T154</f>
        <v>0</v>
      </c>
      <c r="K43" s="248">
        <f>AVERAGE('FASE 2  '!D158:E158)</f>
        <v>0</v>
      </c>
      <c r="L43" s="248">
        <f>AVERAGE('FASE 2  '!M158:N158,'FASE 2  '!Q158)</f>
        <v>0</v>
      </c>
      <c r="M43" s="248">
        <f>'FASE 4'!J158</f>
        <v>0</v>
      </c>
      <c r="N43" s="248">
        <f>'FASE 2  '!L158</f>
        <v>0</v>
      </c>
      <c r="O43" s="248">
        <f>'FASE 3 '!N158</f>
        <v>0</v>
      </c>
      <c r="P43" s="248">
        <f>'FASE 3 '!L158</f>
        <v>0</v>
      </c>
      <c r="Q43" s="248">
        <f>AVERAGE('FASE 3 '!O158,'FASE 3 '!P158,'FASE 3 '!Q158,'FASE 3 '!R158)</f>
        <v>0</v>
      </c>
      <c r="R43" s="248">
        <f>AVERAGE('FASE 3 '!T158,'FASE 3 '!U158,'FASE 3 '!S158)</f>
        <v>0</v>
      </c>
      <c r="S43" s="248">
        <f>'FASE 3 '!W158</f>
        <v>0</v>
      </c>
      <c r="T43" s="248">
        <f>'FASE 3 '!V158</f>
        <v>0</v>
      </c>
      <c r="U43" s="248">
        <f>'FASE 4'!F158</f>
        <v>0</v>
      </c>
      <c r="V43" s="251">
        <f t="shared" si="0"/>
        <v>0</v>
      </c>
    </row>
    <row r="44" spans="2:23" ht="15.75">
      <c r="B44" s="242"/>
      <c r="C44" s="247"/>
      <c r="D44" s="248"/>
      <c r="E44" s="248"/>
      <c r="F44" s="248"/>
      <c r="G44" s="248"/>
      <c r="H44" s="248"/>
      <c r="I44" s="248"/>
      <c r="J44" s="248"/>
      <c r="K44" s="248"/>
      <c r="L44" s="248"/>
      <c r="M44" s="248"/>
      <c r="N44" s="248"/>
      <c r="O44" s="248"/>
      <c r="P44" s="248"/>
      <c r="Q44" s="248"/>
      <c r="R44" s="248"/>
      <c r="S44" s="248"/>
      <c r="T44" s="248"/>
      <c r="U44" s="248"/>
      <c r="V44" s="251"/>
    </row>
    <row r="45" spans="2:23" ht="15.75">
      <c r="B45" s="242"/>
      <c r="C45" s="247"/>
      <c r="D45" s="248"/>
      <c r="E45" s="248"/>
      <c r="F45" s="248"/>
      <c r="G45" s="248"/>
      <c r="H45" s="248"/>
      <c r="I45" s="248"/>
      <c r="J45" s="248"/>
      <c r="K45" s="248"/>
      <c r="L45" s="248"/>
      <c r="M45" s="248"/>
      <c r="N45" s="248"/>
      <c r="O45" s="248"/>
      <c r="P45" s="248"/>
      <c r="Q45" s="248"/>
      <c r="R45" s="248"/>
      <c r="S45" s="248"/>
      <c r="T45" s="248"/>
      <c r="U45" s="248"/>
      <c r="V45" s="251"/>
    </row>
    <row r="46" spans="2:23" ht="15.75">
      <c r="B46" s="242"/>
      <c r="C46" s="247"/>
      <c r="D46" s="248"/>
      <c r="E46" s="248"/>
      <c r="F46" s="248"/>
      <c r="G46" s="248"/>
      <c r="H46" s="248"/>
      <c r="I46" s="248"/>
      <c r="J46" s="248"/>
      <c r="K46" s="248"/>
      <c r="L46" s="248"/>
      <c r="M46" s="248"/>
      <c r="N46" s="248"/>
      <c r="O46" s="248"/>
      <c r="P46" s="248"/>
      <c r="Q46" s="248"/>
      <c r="R46" s="248"/>
      <c r="S46" s="248"/>
      <c r="T46" s="248"/>
      <c r="U46" s="248"/>
      <c r="V46" s="251"/>
    </row>
    <row r="47" spans="2:23" ht="15.75">
      <c r="B47" s="242"/>
      <c r="C47" s="247"/>
      <c r="D47" s="248"/>
      <c r="E47" s="248"/>
      <c r="F47" s="248"/>
      <c r="G47" s="248"/>
      <c r="H47" s="248"/>
      <c r="I47" s="248"/>
      <c r="J47" s="248"/>
      <c r="K47" s="248"/>
      <c r="L47" s="248"/>
      <c r="M47" s="248"/>
      <c r="N47" s="248"/>
      <c r="O47" s="248"/>
      <c r="P47" s="248"/>
      <c r="Q47" s="248"/>
      <c r="R47" s="248"/>
      <c r="S47" s="248"/>
      <c r="T47" s="248"/>
      <c r="U47" s="248"/>
      <c r="V47" s="251"/>
    </row>
    <row r="48" spans="2:23" ht="15.75">
      <c r="B48" s="242"/>
      <c r="C48" s="247"/>
      <c r="D48" s="248"/>
      <c r="E48" s="248"/>
      <c r="F48" s="248"/>
      <c r="G48" s="248"/>
      <c r="H48" s="248"/>
      <c r="I48" s="248"/>
      <c r="J48" s="248"/>
      <c r="K48" s="248"/>
      <c r="L48" s="248"/>
      <c r="M48" s="248"/>
      <c r="N48" s="248"/>
      <c r="O48" s="248"/>
      <c r="P48" s="248"/>
      <c r="Q48" s="248"/>
      <c r="R48" s="248"/>
      <c r="S48" s="248"/>
      <c r="T48" s="248"/>
      <c r="U48" s="248"/>
      <c r="V48" s="251"/>
    </row>
    <row r="49" spans="2:22" ht="15.75">
      <c r="B49" s="242"/>
      <c r="C49" s="247"/>
      <c r="D49" s="248"/>
      <c r="E49" s="248"/>
      <c r="F49" s="248"/>
      <c r="G49" s="248"/>
      <c r="H49" s="248"/>
      <c r="I49" s="248"/>
      <c r="J49" s="248"/>
      <c r="K49" s="248"/>
      <c r="L49" s="248"/>
      <c r="M49" s="248"/>
      <c r="N49" s="248"/>
      <c r="O49" s="248"/>
      <c r="P49" s="248"/>
      <c r="Q49" s="248"/>
      <c r="R49" s="248"/>
      <c r="S49" s="248"/>
      <c r="T49" s="248"/>
      <c r="U49" s="248"/>
      <c r="V49" s="251"/>
    </row>
    <row r="50" spans="2:22" ht="15.75">
      <c r="B50" s="242"/>
      <c r="C50" s="247"/>
      <c r="D50" s="248"/>
      <c r="E50" s="248"/>
      <c r="F50" s="248"/>
      <c r="G50" s="248"/>
      <c r="H50" s="248"/>
      <c r="I50" s="248"/>
      <c r="J50" s="248"/>
      <c r="K50" s="248"/>
      <c r="L50" s="248"/>
      <c r="M50" s="248"/>
      <c r="N50" s="248"/>
      <c r="O50" s="248"/>
      <c r="P50" s="248"/>
      <c r="Q50" s="248"/>
      <c r="R50" s="248"/>
      <c r="S50" s="248"/>
      <c r="T50" s="248"/>
      <c r="U50" s="248"/>
      <c r="V50" s="251"/>
    </row>
    <row r="51" spans="2:22" ht="15.75">
      <c r="B51" s="242"/>
      <c r="C51" s="247"/>
      <c r="D51" s="248"/>
      <c r="E51" s="248"/>
      <c r="F51" s="248"/>
      <c r="G51" s="248"/>
      <c r="H51" s="248"/>
      <c r="I51" s="248"/>
      <c r="J51" s="248"/>
      <c r="K51" s="248"/>
      <c r="L51" s="248"/>
      <c r="M51" s="248"/>
      <c r="N51" s="248"/>
      <c r="O51" s="248"/>
      <c r="P51" s="248"/>
      <c r="Q51" s="248"/>
      <c r="R51" s="248"/>
      <c r="S51" s="248"/>
      <c r="T51" s="248"/>
      <c r="U51" s="248"/>
      <c r="V51" s="251"/>
    </row>
    <row r="52" spans="2:22" ht="15.75">
      <c r="B52" s="242"/>
      <c r="C52" s="247"/>
      <c r="D52" s="248"/>
      <c r="E52" s="248"/>
      <c r="F52" s="248"/>
      <c r="G52" s="248"/>
      <c r="H52" s="248"/>
      <c r="I52" s="248"/>
      <c r="J52" s="248"/>
      <c r="K52" s="248"/>
      <c r="L52" s="248"/>
      <c r="M52" s="248"/>
      <c r="N52" s="248"/>
      <c r="O52" s="248"/>
      <c r="P52" s="248"/>
      <c r="Q52" s="248"/>
      <c r="R52" s="248"/>
      <c r="S52" s="248"/>
      <c r="T52" s="248"/>
      <c r="U52" s="248"/>
      <c r="V52" s="251"/>
    </row>
    <row r="53" spans="2:22" ht="15.75">
      <c r="B53" s="242"/>
      <c r="C53" s="247"/>
      <c r="D53" s="248"/>
      <c r="E53" s="248"/>
      <c r="F53" s="248"/>
      <c r="G53" s="248"/>
      <c r="H53" s="248"/>
      <c r="I53" s="248"/>
      <c r="J53" s="248"/>
      <c r="K53" s="248"/>
      <c r="L53" s="248"/>
      <c r="M53" s="248"/>
      <c r="N53" s="248"/>
      <c r="O53" s="248"/>
      <c r="P53" s="248"/>
      <c r="Q53" s="248"/>
      <c r="R53" s="248"/>
      <c r="S53" s="248"/>
      <c r="T53" s="248"/>
      <c r="U53" s="248"/>
      <c r="V53" s="251"/>
    </row>
    <row r="54" spans="2:22" ht="15.75">
      <c r="B54" s="242"/>
      <c r="C54" s="247"/>
      <c r="D54" s="248"/>
      <c r="E54" s="248"/>
      <c r="F54" s="248"/>
      <c r="G54" s="248"/>
      <c r="H54" s="248"/>
      <c r="I54" s="248"/>
      <c r="J54" s="248"/>
      <c r="K54" s="248"/>
      <c r="L54" s="248"/>
      <c r="M54" s="248"/>
      <c r="N54" s="248"/>
      <c r="O54" s="248"/>
      <c r="P54" s="248"/>
      <c r="Q54" s="248"/>
      <c r="R54" s="248"/>
      <c r="S54" s="248"/>
      <c r="T54" s="248"/>
      <c r="U54" s="248"/>
      <c r="V54" s="251"/>
    </row>
    <row r="55" spans="2:22" ht="15.75">
      <c r="B55" s="242"/>
      <c r="C55" s="247"/>
      <c r="D55" s="248"/>
      <c r="E55" s="248"/>
      <c r="F55" s="248"/>
      <c r="G55" s="248"/>
      <c r="H55" s="248"/>
      <c r="I55" s="248"/>
      <c r="J55" s="248"/>
      <c r="K55" s="248"/>
      <c r="L55" s="248"/>
      <c r="M55" s="248"/>
      <c r="N55" s="248"/>
      <c r="O55" s="248"/>
      <c r="P55" s="248"/>
      <c r="Q55" s="248"/>
      <c r="R55" s="248"/>
      <c r="S55" s="248"/>
      <c r="T55" s="248"/>
      <c r="U55" s="248"/>
      <c r="V55" s="251"/>
    </row>
    <row r="56" spans="2:22" ht="15.75">
      <c r="B56" s="242"/>
      <c r="C56" s="247"/>
      <c r="D56" s="248"/>
      <c r="E56" s="248"/>
      <c r="F56" s="248"/>
      <c r="G56" s="248"/>
      <c r="H56" s="248"/>
      <c r="I56" s="248"/>
      <c r="J56" s="248"/>
      <c r="K56" s="248"/>
      <c r="L56" s="248"/>
      <c r="M56" s="248"/>
      <c r="N56" s="248"/>
      <c r="O56" s="248"/>
      <c r="P56" s="248"/>
      <c r="Q56" s="248"/>
      <c r="R56" s="248"/>
      <c r="S56" s="248"/>
      <c r="T56" s="248"/>
      <c r="U56" s="248"/>
      <c r="V56" s="251"/>
    </row>
    <row r="57" spans="2:22" ht="15.75">
      <c r="B57" s="242"/>
      <c r="C57" s="247"/>
      <c r="D57" s="248"/>
      <c r="E57" s="248"/>
      <c r="F57" s="248"/>
      <c r="G57" s="248"/>
      <c r="H57" s="248"/>
      <c r="I57" s="248"/>
      <c r="J57" s="248"/>
      <c r="K57" s="248"/>
      <c r="L57" s="248"/>
      <c r="M57" s="248"/>
      <c r="N57" s="248"/>
      <c r="O57" s="248"/>
      <c r="P57" s="248"/>
      <c r="Q57" s="248"/>
      <c r="R57" s="248"/>
      <c r="S57" s="248"/>
      <c r="T57" s="248"/>
      <c r="U57" s="248"/>
      <c r="V57" s="251"/>
    </row>
    <row r="58" spans="2:22" ht="15.75">
      <c r="B58" s="242"/>
      <c r="C58" s="247"/>
      <c r="D58" s="248"/>
      <c r="E58" s="248"/>
      <c r="F58" s="248"/>
      <c r="G58" s="248"/>
      <c r="H58" s="248"/>
      <c r="I58" s="248"/>
      <c r="J58" s="248"/>
      <c r="K58" s="248"/>
      <c r="L58" s="248"/>
      <c r="M58" s="248"/>
      <c r="N58" s="248"/>
      <c r="O58" s="248"/>
      <c r="P58" s="248"/>
      <c r="Q58" s="248"/>
      <c r="R58" s="248"/>
      <c r="S58" s="248"/>
      <c r="T58" s="248"/>
      <c r="U58" s="248"/>
      <c r="V58" s="251"/>
    </row>
    <row r="59" spans="2:22" ht="15.75">
      <c r="B59" s="242"/>
      <c r="C59" s="247"/>
      <c r="D59" s="248"/>
      <c r="E59" s="248"/>
      <c r="F59" s="248"/>
      <c r="G59" s="248"/>
      <c r="H59" s="248"/>
      <c r="I59" s="248"/>
      <c r="J59" s="248"/>
      <c r="K59" s="248"/>
      <c r="L59" s="248"/>
      <c r="M59" s="248"/>
      <c r="N59" s="248"/>
      <c r="O59" s="248"/>
      <c r="P59" s="248"/>
      <c r="Q59" s="248"/>
      <c r="R59" s="248"/>
      <c r="S59" s="248"/>
      <c r="T59" s="248"/>
      <c r="U59" s="248"/>
      <c r="V59" s="251"/>
    </row>
    <row r="60" spans="2:22" ht="15.75">
      <c r="B60" s="242"/>
      <c r="C60" s="247"/>
      <c r="D60" s="248"/>
      <c r="E60" s="248"/>
      <c r="F60" s="248"/>
      <c r="G60" s="248"/>
      <c r="H60" s="248"/>
      <c r="I60" s="248"/>
      <c r="J60" s="248"/>
      <c r="K60" s="248"/>
      <c r="L60" s="248"/>
      <c r="M60" s="248"/>
      <c r="N60" s="248"/>
      <c r="O60" s="248"/>
      <c r="P60" s="248"/>
      <c r="Q60" s="248"/>
      <c r="R60" s="248"/>
      <c r="S60" s="248"/>
      <c r="T60" s="248"/>
      <c r="U60" s="248"/>
      <c r="V60" s="251"/>
    </row>
    <row r="61" spans="2:22" ht="15.75">
      <c r="B61" s="242"/>
      <c r="C61" s="247"/>
      <c r="D61" s="248"/>
      <c r="E61" s="248"/>
      <c r="F61" s="248"/>
      <c r="G61" s="248"/>
      <c r="H61" s="248"/>
      <c r="I61" s="248"/>
      <c r="J61" s="248"/>
      <c r="K61" s="248"/>
      <c r="L61" s="248"/>
      <c r="M61" s="248"/>
      <c r="N61" s="248"/>
      <c r="O61" s="248"/>
      <c r="P61" s="248"/>
      <c r="Q61" s="248"/>
      <c r="R61" s="248"/>
      <c r="S61" s="248"/>
      <c r="T61" s="248"/>
      <c r="U61" s="248"/>
      <c r="V61" s="251"/>
    </row>
    <row r="62" spans="2:22" ht="15.75">
      <c r="B62" s="242"/>
      <c r="C62" s="247"/>
      <c r="D62" s="248"/>
      <c r="E62" s="248"/>
      <c r="F62" s="248"/>
      <c r="G62" s="248"/>
      <c r="H62" s="248"/>
      <c r="I62" s="248"/>
      <c r="J62" s="248"/>
      <c r="K62" s="248"/>
      <c r="L62" s="248"/>
      <c r="M62" s="248"/>
      <c r="N62" s="248"/>
      <c r="O62" s="248"/>
      <c r="P62" s="248"/>
      <c r="Q62" s="248"/>
      <c r="R62" s="248"/>
      <c r="S62" s="248"/>
      <c r="T62" s="248"/>
      <c r="U62" s="248"/>
      <c r="V62" s="251"/>
    </row>
    <row r="63" spans="2:22" ht="15.75">
      <c r="B63" s="242"/>
      <c r="C63" s="247"/>
      <c r="D63" s="248"/>
      <c r="E63" s="248"/>
      <c r="F63" s="248"/>
      <c r="G63" s="248"/>
      <c r="H63" s="248"/>
      <c r="I63" s="248"/>
      <c r="J63" s="248"/>
      <c r="K63" s="248"/>
      <c r="L63" s="248"/>
      <c r="M63" s="248"/>
      <c r="N63" s="248"/>
      <c r="O63" s="248"/>
      <c r="P63" s="248"/>
      <c r="Q63" s="248"/>
      <c r="R63" s="248"/>
      <c r="S63" s="248"/>
      <c r="T63" s="248"/>
      <c r="U63" s="248"/>
      <c r="V63" s="251"/>
    </row>
    <row r="64" spans="2:22" ht="15.75">
      <c r="B64" s="242"/>
      <c r="C64" s="247"/>
      <c r="D64" s="248"/>
      <c r="E64" s="248"/>
      <c r="F64" s="248"/>
      <c r="G64" s="248"/>
      <c r="H64" s="248"/>
      <c r="I64" s="248"/>
      <c r="J64" s="248"/>
      <c r="K64" s="248"/>
      <c r="L64" s="248"/>
      <c r="M64" s="248"/>
      <c r="N64" s="248"/>
      <c r="O64" s="248"/>
      <c r="P64" s="248"/>
      <c r="Q64" s="248"/>
      <c r="R64" s="248"/>
      <c r="S64" s="248"/>
      <c r="T64" s="248"/>
      <c r="U64" s="248"/>
      <c r="V64" s="251"/>
    </row>
    <row r="65" spans="2:22" ht="15.75">
      <c r="B65" s="242"/>
      <c r="C65" s="247"/>
      <c r="D65" s="248"/>
      <c r="E65" s="248"/>
      <c r="F65" s="248"/>
      <c r="G65" s="248"/>
      <c r="H65" s="248"/>
      <c r="I65" s="248"/>
      <c r="J65" s="248"/>
      <c r="K65" s="248"/>
      <c r="L65" s="248"/>
      <c r="M65" s="248"/>
      <c r="N65" s="248"/>
      <c r="O65" s="248"/>
      <c r="P65" s="248"/>
      <c r="Q65" s="248"/>
      <c r="R65" s="248"/>
      <c r="S65" s="248"/>
      <c r="T65" s="248"/>
      <c r="U65" s="248"/>
      <c r="V65" s="251"/>
    </row>
    <row r="66" spans="2:22" ht="15.75">
      <c r="B66" s="242"/>
      <c r="C66" s="247"/>
      <c r="D66" s="248"/>
      <c r="E66" s="248"/>
      <c r="F66" s="248"/>
      <c r="G66" s="248"/>
      <c r="H66" s="248"/>
      <c r="I66" s="248"/>
      <c r="J66" s="248"/>
      <c r="K66" s="248"/>
      <c r="L66" s="248"/>
      <c r="M66" s="248"/>
      <c r="N66" s="248"/>
      <c r="O66" s="248"/>
      <c r="P66" s="248"/>
      <c r="Q66" s="248"/>
      <c r="R66" s="248"/>
      <c r="S66" s="248"/>
      <c r="T66" s="248"/>
      <c r="U66" s="248"/>
      <c r="V66" s="251"/>
    </row>
    <row r="67" spans="2:22" ht="15.75">
      <c r="B67" s="242"/>
      <c r="C67" s="247"/>
      <c r="D67" s="248"/>
      <c r="E67" s="248"/>
      <c r="F67" s="248"/>
      <c r="G67" s="248"/>
      <c r="H67" s="248"/>
      <c r="I67" s="248"/>
      <c r="J67" s="248"/>
      <c r="K67" s="248"/>
      <c r="L67" s="248"/>
      <c r="M67" s="248"/>
      <c r="N67" s="248"/>
      <c r="O67" s="248"/>
      <c r="P67" s="248"/>
      <c r="Q67" s="248"/>
      <c r="R67" s="248"/>
      <c r="S67" s="248"/>
      <c r="T67" s="248"/>
      <c r="U67" s="248"/>
      <c r="V67" s="251"/>
    </row>
    <row r="68" spans="2:22" ht="15.75">
      <c r="B68" s="242"/>
      <c r="C68" s="247"/>
      <c r="D68" s="248"/>
      <c r="E68" s="248"/>
      <c r="F68" s="248"/>
      <c r="G68" s="248"/>
      <c r="H68" s="248"/>
      <c r="I68" s="248"/>
      <c r="J68" s="248"/>
      <c r="K68" s="248"/>
      <c r="L68" s="248"/>
      <c r="M68" s="248"/>
      <c r="N68" s="248"/>
      <c r="O68" s="248"/>
      <c r="P68" s="248"/>
      <c r="Q68" s="248"/>
      <c r="R68" s="248"/>
      <c r="S68" s="248"/>
      <c r="T68" s="248"/>
      <c r="U68" s="248"/>
      <c r="V68" s="251"/>
    </row>
    <row r="69" spans="2:22" ht="15.75">
      <c r="B69" s="242"/>
      <c r="C69" s="247"/>
      <c r="D69" s="248"/>
      <c r="E69" s="248"/>
      <c r="F69" s="248"/>
      <c r="G69" s="248"/>
      <c r="H69" s="248"/>
      <c r="I69" s="248"/>
      <c r="J69" s="248"/>
      <c r="K69" s="248"/>
      <c r="L69" s="248"/>
      <c r="M69" s="248"/>
      <c r="N69" s="248"/>
      <c r="O69" s="248"/>
      <c r="P69" s="248"/>
      <c r="Q69" s="248"/>
      <c r="R69" s="248"/>
      <c r="S69" s="248"/>
      <c r="T69" s="248"/>
      <c r="U69" s="248"/>
      <c r="V69" s="251"/>
    </row>
    <row r="70" spans="2:22" ht="15.75">
      <c r="B70" s="242"/>
      <c r="C70" s="247"/>
      <c r="D70" s="248"/>
      <c r="E70" s="248"/>
      <c r="F70" s="248"/>
      <c r="G70" s="248"/>
      <c r="H70" s="248"/>
      <c r="I70" s="248"/>
      <c r="J70" s="248"/>
      <c r="K70" s="248"/>
      <c r="L70" s="248"/>
      <c r="M70" s="248"/>
      <c r="N70" s="248"/>
      <c r="O70" s="248"/>
      <c r="P70" s="248"/>
      <c r="Q70" s="248"/>
      <c r="R70" s="248"/>
      <c r="S70" s="248"/>
      <c r="T70" s="248"/>
      <c r="U70" s="248"/>
      <c r="V70" s="251"/>
    </row>
    <row r="71" spans="2:22" ht="15.75">
      <c r="B71" s="242"/>
      <c r="C71" s="247"/>
      <c r="D71" s="248"/>
      <c r="E71" s="248"/>
      <c r="F71" s="248"/>
      <c r="G71" s="248"/>
      <c r="H71" s="248"/>
      <c r="I71" s="248"/>
      <c r="J71" s="248"/>
      <c r="K71" s="248"/>
      <c r="L71" s="248"/>
      <c r="M71" s="248"/>
      <c r="N71" s="248"/>
      <c r="O71" s="248"/>
      <c r="P71" s="248"/>
      <c r="Q71" s="248"/>
      <c r="R71" s="248"/>
      <c r="S71" s="248"/>
      <c r="T71" s="248"/>
      <c r="U71" s="248"/>
      <c r="V71" s="251"/>
    </row>
    <row r="72" spans="2:22" ht="15.75">
      <c r="B72" s="242"/>
      <c r="C72" s="247"/>
      <c r="D72" s="248"/>
      <c r="E72" s="248"/>
      <c r="F72" s="248"/>
      <c r="G72" s="248"/>
      <c r="H72" s="248"/>
      <c r="I72" s="248"/>
      <c r="J72" s="248"/>
      <c r="K72" s="248"/>
      <c r="L72" s="248"/>
      <c r="M72" s="248"/>
      <c r="N72" s="248"/>
      <c r="O72" s="248"/>
      <c r="P72" s="248"/>
      <c r="Q72" s="248"/>
      <c r="R72" s="248"/>
      <c r="S72" s="248"/>
      <c r="T72" s="248"/>
      <c r="U72" s="248"/>
      <c r="V72" s="251"/>
    </row>
    <row r="73" spans="2:22" ht="15.75">
      <c r="B73" s="242"/>
      <c r="C73" s="247"/>
      <c r="D73" s="248"/>
      <c r="E73" s="248"/>
      <c r="F73" s="248"/>
      <c r="G73" s="248"/>
      <c r="H73" s="248"/>
      <c r="I73" s="248"/>
      <c r="J73" s="248"/>
      <c r="K73" s="248"/>
      <c r="L73" s="248"/>
      <c r="M73" s="248"/>
      <c r="N73" s="248"/>
      <c r="O73" s="248"/>
      <c r="P73" s="248"/>
      <c r="Q73" s="248"/>
      <c r="R73" s="248"/>
      <c r="S73" s="248"/>
      <c r="T73" s="248"/>
      <c r="U73" s="248"/>
      <c r="V73" s="251"/>
    </row>
    <row r="74" spans="2:22" ht="15.75">
      <c r="B74" s="242">
        <v>403</v>
      </c>
      <c r="C74" s="247">
        <f>'FASE 1   '!E155</f>
        <v>0</v>
      </c>
      <c r="D74" s="248">
        <f>'FASE 1   '!K155</f>
        <v>0</v>
      </c>
      <c r="E74" s="248">
        <f>'FASE 1   '!J155</f>
        <v>0</v>
      </c>
      <c r="F74" s="248">
        <f>'FASE 1   '!P155</f>
        <v>0</v>
      </c>
      <c r="G74" s="248">
        <f>'FASE 1   '!L155</f>
        <v>0</v>
      </c>
      <c r="H74" s="248">
        <f>'FASE 1   '!S155</f>
        <v>0</v>
      </c>
      <c r="I74" s="248">
        <f>'FASE 1   '!N155</f>
        <v>0</v>
      </c>
      <c r="J74" s="248">
        <f>'FASE 1   '!T155</f>
        <v>0</v>
      </c>
      <c r="K74" s="248">
        <f>AVERAGE('FASE 2  '!D159:E159)</f>
        <v>0</v>
      </c>
      <c r="L74" s="248">
        <f>AVERAGE('FASE 2  '!M159:N159,'FASE 2  '!Q159)</f>
        <v>0</v>
      </c>
      <c r="M74" s="248">
        <f>'FASE 4'!J159</f>
        <v>0</v>
      </c>
      <c r="N74" s="248">
        <f>'FASE 2  '!L159</f>
        <v>0</v>
      </c>
      <c r="O74" s="248">
        <f>'FASE 3 '!N159</f>
        <v>0</v>
      </c>
      <c r="P74" s="248">
        <f>'FASE 3 '!L159</f>
        <v>0</v>
      </c>
      <c r="Q74" s="248">
        <f>AVERAGE('FASE 3 '!O159,'FASE 3 '!P159,'FASE 3 '!Q159,'FASE 3 '!R159)</f>
        <v>0</v>
      </c>
      <c r="R74" s="248">
        <f>AVERAGE('FASE 3 '!T159,'FASE 3 '!U159,'FASE 3 '!S159)</f>
        <v>0</v>
      </c>
      <c r="S74" s="248">
        <f>'FASE 3 '!W159</f>
        <v>0</v>
      </c>
      <c r="T74" s="248">
        <f>'FASE 3 '!V159</f>
        <v>0</v>
      </c>
      <c r="U74" s="248">
        <f>'FASE 4'!F159</f>
        <v>0</v>
      </c>
      <c r="V74" s="251">
        <f t="shared" si="0"/>
        <v>0</v>
      </c>
    </row>
    <row r="75" spans="2:22" ht="15.75">
      <c r="B75" s="242">
        <v>404</v>
      </c>
      <c r="C75" s="247">
        <f>'FASE 1   '!E156</f>
        <v>0</v>
      </c>
      <c r="D75" s="248">
        <f>'FASE 1   '!K156</f>
        <v>0</v>
      </c>
      <c r="E75" s="248">
        <f>'FASE 1   '!J156</f>
        <v>0</v>
      </c>
      <c r="F75" s="248">
        <f>'FASE 1   '!P156</f>
        <v>0</v>
      </c>
      <c r="G75" s="248">
        <f>'FASE 1   '!L156</f>
        <v>0</v>
      </c>
      <c r="H75" s="248">
        <f>'FASE 1   '!S156</f>
        <v>0</v>
      </c>
      <c r="I75" s="248">
        <f>'FASE 1   '!N156</f>
        <v>0</v>
      </c>
      <c r="J75" s="248">
        <f>'FASE 1   '!T156</f>
        <v>0</v>
      </c>
      <c r="K75" s="248">
        <f>AVERAGE('FASE 2  '!D160:E160)</f>
        <v>0</v>
      </c>
      <c r="L75" s="248">
        <f>AVERAGE('FASE 2  '!M160:N160,'FASE 2  '!Q160)</f>
        <v>0</v>
      </c>
      <c r="M75" s="248">
        <f>'FASE 4'!J160</f>
        <v>0</v>
      </c>
      <c r="N75" s="248">
        <f>'FASE 2  '!L160</f>
        <v>0</v>
      </c>
      <c r="O75" s="248">
        <f>'FASE 3 '!N160</f>
        <v>0</v>
      </c>
      <c r="P75" s="248">
        <f>'FASE 3 '!L160</f>
        <v>0</v>
      </c>
      <c r="Q75" s="248">
        <f>AVERAGE('FASE 3 '!O160,'FASE 3 '!P160,'FASE 3 '!Q160,'FASE 3 '!R160)</f>
        <v>0</v>
      </c>
      <c r="R75" s="248">
        <f>AVERAGE('FASE 3 '!T160,'FASE 3 '!U160,'FASE 3 '!S160)</f>
        <v>0</v>
      </c>
      <c r="S75" s="248">
        <f>'FASE 3 '!W160</f>
        <v>0</v>
      </c>
      <c r="T75" s="248">
        <f>'FASE 3 '!V160</f>
        <v>0</v>
      </c>
      <c r="U75" s="248">
        <f>'FASE 4'!F160</f>
        <v>0</v>
      </c>
      <c r="V75" s="251">
        <f t="shared" si="0"/>
        <v>0</v>
      </c>
    </row>
    <row r="76" spans="2:22" ht="15.75">
      <c r="B76" s="242">
        <v>405</v>
      </c>
      <c r="C76" s="247">
        <f>'FASE 1   '!E157</f>
        <v>0</v>
      </c>
      <c r="D76" s="248">
        <f>'FASE 1   '!K157</f>
        <v>0</v>
      </c>
      <c r="E76" s="248">
        <f>'FASE 1   '!J157</f>
        <v>0</v>
      </c>
      <c r="F76" s="248">
        <f>'FASE 1   '!P157</f>
        <v>0</v>
      </c>
      <c r="G76" s="248">
        <f>'FASE 1   '!L157</f>
        <v>0</v>
      </c>
      <c r="H76" s="248">
        <f>'FASE 1   '!S157</f>
        <v>0</v>
      </c>
      <c r="I76" s="248">
        <f>'FASE 1   '!N157</f>
        <v>0</v>
      </c>
      <c r="J76" s="248">
        <f>'FASE 1   '!T157</f>
        <v>0</v>
      </c>
      <c r="K76" s="248">
        <f>AVERAGE('FASE 2  '!D161:E161)</f>
        <v>0</v>
      </c>
      <c r="L76" s="248">
        <f>AVERAGE('FASE 2  '!M161:N161,'FASE 2  '!Q161)</f>
        <v>0</v>
      </c>
      <c r="M76" s="248">
        <f>'FASE 4'!J161</f>
        <v>0</v>
      </c>
      <c r="N76" s="248">
        <f>'FASE 2  '!L161</f>
        <v>0</v>
      </c>
      <c r="O76" s="248">
        <f>'FASE 3 '!N161</f>
        <v>0</v>
      </c>
      <c r="P76" s="248">
        <f>'FASE 3 '!L161</f>
        <v>0</v>
      </c>
      <c r="Q76" s="248">
        <f>AVERAGE('FASE 3 '!O161,'FASE 3 '!P161,'FASE 3 '!Q161,'FASE 3 '!R161)</f>
        <v>0</v>
      </c>
      <c r="R76" s="248">
        <f>AVERAGE('FASE 3 '!T161,'FASE 3 '!U161,'FASE 3 '!S161)</f>
        <v>0</v>
      </c>
      <c r="S76" s="248">
        <f>'FASE 3 '!W161</f>
        <v>0</v>
      </c>
      <c r="T76" s="248">
        <f>'FASE 3 '!V161</f>
        <v>0</v>
      </c>
      <c r="U76" s="248">
        <f>'FASE 4'!F161</f>
        <v>0</v>
      </c>
      <c r="V76" s="251">
        <f t="shared" si="0"/>
        <v>0</v>
      </c>
    </row>
    <row r="77" spans="2:22" ht="15.75">
      <c r="B77" s="242">
        <v>406</v>
      </c>
      <c r="C77" s="247">
        <f>'FASE 1   '!E158</f>
        <v>0</v>
      </c>
      <c r="D77" s="248">
        <f>'FASE 1   '!K158</f>
        <v>0</v>
      </c>
      <c r="E77" s="248">
        <f>'FASE 1   '!J158</f>
        <v>0</v>
      </c>
      <c r="F77" s="248">
        <f>'FASE 1   '!P158</f>
        <v>0</v>
      </c>
      <c r="G77" s="248">
        <f>'FASE 1   '!L158</f>
        <v>0</v>
      </c>
      <c r="H77" s="248">
        <f>'FASE 1   '!S158</f>
        <v>0</v>
      </c>
      <c r="I77" s="248">
        <f>'FASE 1   '!N158</f>
        <v>0</v>
      </c>
      <c r="J77" s="248">
        <f>'FASE 1   '!T158</f>
        <v>0</v>
      </c>
      <c r="K77" s="248">
        <f>AVERAGE('FASE 2  '!D162:E162)</f>
        <v>0</v>
      </c>
      <c r="L77" s="248">
        <f>AVERAGE('FASE 2  '!M162:N162,'FASE 2  '!Q162)</f>
        <v>0</v>
      </c>
      <c r="M77" s="248">
        <f>'FASE 4'!J162</f>
        <v>0</v>
      </c>
      <c r="N77" s="248">
        <f>'FASE 2  '!L162</f>
        <v>0</v>
      </c>
      <c r="O77" s="248">
        <f>'FASE 3 '!N162</f>
        <v>0</v>
      </c>
      <c r="P77" s="248">
        <f>'FASE 3 '!L162</f>
        <v>0</v>
      </c>
      <c r="Q77" s="248">
        <f>AVERAGE('FASE 3 '!O162,'FASE 3 '!P162,'FASE 3 '!Q162,'FASE 3 '!R162)</f>
        <v>0</v>
      </c>
      <c r="R77" s="248">
        <f>AVERAGE('FASE 3 '!T162,'FASE 3 '!U162,'FASE 3 '!S162)</f>
        <v>0</v>
      </c>
      <c r="S77" s="248">
        <f>'FASE 3 '!W162</f>
        <v>0</v>
      </c>
      <c r="T77" s="248">
        <f>'FASE 3 '!V162</f>
        <v>0</v>
      </c>
      <c r="U77" s="248">
        <f>'FASE 4'!F162</f>
        <v>0</v>
      </c>
      <c r="V77" s="251">
        <f t="shared" si="0"/>
        <v>0</v>
      </c>
    </row>
    <row r="78" spans="2:22" ht="15.75">
      <c r="B78" s="242">
        <v>407</v>
      </c>
      <c r="C78" s="247">
        <f>'FASE 1   '!E159</f>
        <v>0</v>
      </c>
      <c r="D78" s="248">
        <f>'FASE 1   '!K159</f>
        <v>0</v>
      </c>
      <c r="E78" s="248">
        <f>'FASE 1   '!J159</f>
        <v>0</v>
      </c>
      <c r="F78" s="248">
        <f>'FASE 1   '!P159</f>
        <v>0</v>
      </c>
      <c r="G78" s="248">
        <f>'FASE 1   '!L159</f>
        <v>0</v>
      </c>
      <c r="H78" s="248">
        <f>'FASE 1   '!S159</f>
        <v>0</v>
      </c>
      <c r="I78" s="248">
        <f>'FASE 1   '!N159</f>
        <v>0</v>
      </c>
      <c r="J78" s="248">
        <f>'FASE 1   '!T159</f>
        <v>0</v>
      </c>
      <c r="K78" s="248">
        <f>AVERAGE('FASE 2  '!D163:E163)</f>
        <v>0</v>
      </c>
      <c r="L78" s="248">
        <f>AVERAGE('FASE 2  '!M163:N163,'FASE 2  '!Q163)</f>
        <v>0</v>
      </c>
      <c r="M78" s="248">
        <f>'FASE 4'!J163</f>
        <v>0</v>
      </c>
      <c r="N78" s="248">
        <f>'FASE 2  '!L163</f>
        <v>0</v>
      </c>
      <c r="O78" s="248">
        <f>'FASE 3 '!N163</f>
        <v>0</v>
      </c>
      <c r="P78" s="248">
        <f>'FASE 3 '!L163</f>
        <v>0</v>
      </c>
      <c r="Q78" s="248">
        <f>AVERAGE('FASE 3 '!O163,'FASE 3 '!P163,'FASE 3 '!Q163,'FASE 3 '!R163)</f>
        <v>0</v>
      </c>
      <c r="R78" s="248">
        <f>AVERAGE('FASE 3 '!T163,'FASE 3 '!U163,'FASE 3 '!S163)</f>
        <v>0</v>
      </c>
      <c r="S78" s="248">
        <f>'FASE 3 '!W163</f>
        <v>0</v>
      </c>
      <c r="T78" s="248">
        <f>'FASE 3 '!V163</f>
        <v>0</v>
      </c>
      <c r="U78" s="248">
        <f>'FASE 4'!F163</f>
        <v>0</v>
      </c>
      <c r="V78" s="251">
        <f t="shared" si="0"/>
        <v>0</v>
      </c>
    </row>
    <row r="79" spans="2:22" ht="15.75">
      <c r="B79" s="242">
        <v>408</v>
      </c>
      <c r="C79" s="247">
        <f>'FASE 1   '!E160</f>
        <v>0</v>
      </c>
      <c r="D79" s="248">
        <f>'FASE 1   '!K160</f>
        <v>0</v>
      </c>
      <c r="E79" s="248">
        <f>'FASE 1   '!J160</f>
        <v>0</v>
      </c>
      <c r="F79" s="248">
        <f>'FASE 1   '!P160</f>
        <v>0</v>
      </c>
      <c r="G79" s="248">
        <f>'FASE 1   '!L160</f>
        <v>0</v>
      </c>
      <c r="H79" s="248">
        <f>'FASE 1   '!S160</f>
        <v>0</v>
      </c>
      <c r="I79" s="248">
        <f>'FASE 1   '!N160</f>
        <v>0</v>
      </c>
      <c r="J79" s="248">
        <f>'FASE 1   '!T160</f>
        <v>0</v>
      </c>
      <c r="K79" s="248">
        <f>AVERAGE('FASE 2  '!D164:E164)</f>
        <v>0</v>
      </c>
      <c r="L79" s="248">
        <f>AVERAGE('FASE 2  '!M164:N164,'FASE 2  '!Q164)</f>
        <v>0</v>
      </c>
      <c r="M79" s="248">
        <f>'FASE 4'!J164</f>
        <v>0</v>
      </c>
      <c r="N79" s="248">
        <f>'FASE 2  '!L164</f>
        <v>0</v>
      </c>
      <c r="O79" s="248">
        <f>'FASE 3 '!N164</f>
        <v>0</v>
      </c>
      <c r="P79" s="248">
        <f>'FASE 3 '!L164</f>
        <v>0</v>
      </c>
      <c r="Q79" s="248">
        <f>AVERAGE('FASE 3 '!O164,'FASE 3 '!P164,'FASE 3 '!Q164,'FASE 3 '!R164)</f>
        <v>0</v>
      </c>
      <c r="R79" s="248">
        <f>AVERAGE('FASE 3 '!T164,'FASE 3 '!U164,'FASE 3 '!S164)</f>
        <v>0</v>
      </c>
      <c r="S79" s="248">
        <f>'FASE 3 '!W164</f>
        <v>0</v>
      </c>
      <c r="T79" s="248">
        <f>'FASE 3 '!V164</f>
        <v>0</v>
      </c>
      <c r="U79" s="248">
        <f>'FASE 4'!F164</f>
        <v>0</v>
      </c>
      <c r="V79" s="251">
        <f t="shared" si="0"/>
        <v>0</v>
      </c>
    </row>
    <row r="80" spans="2:22" ht="15.75">
      <c r="B80" s="242">
        <v>409</v>
      </c>
      <c r="C80" s="247">
        <f>'FASE 1   '!E161</f>
        <v>0</v>
      </c>
      <c r="D80" s="248">
        <f>'FASE 1   '!K161</f>
        <v>0</v>
      </c>
      <c r="E80" s="248">
        <f>'FASE 1   '!J161</f>
        <v>0</v>
      </c>
      <c r="F80" s="248">
        <f>'FASE 1   '!P161</f>
        <v>0</v>
      </c>
      <c r="G80" s="248">
        <f>'FASE 1   '!L161</f>
        <v>0</v>
      </c>
      <c r="H80" s="248">
        <f>'FASE 1   '!S161</f>
        <v>0</v>
      </c>
      <c r="I80" s="248">
        <f>'FASE 1   '!N161</f>
        <v>0</v>
      </c>
      <c r="J80" s="248">
        <f>'FASE 1   '!T161</f>
        <v>0</v>
      </c>
      <c r="K80" s="248">
        <f>AVERAGE('FASE 2  '!D165:E165)</f>
        <v>0</v>
      </c>
      <c r="L80" s="248">
        <f>AVERAGE('FASE 2  '!M165:N165,'FASE 2  '!Q165)</f>
        <v>0</v>
      </c>
      <c r="M80" s="248">
        <f>'FASE 4'!J165</f>
        <v>0</v>
      </c>
      <c r="N80" s="248">
        <f>'FASE 2  '!L165</f>
        <v>0</v>
      </c>
      <c r="O80" s="248">
        <f>'FASE 3 '!N165</f>
        <v>0</v>
      </c>
      <c r="P80" s="248">
        <f>'FASE 3 '!L165</f>
        <v>0</v>
      </c>
      <c r="Q80" s="248">
        <f>AVERAGE('FASE 3 '!O165,'FASE 3 '!P165,'FASE 3 '!Q165,'FASE 3 '!R165)</f>
        <v>0</v>
      </c>
      <c r="R80" s="248">
        <f>AVERAGE('FASE 3 '!T165,'FASE 3 '!U165,'FASE 3 '!S165)</f>
        <v>0</v>
      </c>
      <c r="S80" s="248">
        <f>'FASE 3 '!W165</f>
        <v>0</v>
      </c>
      <c r="T80" s="248">
        <f>'FASE 3 '!V165</f>
        <v>0</v>
      </c>
      <c r="U80" s="248">
        <f>'FASE 4'!F165</f>
        <v>0</v>
      </c>
      <c r="V80" s="251">
        <f t="shared" si="0"/>
        <v>0</v>
      </c>
    </row>
    <row r="81" spans="2:23" ht="15.75">
      <c r="B81" s="242">
        <v>410</v>
      </c>
      <c r="C81" s="247">
        <f>'FASE 1   '!E162</f>
        <v>0</v>
      </c>
      <c r="D81" s="248">
        <f>'FASE 1   '!K162</f>
        <v>0</v>
      </c>
      <c r="E81" s="248">
        <f>'FASE 1   '!J162</f>
        <v>0</v>
      </c>
      <c r="F81" s="248">
        <f>'FASE 1   '!P162</f>
        <v>0</v>
      </c>
      <c r="G81" s="248">
        <f>'FASE 1   '!L162</f>
        <v>0</v>
      </c>
      <c r="H81" s="248">
        <f>'FASE 1   '!S162</f>
        <v>0</v>
      </c>
      <c r="I81" s="248">
        <f>'FASE 1   '!N162</f>
        <v>0</v>
      </c>
      <c r="J81" s="248">
        <f>'FASE 1   '!T162</f>
        <v>0</v>
      </c>
      <c r="K81" s="248">
        <f>AVERAGE('FASE 2  '!D166:E166)</f>
        <v>0</v>
      </c>
      <c r="L81" s="248">
        <f>AVERAGE('FASE 2  '!M166:N166,'FASE 2  '!Q166)</f>
        <v>0</v>
      </c>
      <c r="M81" s="248">
        <f>'FASE 4'!J166</f>
        <v>0</v>
      </c>
      <c r="N81" s="248">
        <f>'FASE 2  '!L166</f>
        <v>0</v>
      </c>
      <c r="O81" s="248">
        <f>'FASE 3 '!N166</f>
        <v>0</v>
      </c>
      <c r="P81" s="248">
        <f>'FASE 3 '!L166</f>
        <v>0</v>
      </c>
      <c r="Q81" s="248">
        <f>AVERAGE('FASE 3 '!O166,'FASE 3 '!P166,'FASE 3 '!Q166,'FASE 3 '!R166)</f>
        <v>0</v>
      </c>
      <c r="R81" s="248">
        <f>AVERAGE('FASE 3 '!T166,'FASE 3 '!U166,'FASE 3 '!S166)</f>
        <v>0</v>
      </c>
      <c r="S81" s="248">
        <f>'FASE 3 '!W166</f>
        <v>0</v>
      </c>
      <c r="T81" s="248">
        <f>'FASE 3 '!V166</f>
        <v>0</v>
      </c>
      <c r="U81" s="248">
        <f>'FASE 4'!F166</f>
        <v>0</v>
      </c>
      <c r="V81" s="251">
        <f t="shared" si="0"/>
        <v>0</v>
      </c>
    </row>
    <row r="82" spans="2:23" ht="15.75">
      <c r="B82" s="242">
        <v>411</v>
      </c>
      <c r="C82" s="247">
        <f>'FASE 1   '!E163</f>
        <v>0</v>
      </c>
      <c r="D82" s="248">
        <f>'FASE 1   '!K163</f>
        <v>0</v>
      </c>
      <c r="E82" s="248">
        <f>'FASE 1   '!J163</f>
        <v>0</v>
      </c>
      <c r="F82" s="248">
        <f>'FASE 1   '!P163</f>
        <v>0</v>
      </c>
      <c r="G82" s="248">
        <f>'FASE 1   '!L163</f>
        <v>0</v>
      </c>
      <c r="H82" s="248">
        <f>'FASE 1   '!S163</f>
        <v>0</v>
      </c>
      <c r="I82" s="248">
        <f>'FASE 1   '!N163</f>
        <v>0</v>
      </c>
      <c r="J82" s="248">
        <f>'FASE 1   '!T163</f>
        <v>0</v>
      </c>
      <c r="K82" s="248">
        <f>AVERAGE('FASE 2  '!D167:E167)</f>
        <v>0</v>
      </c>
      <c r="L82" s="248">
        <f>AVERAGE('FASE 2  '!M167:N167,'FASE 2  '!Q167)</f>
        <v>0</v>
      </c>
      <c r="M82" s="248">
        <f>'FASE 4'!J167</f>
        <v>0</v>
      </c>
      <c r="N82" s="248">
        <f>'FASE 2  '!L167</f>
        <v>0</v>
      </c>
      <c r="O82" s="248">
        <f>'FASE 3 '!N167</f>
        <v>0</v>
      </c>
      <c r="P82" s="248">
        <f>'FASE 3 '!L167</f>
        <v>0</v>
      </c>
      <c r="Q82" s="248">
        <f>AVERAGE('FASE 3 '!O167,'FASE 3 '!P167,'FASE 3 '!Q167,'FASE 3 '!R167)</f>
        <v>0</v>
      </c>
      <c r="R82" s="248">
        <f>AVERAGE('FASE 3 '!T167,'FASE 3 '!U167,'FASE 3 '!S167)</f>
        <v>0</v>
      </c>
      <c r="S82" s="248">
        <f>'FASE 3 '!W167</f>
        <v>0</v>
      </c>
      <c r="T82" s="248">
        <f>'FASE 3 '!V167</f>
        <v>0</v>
      </c>
      <c r="U82" s="248">
        <f>'FASE 4'!F167</f>
        <v>0</v>
      </c>
      <c r="V82" s="251">
        <f t="shared" si="0"/>
        <v>0</v>
      </c>
    </row>
    <row r="83" spans="2:23" ht="15.75">
      <c r="B83" s="242">
        <v>412</v>
      </c>
      <c r="C83" s="247">
        <f>'FASE 1   '!E164</f>
        <v>0</v>
      </c>
      <c r="D83" s="248">
        <f>'FASE 1   '!K164</f>
        <v>0</v>
      </c>
      <c r="E83" s="248">
        <f>'FASE 1   '!J164</f>
        <v>0</v>
      </c>
      <c r="F83" s="248">
        <f>'FASE 1   '!P164</f>
        <v>0</v>
      </c>
      <c r="G83" s="248">
        <f>'FASE 1   '!L164</f>
        <v>0</v>
      </c>
      <c r="H83" s="248">
        <f>'FASE 1   '!S164</f>
        <v>0</v>
      </c>
      <c r="I83" s="248">
        <f>'FASE 1   '!N164</f>
        <v>0</v>
      </c>
      <c r="J83" s="248">
        <f>'FASE 1   '!T164</f>
        <v>0</v>
      </c>
      <c r="K83" s="248">
        <f>AVERAGE('FASE 2  '!D168:E168)</f>
        <v>0</v>
      </c>
      <c r="L83" s="248">
        <f>AVERAGE('FASE 2  '!M168:N168,'FASE 2  '!Q168)</f>
        <v>0</v>
      </c>
      <c r="M83" s="248">
        <f>'FASE 4'!J168</f>
        <v>0</v>
      </c>
      <c r="N83" s="248">
        <f>'FASE 2  '!L168</f>
        <v>0</v>
      </c>
      <c r="O83" s="248">
        <f>'FASE 3 '!N168</f>
        <v>0</v>
      </c>
      <c r="P83" s="248">
        <f>'FASE 3 '!L168</f>
        <v>0</v>
      </c>
      <c r="Q83" s="248">
        <f>AVERAGE('FASE 3 '!O168,'FASE 3 '!P168,'FASE 3 '!Q168,'FASE 3 '!R168)</f>
        <v>0</v>
      </c>
      <c r="R83" s="248">
        <f>AVERAGE('FASE 3 '!T168,'FASE 3 '!U168,'FASE 3 '!S168)</f>
        <v>0</v>
      </c>
      <c r="S83" s="248">
        <f>'FASE 3 '!W168</f>
        <v>0</v>
      </c>
      <c r="T83" s="248">
        <f>'FASE 3 '!V168</f>
        <v>0</v>
      </c>
      <c r="U83" s="248">
        <f>'FASE 4'!F168</f>
        <v>0</v>
      </c>
      <c r="V83" s="251">
        <f t="shared" si="0"/>
        <v>0</v>
      </c>
    </row>
    <row r="84" spans="2:23" ht="15.75">
      <c r="B84" s="242">
        <v>413</v>
      </c>
      <c r="C84" s="247">
        <f>'FASE 1   '!E165</f>
        <v>0</v>
      </c>
      <c r="D84" s="248">
        <f>'FASE 1   '!K165</f>
        <v>0</v>
      </c>
      <c r="E84" s="248">
        <f>'FASE 1   '!J165</f>
        <v>0</v>
      </c>
      <c r="F84" s="248">
        <f>'FASE 1   '!P165</f>
        <v>0</v>
      </c>
      <c r="G84" s="248">
        <f>'FASE 1   '!L165</f>
        <v>0</v>
      </c>
      <c r="H84" s="248">
        <f>'FASE 1   '!S165</f>
        <v>0</v>
      </c>
      <c r="I84" s="248">
        <f>'FASE 1   '!N165</f>
        <v>0</v>
      </c>
      <c r="J84" s="248">
        <f>'FASE 1   '!T165</f>
        <v>0</v>
      </c>
      <c r="K84" s="248">
        <f>AVERAGE('FASE 2  '!D169:E169)</f>
        <v>0</v>
      </c>
      <c r="L84" s="248">
        <f>AVERAGE('FASE 2  '!M169:N169,'FASE 2  '!Q169)</f>
        <v>0</v>
      </c>
      <c r="M84" s="248">
        <f>'FASE 4'!J169</f>
        <v>0</v>
      </c>
      <c r="N84" s="248">
        <f>'FASE 2  '!L169</f>
        <v>0</v>
      </c>
      <c r="O84" s="248">
        <f>'FASE 3 '!N169</f>
        <v>0</v>
      </c>
      <c r="P84" s="248">
        <f>'FASE 3 '!L169</f>
        <v>0</v>
      </c>
      <c r="Q84" s="248">
        <f>AVERAGE('FASE 3 '!O169,'FASE 3 '!P169,'FASE 3 '!Q169,'FASE 3 '!R169)</f>
        <v>0</v>
      </c>
      <c r="R84" s="248">
        <f>AVERAGE('FASE 3 '!T169,'FASE 3 '!U169,'FASE 3 '!S169)</f>
        <v>0</v>
      </c>
      <c r="S84" s="248">
        <f>'FASE 3 '!W169</f>
        <v>0</v>
      </c>
      <c r="T84" s="248">
        <f>'FASE 3 '!V169</f>
        <v>0</v>
      </c>
      <c r="U84" s="248">
        <f>'FASE 4'!F169</f>
        <v>0</v>
      </c>
      <c r="V84" s="251">
        <f t="shared" si="0"/>
        <v>0</v>
      </c>
    </row>
    <row r="85" spans="2:23" ht="15.75">
      <c r="B85" s="242">
        <v>414</v>
      </c>
      <c r="C85" s="247">
        <f>'FASE 1   '!E166</f>
        <v>0</v>
      </c>
      <c r="D85" s="248">
        <f>'FASE 1   '!K166</f>
        <v>0</v>
      </c>
      <c r="E85" s="248">
        <f>'FASE 1   '!J166</f>
        <v>0</v>
      </c>
      <c r="F85" s="248">
        <f>'FASE 1   '!P166</f>
        <v>0</v>
      </c>
      <c r="G85" s="248">
        <f>'FASE 1   '!L166</f>
        <v>0</v>
      </c>
      <c r="H85" s="248">
        <f>'FASE 1   '!S166</f>
        <v>0</v>
      </c>
      <c r="I85" s="248">
        <f>'FASE 1   '!N166</f>
        <v>0</v>
      </c>
      <c r="J85" s="248">
        <f>'FASE 1   '!T166</f>
        <v>0</v>
      </c>
      <c r="K85" s="248">
        <f>AVERAGE('FASE 2  '!D170:E170)</f>
        <v>0</v>
      </c>
      <c r="L85" s="248">
        <f>AVERAGE('FASE 2  '!M170:N170,'FASE 2  '!Q170)</f>
        <v>0</v>
      </c>
      <c r="M85" s="248">
        <f>'FASE 4'!J170</f>
        <v>0</v>
      </c>
      <c r="N85" s="248">
        <f>'FASE 2  '!L170</f>
        <v>0</v>
      </c>
      <c r="O85" s="248">
        <f>'FASE 3 '!N170</f>
        <v>0</v>
      </c>
      <c r="P85" s="248">
        <f>'FASE 3 '!L170</f>
        <v>0</v>
      </c>
      <c r="Q85" s="248">
        <f>AVERAGE('FASE 3 '!O170,'FASE 3 '!P170,'FASE 3 '!Q170,'FASE 3 '!R170)</f>
        <v>0</v>
      </c>
      <c r="R85" s="248">
        <f>AVERAGE('FASE 3 '!T170,'FASE 3 '!U170,'FASE 3 '!S170)</f>
        <v>0</v>
      </c>
      <c r="S85" s="248">
        <f>'FASE 3 '!W170</f>
        <v>0</v>
      </c>
      <c r="T85" s="248">
        <f>'FASE 3 '!V170</f>
        <v>0</v>
      </c>
      <c r="U85" s="248">
        <f>'FASE 4'!F170</f>
        <v>0</v>
      </c>
      <c r="V85" s="251">
        <f t="shared" si="0"/>
        <v>0</v>
      </c>
    </row>
    <row r="86" spans="2:23" ht="15.75">
      <c r="B86" s="242">
        <v>415</v>
      </c>
      <c r="C86" s="247">
        <f>'FASE 1   '!E168</f>
        <v>0</v>
      </c>
      <c r="D86" s="248">
        <f>'FASE 1   '!K168</f>
        <v>0</v>
      </c>
      <c r="E86" s="248">
        <f>'FASE 1   '!J168</f>
        <v>0</v>
      </c>
      <c r="F86" s="248">
        <f>'FASE 1   '!P168</f>
        <v>0</v>
      </c>
      <c r="G86" s="248">
        <f>'FASE 1   '!L168</f>
        <v>0</v>
      </c>
      <c r="H86" s="248">
        <f>'FASE 1   '!S168</f>
        <v>0</v>
      </c>
      <c r="I86" s="248">
        <f>'FASE 1   '!N168</f>
        <v>0</v>
      </c>
      <c r="J86" s="248">
        <f>'FASE 1   '!T168</f>
        <v>0</v>
      </c>
      <c r="K86" s="248" t="e">
        <f>AVERAGE('FASE 2  '!#REF!)</f>
        <v>#REF!</v>
      </c>
      <c r="L86" s="248" t="e">
        <f>AVERAGE('FASE 2  '!#REF!,'FASE 2  '!#REF!)</f>
        <v>#REF!</v>
      </c>
      <c r="M86" s="248" t="e">
        <f>'FASE 4'!#REF!</f>
        <v>#REF!</v>
      </c>
      <c r="N86" s="248" t="e">
        <f>'FASE 2  '!#REF!</f>
        <v>#REF!</v>
      </c>
      <c r="O86" s="248" t="e">
        <f>'FASE 3 '!#REF!</f>
        <v>#REF!</v>
      </c>
      <c r="P86" s="248" t="e">
        <f>'FASE 3 '!#REF!</f>
        <v>#REF!</v>
      </c>
      <c r="Q86" s="248" t="e">
        <f>AVERAGE('FASE 3 '!#REF!,'FASE 3 '!#REF!,'FASE 3 '!#REF!,'FASE 3 '!#REF!)</f>
        <v>#REF!</v>
      </c>
      <c r="R86" s="248" t="e">
        <f>AVERAGE('FASE 3 '!#REF!,'FASE 3 '!#REF!,'FASE 3 '!#REF!)</f>
        <v>#REF!</v>
      </c>
      <c r="S86" s="248" t="e">
        <f>'FASE 3 '!#REF!</f>
        <v>#REF!</v>
      </c>
      <c r="T86" s="248" t="e">
        <f>'FASE 3 '!#REF!</f>
        <v>#REF!</v>
      </c>
      <c r="U86" s="248" t="e">
        <f>'FASE 4'!#REF!</f>
        <v>#REF!</v>
      </c>
      <c r="V86" s="251" t="e">
        <f t="shared" si="0"/>
        <v>#REF!</v>
      </c>
    </row>
    <row r="87" spans="2:23" ht="15.75">
      <c r="B87" s="242">
        <v>416</v>
      </c>
      <c r="C87" s="247">
        <f>'FASE 1   '!E169</f>
        <v>0</v>
      </c>
      <c r="D87" s="248">
        <f>'FASE 1   '!K169</f>
        <v>0</v>
      </c>
      <c r="E87" s="248">
        <f>'FASE 1   '!J169</f>
        <v>0</v>
      </c>
      <c r="F87" s="248">
        <f>'FASE 1   '!P169</f>
        <v>0</v>
      </c>
      <c r="G87" s="248">
        <f>'FASE 1   '!L169</f>
        <v>0</v>
      </c>
      <c r="H87" s="248">
        <f>'FASE 1   '!S169</f>
        <v>0</v>
      </c>
      <c r="I87" s="248">
        <f>'FASE 1   '!N169</f>
        <v>0</v>
      </c>
      <c r="J87" s="248">
        <f>'FASE 1   '!T169</f>
        <v>0</v>
      </c>
      <c r="K87" s="248" t="e">
        <f>AVERAGE('FASE 2  '!#REF!)</f>
        <v>#REF!</v>
      </c>
      <c r="L87" s="248" t="e">
        <f>AVERAGE('FASE 2  '!#REF!,'FASE 2  '!#REF!)</f>
        <v>#REF!</v>
      </c>
      <c r="M87" s="248" t="e">
        <f>'FASE 4'!#REF!</f>
        <v>#REF!</v>
      </c>
      <c r="N87" s="248" t="e">
        <f>'FASE 2  '!#REF!</f>
        <v>#REF!</v>
      </c>
      <c r="O87" s="248" t="e">
        <f>'FASE 3 '!#REF!</f>
        <v>#REF!</v>
      </c>
      <c r="P87" s="248" t="e">
        <f>'FASE 3 '!#REF!</f>
        <v>#REF!</v>
      </c>
      <c r="Q87" s="248" t="e">
        <f>AVERAGE('FASE 3 '!#REF!,'FASE 3 '!#REF!,'FASE 3 '!#REF!,'FASE 3 '!#REF!)</f>
        <v>#REF!</v>
      </c>
      <c r="R87" s="248" t="e">
        <f>AVERAGE('FASE 3 '!#REF!,'FASE 3 '!#REF!,'FASE 3 '!#REF!)</f>
        <v>#REF!</v>
      </c>
      <c r="S87" s="248" t="e">
        <f>'FASE 3 '!#REF!</f>
        <v>#REF!</v>
      </c>
      <c r="T87" s="248" t="e">
        <f>'FASE 3 '!#REF!</f>
        <v>#REF!</v>
      </c>
      <c r="U87" s="248" t="e">
        <f>'FASE 4'!#REF!</f>
        <v>#REF!</v>
      </c>
      <c r="V87" s="251" t="e">
        <f t="shared" si="0"/>
        <v>#REF!</v>
      </c>
    </row>
    <row r="88" spans="2:23" ht="16.5" thickBot="1">
      <c r="B88" s="242">
        <v>417</v>
      </c>
      <c r="C88" s="247">
        <f>'FASE 1   '!E170</f>
        <v>0</v>
      </c>
      <c r="D88" s="248">
        <f>'FASE 1   '!K170</f>
        <v>0</v>
      </c>
      <c r="E88" s="248">
        <f>'FASE 1   '!J170</f>
        <v>0</v>
      </c>
      <c r="F88" s="248">
        <f>'FASE 1   '!P170</f>
        <v>0</v>
      </c>
      <c r="G88" s="248">
        <f>'FASE 1   '!L170</f>
        <v>0</v>
      </c>
      <c r="H88" s="248">
        <f>'FASE 1   '!S170</f>
        <v>0</v>
      </c>
      <c r="I88" s="248">
        <f>'FASE 1   '!N170</f>
        <v>0</v>
      </c>
      <c r="J88" s="248">
        <f>'FASE 1   '!T170</f>
        <v>0</v>
      </c>
      <c r="K88" s="248" t="e">
        <f>AVERAGE('FASE 2  '!#REF!)</f>
        <v>#REF!</v>
      </c>
      <c r="L88" s="248" t="e">
        <f>AVERAGE('FASE 2  '!#REF!,'FASE 2  '!#REF!)</f>
        <v>#REF!</v>
      </c>
      <c r="M88" s="248" t="e">
        <f>'FASE 4'!#REF!</f>
        <v>#REF!</v>
      </c>
      <c r="N88" s="248" t="e">
        <f>'FASE 2  '!#REF!</f>
        <v>#REF!</v>
      </c>
      <c r="O88" s="248" t="e">
        <f>'FASE 3 '!#REF!</f>
        <v>#REF!</v>
      </c>
      <c r="P88" s="248" t="e">
        <f>'FASE 3 '!#REF!</f>
        <v>#REF!</v>
      </c>
      <c r="Q88" s="248" t="e">
        <f>AVERAGE('FASE 3 '!#REF!,'FASE 3 '!#REF!,'FASE 3 '!#REF!,'FASE 3 '!#REF!)</f>
        <v>#REF!</v>
      </c>
      <c r="R88" s="248" t="e">
        <f>AVERAGE('FASE 3 '!#REF!,'FASE 3 '!#REF!,'FASE 3 '!#REF!)</f>
        <v>#REF!</v>
      </c>
      <c r="S88" s="248" t="e">
        <f>'FASE 3 '!#REF!</f>
        <v>#REF!</v>
      </c>
      <c r="T88" s="248" t="e">
        <f>'FASE 3 '!#REF!</f>
        <v>#REF!</v>
      </c>
      <c r="U88" s="248" t="e">
        <f>'FASE 4'!#REF!</f>
        <v>#REF!</v>
      </c>
      <c r="V88" s="254" t="e">
        <f t="shared" si="0"/>
        <v>#REF!</v>
      </c>
    </row>
    <row r="89" spans="2:23" ht="16.5" thickBot="1">
      <c r="B89" s="243" t="s">
        <v>519</v>
      </c>
      <c r="C89" s="251">
        <f t="shared" ref="C89:U89" si="3">AVERAGE(C42:C88)</f>
        <v>0</v>
      </c>
      <c r="D89" s="251">
        <f t="shared" si="3"/>
        <v>0</v>
      </c>
      <c r="E89" s="251">
        <f t="shared" si="3"/>
        <v>0</v>
      </c>
      <c r="F89" s="251">
        <f t="shared" si="3"/>
        <v>0</v>
      </c>
      <c r="G89" s="251">
        <f t="shared" si="3"/>
        <v>0</v>
      </c>
      <c r="H89" s="251">
        <f t="shared" si="3"/>
        <v>0</v>
      </c>
      <c r="I89" s="251">
        <f t="shared" si="3"/>
        <v>0</v>
      </c>
      <c r="J89" s="251">
        <f t="shared" si="3"/>
        <v>0</v>
      </c>
      <c r="K89" s="251" t="e">
        <f t="shared" si="3"/>
        <v>#REF!</v>
      </c>
      <c r="L89" s="251" t="e">
        <f t="shared" si="3"/>
        <v>#REF!</v>
      </c>
      <c r="M89" s="251" t="e">
        <f t="shared" si="3"/>
        <v>#REF!</v>
      </c>
      <c r="N89" s="251" t="e">
        <f t="shared" si="3"/>
        <v>#REF!</v>
      </c>
      <c r="O89" s="251" t="e">
        <f t="shared" si="3"/>
        <v>#REF!</v>
      </c>
      <c r="P89" s="251" t="e">
        <f t="shared" si="3"/>
        <v>#REF!</v>
      </c>
      <c r="Q89" s="251" t="e">
        <f t="shared" si="3"/>
        <v>#REF!</v>
      </c>
      <c r="R89" s="251" t="e">
        <f t="shared" si="3"/>
        <v>#REF!</v>
      </c>
      <c r="S89" s="251" t="e">
        <f t="shared" si="3"/>
        <v>#REF!</v>
      </c>
      <c r="T89" s="251" t="e">
        <f t="shared" si="3"/>
        <v>#REF!</v>
      </c>
      <c r="U89" s="253" t="e">
        <f t="shared" si="3"/>
        <v>#REF!</v>
      </c>
      <c r="V89" s="256" t="e">
        <f>AVERAGE(C89:U89)</f>
        <v>#REF!</v>
      </c>
      <c r="W89" s="2"/>
    </row>
    <row r="90" spans="2:23" ht="15.75">
      <c r="B90" s="242">
        <v>501</v>
      </c>
      <c r="C90" s="247">
        <f>'FASE 1   '!E174</f>
        <v>0</v>
      </c>
      <c r="D90" s="248">
        <f>'FASE 1   '!K174</f>
        <v>0</v>
      </c>
      <c r="E90" s="248">
        <f>'FASE 1   '!J174</f>
        <v>0</v>
      </c>
      <c r="F90" s="248">
        <f>'FASE 1   '!P174</f>
        <v>0</v>
      </c>
      <c r="G90" s="248">
        <f>'FASE 1   '!L174</f>
        <v>0</v>
      </c>
      <c r="H90" s="248">
        <f>'FASE 1   '!S174</f>
        <v>0</v>
      </c>
      <c r="I90" s="248">
        <f>'FASE 1   '!N174</f>
        <v>0</v>
      </c>
      <c r="J90" s="248">
        <f>'FASE 1   '!T174</f>
        <v>0</v>
      </c>
      <c r="K90" s="248">
        <f>AVERAGE('FASE 2  '!D174:E174)</f>
        <v>0</v>
      </c>
      <c r="L90" s="248">
        <f>AVERAGE('FASE 2  '!M174:N174,'FASE 2  '!Q174)</f>
        <v>0</v>
      </c>
      <c r="M90" s="248">
        <f>'FASE 4'!J174</f>
        <v>0</v>
      </c>
      <c r="N90" s="248">
        <f>'FASE 2  '!L174</f>
        <v>0</v>
      </c>
      <c r="O90" s="248">
        <f>'FASE 3 '!N174</f>
        <v>0</v>
      </c>
      <c r="P90" s="248">
        <f>'FASE 3 '!L174</f>
        <v>0</v>
      </c>
      <c r="Q90" s="248">
        <f>AVERAGE('FASE 3 '!O174,'FASE 3 '!P174,'FASE 3 '!Q174,'FASE 3 '!R174)</f>
        <v>0</v>
      </c>
      <c r="R90" s="248">
        <f>AVERAGE('FASE 3 '!T174,'FASE 3 '!U174,'FASE 3 '!S174)</f>
        <v>0</v>
      </c>
      <c r="S90" s="248">
        <f>'FASE 3 '!W174</f>
        <v>0</v>
      </c>
      <c r="T90" s="248">
        <f>'FASE 3 '!V174</f>
        <v>0</v>
      </c>
      <c r="U90" s="248">
        <f>'FASE 4'!F174</f>
        <v>0</v>
      </c>
      <c r="V90" s="255">
        <f t="shared" si="0"/>
        <v>0</v>
      </c>
    </row>
    <row r="91" spans="2:23" ht="15.75">
      <c r="B91" s="242">
        <v>502</v>
      </c>
      <c r="C91" s="247">
        <f>'FASE 1   '!E205</f>
        <v>0</v>
      </c>
      <c r="D91" s="248">
        <f>'FASE 1   '!K205</f>
        <v>0</v>
      </c>
      <c r="E91" s="248">
        <f>'FASE 1   '!J205</f>
        <v>0</v>
      </c>
      <c r="F91" s="248">
        <f>'FASE 1   '!P205</f>
        <v>0</v>
      </c>
      <c r="G91" s="248">
        <f>'FASE 1   '!L205</f>
        <v>0</v>
      </c>
      <c r="H91" s="248">
        <f>'FASE 1   '!S205</f>
        <v>0</v>
      </c>
      <c r="I91" s="248">
        <f>'FASE 1   '!N205</f>
        <v>0</v>
      </c>
      <c r="J91" s="248">
        <f>'FASE 1   '!T205</f>
        <v>0</v>
      </c>
      <c r="K91" s="248">
        <f>AVERAGE('FASE 2  '!D205:E205)</f>
        <v>0</v>
      </c>
      <c r="L91" s="248">
        <f>AVERAGE('FASE 2  '!M205:N205,'FASE 2  '!Q205)</f>
        <v>0</v>
      </c>
      <c r="M91" s="248">
        <f>'FASE 4'!J205</f>
        <v>0</v>
      </c>
      <c r="N91" s="248">
        <f>'FASE 2  '!L205</f>
        <v>0</v>
      </c>
      <c r="O91" s="248">
        <f>'FASE 3 '!N205</f>
        <v>0</v>
      </c>
      <c r="P91" s="248">
        <f>'FASE 3 '!L205</f>
        <v>0</v>
      </c>
      <c r="Q91" s="248">
        <f>AVERAGE('FASE 3 '!O205,'FASE 3 '!P205,'FASE 3 '!Q205,'FASE 3 '!R205)</f>
        <v>0</v>
      </c>
      <c r="R91" s="248">
        <f>AVERAGE('FASE 3 '!T205,'FASE 3 '!U205,'FASE 3 '!S205)</f>
        <v>0</v>
      </c>
      <c r="S91" s="248">
        <f>'FASE 3 '!W205</f>
        <v>0</v>
      </c>
      <c r="T91" s="248">
        <f>'FASE 3 '!V205</f>
        <v>0</v>
      </c>
      <c r="U91" s="248">
        <f>'FASE 4'!F205</f>
        <v>0</v>
      </c>
      <c r="V91" s="251">
        <f t="shared" si="0"/>
        <v>0</v>
      </c>
    </row>
    <row r="92" spans="2:23" ht="15.75">
      <c r="B92" s="242">
        <v>503</v>
      </c>
      <c r="C92" s="247">
        <f>'FASE 1   '!E206</f>
        <v>0</v>
      </c>
      <c r="D92" s="248">
        <f>'FASE 1   '!K206</f>
        <v>0</v>
      </c>
      <c r="E92" s="248">
        <f>'FASE 1   '!J206</f>
        <v>0</v>
      </c>
      <c r="F92" s="248">
        <f>'FASE 1   '!P206</f>
        <v>0</v>
      </c>
      <c r="G92" s="248">
        <f>'FASE 1   '!L206</f>
        <v>0</v>
      </c>
      <c r="H92" s="248">
        <f>'FASE 1   '!S206</f>
        <v>0</v>
      </c>
      <c r="I92" s="248">
        <f>'FASE 1   '!N206</f>
        <v>0</v>
      </c>
      <c r="J92" s="248">
        <f>'FASE 1   '!T206</f>
        <v>0</v>
      </c>
      <c r="K92" s="248">
        <f>AVERAGE('FASE 2  '!D206:E206)</f>
        <v>0</v>
      </c>
      <c r="L92" s="248">
        <f>AVERAGE('FASE 2  '!M206:N206,'FASE 2  '!Q206)</f>
        <v>0</v>
      </c>
      <c r="M92" s="248">
        <f>'FASE 4'!J206</f>
        <v>0</v>
      </c>
      <c r="N92" s="248">
        <f>'FASE 2  '!L206</f>
        <v>0</v>
      </c>
      <c r="O92" s="248">
        <f>'FASE 3 '!N206</f>
        <v>0</v>
      </c>
      <c r="P92" s="248">
        <f>'FASE 3 '!L206</f>
        <v>0</v>
      </c>
      <c r="Q92" s="248">
        <f>AVERAGE('FASE 3 '!O206,'FASE 3 '!P206,'FASE 3 '!Q206,'FASE 3 '!R206)</f>
        <v>0</v>
      </c>
      <c r="R92" s="248">
        <f>AVERAGE('FASE 3 '!T206,'FASE 3 '!U206,'FASE 3 '!S206)</f>
        <v>0</v>
      </c>
      <c r="S92" s="248">
        <f>'FASE 3 '!W206</f>
        <v>0</v>
      </c>
      <c r="T92" s="248">
        <f>'FASE 3 '!V206</f>
        <v>0</v>
      </c>
      <c r="U92" s="248">
        <f>'FASE 4'!F206</f>
        <v>0</v>
      </c>
      <c r="V92" s="251">
        <f t="shared" si="0"/>
        <v>0</v>
      </c>
    </row>
    <row r="93" spans="2:23" ht="15.75">
      <c r="B93" s="242">
        <v>504</v>
      </c>
      <c r="C93" s="247">
        <f>'FASE 1   '!E207</f>
        <v>0</v>
      </c>
      <c r="D93" s="248">
        <f>'FASE 1   '!K207</f>
        <v>0</v>
      </c>
      <c r="E93" s="248">
        <f>'FASE 1   '!J207</f>
        <v>0</v>
      </c>
      <c r="F93" s="248">
        <f>'FASE 1   '!P207</f>
        <v>0</v>
      </c>
      <c r="G93" s="248">
        <f>'FASE 1   '!L207</f>
        <v>0</v>
      </c>
      <c r="H93" s="248">
        <f>'FASE 1   '!S207</f>
        <v>0</v>
      </c>
      <c r="I93" s="248">
        <f>'FASE 1   '!N207</f>
        <v>0</v>
      </c>
      <c r="J93" s="248">
        <f>'FASE 1   '!T207</f>
        <v>0</v>
      </c>
      <c r="K93" s="248">
        <f>AVERAGE('FASE 2  '!D207:E207)</f>
        <v>0</v>
      </c>
      <c r="L93" s="248">
        <f>AVERAGE('FASE 2  '!M207:N207,'FASE 2  '!Q207)</f>
        <v>0</v>
      </c>
      <c r="M93" s="248">
        <f>'FASE 4'!J207</f>
        <v>0</v>
      </c>
      <c r="N93" s="248">
        <f>'FASE 2  '!L207</f>
        <v>0</v>
      </c>
      <c r="O93" s="248">
        <f>'FASE 3 '!N207</f>
        <v>0</v>
      </c>
      <c r="P93" s="248">
        <f>'FASE 3 '!L207</f>
        <v>0</v>
      </c>
      <c r="Q93" s="248">
        <f>AVERAGE('FASE 3 '!O207,'FASE 3 '!P207,'FASE 3 '!Q207,'FASE 3 '!R207)</f>
        <v>0</v>
      </c>
      <c r="R93" s="248">
        <f>AVERAGE('FASE 3 '!T207,'FASE 3 '!U207,'FASE 3 '!S207)</f>
        <v>0</v>
      </c>
      <c r="S93" s="248">
        <f>'FASE 3 '!W207</f>
        <v>0</v>
      </c>
      <c r="T93" s="248">
        <f>'FASE 3 '!V207</f>
        <v>0</v>
      </c>
      <c r="U93" s="248">
        <f>'FASE 4'!F207</f>
        <v>0</v>
      </c>
      <c r="V93" s="251">
        <f t="shared" si="0"/>
        <v>0</v>
      </c>
    </row>
    <row r="94" spans="2:23" ht="15.75">
      <c r="B94" s="242">
        <v>505</v>
      </c>
      <c r="C94" s="247">
        <f>'FASE 1   '!E208</f>
        <v>0</v>
      </c>
      <c r="D94" s="248">
        <f>'FASE 1   '!K208</f>
        <v>0</v>
      </c>
      <c r="E94" s="248">
        <f>'FASE 1   '!J208</f>
        <v>0</v>
      </c>
      <c r="F94" s="248">
        <f>'FASE 1   '!P208</f>
        <v>0</v>
      </c>
      <c r="G94" s="248">
        <f>'FASE 1   '!L208</f>
        <v>0</v>
      </c>
      <c r="H94" s="248">
        <f>'FASE 1   '!S208</f>
        <v>0</v>
      </c>
      <c r="I94" s="248">
        <f>'FASE 1   '!N208</f>
        <v>0</v>
      </c>
      <c r="J94" s="248">
        <f>'FASE 1   '!T208</f>
        <v>0</v>
      </c>
      <c r="K94" s="248">
        <f>AVERAGE('FASE 2  '!D208:E208)</f>
        <v>0</v>
      </c>
      <c r="L94" s="248">
        <f>AVERAGE('FASE 2  '!M208:N208,'FASE 2  '!Q208)</f>
        <v>0</v>
      </c>
      <c r="M94" s="248">
        <f>'FASE 4'!J208</f>
        <v>0</v>
      </c>
      <c r="N94" s="248">
        <f>'FASE 2  '!L208</f>
        <v>0</v>
      </c>
      <c r="O94" s="248">
        <f>'FASE 3 '!N208</f>
        <v>0</v>
      </c>
      <c r="P94" s="248">
        <f>'FASE 3 '!L208</f>
        <v>0</v>
      </c>
      <c r="Q94" s="248">
        <f>AVERAGE('FASE 3 '!O208,'FASE 3 '!P208,'FASE 3 '!Q208,'FASE 3 '!R208)</f>
        <v>0</v>
      </c>
      <c r="R94" s="248">
        <f>AVERAGE('FASE 3 '!T208,'FASE 3 '!U208,'FASE 3 '!S208)</f>
        <v>0</v>
      </c>
      <c r="S94" s="248">
        <f>'FASE 3 '!W208</f>
        <v>0</v>
      </c>
      <c r="T94" s="248">
        <f>'FASE 3 '!V208</f>
        <v>0</v>
      </c>
      <c r="U94" s="248">
        <f>'FASE 4'!F208</f>
        <v>0</v>
      </c>
      <c r="V94" s="251">
        <f t="shared" si="0"/>
        <v>0</v>
      </c>
    </row>
    <row r="95" spans="2:23" ht="15.75">
      <c r="B95" s="242">
        <v>506</v>
      </c>
      <c r="C95" s="247">
        <f>'FASE 1   '!E209</f>
        <v>0</v>
      </c>
      <c r="D95" s="248">
        <f>'FASE 1   '!K209</f>
        <v>0</v>
      </c>
      <c r="E95" s="248">
        <f>'FASE 1   '!J209</f>
        <v>0</v>
      </c>
      <c r="F95" s="248">
        <f>'FASE 1   '!P209</f>
        <v>0</v>
      </c>
      <c r="G95" s="248">
        <f>'FASE 1   '!L209</f>
        <v>0</v>
      </c>
      <c r="H95" s="248">
        <f>'FASE 1   '!S209</f>
        <v>0</v>
      </c>
      <c r="I95" s="248">
        <f>'FASE 1   '!N209</f>
        <v>0</v>
      </c>
      <c r="J95" s="248">
        <f>'FASE 1   '!T209</f>
        <v>0</v>
      </c>
      <c r="K95" s="248">
        <f>AVERAGE('FASE 2  '!D209:E209)</f>
        <v>0</v>
      </c>
      <c r="L95" s="248">
        <f>AVERAGE('FASE 2  '!M209:N209,'FASE 2  '!Q209)</f>
        <v>0</v>
      </c>
      <c r="M95" s="248">
        <f>'FASE 4'!J209</f>
        <v>0</v>
      </c>
      <c r="N95" s="248">
        <f>'FASE 2  '!L209</f>
        <v>0</v>
      </c>
      <c r="O95" s="248">
        <f>'FASE 3 '!N209</f>
        <v>0</v>
      </c>
      <c r="P95" s="248">
        <f>'FASE 3 '!L209</f>
        <v>0</v>
      </c>
      <c r="Q95" s="248">
        <f>AVERAGE('FASE 3 '!O209,'FASE 3 '!P209,'FASE 3 '!Q209,'FASE 3 '!R209)</f>
        <v>0</v>
      </c>
      <c r="R95" s="248">
        <f>AVERAGE('FASE 3 '!T209,'FASE 3 '!U209,'FASE 3 '!S209)</f>
        <v>0</v>
      </c>
      <c r="S95" s="248">
        <f>'FASE 3 '!W209</f>
        <v>0</v>
      </c>
      <c r="T95" s="248">
        <f>'FASE 3 '!V209</f>
        <v>0</v>
      </c>
      <c r="U95" s="248">
        <f>'FASE 4'!F209</f>
        <v>0</v>
      </c>
      <c r="V95" s="251">
        <f t="shared" si="0"/>
        <v>0</v>
      </c>
    </row>
    <row r="96" spans="2:23" ht="15.75">
      <c r="B96" s="242">
        <v>507</v>
      </c>
      <c r="C96" s="247">
        <f>'FASE 1   '!E210</f>
        <v>0</v>
      </c>
      <c r="D96" s="248">
        <f>'FASE 1   '!K210</f>
        <v>0</v>
      </c>
      <c r="E96" s="248">
        <f>'FASE 1   '!J210</f>
        <v>0</v>
      </c>
      <c r="F96" s="248">
        <f>'FASE 1   '!P210</f>
        <v>0</v>
      </c>
      <c r="G96" s="248">
        <f>'FASE 1   '!L210</f>
        <v>0</v>
      </c>
      <c r="H96" s="248">
        <f>'FASE 1   '!S210</f>
        <v>0</v>
      </c>
      <c r="I96" s="248">
        <f>'FASE 1   '!N210</f>
        <v>0</v>
      </c>
      <c r="J96" s="248">
        <f>'FASE 1   '!T210</f>
        <v>0</v>
      </c>
      <c r="K96" s="248">
        <f>AVERAGE('FASE 2  '!D210:E210)</f>
        <v>0</v>
      </c>
      <c r="L96" s="248">
        <f>AVERAGE('FASE 2  '!M210:N210,'FASE 2  '!Q210)</f>
        <v>0</v>
      </c>
      <c r="M96" s="248">
        <f>'FASE 4'!J210</f>
        <v>0</v>
      </c>
      <c r="N96" s="248">
        <f>'FASE 2  '!L210</f>
        <v>0</v>
      </c>
      <c r="O96" s="248">
        <f>'FASE 3 '!N210</f>
        <v>0</v>
      </c>
      <c r="P96" s="248">
        <f>'FASE 3 '!L210</f>
        <v>0</v>
      </c>
      <c r="Q96" s="248">
        <f>AVERAGE('FASE 3 '!O210,'FASE 3 '!P210,'FASE 3 '!Q210,'FASE 3 '!R210)</f>
        <v>0</v>
      </c>
      <c r="R96" s="248">
        <f>AVERAGE('FASE 3 '!T210,'FASE 3 '!U210,'FASE 3 '!S210)</f>
        <v>0</v>
      </c>
      <c r="S96" s="248">
        <f>'FASE 3 '!W210</f>
        <v>0</v>
      </c>
      <c r="T96" s="248">
        <f>'FASE 3 '!V210</f>
        <v>0</v>
      </c>
      <c r="U96" s="248">
        <f>'FASE 4'!F210</f>
        <v>0</v>
      </c>
      <c r="V96" s="251">
        <f t="shared" si="0"/>
        <v>0</v>
      </c>
    </row>
    <row r="97" spans="2:23" ht="15.75">
      <c r="B97" s="242">
        <v>508</v>
      </c>
      <c r="C97" s="247">
        <f>'FASE 1   '!E211</f>
        <v>0</v>
      </c>
      <c r="D97" s="248">
        <f>'FASE 1   '!K211</f>
        <v>0</v>
      </c>
      <c r="E97" s="248">
        <f>'FASE 1   '!J211</f>
        <v>0</v>
      </c>
      <c r="F97" s="248">
        <f>'FASE 1   '!P211</f>
        <v>0</v>
      </c>
      <c r="G97" s="248">
        <f>'FASE 1   '!L211</f>
        <v>0</v>
      </c>
      <c r="H97" s="248">
        <f>'FASE 1   '!S211</f>
        <v>0</v>
      </c>
      <c r="I97" s="248">
        <f>'FASE 1   '!N211</f>
        <v>0</v>
      </c>
      <c r="J97" s="248">
        <f>'FASE 1   '!T211</f>
        <v>0</v>
      </c>
      <c r="K97" s="248">
        <f>AVERAGE('FASE 2  '!D211:E211)</f>
        <v>0</v>
      </c>
      <c r="L97" s="248">
        <f>AVERAGE('FASE 2  '!M211:N211,'FASE 2  '!Q211)</f>
        <v>0</v>
      </c>
      <c r="M97" s="248">
        <f>'FASE 4'!J211</f>
        <v>0</v>
      </c>
      <c r="N97" s="248">
        <f>'FASE 2  '!L211</f>
        <v>0</v>
      </c>
      <c r="O97" s="248">
        <f>'FASE 3 '!N211</f>
        <v>0</v>
      </c>
      <c r="P97" s="248">
        <f>'FASE 3 '!L211</f>
        <v>0</v>
      </c>
      <c r="Q97" s="248">
        <f>AVERAGE('FASE 3 '!O211,'FASE 3 '!P211,'FASE 3 '!Q211,'FASE 3 '!R211)</f>
        <v>0</v>
      </c>
      <c r="R97" s="248">
        <f>AVERAGE('FASE 3 '!T211,'FASE 3 '!U211,'FASE 3 '!S211)</f>
        <v>0</v>
      </c>
      <c r="S97" s="248">
        <f>'FASE 3 '!W211</f>
        <v>0</v>
      </c>
      <c r="T97" s="248">
        <f>'FASE 3 '!V211</f>
        <v>0</v>
      </c>
      <c r="U97" s="248">
        <f>'FASE 4'!F211</f>
        <v>0</v>
      </c>
      <c r="V97" s="251">
        <f t="shared" si="0"/>
        <v>0</v>
      </c>
    </row>
    <row r="98" spans="2:23" ht="15.75">
      <c r="B98" s="242">
        <v>509</v>
      </c>
      <c r="C98" s="247">
        <f>'FASE 1   '!E212</f>
        <v>0</v>
      </c>
      <c r="D98" s="248">
        <f>'FASE 1   '!K212</f>
        <v>0</v>
      </c>
      <c r="E98" s="248">
        <f>'FASE 1   '!J212</f>
        <v>0</v>
      </c>
      <c r="F98" s="248">
        <f>'FASE 1   '!P212</f>
        <v>0</v>
      </c>
      <c r="G98" s="248">
        <f>'FASE 1   '!L212</f>
        <v>0</v>
      </c>
      <c r="H98" s="248">
        <f>'FASE 1   '!S212</f>
        <v>0</v>
      </c>
      <c r="I98" s="248">
        <f>'FASE 1   '!N212</f>
        <v>0</v>
      </c>
      <c r="J98" s="248">
        <f>'FASE 1   '!T212</f>
        <v>0</v>
      </c>
      <c r="K98" s="248">
        <f>AVERAGE('FASE 2  '!D212:E212)</f>
        <v>0</v>
      </c>
      <c r="L98" s="248">
        <f>AVERAGE('FASE 2  '!M212:N212,'FASE 2  '!Q212)</f>
        <v>0</v>
      </c>
      <c r="M98" s="248">
        <f>'FASE 4'!J212</f>
        <v>0</v>
      </c>
      <c r="N98" s="248">
        <f>'FASE 2  '!L212</f>
        <v>0</v>
      </c>
      <c r="O98" s="248">
        <f>'FASE 3 '!N212</f>
        <v>0</v>
      </c>
      <c r="P98" s="248">
        <f>'FASE 3 '!L212</f>
        <v>0</v>
      </c>
      <c r="Q98" s="248">
        <f>AVERAGE('FASE 3 '!O212,'FASE 3 '!P212,'FASE 3 '!Q212,'FASE 3 '!R212)</f>
        <v>0</v>
      </c>
      <c r="R98" s="248">
        <f>AVERAGE('FASE 3 '!T212,'FASE 3 '!U212,'FASE 3 '!S212)</f>
        <v>0</v>
      </c>
      <c r="S98" s="248">
        <f>'FASE 3 '!W212</f>
        <v>0</v>
      </c>
      <c r="T98" s="248">
        <f>'FASE 3 '!V212</f>
        <v>0</v>
      </c>
      <c r="U98" s="248">
        <f>'FASE 4'!F212</f>
        <v>0</v>
      </c>
      <c r="V98" s="251">
        <f t="shared" si="0"/>
        <v>0</v>
      </c>
    </row>
    <row r="99" spans="2:23" ht="15.75">
      <c r="B99" s="242">
        <v>510</v>
      </c>
      <c r="C99" s="247">
        <f>'FASE 1   '!E213</f>
        <v>0</v>
      </c>
      <c r="D99" s="248">
        <f>'FASE 1   '!K213</f>
        <v>0</v>
      </c>
      <c r="E99" s="248">
        <f>'FASE 1   '!J213</f>
        <v>0</v>
      </c>
      <c r="F99" s="248">
        <f>'FASE 1   '!P213</f>
        <v>0</v>
      </c>
      <c r="G99" s="248">
        <f>'FASE 1   '!L213</f>
        <v>0</v>
      </c>
      <c r="H99" s="248">
        <f>'FASE 1   '!S213</f>
        <v>0</v>
      </c>
      <c r="I99" s="248">
        <f>'FASE 1   '!N213</f>
        <v>0</v>
      </c>
      <c r="J99" s="248">
        <f>'FASE 1   '!T213</f>
        <v>0</v>
      </c>
      <c r="K99" s="248">
        <f>AVERAGE('FASE 2  '!D213:E213)</f>
        <v>0</v>
      </c>
      <c r="L99" s="248">
        <f>AVERAGE('FASE 2  '!M213:N213,'FASE 2  '!Q213)</f>
        <v>0</v>
      </c>
      <c r="M99" s="248">
        <f>'FASE 4'!J213</f>
        <v>0</v>
      </c>
      <c r="N99" s="248">
        <f>'FASE 2  '!L213</f>
        <v>0</v>
      </c>
      <c r="O99" s="248">
        <f>'FASE 3 '!N213</f>
        <v>0</v>
      </c>
      <c r="P99" s="248">
        <f>'FASE 3 '!L213</f>
        <v>0</v>
      </c>
      <c r="Q99" s="248">
        <f>AVERAGE('FASE 3 '!O213,'FASE 3 '!P213,'FASE 3 '!Q213,'FASE 3 '!R213)</f>
        <v>0</v>
      </c>
      <c r="R99" s="248">
        <f>AVERAGE('FASE 3 '!T213,'FASE 3 '!U213,'FASE 3 '!S213)</f>
        <v>0</v>
      </c>
      <c r="S99" s="248">
        <f>'FASE 3 '!W213</f>
        <v>0</v>
      </c>
      <c r="T99" s="248">
        <f>'FASE 3 '!V213</f>
        <v>0</v>
      </c>
      <c r="U99" s="248">
        <f>'FASE 4'!F213</f>
        <v>0</v>
      </c>
      <c r="V99" s="251">
        <f t="shared" si="0"/>
        <v>0</v>
      </c>
    </row>
    <row r="100" spans="2:23" ht="15.75">
      <c r="B100" s="242">
        <v>511</v>
      </c>
      <c r="C100" s="247">
        <f>'FASE 1   '!E214</f>
        <v>0</v>
      </c>
      <c r="D100" s="248">
        <f>'FASE 1   '!K214</f>
        <v>0</v>
      </c>
      <c r="E100" s="248">
        <f>'FASE 1   '!J214</f>
        <v>0</v>
      </c>
      <c r="F100" s="248">
        <f>'FASE 1   '!P214</f>
        <v>0</v>
      </c>
      <c r="G100" s="248">
        <f>'FASE 1   '!L214</f>
        <v>0</v>
      </c>
      <c r="H100" s="248">
        <f>'FASE 1   '!S214</f>
        <v>0</v>
      </c>
      <c r="I100" s="248">
        <f>'FASE 1   '!N214</f>
        <v>0</v>
      </c>
      <c r="J100" s="248">
        <f>'FASE 1   '!T214</f>
        <v>0</v>
      </c>
      <c r="K100" s="248">
        <f>AVERAGE('FASE 2  '!D214:E214)</f>
        <v>0</v>
      </c>
      <c r="L100" s="248">
        <f>AVERAGE('FASE 2  '!M214:N214,'FASE 2  '!Q214)</f>
        <v>0</v>
      </c>
      <c r="M100" s="248">
        <f>'FASE 4'!J214</f>
        <v>0</v>
      </c>
      <c r="N100" s="248">
        <f>'FASE 2  '!L214</f>
        <v>0</v>
      </c>
      <c r="O100" s="248">
        <f>'FASE 3 '!N214</f>
        <v>0</v>
      </c>
      <c r="P100" s="248">
        <f>'FASE 3 '!L214</f>
        <v>0</v>
      </c>
      <c r="Q100" s="248">
        <f>AVERAGE('FASE 3 '!O214,'FASE 3 '!P214,'FASE 3 '!Q214,'FASE 3 '!R214)</f>
        <v>0</v>
      </c>
      <c r="R100" s="248">
        <f>AVERAGE('FASE 3 '!T214,'FASE 3 '!U214,'FASE 3 '!S214)</f>
        <v>0</v>
      </c>
      <c r="S100" s="248">
        <f>'FASE 3 '!W214</f>
        <v>0</v>
      </c>
      <c r="T100" s="248">
        <f>'FASE 3 '!V214</f>
        <v>0</v>
      </c>
      <c r="U100" s="248">
        <f>'FASE 4'!F214</f>
        <v>0</v>
      </c>
      <c r="V100" s="251">
        <f t="shared" si="0"/>
        <v>0</v>
      </c>
    </row>
    <row r="101" spans="2:23" ht="15.75">
      <c r="B101" s="242">
        <v>512</v>
      </c>
      <c r="C101" s="247">
        <f>'FASE 1   '!E215</f>
        <v>0</v>
      </c>
      <c r="D101" s="248">
        <f>'FASE 1   '!K215</f>
        <v>0</v>
      </c>
      <c r="E101" s="248">
        <f>'FASE 1   '!J215</f>
        <v>0</v>
      </c>
      <c r="F101" s="248">
        <f>'FASE 1   '!P215</f>
        <v>0</v>
      </c>
      <c r="G101" s="248">
        <f>'FASE 1   '!L215</f>
        <v>0</v>
      </c>
      <c r="H101" s="248">
        <f>'FASE 1   '!S215</f>
        <v>0</v>
      </c>
      <c r="I101" s="248">
        <f>'FASE 1   '!N215</f>
        <v>0</v>
      </c>
      <c r="J101" s="248">
        <f>'FASE 1   '!T215</f>
        <v>0</v>
      </c>
      <c r="K101" s="248">
        <f>AVERAGE('FASE 2  '!D215:E215)</f>
        <v>0</v>
      </c>
      <c r="L101" s="248">
        <f>AVERAGE('FASE 2  '!M215:N215,'FASE 2  '!Q215)</f>
        <v>0</v>
      </c>
      <c r="M101" s="248">
        <f>'FASE 4'!J215</f>
        <v>0</v>
      </c>
      <c r="N101" s="248">
        <f>'FASE 2  '!L215</f>
        <v>0</v>
      </c>
      <c r="O101" s="248">
        <f>'FASE 3 '!N215</f>
        <v>0</v>
      </c>
      <c r="P101" s="248">
        <f>'FASE 3 '!L215</f>
        <v>0</v>
      </c>
      <c r="Q101" s="248">
        <f>AVERAGE('FASE 3 '!O215,'FASE 3 '!P215,'FASE 3 '!Q215,'FASE 3 '!R215)</f>
        <v>0</v>
      </c>
      <c r="R101" s="248">
        <f>AVERAGE('FASE 3 '!T215,'FASE 3 '!U215,'FASE 3 '!S215)</f>
        <v>0</v>
      </c>
      <c r="S101" s="248">
        <f>'FASE 3 '!W215</f>
        <v>0</v>
      </c>
      <c r="T101" s="248">
        <f>'FASE 3 '!V215</f>
        <v>0</v>
      </c>
      <c r="U101" s="248">
        <f>'FASE 4'!F215</f>
        <v>0</v>
      </c>
      <c r="V101" s="251">
        <f t="shared" ref="V101:V164" si="4">AVERAGE(C101:U101)</f>
        <v>0</v>
      </c>
    </row>
    <row r="102" spans="2:23" ht="15.75">
      <c r="B102" s="242">
        <v>513</v>
      </c>
      <c r="C102" s="247">
        <f>'FASE 1   '!E216</f>
        <v>0</v>
      </c>
      <c r="D102" s="248">
        <f>'FASE 1   '!K216</f>
        <v>0</v>
      </c>
      <c r="E102" s="248">
        <f>'FASE 1   '!J216</f>
        <v>0</v>
      </c>
      <c r="F102" s="248">
        <f>'FASE 1   '!P216</f>
        <v>0</v>
      </c>
      <c r="G102" s="248">
        <f>'FASE 1   '!L216</f>
        <v>0</v>
      </c>
      <c r="H102" s="248">
        <f>'FASE 1   '!S216</f>
        <v>0</v>
      </c>
      <c r="I102" s="248">
        <f>'FASE 1   '!N216</f>
        <v>0</v>
      </c>
      <c r="J102" s="248">
        <f>'FASE 1   '!T216</f>
        <v>0</v>
      </c>
      <c r="K102" s="248">
        <f>AVERAGE('FASE 2  '!D216:E216)</f>
        <v>0</v>
      </c>
      <c r="L102" s="248">
        <f>AVERAGE('FASE 2  '!M216:N216,'FASE 2  '!Q216)</f>
        <v>0</v>
      </c>
      <c r="M102" s="248">
        <f>'FASE 4'!J216</f>
        <v>0</v>
      </c>
      <c r="N102" s="248">
        <f>'FASE 2  '!L216</f>
        <v>0</v>
      </c>
      <c r="O102" s="248">
        <f>'FASE 3 '!N216</f>
        <v>0</v>
      </c>
      <c r="P102" s="248">
        <f>'FASE 3 '!L216</f>
        <v>0</v>
      </c>
      <c r="Q102" s="248">
        <f>AVERAGE('FASE 3 '!O216,'FASE 3 '!P216,'FASE 3 '!Q216,'FASE 3 '!R216)</f>
        <v>0</v>
      </c>
      <c r="R102" s="248">
        <f>AVERAGE('FASE 3 '!T216,'FASE 3 '!U216,'FASE 3 '!S216)</f>
        <v>0</v>
      </c>
      <c r="S102" s="248">
        <f>'FASE 3 '!W216</f>
        <v>0</v>
      </c>
      <c r="T102" s="248">
        <f>'FASE 3 '!V216</f>
        <v>0</v>
      </c>
      <c r="U102" s="248">
        <f>'FASE 4'!F216</f>
        <v>0</v>
      </c>
      <c r="V102" s="251">
        <f t="shared" si="4"/>
        <v>0</v>
      </c>
    </row>
    <row r="103" spans="2:23" ht="15.75">
      <c r="B103" s="242">
        <v>514</v>
      </c>
      <c r="C103" s="247">
        <f>'FASE 1   '!E217</f>
        <v>0</v>
      </c>
      <c r="D103" s="248">
        <f>'FASE 1   '!K217</f>
        <v>0</v>
      </c>
      <c r="E103" s="248">
        <f>'FASE 1   '!J217</f>
        <v>0</v>
      </c>
      <c r="F103" s="248">
        <f>'FASE 1   '!P217</f>
        <v>0</v>
      </c>
      <c r="G103" s="248">
        <f>'FASE 1   '!L217</f>
        <v>0</v>
      </c>
      <c r="H103" s="248">
        <f>'FASE 1   '!S217</f>
        <v>0</v>
      </c>
      <c r="I103" s="248">
        <f>'FASE 1   '!N217</f>
        <v>0</v>
      </c>
      <c r="J103" s="248">
        <f>'FASE 1   '!T217</f>
        <v>0</v>
      </c>
      <c r="K103" s="248">
        <f>AVERAGE('FASE 2  '!D217:E217)</f>
        <v>0</v>
      </c>
      <c r="L103" s="248">
        <f>AVERAGE('FASE 2  '!M217:N217,'FASE 2  '!Q217)</f>
        <v>0</v>
      </c>
      <c r="M103" s="248">
        <f>'FASE 4'!J217</f>
        <v>0</v>
      </c>
      <c r="N103" s="248">
        <f>'FASE 2  '!L217</f>
        <v>0</v>
      </c>
      <c r="O103" s="248">
        <f>'FASE 3 '!N217</f>
        <v>0</v>
      </c>
      <c r="P103" s="248">
        <f>'FASE 3 '!L217</f>
        <v>0</v>
      </c>
      <c r="Q103" s="248">
        <f>AVERAGE('FASE 3 '!O217,'FASE 3 '!P217,'FASE 3 '!Q217,'FASE 3 '!R217)</f>
        <v>0</v>
      </c>
      <c r="R103" s="248">
        <f>AVERAGE('FASE 3 '!T217,'FASE 3 '!U217,'FASE 3 '!S217)</f>
        <v>0</v>
      </c>
      <c r="S103" s="248">
        <f>'FASE 3 '!W217</f>
        <v>0</v>
      </c>
      <c r="T103" s="248">
        <f>'FASE 3 '!V217</f>
        <v>0</v>
      </c>
      <c r="U103" s="248">
        <f>'FASE 4'!F217</f>
        <v>0</v>
      </c>
      <c r="V103" s="251">
        <f t="shared" si="4"/>
        <v>0</v>
      </c>
    </row>
    <row r="104" spans="2:23" ht="15.75">
      <c r="B104" s="242">
        <v>515</v>
      </c>
      <c r="C104" s="247" t="e">
        <f>'FASE 1   '!#REF!</f>
        <v>#REF!</v>
      </c>
      <c r="D104" s="248" t="e">
        <f>'FASE 1   '!#REF!</f>
        <v>#REF!</v>
      </c>
      <c r="E104" s="248" t="e">
        <f>'FASE 1   '!#REF!</f>
        <v>#REF!</v>
      </c>
      <c r="F104" s="248" t="e">
        <f>'FASE 1   '!#REF!</f>
        <v>#REF!</v>
      </c>
      <c r="G104" s="248" t="e">
        <f>'FASE 1   '!#REF!</f>
        <v>#REF!</v>
      </c>
      <c r="H104" s="248" t="e">
        <f>'FASE 1   '!#REF!</f>
        <v>#REF!</v>
      </c>
      <c r="I104" s="248" t="e">
        <f>'FASE 1   '!#REF!</f>
        <v>#REF!</v>
      </c>
      <c r="J104" s="248" t="e">
        <f>'FASE 1   '!#REF!</f>
        <v>#REF!</v>
      </c>
      <c r="K104" s="248" t="e">
        <f>AVERAGE('FASE 2  '!#REF!)</f>
        <v>#REF!</v>
      </c>
      <c r="L104" s="248" t="e">
        <f>AVERAGE('FASE 2  '!#REF!,'FASE 2  '!#REF!)</f>
        <v>#REF!</v>
      </c>
      <c r="M104" s="248" t="e">
        <f>'FASE 4'!#REF!</f>
        <v>#REF!</v>
      </c>
      <c r="N104" s="248" t="e">
        <f>'FASE 2  '!#REF!</f>
        <v>#REF!</v>
      </c>
      <c r="O104" s="248" t="e">
        <f>'FASE 3 '!#REF!</f>
        <v>#REF!</v>
      </c>
      <c r="P104" s="248" t="e">
        <f>'FASE 3 '!#REF!</f>
        <v>#REF!</v>
      </c>
      <c r="Q104" s="248" t="e">
        <f>AVERAGE('FASE 3 '!#REF!,'FASE 3 '!#REF!,'FASE 3 '!#REF!,'FASE 3 '!#REF!)</f>
        <v>#REF!</v>
      </c>
      <c r="R104" s="248" t="e">
        <f>AVERAGE('FASE 3 '!#REF!,'FASE 3 '!#REF!,'FASE 3 '!#REF!)</f>
        <v>#REF!</v>
      </c>
      <c r="S104" s="248" t="e">
        <f>'FASE 3 '!#REF!</f>
        <v>#REF!</v>
      </c>
      <c r="T104" s="248" t="e">
        <f>'FASE 3 '!#REF!</f>
        <v>#REF!</v>
      </c>
      <c r="U104" s="248" t="e">
        <f>'FASE 4'!#REF!</f>
        <v>#REF!</v>
      </c>
      <c r="V104" s="251" t="e">
        <f t="shared" si="4"/>
        <v>#REF!</v>
      </c>
    </row>
    <row r="105" spans="2:23" ht="15.75">
      <c r="B105" s="242">
        <v>516</v>
      </c>
      <c r="C105" s="247" t="e">
        <f>'FASE 1   '!#REF!</f>
        <v>#REF!</v>
      </c>
      <c r="D105" s="248" t="e">
        <f>'FASE 1   '!#REF!</f>
        <v>#REF!</v>
      </c>
      <c r="E105" s="248" t="e">
        <f>'FASE 1   '!#REF!</f>
        <v>#REF!</v>
      </c>
      <c r="F105" s="248" t="e">
        <f>'FASE 1   '!#REF!</f>
        <v>#REF!</v>
      </c>
      <c r="G105" s="248" t="e">
        <f>'FASE 1   '!#REF!</f>
        <v>#REF!</v>
      </c>
      <c r="H105" s="248" t="e">
        <f>'FASE 1   '!#REF!</f>
        <v>#REF!</v>
      </c>
      <c r="I105" s="248" t="e">
        <f>'FASE 1   '!#REF!</f>
        <v>#REF!</v>
      </c>
      <c r="J105" s="248" t="e">
        <f>'FASE 1   '!#REF!</f>
        <v>#REF!</v>
      </c>
      <c r="K105" s="248" t="e">
        <f>AVERAGE('FASE 2  '!#REF!)</f>
        <v>#REF!</v>
      </c>
      <c r="L105" s="248" t="e">
        <f>AVERAGE('FASE 2  '!#REF!,'FASE 2  '!#REF!)</f>
        <v>#REF!</v>
      </c>
      <c r="M105" s="248" t="e">
        <f>'FASE 4'!#REF!</f>
        <v>#REF!</v>
      </c>
      <c r="N105" s="248" t="e">
        <f>'FASE 2  '!#REF!</f>
        <v>#REF!</v>
      </c>
      <c r="O105" s="248" t="e">
        <f>'FASE 3 '!#REF!</f>
        <v>#REF!</v>
      </c>
      <c r="P105" s="248" t="e">
        <f>'FASE 3 '!#REF!</f>
        <v>#REF!</v>
      </c>
      <c r="Q105" s="248" t="e">
        <f>AVERAGE('FASE 3 '!#REF!,'FASE 3 '!#REF!,'FASE 3 '!#REF!,'FASE 3 '!#REF!)</f>
        <v>#REF!</v>
      </c>
      <c r="R105" s="248" t="e">
        <f>AVERAGE('FASE 3 '!#REF!,'FASE 3 '!#REF!,'FASE 3 '!#REF!)</f>
        <v>#REF!</v>
      </c>
      <c r="S105" s="248" t="e">
        <f>'FASE 3 '!#REF!</f>
        <v>#REF!</v>
      </c>
      <c r="T105" s="248" t="e">
        <f>'FASE 3 '!#REF!</f>
        <v>#REF!</v>
      </c>
      <c r="U105" s="248" t="e">
        <f>'FASE 4'!#REF!</f>
        <v>#REF!</v>
      </c>
      <c r="V105" s="251" t="e">
        <f t="shared" si="4"/>
        <v>#REF!</v>
      </c>
    </row>
    <row r="106" spans="2:23" ht="16.5" thickBot="1">
      <c r="B106" s="242">
        <v>517</v>
      </c>
      <c r="C106" s="247" t="e">
        <f>'FASE 1   '!#REF!</f>
        <v>#REF!</v>
      </c>
      <c r="D106" s="248" t="e">
        <f>'FASE 1   '!#REF!</f>
        <v>#REF!</v>
      </c>
      <c r="E106" s="248" t="e">
        <f>'FASE 1   '!#REF!</f>
        <v>#REF!</v>
      </c>
      <c r="F106" s="248" t="e">
        <f>'FASE 1   '!#REF!</f>
        <v>#REF!</v>
      </c>
      <c r="G106" s="248" t="e">
        <f>'FASE 1   '!#REF!</f>
        <v>#REF!</v>
      </c>
      <c r="H106" s="248" t="e">
        <f>'FASE 1   '!#REF!</f>
        <v>#REF!</v>
      </c>
      <c r="I106" s="248" t="e">
        <f>'FASE 1   '!#REF!</f>
        <v>#REF!</v>
      </c>
      <c r="J106" s="248" t="e">
        <f>'FASE 1   '!#REF!</f>
        <v>#REF!</v>
      </c>
      <c r="K106" s="248" t="e">
        <f>AVERAGE('FASE 2  '!#REF!)</f>
        <v>#REF!</v>
      </c>
      <c r="L106" s="248" t="e">
        <f>AVERAGE('FASE 2  '!#REF!,'FASE 2  '!#REF!)</f>
        <v>#REF!</v>
      </c>
      <c r="M106" s="248" t="e">
        <f>'FASE 4'!#REF!</f>
        <v>#REF!</v>
      </c>
      <c r="N106" s="248" t="e">
        <f>'FASE 2  '!#REF!</f>
        <v>#REF!</v>
      </c>
      <c r="O106" s="248" t="e">
        <f>'FASE 3 '!#REF!</f>
        <v>#REF!</v>
      </c>
      <c r="P106" s="248" t="e">
        <f>'FASE 3 '!#REF!</f>
        <v>#REF!</v>
      </c>
      <c r="Q106" s="248" t="e">
        <f>AVERAGE('FASE 3 '!#REF!,'FASE 3 '!#REF!,'FASE 3 '!#REF!,'FASE 3 '!#REF!)</f>
        <v>#REF!</v>
      </c>
      <c r="R106" s="248" t="e">
        <f>AVERAGE('FASE 3 '!#REF!,'FASE 3 '!#REF!,'FASE 3 '!#REF!)</f>
        <v>#REF!</v>
      </c>
      <c r="S106" s="248" t="e">
        <f>'FASE 3 '!#REF!</f>
        <v>#REF!</v>
      </c>
      <c r="T106" s="248" t="e">
        <f>'FASE 3 '!#REF!</f>
        <v>#REF!</v>
      </c>
      <c r="U106" s="248" t="e">
        <f>'FASE 4'!#REF!</f>
        <v>#REF!</v>
      </c>
      <c r="V106" s="254" t="e">
        <f t="shared" si="4"/>
        <v>#REF!</v>
      </c>
    </row>
    <row r="107" spans="2:23" ht="16.5" thickBot="1">
      <c r="B107" s="243" t="s">
        <v>520</v>
      </c>
      <c r="C107" s="251" t="e">
        <f t="shared" ref="C107:U107" si="5">AVERAGE(C90:C106)</f>
        <v>#REF!</v>
      </c>
      <c r="D107" s="251" t="e">
        <f t="shared" si="5"/>
        <v>#REF!</v>
      </c>
      <c r="E107" s="251" t="e">
        <f t="shared" si="5"/>
        <v>#REF!</v>
      </c>
      <c r="F107" s="251" t="e">
        <f t="shared" si="5"/>
        <v>#REF!</v>
      </c>
      <c r="G107" s="251" t="e">
        <f t="shared" si="5"/>
        <v>#REF!</v>
      </c>
      <c r="H107" s="251" t="e">
        <f t="shared" si="5"/>
        <v>#REF!</v>
      </c>
      <c r="I107" s="251" t="e">
        <f t="shared" si="5"/>
        <v>#REF!</v>
      </c>
      <c r="J107" s="251" t="e">
        <f t="shared" si="5"/>
        <v>#REF!</v>
      </c>
      <c r="K107" s="251" t="e">
        <f t="shared" si="5"/>
        <v>#REF!</v>
      </c>
      <c r="L107" s="251" t="e">
        <f t="shared" si="5"/>
        <v>#REF!</v>
      </c>
      <c r="M107" s="251" t="e">
        <f t="shared" si="5"/>
        <v>#REF!</v>
      </c>
      <c r="N107" s="251" t="e">
        <f t="shared" si="5"/>
        <v>#REF!</v>
      </c>
      <c r="O107" s="251" t="e">
        <f t="shared" si="5"/>
        <v>#REF!</v>
      </c>
      <c r="P107" s="251" t="e">
        <f t="shared" si="5"/>
        <v>#REF!</v>
      </c>
      <c r="Q107" s="251" t="e">
        <f t="shared" si="5"/>
        <v>#REF!</v>
      </c>
      <c r="R107" s="251" t="e">
        <f t="shared" si="5"/>
        <v>#REF!</v>
      </c>
      <c r="S107" s="251" t="e">
        <f t="shared" si="5"/>
        <v>#REF!</v>
      </c>
      <c r="T107" s="251" t="e">
        <f t="shared" si="5"/>
        <v>#REF!</v>
      </c>
      <c r="U107" s="253" t="e">
        <f t="shared" si="5"/>
        <v>#REF!</v>
      </c>
      <c r="V107" s="256" t="e">
        <f>AVERAGE(C107:U107)</f>
        <v>#REF!</v>
      </c>
      <c r="W107" s="2"/>
    </row>
    <row r="108" spans="2:23" ht="15.75">
      <c r="B108" s="242">
        <v>601</v>
      </c>
      <c r="C108" s="247">
        <f>'FASE 1   '!E221</f>
        <v>0</v>
      </c>
      <c r="D108" s="248">
        <f>'FASE 1   '!K221</f>
        <v>0</v>
      </c>
      <c r="E108" s="248">
        <f>'FASE 1   '!J221</f>
        <v>0</v>
      </c>
      <c r="F108" s="248">
        <f>'FASE 1   '!P221</f>
        <v>0</v>
      </c>
      <c r="G108" s="248">
        <f>'FASE 1   '!L221</f>
        <v>0</v>
      </c>
      <c r="H108" s="248">
        <f>'FASE 1   '!S221</f>
        <v>0</v>
      </c>
      <c r="I108" s="248">
        <f>'FASE 1   '!N221</f>
        <v>0</v>
      </c>
      <c r="J108" s="248">
        <f>'FASE 1   '!T221</f>
        <v>0</v>
      </c>
      <c r="K108" s="248">
        <f>AVERAGE('FASE 2  '!D221:E221)</f>
        <v>0</v>
      </c>
      <c r="L108" s="248">
        <f>AVERAGE('FASE 2  '!M221:N221,'FASE 2  '!Q221)</f>
        <v>0</v>
      </c>
      <c r="M108" s="248">
        <f>'FASE 4'!J221</f>
        <v>0</v>
      </c>
      <c r="N108" s="248">
        <f>'FASE 2  '!L221</f>
        <v>0</v>
      </c>
      <c r="O108" s="248">
        <f>'FASE 3 '!N221</f>
        <v>0</v>
      </c>
      <c r="P108" s="248">
        <f>'FASE 3 '!L221</f>
        <v>0</v>
      </c>
      <c r="Q108" s="248">
        <f>AVERAGE('FASE 3 '!O221,'FASE 3 '!P221,'FASE 3 '!Q221,'FASE 3 '!R221)</f>
        <v>0</v>
      </c>
      <c r="R108" s="248">
        <f>AVERAGE('FASE 3 '!T221,'FASE 3 '!U221,'FASE 3 '!S221)</f>
        <v>0</v>
      </c>
      <c r="S108" s="248">
        <f>'FASE 3 '!W221</f>
        <v>0</v>
      </c>
      <c r="T108" s="248">
        <f>'FASE 3 '!V221</f>
        <v>0</v>
      </c>
      <c r="U108" s="248">
        <f>'FASE 4'!F221</f>
        <v>0</v>
      </c>
      <c r="V108" s="255">
        <f t="shared" si="4"/>
        <v>0</v>
      </c>
    </row>
    <row r="109" spans="2:23" ht="15.75">
      <c r="B109" s="242">
        <v>602</v>
      </c>
      <c r="C109" s="247">
        <f>'FASE 1   '!E252</f>
        <v>0</v>
      </c>
      <c r="D109" s="248">
        <f>'FASE 1   '!K252</f>
        <v>0</v>
      </c>
      <c r="E109" s="248">
        <f>'FASE 1   '!J252</f>
        <v>0</v>
      </c>
      <c r="F109" s="248">
        <f>'FASE 1   '!P252</f>
        <v>0</v>
      </c>
      <c r="G109" s="248">
        <f>'FASE 1   '!L252</f>
        <v>0</v>
      </c>
      <c r="H109" s="248">
        <f>'FASE 1   '!S252</f>
        <v>0</v>
      </c>
      <c r="I109" s="248">
        <f>'FASE 1   '!N252</f>
        <v>0</v>
      </c>
      <c r="J109" s="248">
        <f>'FASE 1   '!T252</f>
        <v>0</v>
      </c>
      <c r="K109" s="248">
        <f>AVERAGE('FASE 2  '!D252:E252)</f>
        <v>0</v>
      </c>
      <c r="L109" s="248">
        <f>AVERAGE('FASE 2  '!M252:N252,'FASE 2  '!Q252)</f>
        <v>0</v>
      </c>
      <c r="M109" s="248">
        <f>'FASE 4'!J252</f>
        <v>0</v>
      </c>
      <c r="N109" s="248">
        <f>'FASE 2  '!L252</f>
        <v>0</v>
      </c>
      <c r="O109" s="248">
        <f>'FASE 3 '!N252</f>
        <v>0</v>
      </c>
      <c r="P109" s="248">
        <f>'FASE 3 '!L252</f>
        <v>0</v>
      </c>
      <c r="Q109" s="248">
        <f>AVERAGE('FASE 3 '!O252,'FASE 3 '!P252,'FASE 3 '!Q252,'FASE 3 '!R252)</f>
        <v>0</v>
      </c>
      <c r="R109" s="248">
        <f>AVERAGE('FASE 3 '!T252,'FASE 3 '!U252,'FASE 3 '!S252)</f>
        <v>0</v>
      </c>
      <c r="S109" s="248">
        <f>'FASE 3 '!W252</f>
        <v>0</v>
      </c>
      <c r="T109" s="248">
        <f>'FASE 3 '!V252</f>
        <v>0</v>
      </c>
      <c r="U109" s="248">
        <f>'FASE 4'!F252</f>
        <v>0</v>
      </c>
      <c r="V109" s="251">
        <f t="shared" si="4"/>
        <v>0</v>
      </c>
    </row>
    <row r="110" spans="2:23" ht="15.75">
      <c r="B110" s="242">
        <v>603</v>
      </c>
      <c r="C110" s="247">
        <f>'FASE 1   '!E253</f>
        <v>0</v>
      </c>
      <c r="D110" s="248">
        <f>'FASE 1   '!K253</f>
        <v>0</v>
      </c>
      <c r="E110" s="248">
        <f>'FASE 1   '!J253</f>
        <v>0</v>
      </c>
      <c r="F110" s="248">
        <f>'FASE 1   '!P253</f>
        <v>0</v>
      </c>
      <c r="G110" s="248">
        <f>'FASE 1   '!L253</f>
        <v>0</v>
      </c>
      <c r="H110" s="248">
        <f>'FASE 1   '!S253</f>
        <v>0</v>
      </c>
      <c r="I110" s="248">
        <f>'FASE 1   '!N253</f>
        <v>0</v>
      </c>
      <c r="J110" s="248">
        <f>'FASE 1   '!T253</f>
        <v>0</v>
      </c>
      <c r="K110" s="248">
        <f>AVERAGE('FASE 2  '!D253:E253)</f>
        <v>0</v>
      </c>
      <c r="L110" s="248">
        <f>AVERAGE('FASE 2  '!M253:N253,'FASE 2  '!Q253)</f>
        <v>0</v>
      </c>
      <c r="M110" s="248">
        <f>'FASE 4'!J253</f>
        <v>0</v>
      </c>
      <c r="N110" s="248">
        <f>'FASE 2  '!L253</f>
        <v>0</v>
      </c>
      <c r="O110" s="248">
        <f>'FASE 3 '!N253</f>
        <v>0</v>
      </c>
      <c r="P110" s="248">
        <f>'FASE 3 '!L253</f>
        <v>0</v>
      </c>
      <c r="Q110" s="248">
        <f>AVERAGE('FASE 3 '!O253,'FASE 3 '!P253,'FASE 3 '!Q253,'FASE 3 '!R253)</f>
        <v>0</v>
      </c>
      <c r="R110" s="248">
        <f>AVERAGE('FASE 3 '!T253,'FASE 3 '!U253,'FASE 3 '!S253)</f>
        <v>0</v>
      </c>
      <c r="S110" s="248">
        <f>'FASE 3 '!W253</f>
        <v>0</v>
      </c>
      <c r="T110" s="248">
        <f>'FASE 3 '!V253</f>
        <v>0</v>
      </c>
      <c r="U110" s="248">
        <f>'FASE 4'!F253</f>
        <v>0</v>
      </c>
      <c r="V110" s="251">
        <f t="shared" si="4"/>
        <v>0</v>
      </c>
    </row>
    <row r="111" spans="2:23" ht="15.75">
      <c r="B111" s="242">
        <v>604</v>
      </c>
      <c r="C111" s="247">
        <f>'FASE 1   '!E254</f>
        <v>0</v>
      </c>
      <c r="D111" s="248">
        <f>'FASE 1   '!K254</f>
        <v>0</v>
      </c>
      <c r="E111" s="248">
        <f>'FASE 1   '!J254</f>
        <v>0</v>
      </c>
      <c r="F111" s="248">
        <f>'FASE 1   '!P254</f>
        <v>0</v>
      </c>
      <c r="G111" s="248">
        <f>'FASE 1   '!L254</f>
        <v>0</v>
      </c>
      <c r="H111" s="248">
        <f>'FASE 1   '!S254</f>
        <v>0</v>
      </c>
      <c r="I111" s="248">
        <f>'FASE 1   '!N254</f>
        <v>0</v>
      </c>
      <c r="J111" s="248">
        <f>'FASE 1   '!T254</f>
        <v>0</v>
      </c>
      <c r="K111" s="248">
        <f>AVERAGE('FASE 2  '!D254:E254)</f>
        <v>0</v>
      </c>
      <c r="L111" s="248">
        <f>AVERAGE('FASE 2  '!M254:N254,'FASE 2  '!Q254)</f>
        <v>0</v>
      </c>
      <c r="M111" s="248">
        <f>'FASE 4'!J254</f>
        <v>0</v>
      </c>
      <c r="N111" s="248">
        <f>'FASE 2  '!L254</f>
        <v>0</v>
      </c>
      <c r="O111" s="248">
        <f>'FASE 3 '!N254</f>
        <v>0</v>
      </c>
      <c r="P111" s="248">
        <f>'FASE 3 '!L254</f>
        <v>0</v>
      </c>
      <c r="Q111" s="248">
        <f>AVERAGE('FASE 3 '!O254,'FASE 3 '!P254,'FASE 3 '!Q254,'FASE 3 '!R254)</f>
        <v>0</v>
      </c>
      <c r="R111" s="248">
        <f>AVERAGE('FASE 3 '!T254,'FASE 3 '!U254,'FASE 3 '!S254)</f>
        <v>0</v>
      </c>
      <c r="S111" s="248">
        <f>'FASE 3 '!W254</f>
        <v>0</v>
      </c>
      <c r="T111" s="248">
        <f>'FASE 3 '!V254</f>
        <v>0</v>
      </c>
      <c r="U111" s="248">
        <f>'FASE 4'!F254</f>
        <v>0</v>
      </c>
      <c r="V111" s="251">
        <f t="shared" si="4"/>
        <v>0</v>
      </c>
    </row>
    <row r="112" spans="2:23" ht="15.75">
      <c r="B112" s="242">
        <v>605</v>
      </c>
      <c r="C112" s="247">
        <f>'FASE 1   '!E255</f>
        <v>0</v>
      </c>
      <c r="D112" s="248">
        <f>'FASE 1   '!K255</f>
        <v>0</v>
      </c>
      <c r="E112" s="248">
        <f>'FASE 1   '!J255</f>
        <v>0</v>
      </c>
      <c r="F112" s="248">
        <f>'FASE 1   '!P255</f>
        <v>0</v>
      </c>
      <c r="G112" s="248">
        <f>'FASE 1   '!L255</f>
        <v>0</v>
      </c>
      <c r="H112" s="248">
        <f>'FASE 1   '!S255</f>
        <v>0</v>
      </c>
      <c r="I112" s="248">
        <f>'FASE 1   '!N255</f>
        <v>0</v>
      </c>
      <c r="J112" s="248">
        <f>'FASE 1   '!T255</f>
        <v>0</v>
      </c>
      <c r="K112" s="248">
        <f>AVERAGE('FASE 2  '!D255:E255)</f>
        <v>0</v>
      </c>
      <c r="L112" s="248">
        <f>AVERAGE('FASE 2  '!M255:N255,'FASE 2  '!Q255)</f>
        <v>0</v>
      </c>
      <c r="M112" s="248">
        <f>'FASE 4'!J255</f>
        <v>0</v>
      </c>
      <c r="N112" s="248">
        <f>'FASE 2  '!L255</f>
        <v>0</v>
      </c>
      <c r="O112" s="248">
        <f>'FASE 3 '!N255</f>
        <v>0</v>
      </c>
      <c r="P112" s="248">
        <f>'FASE 3 '!L255</f>
        <v>0</v>
      </c>
      <c r="Q112" s="248">
        <f>AVERAGE('FASE 3 '!O255,'FASE 3 '!P255,'FASE 3 '!Q255,'FASE 3 '!R255)</f>
        <v>0</v>
      </c>
      <c r="R112" s="248">
        <f>AVERAGE('FASE 3 '!T255,'FASE 3 '!U255,'FASE 3 '!S255)</f>
        <v>0</v>
      </c>
      <c r="S112" s="248">
        <f>'FASE 3 '!W255</f>
        <v>0</v>
      </c>
      <c r="T112" s="248">
        <f>'FASE 3 '!V255</f>
        <v>0</v>
      </c>
      <c r="U112" s="248">
        <f>'FASE 4'!F255</f>
        <v>0</v>
      </c>
      <c r="V112" s="251">
        <f t="shared" si="4"/>
        <v>0</v>
      </c>
    </row>
    <row r="113" spans="2:23" ht="15.75">
      <c r="B113" s="242">
        <v>606</v>
      </c>
      <c r="C113" s="247">
        <f>'FASE 1   '!E256</f>
        <v>0</v>
      </c>
      <c r="D113" s="248">
        <f>'FASE 1   '!K256</f>
        <v>0</v>
      </c>
      <c r="E113" s="248">
        <f>'FASE 1   '!J256</f>
        <v>0</v>
      </c>
      <c r="F113" s="248">
        <f>'FASE 1   '!P256</f>
        <v>0</v>
      </c>
      <c r="G113" s="248">
        <f>'FASE 1   '!L256</f>
        <v>0</v>
      </c>
      <c r="H113" s="248">
        <f>'FASE 1   '!S256</f>
        <v>0</v>
      </c>
      <c r="I113" s="248">
        <f>'FASE 1   '!N256</f>
        <v>0</v>
      </c>
      <c r="J113" s="248">
        <f>'FASE 1   '!T256</f>
        <v>0</v>
      </c>
      <c r="K113" s="248">
        <f>AVERAGE('FASE 2  '!D256:E256)</f>
        <v>0</v>
      </c>
      <c r="L113" s="248">
        <f>AVERAGE('FASE 2  '!M256:N256,'FASE 2  '!Q256)</f>
        <v>0</v>
      </c>
      <c r="M113" s="248">
        <f>'FASE 4'!J256</f>
        <v>0</v>
      </c>
      <c r="N113" s="248">
        <f>'FASE 2  '!L256</f>
        <v>0</v>
      </c>
      <c r="O113" s="248">
        <f>'FASE 3 '!N256</f>
        <v>0</v>
      </c>
      <c r="P113" s="248">
        <f>'FASE 3 '!L256</f>
        <v>0</v>
      </c>
      <c r="Q113" s="248">
        <f>AVERAGE('FASE 3 '!O256,'FASE 3 '!P256,'FASE 3 '!Q256,'FASE 3 '!R256)</f>
        <v>0</v>
      </c>
      <c r="R113" s="248">
        <f>AVERAGE('FASE 3 '!T256,'FASE 3 '!U256,'FASE 3 '!S256)</f>
        <v>0</v>
      </c>
      <c r="S113" s="248">
        <f>'FASE 3 '!W256</f>
        <v>0</v>
      </c>
      <c r="T113" s="248">
        <f>'FASE 3 '!V256</f>
        <v>0</v>
      </c>
      <c r="U113" s="248">
        <f>'FASE 4'!F256</f>
        <v>0</v>
      </c>
      <c r="V113" s="251">
        <f t="shared" si="4"/>
        <v>0</v>
      </c>
    </row>
    <row r="114" spans="2:23" ht="15.75">
      <c r="B114" s="242">
        <v>607</v>
      </c>
      <c r="C114" s="247">
        <f>'FASE 1   '!E257</f>
        <v>0</v>
      </c>
      <c r="D114" s="248">
        <f>'FASE 1   '!K257</f>
        <v>0</v>
      </c>
      <c r="E114" s="248">
        <f>'FASE 1   '!J257</f>
        <v>0</v>
      </c>
      <c r="F114" s="248">
        <f>'FASE 1   '!P257</f>
        <v>0</v>
      </c>
      <c r="G114" s="248">
        <f>'FASE 1   '!L257</f>
        <v>0</v>
      </c>
      <c r="H114" s="248">
        <f>'FASE 1   '!S257</f>
        <v>0</v>
      </c>
      <c r="I114" s="248">
        <f>'FASE 1   '!N257</f>
        <v>0</v>
      </c>
      <c r="J114" s="248">
        <f>'FASE 1   '!T257</f>
        <v>0</v>
      </c>
      <c r="K114" s="248">
        <f>AVERAGE('FASE 2  '!D257:E257)</f>
        <v>0</v>
      </c>
      <c r="L114" s="248">
        <f>AVERAGE('FASE 2  '!M257:N257,'FASE 2  '!Q257)</f>
        <v>0</v>
      </c>
      <c r="M114" s="248">
        <f>'FASE 4'!J257</f>
        <v>0</v>
      </c>
      <c r="N114" s="248">
        <f>'FASE 2  '!L257</f>
        <v>0</v>
      </c>
      <c r="O114" s="248">
        <f>'FASE 3 '!N257</f>
        <v>0</v>
      </c>
      <c r="P114" s="248">
        <f>'FASE 3 '!L257</f>
        <v>0</v>
      </c>
      <c r="Q114" s="248">
        <f>AVERAGE('FASE 3 '!O257,'FASE 3 '!P257,'FASE 3 '!Q257,'FASE 3 '!R257)</f>
        <v>0</v>
      </c>
      <c r="R114" s="248">
        <f>AVERAGE('FASE 3 '!T257,'FASE 3 '!U257,'FASE 3 '!S257)</f>
        <v>0</v>
      </c>
      <c r="S114" s="248">
        <f>'FASE 3 '!W257</f>
        <v>0</v>
      </c>
      <c r="T114" s="248">
        <f>'FASE 3 '!V257</f>
        <v>0</v>
      </c>
      <c r="U114" s="248">
        <f>'FASE 4'!F257</f>
        <v>0</v>
      </c>
      <c r="V114" s="251">
        <f t="shared" si="4"/>
        <v>0</v>
      </c>
    </row>
    <row r="115" spans="2:23" ht="15.75">
      <c r="B115" s="242">
        <v>608</v>
      </c>
      <c r="C115" s="247">
        <f>'FASE 1   '!E258</f>
        <v>0</v>
      </c>
      <c r="D115" s="248">
        <f>'FASE 1   '!K258</f>
        <v>0</v>
      </c>
      <c r="E115" s="248">
        <f>'FASE 1   '!J258</f>
        <v>0</v>
      </c>
      <c r="F115" s="248">
        <f>'FASE 1   '!P258</f>
        <v>0</v>
      </c>
      <c r="G115" s="248">
        <f>'FASE 1   '!L258</f>
        <v>0</v>
      </c>
      <c r="H115" s="248">
        <f>'FASE 1   '!S258</f>
        <v>0</v>
      </c>
      <c r="I115" s="248">
        <f>'FASE 1   '!N258</f>
        <v>0</v>
      </c>
      <c r="J115" s="248">
        <f>'FASE 1   '!T258</f>
        <v>0</v>
      </c>
      <c r="K115" s="248">
        <f>AVERAGE('FASE 2  '!D258:E258)</f>
        <v>0</v>
      </c>
      <c r="L115" s="248">
        <f>AVERAGE('FASE 2  '!M258:N258,'FASE 2  '!Q258)</f>
        <v>0</v>
      </c>
      <c r="M115" s="248">
        <f>'FASE 4'!J258</f>
        <v>0</v>
      </c>
      <c r="N115" s="248">
        <f>'FASE 2  '!L258</f>
        <v>0</v>
      </c>
      <c r="O115" s="248">
        <f>'FASE 3 '!N258</f>
        <v>0</v>
      </c>
      <c r="P115" s="248">
        <f>'FASE 3 '!L258</f>
        <v>0</v>
      </c>
      <c r="Q115" s="248">
        <f>AVERAGE('FASE 3 '!O258,'FASE 3 '!P258,'FASE 3 '!Q258,'FASE 3 '!R258)</f>
        <v>0</v>
      </c>
      <c r="R115" s="248">
        <f>AVERAGE('FASE 3 '!T258,'FASE 3 '!U258,'FASE 3 '!S258)</f>
        <v>0</v>
      </c>
      <c r="S115" s="248">
        <f>'FASE 3 '!W258</f>
        <v>0</v>
      </c>
      <c r="T115" s="248">
        <f>'FASE 3 '!V258</f>
        <v>0</v>
      </c>
      <c r="U115" s="248">
        <f>'FASE 4'!F258</f>
        <v>0</v>
      </c>
      <c r="V115" s="251">
        <f t="shared" si="4"/>
        <v>0</v>
      </c>
    </row>
    <row r="116" spans="2:23" ht="15.75">
      <c r="B116" s="242">
        <v>609</v>
      </c>
      <c r="C116" s="247">
        <f>'FASE 1   '!E259</f>
        <v>0</v>
      </c>
      <c r="D116" s="248">
        <f>'FASE 1   '!K259</f>
        <v>0</v>
      </c>
      <c r="E116" s="248">
        <f>'FASE 1   '!J259</f>
        <v>0</v>
      </c>
      <c r="F116" s="248">
        <f>'FASE 1   '!P259</f>
        <v>0</v>
      </c>
      <c r="G116" s="248">
        <f>'FASE 1   '!L259</f>
        <v>0</v>
      </c>
      <c r="H116" s="248">
        <f>'FASE 1   '!S259</f>
        <v>0</v>
      </c>
      <c r="I116" s="248">
        <f>'FASE 1   '!N259</f>
        <v>0</v>
      </c>
      <c r="J116" s="248">
        <f>'FASE 1   '!T259</f>
        <v>0</v>
      </c>
      <c r="K116" s="248">
        <f>AVERAGE('FASE 2  '!D259:E259)</f>
        <v>0</v>
      </c>
      <c r="L116" s="248">
        <f>AVERAGE('FASE 2  '!M259:N259,'FASE 2  '!Q259)</f>
        <v>0</v>
      </c>
      <c r="M116" s="248">
        <f>'FASE 4'!J259</f>
        <v>0</v>
      </c>
      <c r="N116" s="248">
        <f>'FASE 2  '!L259</f>
        <v>0</v>
      </c>
      <c r="O116" s="248">
        <f>'FASE 3 '!N259</f>
        <v>0</v>
      </c>
      <c r="P116" s="248">
        <f>'FASE 3 '!L259</f>
        <v>0</v>
      </c>
      <c r="Q116" s="248">
        <f>AVERAGE('FASE 3 '!O259,'FASE 3 '!P259,'FASE 3 '!Q259,'FASE 3 '!R259)</f>
        <v>0</v>
      </c>
      <c r="R116" s="248">
        <f>AVERAGE('FASE 3 '!T259,'FASE 3 '!U259,'FASE 3 '!S259)</f>
        <v>0</v>
      </c>
      <c r="S116" s="248">
        <f>'FASE 3 '!W259</f>
        <v>0</v>
      </c>
      <c r="T116" s="248">
        <f>'FASE 3 '!V259</f>
        <v>0</v>
      </c>
      <c r="U116" s="248">
        <f>'FASE 4'!F259</f>
        <v>0</v>
      </c>
      <c r="V116" s="251">
        <f t="shared" si="4"/>
        <v>0</v>
      </c>
    </row>
    <row r="117" spans="2:23" ht="15.75">
      <c r="B117" s="242">
        <v>610</v>
      </c>
      <c r="C117" s="247">
        <f>'FASE 1   '!E260</f>
        <v>0</v>
      </c>
      <c r="D117" s="248">
        <f>'FASE 1   '!K260</f>
        <v>0</v>
      </c>
      <c r="E117" s="248">
        <f>'FASE 1   '!J260</f>
        <v>0</v>
      </c>
      <c r="F117" s="248">
        <f>'FASE 1   '!P260</f>
        <v>0</v>
      </c>
      <c r="G117" s="248">
        <f>'FASE 1   '!L260</f>
        <v>0</v>
      </c>
      <c r="H117" s="248">
        <f>'FASE 1   '!S260</f>
        <v>0</v>
      </c>
      <c r="I117" s="248">
        <f>'FASE 1   '!N260</f>
        <v>0</v>
      </c>
      <c r="J117" s="248">
        <f>'FASE 1   '!T260</f>
        <v>0</v>
      </c>
      <c r="K117" s="248">
        <f>AVERAGE('FASE 2  '!D260:E260)</f>
        <v>0</v>
      </c>
      <c r="L117" s="248">
        <f>AVERAGE('FASE 2  '!M260:N260,'FASE 2  '!Q260)</f>
        <v>0</v>
      </c>
      <c r="M117" s="248">
        <f>'FASE 4'!J260</f>
        <v>0</v>
      </c>
      <c r="N117" s="248">
        <f>'FASE 2  '!L260</f>
        <v>0</v>
      </c>
      <c r="O117" s="248">
        <f>'FASE 3 '!N260</f>
        <v>0</v>
      </c>
      <c r="P117" s="248">
        <f>'FASE 3 '!L260</f>
        <v>0</v>
      </c>
      <c r="Q117" s="248">
        <f>AVERAGE('FASE 3 '!O260,'FASE 3 '!P260,'FASE 3 '!Q260,'FASE 3 '!R260)</f>
        <v>0</v>
      </c>
      <c r="R117" s="248">
        <f>AVERAGE('FASE 3 '!T260,'FASE 3 '!U260,'FASE 3 '!S260)</f>
        <v>0</v>
      </c>
      <c r="S117" s="248">
        <f>'FASE 3 '!W260</f>
        <v>0</v>
      </c>
      <c r="T117" s="248">
        <f>'FASE 3 '!V260</f>
        <v>0</v>
      </c>
      <c r="U117" s="248">
        <f>'FASE 4'!F260</f>
        <v>0</v>
      </c>
      <c r="V117" s="251">
        <f t="shared" si="4"/>
        <v>0</v>
      </c>
    </row>
    <row r="118" spans="2:23" ht="15.75">
      <c r="B118" s="242">
        <v>611</v>
      </c>
      <c r="C118" s="247">
        <f>'FASE 1   '!E261</f>
        <v>0</v>
      </c>
      <c r="D118" s="248">
        <f>'FASE 1   '!K261</f>
        <v>0</v>
      </c>
      <c r="E118" s="248">
        <f>'FASE 1   '!J261</f>
        <v>0</v>
      </c>
      <c r="F118" s="248">
        <f>'FASE 1   '!P261</f>
        <v>0</v>
      </c>
      <c r="G118" s="248">
        <f>'FASE 1   '!L261</f>
        <v>0</v>
      </c>
      <c r="H118" s="248">
        <f>'FASE 1   '!S261</f>
        <v>0</v>
      </c>
      <c r="I118" s="248">
        <f>'FASE 1   '!N261</f>
        <v>0</v>
      </c>
      <c r="J118" s="248">
        <f>'FASE 1   '!T261</f>
        <v>0</v>
      </c>
      <c r="K118" s="248">
        <f>AVERAGE('FASE 2  '!D261:E261)</f>
        <v>0</v>
      </c>
      <c r="L118" s="248">
        <f>AVERAGE('FASE 2  '!M261:N261,'FASE 2  '!Q261)</f>
        <v>0</v>
      </c>
      <c r="M118" s="248">
        <f>'FASE 4'!J261</f>
        <v>0</v>
      </c>
      <c r="N118" s="248">
        <f>'FASE 2  '!L261</f>
        <v>0</v>
      </c>
      <c r="O118" s="248">
        <f>'FASE 3 '!N261</f>
        <v>0</v>
      </c>
      <c r="P118" s="248">
        <f>'FASE 3 '!L261</f>
        <v>0</v>
      </c>
      <c r="Q118" s="248">
        <f>AVERAGE('FASE 3 '!O261,'FASE 3 '!P261,'FASE 3 '!Q261,'FASE 3 '!R261)</f>
        <v>0</v>
      </c>
      <c r="R118" s="248">
        <f>AVERAGE('FASE 3 '!T261,'FASE 3 '!U261,'FASE 3 '!S261)</f>
        <v>0</v>
      </c>
      <c r="S118" s="248">
        <f>'FASE 3 '!W261</f>
        <v>0</v>
      </c>
      <c r="T118" s="248">
        <f>'FASE 3 '!V261</f>
        <v>0</v>
      </c>
      <c r="U118" s="248">
        <f>'FASE 4'!F261</f>
        <v>0</v>
      </c>
      <c r="V118" s="251">
        <f t="shared" si="4"/>
        <v>0</v>
      </c>
    </row>
    <row r="119" spans="2:23" ht="15.75">
      <c r="B119" s="242">
        <v>612</v>
      </c>
      <c r="C119" s="247">
        <f>'FASE 1   '!E262</f>
        <v>0</v>
      </c>
      <c r="D119" s="248">
        <f>'FASE 1   '!K262</f>
        <v>0</v>
      </c>
      <c r="E119" s="248">
        <f>'FASE 1   '!J262</f>
        <v>0</v>
      </c>
      <c r="F119" s="248">
        <f>'FASE 1   '!P262</f>
        <v>0</v>
      </c>
      <c r="G119" s="248">
        <f>'FASE 1   '!L262</f>
        <v>0</v>
      </c>
      <c r="H119" s="248">
        <f>'FASE 1   '!S262</f>
        <v>0</v>
      </c>
      <c r="I119" s="248">
        <f>'FASE 1   '!N262</f>
        <v>0</v>
      </c>
      <c r="J119" s="248">
        <f>'FASE 1   '!T262</f>
        <v>0</v>
      </c>
      <c r="K119" s="248">
        <f>AVERAGE('FASE 2  '!D262:E262)</f>
        <v>0</v>
      </c>
      <c r="L119" s="248">
        <f>AVERAGE('FASE 2  '!M262:N262,'FASE 2  '!Q262)</f>
        <v>0</v>
      </c>
      <c r="M119" s="248">
        <f>'FASE 4'!J262</f>
        <v>0</v>
      </c>
      <c r="N119" s="248">
        <f>'FASE 2  '!L262</f>
        <v>0</v>
      </c>
      <c r="O119" s="248">
        <f>'FASE 3 '!N262</f>
        <v>0</v>
      </c>
      <c r="P119" s="248">
        <f>'FASE 3 '!L262</f>
        <v>0</v>
      </c>
      <c r="Q119" s="248">
        <f>AVERAGE('FASE 3 '!O262,'FASE 3 '!P262,'FASE 3 '!Q262,'FASE 3 '!R262)</f>
        <v>0</v>
      </c>
      <c r="R119" s="248">
        <f>AVERAGE('FASE 3 '!T262,'FASE 3 '!U262,'FASE 3 '!S262)</f>
        <v>0</v>
      </c>
      <c r="S119" s="248">
        <f>'FASE 3 '!W262</f>
        <v>0</v>
      </c>
      <c r="T119" s="248">
        <f>'FASE 3 '!V262</f>
        <v>0</v>
      </c>
      <c r="U119" s="248">
        <f>'FASE 4'!F262</f>
        <v>0</v>
      </c>
      <c r="V119" s="251">
        <f t="shared" si="4"/>
        <v>0</v>
      </c>
    </row>
    <row r="120" spans="2:23" ht="15.75">
      <c r="B120" s="242">
        <v>613</v>
      </c>
      <c r="C120" s="247">
        <f>'FASE 1   '!E263</f>
        <v>0</v>
      </c>
      <c r="D120" s="248">
        <f>'FASE 1   '!K263</f>
        <v>0</v>
      </c>
      <c r="E120" s="248">
        <f>'FASE 1   '!J263</f>
        <v>0</v>
      </c>
      <c r="F120" s="248">
        <f>'FASE 1   '!P263</f>
        <v>0</v>
      </c>
      <c r="G120" s="248">
        <f>'FASE 1   '!L263</f>
        <v>0</v>
      </c>
      <c r="H120" s="248">
        <f>'FASE 1   '!S263</f>
        <v>0</v>
      </c>
      <c r="I120" s="248">
        <f>'FASE 1   '!N263</f>
        <v>0</v>
      </c>
      <c r="J120" s="248">
        <f>'FASE 1   '!T263</f>
        <v>0</v>
      </c>
      <c r="K120" s="248">
        <f>AVERAGE('FASE 2  '!D263:E263)</f>
        <v>0</v>
      </c>
      <c r="L120" s="248">
        <f>AVERAGE('FASE 2  '!M263:N263,'FASE 2  '!Q263)</f>
        <v>0</v>
      </c>
      <c r="M120" s="248">
        <f>'FASE 4'!J263</f>
        <v>0</v>
      </c>
      <c r="N120" s="248">
        <f>'FASE 2  '!L263</f>
        <v>0</v>
      </c>
      <c r="O120" s="248">
        <f>'FASE 3 '!N263</f>
        <v>0</v>
      </c>
      <c r="P120" s="248">
        <f>'FASE 3 '!L263</f>
        <v>0</v>
      </c>
      <c r="Q120" s="248">
        <f>AVERAGE('FASE 3 '!O263,'FASE 3 '!P263,'FASE 3 '!Q263,'FASE 3 '!R263)</f>
        <v>0</v>
      </c>
      <c r="R120" s="248">
        <f>AVERAGE('FASE 3 '!T263,'FASE 3 '!U263,'FASE 3 '!S263)</f>
        <v>0</v>
      </c>
      <c r="S120" s="248">
        <f>'FASE 3 '!W263</f>
        <v>0</v>
      </c>
      <c r="T120" s="248">
        <f>'FASE 3 '!V263</f>
        <v>0</v>
      </c>
      <c r="U120" s="248">
        <f>'FASE 4'!F263</f>
        <v>0</v>
      </c>
      <c r="V120" s="251">
        <f t="shared" si="4"/>
        <v>0</v>
      </c>
    </row>
    <row r="121" spans="2:23" ht="15.75">
      <c r="B121" s="242">
        <v>614</v>
      </c>
      <c r="C121" s="247">
        <f>'FASE 1   '!E264</f>
        <v>0</v>
      </c>
      <c r="D121" s="248">
        <f>'FASE 1   '!K264</f>
        <v>0</v>
      </c>
      <c r="E121" s="248">
        <f>'FASE 1   '!J264</f>
        <v>0</v>
      </c>
      <c r="F121" s="248">
        <f>'FASE 1   '!P264</f>
        <v>0</v>
      </c>
      <c r="G121" s="248">
        <f>'FASE 1   '!L264</f>
        <v>0</v>
      </c>
      <c r="H121" s="248">
        <f>'FASE 1   '!S264</f>
        <v>0</v>
      </c>
      <c r="I121" s="248">
        <f>'FASE 1   '!N264</f>
        <v>0</v>
      </c>
      <c r="J121" s="248">
        <f>'FASE 1   '!T264</f>
        <v>0</v>
      </c>
      <c r="K121" s="248">
        <f>AVERAGE('FASE 2  '!D264:E264)</f>
        <v>0</v>
      </c>
      <c r="L121" s="248">
        <f>AVERAGE('FASE 2  '!M264:N264,'FASE 2  '!Q264)</f>
        <v>0</v>
      </c>
      <c r="M121" s="248">
        <f>'FASE 4'!J264</f>
        <v>0</v>
      </c>
      <c r="N121" s="248">
        <f>'FASE 2  '!L264</f>
        <v>0</v>
      </c>
      <c r="O121" s="248">
        <f>'FASE 3 '!N264</f>
        <v>0</v>
      </c>
      <c r="P121" s="248">
        <f>'FASE 3 '!L264</f>
        <v>0</v>
      </c>
      <c r="Q121" s="248">
        <f>AVERAGE('FASE 3 '!O264,'FASE 3 '!P264,'FASE 3 '!Q264,'FASE 3 '!R264)</f>
        <v>0</v>
      </c>
      <c r="R121" s="248">
        <f>AVERAGE('FASE 3 '!T264,'FASE 3 '!U264,'FASE 3 '!S264)</f>
        <v>0</v>
      </c>
      <c r="S121" s="248">
        <f>'FASE 3 '!W264</f>
        <v>0</v>
      </c>
      <c r="T121" s="248">
        <f>'FASE 3 '!V264</f>
        <v>0</v>
      </c>
      <c r="U121" s="248">
        <f>'FASE 4'!F264</f>
        <v>0</v>
      </c>
      <c r="V121" s="251">
        <f t="shared" si="4"/>
        <v>0</v>
      </c>
    </row>
    <row r="122" spans="2:23" ht="15.75">
      <c r="B122" s="242">
        <v>615</v>
      </c>
      <c r="C122" s="247" t="e">
        <f>'FASE 1   '!#REF!</f>
        <v>#REF!</v>
      </c>
      <c r="D122" s="248" t="e">
        <f>'FASE 1   '!#REF!</f>
        <v>#REF!</v>
      </c>
      <c r="E122" s="248" t="e">
        <f>'FASE 1   '!#REF!</f>
        <v>#REF!</v>
      </c>
      <c r="F122" s="248" t="e">
        <f>'FASE 1   '!#REF!</f>
        <v>#REF!</v>
      </c>
      <c r="G122" s="248" t="e">
        <f>'FASE 1   '!#REF!</f>
        <v>#REF!</v>
      </c>
      <c r="H122" s="248" t="e">
        <f>'FASE 1   '!#REF!</f>
        <v>#REF!</v>
      </c>
      <c r="I122" s="248" t="e">
        <f>'FASE 1   '!#REF!</f>
        <v>#REF!</v>
      </c>
      <c r="J122" s="248" t="e">
        <f>'FASE 1   '!#REF!</f>
        <v>#REF!</v>
      </c>
      <c r="K122" s="248" t="e">
        <f>AVERAGE('FASE 2  '!#REF!)</f>
        <v>#REF!</v>
      </c>
      <c r="L122" s="248" t="e">
        <f>AVERAGE('FASE 2  '!#REF!,'FASE 2  '!#REF!)</f>
        <v>#REF!</v>
      </c>
      <c r="M122" s="248" t="e">
        <f>'FASE 4'!#REF!</f>
        <v>#REF!</v>
      </c>
      <c r="N122" s="248" t="e">
        <f>'FASE 2  '!#REF!</f>
        <v>#REF!</v>
      </c>
      <c r="O122" s="248" t="e">
        <f>'FASE 3 '!#REF!</f>
        <v>#REF!</v>
      </c>
      <c r="P122" s="248" t="e">
        <f>'FASE 3 '!#REF!</f>
        <v>#REF!</v>
      </c>
      <c r="Q122" s="248" t="e">
        <f>AVERAGE('FASE 3 '!#REF!,'FASE 3 '!#REF!,'FASE 3 '!#REF!,'FASE 3 '!#REF!)</f>
        <v>#REF!</v>
      </c>
      <c r="R122" s="248" t="e">
        <f>AVERAGE('FASE 3 '!#REF!,'FASE 3 '!#REF!,'FASE 3 '!#REF!)</f>
        <v>#REF!</v>
      </c>
      <c r="S122" s="248" t="e">
        <f>'FASE 3 '!#REF!</f>
        <v>#REF!</v>
      </c>
      <c r="T122" s="248" t="e">
        <f>'FASE 3 '!#REF!</f>
        <v>#REF!</v>
      </c>
      <c r="U122" s="248" t="e">
        <f>'FASE 4'!#REF!</f>
        <v>#REF!</v>
      </c>
      <c r="V122" s="251" t="e">
        <f t="shared" si="4"/>
        <v>#REF!</v>
      </c>
    </row>
    <row r="123" spans="2:23" ht="15.75">
      <c r="B123" s="242">
        <v>616</v>
      </c>
      <c r="C123" s="247" t="e">
        <f>'FASE 1   '!#REF!</f>
        <v>#REF!</v>
      </c>
      <c r="D123" s="248" t="e">
        <f>'FASE 1   '!#REF!</f>
        <v>#REF!</v>
      </c>
      <c r="E123" s="248" t="e">
        <f>'FASE 1   '!#REF!</f>
        <v>#REF!</v>
      </c>
      <c r="F123" s="248" t="e">
        <f>'FASE 1   '!#REF!</f>
        <v>#REF!</v>
      </c>
      <c r="G123" s="248" t="e">
        <f>'FASE 1   '!#REF!</f>
        <v>#REF!</v>
      </c>
      <c r="H123" s="248" t="e">
        <f>'FASE 1   '!#REF!</f>
        <v>#REF!</v>
      </c>
      <c r="I123" s="248" t="e">
        <f>'FASE 1   '!#REF!</f>
        <v>#REF!</v>
      </c>
      <c r="J123" s="248" t="e">
        <f>'FASE 1   '!#REF!</f>
        <v>#REF!</v>
      </c>
      <c r="K123" s="248" t="e">
        <f>AVERAGE('FASE 2  '!#REF!)</f>
        <v>#REF!</v>
      </c>
      <c r="L123" s="248" t="e">
        <f>AVERAGE('FASE 2  '!#REF!,'FASE 2  '!#REF!)</f>
        <v>#REF!</v>
      </c>
      <c r="M123" s="248" t="e">
        <f>'FASE 4'!#REF!</f>
        <v>#REF!</v>
      </c>
      <c r="N123" s="248" t="e">
        <f>'FASE 2  '!#REF!</f>
        <v>#REF!</v>
      </c>
      <c r="O123" s="248" t="e">
        <f>'FASE 3 '!#REF!</f>
        <v>#REF!</v>
      </c>
      <c r="P123" s="248" t="e">
        <f>'FASE 3 '!#REF!</f>
        <v>#REF!</v>
      </c>
      <c r="Q123" s="248" t="e">
        <f>AVERAGE('FASE 3 '!#REF!,'FASE 3 '!#REF!,'FASE 3 '!#REF!,'FASE 3 '!#REF!)</f>
        <v>#REF!</v>
      </c>
      <c r="R123" s="248" t="e">
        <f>AVERAGE('FASE 3 '!#REF!,'FASE 3 '!#REF!,'FASE 3 '!#REF!)</f>
        <v>#REF!</v>
      </c>
      <c r="S123" s="248" t="e">
        <f>'FASE 3 '!#REF!</f>
        <v>#REF!</v>
      </c>
      <c r="T123" s="248" t="e">
        <f>'FASE 3 '!#REF!</f>
        <v>#REF!</v>
      </c>
      <c r="U123" s="248" t="e">
        <f>'FASE 4'!#REF!</f>
        <v>#REF!</v>
      </c>
      <c r="V123" s="251" t="e">
        <f t="shared" si="4"/>
        <v>#REF!</v>
      </c>
    </row>
    <row r="124" spans="2:23" ht="16.5" thickBot="1">
      <c r="B124" s="242">
        <v>617</v>
      </c>
      <c r="C124" s="247" t="e">
        <f>'FASE 1   '!#REF!</f>
        <v>#REF!</v>
      </c>
      <c r="D124" s="248" t="e">
        <f>'FASE 1   '!#REF!</f>
        <v>#REF!</v>
      </c>
      <c r="E124" s="248" t="e">
        <f>'FASE 1   '!#REF!</f>
        <v>#REF!</v>
      </c>
      <c r="F124" s="248" t="e">
        <f>'FASE 1   '!#REF!</f>
        <v>#REF!</v>
      </c>
      <c r="G124" s="248" t="e">
        <f>'FASE 1   '!#REF!</f>
        <v>#REF!</v>
      </c>
      <c r="H124" s="248" t="e">
        <f>'FASE 1   '!#REF!</f>
        <v>#REF!</v>
      </c>
      <c r="I124" s="248" t="e">
        <f>'FASE 1   '!#REF!</f>
        <v>#REF!</v>
      </c>
      <c r="J124" s="248" t="e">
        <f>'FASE 1   '!#REF!</f>
        <v>#REF!</v>
      </c>
      <c r="K124" s="248" t="e">
        <f>AVERAGE('FASE 2  '!#REF!)</f>
        <v>#REF!</v>
      </c>
      <c r="L124" s="248" t="e">
        <f>AVERAGE('FASE 2  '!#REF!,'FASE 2  '!#REF!)</f>
        <v>#REF!</v>
      </c>
      <c r="M124" s="248" t="e">
        <f>'FASE 4'!#REF!</f>
        <v>#REF!</v>
      </c>
      <c r="N124" s="248" t="e">
        <f>'FASE 2  '!#REF!</f>
        <v>#REF!</v>
      </c>
      <c r="O124" s="248" t="e">
        <f>'FASE 3 '!#REF!</f>
        <v>#REF!</v>
      </c>
      <c r="P124" s="248" t="e">
        <f>'FASE 3 '!#REF!</f>
        <v>#REF!</v>
      </c>
      <c r="Q124" s="248" t="e">
        <f>AVERAGE('FASE 3 '!#REF!,'FASE 3 '!#REF!,'FASE 3 '!#REF!,'FASE 3 '!#REF!)</f>
        <v>#REF!</v>
      </c>
      <c r="R124" s="248" t="e">
        <f>AVERAGE('FASE 3 '!#REF!,'FASE 3 '!#REF!,'FASE 3 '!#REF!)</f>
        <v>#REF!</v>
      </c>
      <c r="S124" s="248" t="e">
        <f>'FASE 3 '!#REF!</f>
        <v>#REF!</v>
      </c>
      <c r="T124" s="248" t="e">
        <f>'FASE 3 '!#REF!</f>
        <v>#REF!</v>
      </c>
      <c r="U124" s="248" t="e">
        <f>'FASE 4'!#REF!</f>
        <v>#REF!</v>
      </c>
      <c r="V124" s="254" t="e">
        <f t="shared" si="4"/>
        <v>#REF!</v>
      </c>
    </row>
    <row r="125" spans="2:23" ht="16.5" thickBot="1">
      <c r="B125" s="243" t="s">
        <v>521</v>
      </c>
      <c r="C125" s="251" t="e">
        <f t="shared" ref="C125:U125" si="6">AVERAGE(C108:C124)</f>
        <v>#REF!</v>
      </c>
      <c r="D125" s="251" t="e">
        <f t="shared" si="6"/>
        <v>#REF!</v>
      </c>
      <c r="E125" s="251" t="e">
        <f t="shared" si="6"/>
        <v>#REF!</v>
      </c>
      <c r="F125" s="251" t="e">
        <f t="shared" si="6"/>
        <v>#REF!</v>
      </c>
      <c r="G125" s="251" t="e">
        <f t="shared" si="6"/>
        <v>#REF!</v>
      </c>
      <c r="H125" s="251" t="e">
        <f t="shared" si="6"/>
        <v>#REF!</v>
      </c>
      <c r="I125" s="251" t="e">
        <f t="shared" si="6"/>
        <v>#REF!</v>
      </c>
      <c r="J125" s="251" t="e">
        <f t="shared" si="6"/>
        <v>#REF!</v>
      </c>
      <c r="K125" s="251" t="e">
        <f t="shared" si="6"/>
        <v>#REF!</v>
      </c>
      <c r="L125" s="251" t="e">
        <f t="shared" si="6"/>
        <v>#REF!</v>
      </c>
      <c r="M125" s="251" t="e">
        <f t="shared" si="6"/>
        <v>#REF!</v>
      </c>
      <c r="N125" s="251" t="e">
        <f t="shared" si="6"/>
        <v>#REF!</v>
      </c>
      <c r="O125" s="251" t="e">
        <f t="shared" si="6"/>
        <v>#REF!</v>
      </c>
      <c r="P125" s="251" t="e">
        <f t="shared" si="6"/>
        <v>#REF!</v>
      </c>
      <c r="Q125" s="251" t="e">
        <f t="shared" si="6"/>
        <v>#REF!</v>
      </c>
      <c r="R125" s="251" t="e">
        <f t="shared" si="6"/>
        <v>#REF!</v>
      </c>
      <c r="S125" s="251" t="e">
        <f t="shared" si="6"/>
        <v>#REF!</v>
      </c>
      <c r="T125" s="251" t="e">
        <f t="shared" si="6"/>
        <v>#REF!</v>
      </c>
      <c r="U125" s="253" t="e">
        <f t="shared" si="6"/>
        <v>#REF!</v>
      </c>
      <c r="V125" s="256" t="e">
        <f>AVERAGE(C125:U125)</f>
        <v>#REF!</v>
      </c>
      <c r="W125" s="2"/>
    </row>
    <row r="126" spans="2:23" ht="15.75">
      <c r="B126" s="242">
        <v>701</v>
      </c>
      <c r="C126" s="247">
        <f>'FASE 1   '!E268</f>
        <v>0</v>
      </c>
      <c r="D126" s="248">
        <f>'FASE 1   '!K268</f>
        <v>0</v>
      </c>
      <c r="E126" s="248">
        <f>'FASE 1   '!J268</f>
        <v>0</v>
      </c>
      <c r="F126" s="248">
        <f>'FASE 1   '!P268</f>
        <v>0</v>
      </c>
      <c r="G126" s="248">
        <f>'FASE 1   '!L268</f>
        <v>0</v>
      </c>
      <c r="H126" s="248">
        <f>'FASE 1   '!S268</f>
        <v>0</v>
      </c>
      <c r="I126" s="248">
        <f>'FASE 1   '!N268</f>
        <v>0</v>
      </c>
      <c r="J126" s="248">
        <f>'FASE 1   '!T268</f>
        <v>0</v>
      </c>
      <c r="K126" s="248">
        <f>AVERAGE('FASE 2  '!D268:E268)</f>
        <v>0</v>
      </c>
      <c r="L126" s="248">
        <f>AVERAGE('FASE 2  '!M268:N268,'FASE 2  '!Q268)</f>
        <v>0</v>
      </c>
      <c r="M126" s="248">
        <f>'FASE 4'!J268</f>
        <v>0</v>
      </c>
      <c r="N126" s="248">
        <f>'FASE 2  '!L268</f>
        <v>0</v>
      </c>
      <c r="O126" s="248">
        <f>'FASE 3 '!N268</f>
        <v>0</v>
      </c>
      <c r="P126" s="248">
        <f>'FASE 3 '!L268</f>
        <v>0</v>
      </c>
      <c r="Q126" s="248">
        <f>AVERAGE('FASE 3 '!O268,'FASE 3 '!P268,'FASE 3 '!Q268,'FASE 3 '!R268)</f>
        <v>0</v>
      </c>
      <c r="R126" s="248">
        <f>AVERAGE('FASE 3 '!T268,'FASE 3 '!U268,'FASE 3 '!S268)</f>
        <v>0</v>
      </c>
      <c r="S126" s="248">
        <f>'FASE 3 '!W268</f>
        <v>0</v>
      </c>
      <c r="T126" s="248">
        <f>'FASE 3 '!V268</f>
        <v>0</v>
      </c>
      <c r="U126" s="248">
        <f>'FASE 4'!F268</f>
        <v>0</v>
      </c>
      <c r="V126" s="255">
        <f t="shared" si="4"/>
        <v>0</v>
      </c>
    </row>
    <row r="127" spans="2:23" ht="15.75">
      <c r="B127" s="242">
        <v>702</v>
      </c>
      <c r="C127" s="247">
        <f>'FASE 1   '!E299</f>
        <v>0</v>
      </c>
      <c r="D127" s="248">
        <f>'FASE 1   '!K299</f>
        <v>0</v>
      </c>
      <c r="E127" s="248">
        <f>'FASE 1   '!J299</f>
        <v>0</v>
      </c>
      <c r="F127" s="248">
        <f>'FASE 1   '!P299</f>
        <v>0</v>
      </c>
      <c r="G127" s="248">
        <f>'FASE 1   '!L299</f>
        <v>0</v>
      </c>
      <c r="H127" s="248">
        <f>'FASE 1   '!S299</f>
        <v>0</v>
      </c>
      <c r="I127" s="248">
        <f>'FASE 1   '!N299</f>
        <v>0</v>
      </c>
      <c r="J127" s="248">
        <f>'FASE 1   '!T299</f>
        <v>0</v>
      </c>
      <c r="K127" s="248">
        <f>AVERAGE('FASE 2  '!D299:E299)</f>
        <v>0</v>
      </c>
      <c r="L127" s="248">
        <f>AVERAGE('FASE 2  '!M299:N299,'FASE 2  '!Q299)</f>
        <v>0</v>
      </c>
      <c r="M127" s="248">
        <f>'FASE 4'!J299</f>
        <v>0</v>
      </c>
      <c r="N127" s="248">
        <f>'FASE 2  '!L299</f>
        <v>0</v>
      </c>
      <c r="O127" s="248">
        <f>'FASE 3 '!N299</f>
        <v>0</v>
      </c>
      <c r="P127" s="248">
        <f>'FASE 3 '!L299</f>
        <v>0</v>
      </c>
      <c r="Q127" s="248">
        <f>AVERAGE('FASE 3 '!O299,'FASE 3 '!P299,'FASE 3 '!Q299,'FASE 3 '!R299)</f>
        <v>0</v>
      </c>
      <c r="R127" s="248">
        <f>AVERAGE('FASE 3 '!T299,'FASE 3 '!U299,'FASE 3 '!S299)</f>
        <v>0</v>
      </c>
      <c r="S127" s="248">
        <f>'FASE 3 '!W299</f>
        <v>0</v>
      </c>
      <c r="T127" s="248">
        <f>'FASE 3 '!V299</f>
        <v>0</v>
      </c>
      <c r="U127" s="248">
        <f>'FASE 4'!F299</f>
        <v>0</v>
      </c>
      <c r="V127" s="251">
        <f t="shared" si="4"/>
        <v>0</v>
      </c>
    </row>
    <row r="128" spans="2:23" ht="15.75">
      <c r="B128" s="242">
        <v>703</v>
      </c>
      <c r="C128" s="247">
        <f>'FASE 1   '!E300</f>
        <v>0</v>
      </c>
      <c r="D128" s="248">
        <f>'FASE 1   '!K300</f>
        <v>0</v>
      </c>
      <c r="E128" s="248">
        <f>'FASE 1   '!J300</f>
        <v>0</v>
      </c>
      <c r="F128" s="248">
        <f>'FASE 1   '!P300</f>
        <v>0</v>
      </c>
      <c r="G128" s="248">
        <f>'FASE 1   '!L300</f>
        <v>0</v>
      </c>
      <c r="H128" s="248">
        <f>'FASE 1   '!S300</f>
        <v>0</v>
      </c>
      <c r="I128" s="248">
        <f>'FASE 1   '!N300</f>
        <v>0</v>
      </c>
      <c r="J128" s="248">
        <f>'FASE 1   '!T300</f>
        <v>0</v>
      </c>
      <c r="K128" s="248">
        <f>AVERAGE('FASE 2  '!D300:E300)</f>
        <v>0</v>
      </c>
      <c r="L128" s="248">
        <f>AVERAGE('FASE 2  '!M300:N300,'FASE 2  '!Q300)</f>
        <v>0</v>
      </c>
      <c r="M128" s="248">
        <f>'FASE 4'!J300</f>
        <v>0</v>
      </c>
      <c r="N128" s="248">
        <f>'FASE 2  '!L300</f>
        <v>0</v>
      </c>
      <c r="O128" s="248">
        <f>'FASE 3 '!N300</f>
        <v>0</v>
      </c>
      <c r="P128" s="248">
        <f>'FASE 3 '!L300</f>
        <v>0</v>
      </c>
      <c r="Q128" s="248">
        <f>AVERAGE('FASE 3 '!O300,'FASE 3 '!P300,'FASE 3 '!Q300,'FASE 3 '!R300)</f>
        <v>0</v>
      </c>
      <c r="R128" s="248">
        <f>AVERAGE('FASE 3 '!T300,'FASE 3 '!U300,'FASE 3 '!S300)</f>
        <v>0</v>
      </c>
      <c r="S128" s="248">
        <f>'FASE 3 '!W300</f>
        <v>0</v>
      </c>
      <c r="T128" s="248">
        <f>'FASE 3 '!V300</f>
        <v>0</v>
      </c>
      <c r="U128" s="248">
        <f>'FASE 4'!F300</f>
        <v>0</v>
      </c>
      <c r="V128" s="251">
        <f t="shared" si="4"/>
        <v>0</v>
      </c>
    </row>
    <row r="129" spans="2:23" ht="15.75">
      <c r="B129" s="242">
        <v>704</v>
      </c>
      <c r="C129" s="247">
        <f>'FASE 1   '!E301</f>
        <v>0</v>
      </c>
      <c r="D129" s="248">
        <f>'FASE 1   '!K301</f>
        <v>0</v>
      </c>
      <c r="E129" s="248">
        <f>'FASE 1   '!J301</f>
        <v>0</v>
      </c>
      <c r="F129" s="248">
        <f>'FASE 1   '!P301</f>
        <v>0</v>
      </c>
      <c r="G129" s="248">
        <f>'FASE 1   '!L301</f>
        <v>0</v>
      </c>
      <c r="H129" s="248">
        <f>'FASE 1   '!S301</f>
        <v>0</v>
      </c>
      <c r="I129" s="248">
        <f>'FASE 1   '!N301</f>
        <v>0</v>
      </c>
      <c r="J129" s="248">
        <f>'FASE 1   '!T301</f>
        <v>0</v>
      </c>
      <c r="K129" s="248">
        <f>AVERAGE('FASE 2  '!D301:E301)</f>
        <v>0</v>
      </c>
      <c r="L129" s="248">
        <f>AVERAGE('FASE 2  '!M301:N301,'FASE 2  '!Q301)</f>
        <v>0</v>
      </c>
      <c r="M129" s="248">
        <f>'FASE 4'!J301</f>
        <v>0</v>
      </c>
      <c r="N129" s="248">
        <f>'FASE 2  '!L301</f>
        <v>0</v>
      </c>
      <c r="O129" s="248">
        <f>'FASE 3 '!N301</f>
        <v>0</v>
      </c>
      <c r="P129" s="248">
        <f>'FASE 3 '!L301</f>
        <v>0</v>
      </c>
      <c r="Q129" s="248">
        <f>AVERAGE('FASE 3 '!O301,'FASE 3 '!P301,'FASE 3 '!Q301,'FASE 3 '!R301)</f>
        <v>0</v>
      </c>
      <c r="R129" s="248">
        <f>AVERAGE('FASE 3 '!T301,'FASE 3 '!U301,'FASE 3 '!S301)</f>
        <v>0</v>
      </c>
      <c r="S129" s="248">
        <f>'FASE 3 '!W301</f>
        <v>0</v>
      </c>
      <c r="T129" s="248">
        <f>'FASE 3 '!V301</f>
        <v>0</v>
      </c>
      <c r="U129" s="248">
        <f>'FASE 4'!F301</f>
        <v>0</v>
      </c>
      <c r="V129" s="251">
        <f t="shared" si="4"/>
        <v>0</v>
      </c>
    </row>
    <row r="130" spans="2:23" ht="15.75">
      <c r="B130" s="242">
        <v>705</v>
      </c>
      <c r="C130" s="247">
        <f>'FASE 1   '!E302</f>
        <v>0</v>
      </c>
      <c r="D130" s="248">
        <f>'FASE 1   '!K302</f>
        <v>0</v>
      </c>
      <c r="E130" s="248">
        <f>'FASE 1   '!J302</f>
        <v>0</v>
      </c>
      <c r="F130" s="248">
        <f>'FASE 1   '!P302</f>
        <v>0</v>
      </c>
      <c r="G130" s="248">
        <f>'FASE 1   '!L302</f>
        <v>0</v>
      </c>
      <c r="H130" s="248">
        <f>'FASE 1   '!S302</f>
        <v>0</v>
      </c>
      <c r="I130" s="248">
        <f>'FASE 1   '!N302</f>
        <v>0</v>
      </c>
      <c r="J130" s="248">
        <f>'FASE 1   '!T302</f>
        <v>0</v>
      </c>
      <c r="K130" s="248">
        <f>AVERAGE('FASE 2  '!D302:E302)</f>
        <v>0</v>
      </c>
      <c r="L130" s="248">
        <f>AVERAGE('FASE 2  '!M302:N302,'FASE 2  '!Q302)</f>
        <v>0</v>
      </c>
      <c r="M130" s="248">
        <f>'FASE 4'!J302</f>
        <v>0</v>
      </c>
      <c r="N130" s="248">
        <f>'FASE 2  '!L302</f>
        <v>0</v>
      </c>
      <c r="O130" s="248">
        <f>'FASE 3 '!N302</f>
        <v>0</v>
      </c>
      <c r="P130" s="248">
        <f>'FASE 3 '!L302</f>
        <v>0</v>
      </c>
      <c r="Q130" s="248">
        <f>AVERAGE('FASE 3 '!O302,'FASE 3 '!P302,'FASE 3 '!Q302,'FASE 3 '!R302)</f>
        <v>0</v>
      </c>
      <c r="R130" s="248">
        <f>AVERAGE('FASE 3 '!T302,'FASE 3 '!U302,'FASE 3 '!S302)</f>
        <v>0</v>
      </c>
      <c r="S130" s="248">
        <f>'FASE 3 '!W302</f>
        <v>0</v>
      </c>
      <c r="T130" s="248">
        <f>'FASE 3 '!V302</f>
        <v>0</v>
      </c>
      <c r="U130" s="248">
        <f>'FASE 4'!F302</f>
        <v>0</v>
      </c>
      <c r="V130" s="251">
        <f t="shared" si="4"/>
        <v>0</v>
      </c>
    </row>
    <row r="131" spans="2:23" ht="15.75">
      <c r="B131" s="242">
        <v>706</v>
      </c>
      <c r="C131" s="247">
        <f>'FASE 1   '!E303</f>
        <v>0</v>
      </c>
      <c r="D131" s="248">
        <f>'FASE 1   '!K303</f>
        <v>0</v>
      </c>
      <c r="E131" s="248">
        <f>'FASE 1   '!J303</f>
        <v>0</v>
      </c>
      <c r="F131" s="248">
        <f>'FASE 1   '!P303</f>
        <v>0</v>
      </c>
      <c r="G131" s="248">
        <f>'FASE 1   '!L303</f>
        <v>0</v>
      </c>
      <c r="H131" s="248">
        <f>'FASE 1   '!S303</f>
        <v>0</v>
      </c>
      <c r="I131" s="248">
        <f>'FASE 1   '!N303</f>
        <v>0</v>
      </c>
      <c r="J131" s="248">
        <f>'FASE 1   '!T303</f>
        <v>0</v>
      </c>
      <c r="K131" s="248">
        <f>AVERAGE('FASE 2  '!D303:E303)</f>
        <v>0</v>
      </c>
      <c r="L131" s="248">
        <f>AVERAGE('FASE 2  '!M303:N303,'FASE 2  '!Q303)</f>
        <v>0</v>
      </c>
      <c r="M131" s="248">
        <f>'FASE 4'!J303</f>
        <v>0</v>
      </c>
      <c r="N131" s="248">
        <f>'FASE 2  '!L303</f>
        <v>0</v>
      </c>
      <c r="O131" s="248">
        <f>'FASE 3 '!N303</f>
        <v>0</v>
      </c>
      <c r="P131" s="248">
        <f>'FASE 3 '!L303</f>
        <v>0</v>
      </c>
      <c r="Q131" s="248">
        <f>AVERAGE('FASE 3 '!O303,'FASE 3 '!P303,'FASE 3 '!Q303,'FASE 3 '!R303)</f>
        <v>0</v>
      </c>
      <c r="R131" s="248">
        <f>AVERAGE('FASE 3 '!T303,'FASE 3 '!U303,'FASE 3 '!S303)</f>
        <v>0</v>
      </c>
      <c r="S131" s="248">
        <f>'FASE 3 '!W303</f>
        <v>0</v>
      </c>
      <c r="T131" s="248">
        <f>'FASE 3 '!V303</f>
        <v>0</v>
      </c>
      <c r="U131" s="248">
        <f>'FASE 4'!F303</f>
        <v>0</v>
      </c>
      <c r="V131" s="251">
        <f t="shared" si="4"/>
        <v>0</v>
      </c>
    </row>
    <row r="132" spans="2:23" ht="15.75">
      <c r="B132" s="242">
        <v>707</v>
      </c>
      <c r="C132" s="247">
        <f>'FASE 1   '!E304</f>
        <v>0</v>
      </c>
      <c r="D132" s="248">
        <f>'FASE 1   '!K304</f>
        <v>0</v>
      </c>
      <c r="E132" s="248">
        <f>'FASE 1   '!J304</f>
        <v>0</v>
      </c>
      <c r="F132" s="248">
        <f>'FASE 1   '!P304</f>
        <v>0</v>
      </c>
      <c r="G132" s="248">
        <f>'FASE 1   '!L304</f>
        <v>0</v>
      </c>
      <c r="H132" s="248">
        <f>'FASE 1   '!S304</f>
        <v>0</v>
      </c>
      <c r="I132" s="248">
        <f>'FASE 1   '!N304</f>
        <v>0</v>
      </c>
      <c r="J132" s="248">
        <f>'FASE 1   '!T304</f>
        <v>0</v>
      </c>
      <c r="K132" s="248">
        <f>AVERAGE('FASE 2  '!D304:E304)</f>
        <v>0</v>
      </c>
      <c r="L132" s="248">
        <f>AVERAGE('FASE 2  '!M304:N304,'FASE 2  '!Q304)</f>
        <v>0</v>
      </c>
      <c r="M132" s="248">
        <f>'FASE 4'!J304</f>
        <v>0</v>
      </c>
      <c r="N132" s="248">
        <f>'FASE 2  '!L304</f>
        <v>0</v>
      </c>
      <c r="O132" s="248">
        <f>'FASE 3 '!N304</f>
        <v>0</v>
      </c>
      <c r="P132" s="248">
        <f>'FASE 3 '!L304</f>
        <v>0</v>
      </c>
      <c r="Q132" s="248">
        <f>AVERAGE('FASE 3 '!O304,'FASE 3 '!P304,'FASE 3 '!Q304,'FASE 3 '!R304)</f>
        <v>0</v>
      </c>
      <c r="R132" s="248">
        <f>AVERAGE('FASE 3 '!T304,'FASE 3 '!U304,'FASE 3 '!S304)</f>
        <v>0</v>
      </c>
      <c r="S132" s="248">
        <f>'FASE 3 '!W304</f>
        <v>0</v>
      </c>
      <c r="T132" s="248">
        <f>'FASE 3 '!V304</f>
        <v>0</v>
      </c>
      <c r="U132" s="248">
        <f>'FASE 4'!F304</f>
        <v>0</v>
      </c>
      <c r="V132" s="251">
        <f t="shared" si="4"/>
        <v>0</v>
      </c>
    </row>
    <row r="133" spans="2:23" ht="15.75">
      <c r="B133" s="242">
        <v>708</v>
      </c>
      <c r="C133" s="247">
        <f>'FASE 1   '!E305</f>
        <v>0</v>
      </c>
      <c r="D133" s="248">
        <f>'FASE 1   '!K305</f>
        <v>0</v>
      </c>
      <c r="E133" s="248">
        <f>'FASE 1   '!J305</f>
        <v>0</v>
      </c>
      <c r="F133" s="248">
        <f>'FASE 1   '!P305</f>
        <v>0</v>
      </c>
      <c r="G133" s="248">
        <f>'FASE 1   '!L305</f>
        <v>0</v>
      </c>
      <c r="H133" s="248">
        <f>'FASE 1   '!S305</f>
        <v>0</v>
      </c>
      <c r="I133" s="248">
        <f>'FASE 1   '!N305</f>
        <v>0</v>
      </c>
      <c r="J133" s="248">
        <f>'FASE 1   '!T305</f>
        <v>0</v>
      </c>
      <c r="K133" s="248">
        <f>AVERAGE('FASE 2  '!D305:E305)</f>
        <v>0</v>
      </c>
      <c r="L133" s="248">
        <f>AVERAGE('FASE 2  '!M305:N305,'FASE 2  '!Q305)</f>
        <v>0</v>
      </c>
      <c r="M133" s="248">
        <f>'FASE 4'!J305</f>
        <v>0</v>
      </c>
      <c r="N133" s="248">
        <f>'FASE 2  '!L305</f>
        <v>0</v>
      </c>
      <c r="O133" s="248">
        <f>'FASE 3 '!N305</f>
        <v>0</v>
      </c>
      <c r="P133" s="248">
        <f>'FASE 3 '!L305</f>
        <v>0</v>
      </c>
      <c r="Q133" s="248">
        <f>AVERAGE('FASE 3 '!O305,'FASE 3 '!P305,'FASE 3 '!Q305,'FASE 3 '!R305)</f>
        <v>0</v>
      </c>
      <c r="R133" s="248">
        <f>AVERAGE('FASE 3 '!T305,'FASE 3 '!U305,'FASE 3 '!S305)</f>
        <v>0</v>
      </c>
      <c r="S133" s="248">
        <f>'FASE 3 '!W305</f>
        <v>0</v>
      </c>
      <c r="T133" s="248">
        <f>'FASE 3 '!V305</f>
        <v>0</v>
      </c>
      <c r="U133" s="248">
        <f>'FASE 4'!F305</f>
        <v>0</v>
      </c>
      <c r="V133" s="251">
        <f t="shared" si="4"/>
        <v>0</v>
      </c>
    </row>
    <row r="134" spans="2:23" ht="15.75">
      <c r="B134" s="242">
        <v>709</v>
      </c>
      <c r="C134" s="247">
        <f>'FASE 1   '!E306</f>
        <v>0</v>
      </c>
      <c r="D134" s="248">
        <f>'FASE 1   '!K306</f>
        <v>0</v>
      </c>
      <c r="E134" s="248">
        <f>'FASE 1   '!J306</f>
        <v>0</v>
      </c>
      <c r="F134" s="248">
        <f>'FASE 1   '!P306</f>
        <v>0</v>
      </c>
      <c r="G134" s="248">
        <f>'FASE 1   '!L306</f>
        <v>0</v>
      </c>
      <c r="H134" s="248">
        <f>'FASE 1   '!S306</f>
        <v>0</v>
      </c>
      <c r="I134" s="248">
        <f>'FASE 1   '!N306</f>
        <v>0</v>
      </c>
      <c r="J134" s="248">
        <f>'FASE 1   '!T306</f>
        <v>0</v>
      </c>
      <c r="K134" s="248">
        <f>AVERAGE('FASE 2  '!D306:E306)</f>
        <v>0</v>
      </c>
      <c r="L134" s="248">
        <f>AVERAGE('FASE 2  '!M306:N306,'FASE 2  '!Q306)</f>
        <v>0</v>
      </c>
      <c r="M134" s="248">
        <f>'FASE 4'!J306</f>
        <v>0</v>
      </c>
      <c r="N134" s="248">
        <f>'FASE 2  '!L306</f>
        <v>0</v>
      </c>
      <c r="O134" s="248">
        <f>'FASE 3 '!N306</f>
        <v>0</v>
      </c>
      <c r="P134" s="248">
        <f>'FASE 3 '!L306</f>
        <v>0</v>
      </c>
      <c r="Q134" s="248">
        <f>AVERAGE('FASE 3 '!O306,'FASE 3 '!P306,'FASE 3 '!Q306,'FASE 3 '!R306)</f>
        <v>0</v>
      </c>
      <c r="R134" s="248">
        <f>AVERAGE('FASE 3 '!T306,'FASE 3 '!U306,'FASE 3 '!S306)</f>
        <v>0</v>
      </c>
      <c r="S134" s="248">
        <f>'FASE 3 '!W306</f>
        <v>0</v>
      </c>
      <c r="T134" s="248">
        <f>'FASE 3 '!V306</f>
        <v>0</v>
      </c>
      <c r="U134" s="248">
        <f>'FASE 4'!F306</f>
        <v>0</v>
      </c>
      <c r="V134" s="251">
        <f t="shared" si="4"/>
        <v>0</v>
      </c>
    </row>
    <row r="135" spans="2:23" ht="15.75">
      <c r="B135" s="242">
        <v>710</v>
      </c>
      <c r="C135" s="247">
        <f>'FASE 1   '!E307</f>
        <v>0</v>
      </c>
      <c r="D135" s="248">
        <f>'FASE 1   '!K307</f>
        <v>0</v>
      </c>
      <c r="E135" s="248">
        <f>'FASE 1   '!J307</f>
        <v>0</v>
      </c>
      <c r="F135" s="248">
        <f>'FASE 1   '!P307</f>
        <v>0</v>
      </c>
      <c r="G135" s="248">
        <f>'FASE 1   '!L307</f>
        <v>0</v>
      </c>
      <c r="H135" s="248">
        <f>'FASE 1   '!S307</f>
        <v>0</v>
      </c>
      <c r="I135" s="248">
        <f>'FASE 1   '!N307</f>
        <v>0</v>
      </c>
      <c r="J135" s="248">
        <f>'FASE 1   '!T307</f>
        <v>0</v>
      </c>
      <c r="K135" s="248">
        <f>AVERAGE('FASE 2  '!D307:E307)</f>
        <v>0</v>
      </c>
      <c r="L135" s="248">
        <f>AVERAGE('FASE 2  '!M307:N307,'FASE 2  '!Q307)</f>
        <v>0</v>
      </c>
      <c r="M135" s="248">
        <f>'FASE 4'!J307</f>
        <v>0</v>
      </c>
      <c r="N135" s="248">
        <f>'FASE 2  '!L307</f>
        <v>0</v>
      </c>
      <c r="O135" s="248">
        <f>'FASE 3 '!N307</f>
        <v>0</v>
      </c>
      <c r="P135" s="248">
        <f>'FASE 3 '!L307</f>
        <v>0</v>
      </c>
      <c r="Q135" s="248">
        <f>AVERAGE('FASE 3 '!O307,'FASE 3 '!P307,'FASE 3 '!Q307,'FASE 3 '!R307)</f>
        <v>0</v>
      </c>
      <c r="R135" s="248">
        <f>AVERAGE('FASE 3 '!T307,'FASE 3 '!U307,'FASE 3 '!S307)</f>
        <v>0</v>
      </c>
      <c r="S135" s="248">
        <f>'FASE 3 '!W307</f>
        <v>0</v>
      </c>
      <c r="T135" s="248">
        <f>'FASE 3 '!V307</f>
        <v>0</v>
      </c>
      <c r="U135" s="248">
        <f>'FASE 4'!F307</f>
        <v>0</v>
      </c>
      <c r="V135" s="251">
        <f t="shared" si="4"/>
        <v>0</v>
      </c>
    </row>
    <row r="136" spans="2:23" ht="15.75">
      <c r="B136" s="242">
        <v>711</v>
      </c>
      <c r="C136" s="247">
        <f>'FASE 1   '!E308</f>
        <v>0</v>
      </c>
      <c r="D136" s="248">
        <f>'FASE 1   '!K308</f>
        <v>0</v>
      </c>
      <c r="E136" s="248">
        <f>'FASE 1   '!J308</f>
        <v>0</v>
      </c>
      <c r="F136" s="248">
        <f>'FASE 1   '!P308</f>
        <v>0</v>
      </c>
      <c r="G136" s="248">
        <f>'FASE 1   '!L308</f>
        <v>0</v>
      </c>
      <c r="H136" s="248">
        <f>'FASE 1   '!S308</f>
        <v>0</v>
      </c>
      <c r="I136" s="248">
        <f>'FASE 1   '!N308</f>
        <v>0</v>
      </c>
      <c r="J136" s="248">
        <f>'FASE 1   '!T308</f>
        <v>0</v>
      </c>
      <c r="K136" s="248">
        <f>AVERAGE('FASE 2  '!D308:E308)</f>
        <v>0</v>
      </c>
      <c r="L136" s="248">
        <f>AVERAGE('FASE 2  '!M308:N308,'FASE 2  '!Q308)</f>
        <v>0</v>
      </c>
      <c r="M136" s="248">
        <f>'FASE 4'!J308</f>
        <v>0</v>
      </c>
      <c r="N136" s="248">
        <f>'FASE 2  '!L308</f>
        <v>0</v>
      </c>
      <c r="O136" s="248">
        <f>'FASE 3 '!N308</f>
        <v>0</v>
      </c>
      <c r="P136" s="248">
        <f>'FASE 3 '!L308</f>
        <v>0</v>
      </c>
      <c r="Q136" s="248">
        <f>AVERAGE('FASE 3 '!O308,'FASE 3 '!P308,'FASE 3 '!Q308,'FASE 3 '!R308)</f>
        <v>0</v>
      </c>
      <c r="R136" s="248">
        <f>AVERAGE('FASE 3 '!T308,'FASE 3 '!U308,'FASE 3 '!S308)</f>
        <v>0</v>
      </c>
      <c r="S136" s="248">
        <f>'FASE 3 '!W308</f>
        <v>0</v>
      </c>
      <c r="T136" s="248">
        <f>'FASE 3 '!V308</f>
        <v>0</v>
      </c>
      <c r="U136" s="248">
        <f>'FASE 4'!F308</f>
        <v>0</v>
      </c>
      <c r="V136" s="251">
        <f t="shared" si="4"/>
        <v>0</v>
      </c>
    </row>
    <row r="137" spans="2:23" ht="15.75">
      <c r="B137" s="242">
        <v>712</v>
      </c>
      <c r="C137" s="247">
        <f>'FASE 1   '!E309</f>
        <v>0</v>
      </c>
      <c r="D137" s="248">
        <f>'FASE 1   '!K309</f>
        <v>0</v>
      </c>
      <c r="E137" s="248">
        <f>'FASE 1   '!J309</f>
        <v>0</v>
      </c>
      <c r="F137" s="248">
        <f>'FASE 1   '!P309</f>
        <v>0</v>
      </c>
      <c r="G137" s="248">
        <f>'FASE 1   '!L309</f>
        <v>0</v>
      </c>
      <c r="H137" s="248">
        <f>'FASE 1   '!S309</f>
        <v>0</v>
      </c>
      <c r="I137" s="248">
        <f>'FASE 1   '!N309</f>
        <v>0</v>
      </c>
      <c r="J137" s="248">
        <f>'FASE 1   '!T309</f>
        <v>0</v>
      </c>
      <c r="K137" s="248">
        <f>AVERAGE('FASE 2  '!D309:E309)</f>
        <v>0</v>
      </c>
      <c r="L137" s="248">
        <f>AVERAGE('FASE 2  '!M309:N309,'FASE 2  '!Q309)</f>
        <v>0</v>
      </c>
      <c r="M137" s="248">
        <f>'FASE 4'!J309</f>
        <v>0</v>
      </c>
      <c r="N137" s="248">
        <f>'FASE 2  '!L309</f>
        <v>0</v>
      </c>
      <c r="O137" s="248">
        <f>'FASE 3 '!N309</f>
        <v>0</v>
      </c>
      <c r="P137" s="248">
        <f>'FASE 3 '!L309</f>
        <v>0</v>
      </c>
      <c r="Q137" s="248">
        <f>AVERAGE('FASE 3 '!O309,'FASE 3 '!P309,'FASE 3 '!Q309,'FASE 3 '!R309)</f>
        <v>0</v>
      </c>
      <c r="R137" s="248">
        <f>AVERAGE('FASE 3 '!T309,'FASE 3 '!U309,'FASE 3 '!S309)</f>
        <v>0</v>
      </c>
      <c r="S137" s="248">
        <f>'FASE 3 '!W309</f>
        <v>0</v>
      </c>
      <c r="T137" s="248">
        <f>'FASE 3 '!V309</f>
        <v>0</v>
      </c>
      <c r="U137" s="248">
        <f>'FASE 4'!F309</f>
        <v>0</v>
      </c>
      <c r="V137" s="251">
        <f t="shared" si="4"/>
        <v>0</v>
      </c>
    </row>
    <row r="138" spans="2:23" ht="15.75">
      <c r="B138" s="242">
        <v>713</v>
      </c>
      <c r="C138" s="247">
        <f>'FASE 1   '!E310</f>
        <v>0</v>
      </c>
      <c r="D138" s="248">
        <f>'FASE 1   '!K310</f>
        <v>0</v>
      </c>
      <c r="E138" s="248">
        <f>'FASE 1   '!J310</f>
        <v>0</v>
      </c>
      <c r="F138" s="248">
        <f>'FASE 1   '!P310</f>
        <v>0</v>
      </c>
      <c r="G138" s="248">
        <f>'FASE 1   '!L310</f>
        <v>0</v>
      </c>
      <c r="H138" s="248">
        <f>'FASE 1   '!S310</f>
        <v>0</v>
      </c>
      <c r="I138" s="248">
        <f>'FASE 1   '!N310</f>
        <v>0</v>
      </c>
      <c r="J138" s="248">
        <f>'FASE 1   '!T310</f>
        <v>0</v>
      </c>
      <c r="K138" s="248">
        <f>AVERAGE('FASE 2  '!D310:E310)</f>
        <v>0</v>
      </c>
      <c r="L138" s="248">
        <f>AVERAGE('FASE 2  '!M310:N310,'FASE 2  '!Q310)</f>
        <v>0</v>
      </c>
      <c r="M138" s="248">
        <f>'FASE 4'!J310</f>
        <v>0</v>
      </c>
      <c r="N138" s="248">
        <f>'FASE 2  '!L310</f>
        <v>0</v>
      </c>
      <c r="O138" s="248">
        <f>'FASE 3 '!N310</f>
        <v>0</v>
      </c>
      <c r="P138" s="248">
        <f>'FASE 3 '!L310</f>
        <v>0</v>
      </c>
      <c r="Q138" s="248">
        <f>AVERAGE('FASE 3 '!O310,'FASE 3 '!P310,'FASE 3 '!Q310,'FASE 3 '!R310)</f>
        <v>0</v>
      </c>
      <c r="R138" s="248">
        <f>AVERAGE('FASE 3 '!T310,'FASE 3 '!U310,'FASE 3 '!S310)</f>
        <v>0</v>
      </c>
      <c r="S138" s="248">
        <f>'FASE 3 '!W310</f>
        <v>0</v>
      </c>
      <c r="T138" s="248">
        <f>'FASE 3 '!V310</f>
        <v>0</v>
      </c>
      <c r="U138" s="248">
        <f>'FASE 4'!F310</f>
        <v>0</v>
      </c>
      <c r="V138" s="251">
        <f t="shared" si="4"/>
        <v>0</v>
      </c>
    </row>
    <row r="139" spans="2:23" ht="15.75">
      <c r="B139" s="242">
        <v>714</v>
      </c>
      <c r="C139" s="247">
        <f>'FASE 1   '!E311</f>
        <v>0</v>
      </c>
      <c r="D139" s="248">
        <f>'FASE 1   '!K311</f>
        <v>0</v>
      </c>
      <c r="E139" s="248">
        <f>'FASE 1   '!J311</f>
        <v>0</v>
      </c>
      <c r="F139" s="248">
        <f>'FASE 1   '!P311</f>
        <v>0</v>
      </c>
      <c r="G139" s="248">
        <f>'FASE 1   '!L311</f>
        <v>0</v>
      </c>
      <c r="H139" s="248">
        <f>'FASE 1   '!S311</f>
        <v>0</v>
      </c>
      <c r="I139" s="248">
        <f>'FASE 1   '!N311</f>
        <v>0</v>
      </c>
      <c r="J139" s="248">
        <f>'FASE 1   '!T311</f>
        <v>0</v>
      </c>
      <c r="K139" s="248">
        <f>AVERAGE('FASE 2  '!D311:E311)</f>
        <v>0</v>
      </c>
      <c r="L139" s="248">
        <f>AVERAGE('FASE 2  '!M311:N311,'FASE 2  '!Q311)</f>
        <v>0</v>
      </c>
      <c r="M139" s="248">
        <f>'FASE 4'!J311</f>
        <v>0</v>
      </c>
      <c r="N139" s="248">
        <f>'FASE 2  '!L311</f>
        <v>0</v>
      </c>
      <c r="O139" s="248">
        <f>'FASE 3 '!N311</f>
        <v>0</v>
      </c>
      <c r="P139" s="248">
        <f>'FASE 3 '!L311</f>
        <v>0</v>
      </c>
      <c r="Q139" s="248">
        <f>AVERAGE('FASE 3 '!O311,'FASE 3 '!P311,'FASE 3 '!Q311,'FASE 3 '!R311)</f>
        <v>0</v>
      </c>
      <c r="R139" s="248">
        <f>AVERAGE('FASE 3 '!T311,'FASE 3 '!U311,'FASE 3 '!S311)</f>
        <v>0</v>
      </c>
      <c r="S139" s="248">
        <f>'FASE 3 '!W311</f>
        <v>0</v>
      </c>
      <c r="T139" s="248">
        <f>'FASE 3 '!V311</f>
        <v>0</v>
      </c>
      <c r="U139" s="248">
        <f>'FASE 4'!F311</f>
        <v>0</v>
      </c>
      <c r="V139" s="251">
        <f t="shared" si="4"/>
        <v>0</v>
      </c>
    </row>
    <row r="140" spans="2:23" ht="15.75">
      <c r="B140" s="242">
        <v>715</v>
      </c>
      <c r="C140" s="247" t="e">
        <f>'FASE 1   '!#REF!</f>
        <v>#REF!</v>
      </c>
      <c r="D140" s="248" t="e">
        <f>'FASE 1   '!#REF!</f>
        <v>#REF!</v>
      </c>
      <c r="E140" s="248" t="e">
        <f>'FASE 1   '!#REF!</f>
        <v>#REF!</v>
      </c>
      <c r="F140" s="248" t="e">
        <f>'FASE 1   '!#REF!</f>
        <v>#REF!</v>
      </c>
      <c r="G140" s="248" t="e">
        <f>'FASE 1   '!#REF!</f>
        <v>#REF!</v>
      </c>
      <c r="H140" s="248" t="e">
        <f>'FASE 1   '!#REF!</f>
        <v>#REF!</v>
      </c>
      <c r="I140" s="248" t="e">
        <f>'FASE 1   '!#REF!</f>
        <v>#REF!</v>
      </c>
      <c r="J140" s="248" t="e">
        <f>'FASE 1   '!#REF!</f>
        <v>#REF!</v>
      </c>
      <c r="K140" s="248" t="e">
        <f>AVERAGE('FASE 2  '!#REF!)</f>
        <v>#REF!</v>
      </c>
      <c r="L140" s="248" t="e">
        <f>AVERAGE('FASE 2  '!#REF!,'FASE 2  '!#REF!)</f>
        <v>#REF!</v>
      </c>
      <c r="M140" s="248" t="e">
        <f>'FASE 4'!#REF!</f>
        <v>#REF!</v>
      </c>
      <c r="N140" s="248" t="e">
        <f>'FASE 2  '!#REF!</f>
        <v>#REF!</v>
      </c>
      <c r="O140" s="248" t="e">
        <f>'FASE 3 '!#REF!</f>
        <v>#REF!</v>
      </c>
      <c r="P140" s="248" t="e">
        <f>'FASE 3 '!#REF!</f>
        <v>#REF!</v>
      </c>
      <c r="Q140" s="248" t="e">
        <f>AVERAGE('FASE 3 '!#REF!,'FASE 3 '!#REF!,'FASE 3 '!#REF!,'FASE 3 '!#REF!)</f>
        <v>#REF!</v>
      </c>
      <c r="R140" s="248" t="e">
        <f>AVERAGE('FASE 3 '!#REF!,'FASE 3 '!#REF!,'FASE 3 '!#REF!)</f>
        <v>#REF!</v>
      </c>
      <c r="S140" s="248" t="e">
        <f>'FASE 3 '!#REF!</f>
        <v>#REF!</v>
      </c>
      <c r="T140" s="248" t="e">
        <f>'FASE 3 '!#REF!</f>
        <v>#REF!</v>
      </c>
      <c r="U140" s="248" t="e">
        <f>'FASE 4'!#REF!</f>
        <v>#REF!</v>
      </c>
      <c r="V140" s="251" t="e">
        <f t="shared" si="4"/>
        <v>#REF!</v>
      </c>
    </row>
    <row r="141" spans="2:23" ht="15.75">
      <c r="B141" s="242">
        <v>716</v>
      </c>
      <c r="C141" s="247" t="e">
        <f>'FASE 1   '!#REF!</f>
        <v>#REF!</v>
      </c>
      <c r="D141" s="248" t="e">
        <f>'FASE 1   '!#REF!</f>
        <v>#REF!</v>
      </c>
      <c r="E141" s="248" t="e">
        <f>'FASE 1   '!#REF!</f>
        <v>#REF!</v>
      </c>
      <c r="F141" s="248" t="e">
        <f>'FASE 1   '!#REF!</f>
        <v>#REF!</v>
      </c>
      <c r="G141" s="248" t="e">
        <f>'FASE 1   '!#REF!</f>
        <v>#REF!</v>
      </c>
      <c r="H141" s="248" t="e">
        <f>'FASE 1   '!#REF!</f>
        <v>#REF!</v>
      </c>
      <c r="I141" s="248" t="e">
        <f>'FASE 1   '!#REF!</f>
        <v>#REF!</v>
      </c>
      <c r="J141" s="248" t="e">
        <f>'FASE 1   '!#REF!</f>
        <v>#REF!</v>
      </c>
      <c r="K141" s="248" t="e">
        <f>AVERAGE('FASE 2  '!#REF!)</f>
        <v>#REF!</v>
      </c>
      <c r="L141" s="248" t="e">
        <f>AVERAGE('FASE 2  '!#REF!,'FASE 2  '!#REF!)</f>
        <v>#REF!</v>
      </c>
      <c r="M141" s="248" t="e">
        <f>'FASE 4'!#REF!</f>
        <v>#REF!</v>
      </c>
      <c r="N141" s="248" t="e">
        <f>'FASE 2  '!#REF!</f>
        <v>#REF!</v>
      </c>
      <c r="O141" s="248" t="e">
        <f>'FASE 3 '!#REF!</f>
        <v>#REF!</v>
      </c>
      <c r="P141" s="248" t="e">
        <f>'FASE 3 '!#REF!</f>
        <v>#REF!</v>
      </c>
      <c r="Q141" s="248" t="e">
        <f>AVERAGE('FASE 3 '!#REF!,'FASE 3 '!#REF!,'FASE 3 '!#REF!,'FASE 3 '!#REF!)</f>
        <v>#REF!</v>
      </c>
      <c r="R141" s="248" t="e">
        <f>AVERAGE('FASE 3 '!#REF!,'FASE 3 '!#REF!,'FASE 3 '!#REF!)</f>
        <v>#REF!</v>
      </c>
      <c r="S141" s="248" t="e">
        <f>'FASE 3 '!#REF!</f>
        <v>#REF!</v>
      </c>
      <c r="T141" s="248" t="e">
        <f>'FASE 3 '!#REF!</f>
        <v>#REF!</v>
      </c>
      <c r="U141" s="248" t="e">
        <f>'FASE 4'!#REF!</f>
        <v>#REF!</v>
      </c>
      <c r="V141" s="251" t="e">
        <f t="shared" si="4"/>
        <v>#REF!</v>
      </c>
    </row>
    <row r="142" spans="2:23" ht="16.5" thickBot="1">
      <c r="B142" s="242">
        <v>717</v>
      </c>
      <c r="C142" s="247" t="e">
        <f>'FASE 1   '!#REF!</f>
        <v>#REF!</v>
      </c>
      <c r="D142" s="248" t="e">
        <f>'FASE 1   '!#REF!</f>
        <v>#REF!</v>
      </c>
      <c r="E142" s="248" t="e">
        <f>'FASE 1   '!#REF!</f>
        <v>#REF!</v>
      </c>
      <c r="F142" s="248" t="e">
        <f>'FASE 1   '!#REF!</f>
        <v>#REF!</v>
      </c>
      <c r="G142" s="248" t="e">
        <f>'FASE 1   '!#REF!</f>
        <v>#REF!</v>
      </c>
      <c r="H142" s="248" t="e">
        <f>'FASE 1   '!#REF!</f>
        <v>#REF!</v>
      </c>
      <c r="I142" s="248" t="e">
        <f>'FASE 1   '!#REF!</f>
        <v>#REF!</v>
      </c>
      <c r="J142" s="248" t="e">
        <f>'FASE 1   '!#REF!</f>
        <v>#REF!</v>
      </c>
      <c r="K142" s="248" t="e">
        <f>AVERAGE('FASE 2  '!#REF!)</f>
        <v>#REF!</v>
      </c>
      <c r="L142" s="248" t="e">
        <f>AVERAGE('FASE 2  '!#REF!,'FASE 2  '!#REF!)</f>
        <v>#REF!</v>
      </c>
      <c r="M142" s="248" t="e">
        <f>'FASE 4'!#REF!</f>
        <v>#REF!</v>
      </c>
      <c r="N142" s="248" t="e">
        <f>'FASE 2  '!#REF!</f>
        <v>#REF!</v>
      </c>
      <c r="O142" s="248" t="e">
        <f>'FASE 3 '!#REF!</f>
        <v>#REF!</v>
      </c>
      <c r="P142" s="248" t="e">
        <f>'FASE 3 '!#REF!</f>
        <v>#REF!</v>
      </c>
      <c r="Q142" s="248" t="e">
        <f>AVERAGE('FASE 3 '!#REF!,'FASE 3 '!#REF!,'FASE 3 '!#REF!,'FASE 3 '!#REF!)</f>
        <v>#REF!</v>
      </c>
      <c r="R142" s="248" t="e">
        <f>AVERAGE('FASE 3 '!#REF!,'FASE 3 '!#REF!,'FASE 3 '!#REF!)</f>
        <v>#REF!</v>
      </c>
      <c r="S142" s="248" t="e">
        <f>'FASE 3 '!#REF!</f>
        <v>#REF!</v>
      </c>
      <c r="T142" s="248" t="e">
        <f>'FASE 3 '!#REF!</f>
        <v>#REF!</v>
      </c>
      <c r="U142" s="248" t="e">
        <f>'FASE 4'!#REF!</f>
        <v>#REF!</v>
      </c>
      <c r="V142" s="254" t="e">
        <f t="shared" si="4"/>
        <v>#REF!</v>
      </c>
    </row>
    <row r="143" spans="2:23" ht="16.5" thickBot="1">
      <c r="B143" s="243" t="s">
        <v>522</v>
      </c>
      <c r="C143" s="251" t="e">
        <f t="shared" ref="C143:U143" si="7">AVERAGE(C126:C142)</f>
        <v>#REF!</v>
      </c>
      <c r="D143" s="251" t="e">
        <f t="shared" si="7"/>
        <v>#REF!</v>
      </c>
      <c r="E143" s="251" t="e">
        <f t="shared" si="7"/>
        <v>#REF!</v>
      </c>
      <c r="F143" s="251" t="e">
        <f t="shared" si="7"/>
        <v>#REF!</v>
      </c>
      <c r="G143" s="251" t="e">
        <f t="shared" si="7"/>
        <v>#REF!</v>
      </c>
      <c r="H143" s="251" t="e">
        <f t="shared" si="7"/>
        <v>#REF!</v>
      </c>
      <c r="I143" s="251" t="e">
        <f t="shared" si="7"/>
        <v>#REF!</v>
      </c>
      <c r="J143" s="251" t="e">
        <f t="shared" si="7"/>
        <v>#REF!</v>
      </c>
      <c r="K143" s="251" t="e">
        <f t="shared" si="7"/>
        <v>#REF!</v>
      </c>
      <c r="L143" s="251" t="e">
        <f t="shared" si="7"/>
        <v>#REF!</v>
      </c>
      <c r="M143" s="251" t="e">
        <f t="shared" si="7"/>
        <v>#REF!</v>
      </c>
      <c r="N143" s="251" t="e">
        <f t="shared" si="7"/>
        <v>#REF!</v>
      </c>
      <c r="O143" s="251" t="e">
        <f t="shared" si="7"/>
        <v>#REF!</v>
      </c>
      <c r="P143" s="251" t="e">
        <f t="shared" si="7"/>
        <v>#REF!</v>
      </c>
      <c r="Q143" s="251" t="e">
        <f t="shared" si="7"/>
        <v>#REF!</v>
      </c>
      <c r="R143" s="251" t="e">
        <f t="shared" si="7"/>
        <v>#REF!</v>
      </c>
      <c r="S143" s="251" t="e">
        <f t="shared" si="7"/>
        <v>#REF!</v>
      </c>
      <c r="T143" s="251" t="e">
        <f t="shared" si="7"/>
        <v>#REF!</v>
      </c>
      <c r="U143" s="253" t="e">
        <f t="shared" si="7"/>
        <v>#REF!</v>
      </c>
      <c r="V143" s="256" t="e">
        <f>AVERAGE(C143:U143)</f>
        <v>#REF!</v>
      </c>
      <c r="W143" s="2"/>
    </row>
    <row r="144" spans="2:23" ht="15.75">
      <c r="B144" s="242">
        <v>801</v>
      </c>
      <c r="C144" s="247">
        <f>'FASE 1   '!E315</f>
        <v>0</v>
      </c>
      <c r="D144" s="248">
        <f>'FASE 1   '!K315</f>
        <v>0</v>
      </c>
      <c r="E144" s="248">
        <f>'FASE 1   '!J315</f>
        <v>0</v>
      </c>
      <c r="F144" s="248">
        <f>'FASE 1   '!P315</f>
        <v>0</v>
      </c>
      <c r="G144" s="248">
        <f>'FASE 1   '!L315</f>
        <v>0</v>
      </c>
      <c r="H144" s="248">
        <f>'FASE 1   '!S315</f>
        <v>0</v>
      </c>
      <c r="I144" s="248">
        <f>'FASE 1   '!N315</f>
        <v>0</v>
      </c>
      <c r="J144" s="248">
        <f>'FASE 1   '!T315</f>
        <v>0</v>
      </c>
      <c r="K144" s="248">
        <f>AVERAGE('FASE 2  '!D315:E315)</f>
        <v>0</v>
      </c>
      <c r="L144" s="248">
        <f>AVERAGE('FASE 2  '!M315:N315,'FASE 2  '!Q315)</f>
        <v>0</v>
      </c>
      <c r="M144" s="248">
        <f>'FASE 4'!J315</f>
        <v>0</v>
      </c>
      <c r="N144" s="248">
        <f>'FASE 2  '!L315</f>
        <v>0</v>
      </c>
      <c r="O144" s="248">
        <f>'FASE 3 '!N315</f>
        <v>0</v>
      </c>
      <c r="P144" s="248">
        <f>'FASE 3 '!L315</f>
        <v>0</v>
      </c>
      <c r="Q144" s="248">
        <f>AVERAGE('FASE 3 '!O315,'FASE 3 '!P315,'FASE 3 '!Q315,'FASE 3 '!R315)</f>
        <v>0</v>
      </c>
      <c r="R144" s="248">
        <f>AVERAGE('FASE 3 '!T315,'FASE 3 '!U315,'FASE 3 '!S315)</f>
        <v>0</v>
      </c>
      <c r="S144" s="248">
        <f>'FASE 3 '!W315</f>
        <v>0</v>
      </c>
      <c r="T144" s="248">
        <f>'FASE 3 '!V315</f>
        <v>0</v>
      </c>
      <c r="U144" s="248">
        <f>'FASE 4'!F315</f>
        <v>0</v>
      </c>
      <c r="V144" s="255">
        <f t="shared" si="4"/>
        <v>0</v>
      </c>
    </row>
    <row r="145" spans="2:22" ht="15.75">
      <c r="B145" s="242">
        <v>802</v>
      </c>
      <c r="C145" s="247">
        <f>'FASE 1   '!E346</f>
        <v>0</v>
      </c>
      <c r="D145" s="248">
        <f>'FASE 1   '!K346</f>
        <v>0</v>
      </c>
      <c r="E145" s="248">
        <f>'FASE 1   '!J346</f>
        <v>0</v>
      </c>
      <c r="F145" s="248">
        <f>'FASE 1   '!P346</f>
        <v>0</v>
      </c>
      <c r="G145" s="248">
        <f>'FASE 1   '!L346</f>
        <v>0</v>
      </c>
      <c r="H145" s="248">
        <f>'FASE 1   '!S346</f>
        <v>0</v>
      </c>
      <c r="I145" s="248">
        <f>'FASE 1   '!N346</f>
        <v>0</v>
      </c>
      <c r="J145" s="248">
        <f>'FASE 1   '!T346</f>
        <v>0</v>
      </c>
      <c r="K145" s="248">
        <f>AVERAGE('FASE 2  '!D346:E346)</f>
        <v>0</v>
      </c>
      <c r="L145" s="248">
        <f>AVERAGE('FASE 2  '!M346:N346,'FASE 2  '!Q346)</f>
        <v>0</v>
      </c>
      <c r="M145" s="248">
        <f>'FASE 4'!J346</f>
        <v>0</v>
      </c>
      <c r="N145" s="248">
        <f>'FASE 2  '!L346</f>
        <v>0</v>
      </c>
      <c r="O145" s="248">
        <f>'FASE 3 '!N346</f>
        <v>0</v>
      </c>
      <c r="P145" s="248">
        <f>'FASE 3 '!L346</f>
        <v>0</v>
      </c>
      <c r="Q145" s="248">
        <f>AVERAGE('FASE 3 '!O346,'FASE 3 '!P346,'FASE 3 '!Q346,'FASE 3 '!R346)</f>
        <v>0</v>
      </c>
      <c r="R145" s="248">
        <f>AVERAGE('FASE 3 '!T346,'FASE 3 '!U346,'FASE 3 '!S346)</f>
        <v>0</v>
      </c>
      <c r="S145" s="248">
        <f>'FASE 3 '!W346</f>
        <v>0</v>
      </c>
      <c r="T145" s="248">
        <f>'FASE 3 '!V346</f>
        <v>0</v>
      </c>
      <c r="U145" s="248">
        <f>'FASE 4'!F346</f>
        <v>0</v>
      </c>
      <c r="V145" s="251">
        <f t="shared" si="4"/>
        <v>0</v>
      </c>
    </row>
    <row r="146" spans="2:22" ht="15.75">
      <c r="B146" s="242">
        <v>803</v>
      </c>
      <c r="C146" s="247">
        <f>'FASE 1   '!E347</f>
        <v>0</v>
      </c>
      <c r="D146" s="248">
        <f>'FASE 1   '!K347</f>
        <v>0</v>
      </c>
      <c r="E146" s="248">
        <f>'FASE 1   '!J347</f>
        <v>0</v>
      </c>
      <c r="F146" s="248">
        <f>'FASE 1   '!P347</f>
        <v>0</v>
      </c>
      <c r="G146" s="248">
        <f>'FASE 1   '!L347</f>
        <v>0</v>
      </c>
      <c r="H146" s="248">
        <f>'FASE 1   '!S347</f>
        <v>0</v>
      </c>
      <c r="I146" s="248">
        <f>'FASE 1   '!N347</f>
        <v>0</v>
      </c>
      <c r="J146" s="248">
        <f>'FASE 1   '!T347</f>
        <v>0</v>
      </c>
      <c r="K146" s="248">
        <f>AVERAGE('FASE 2  '!D347:E347)</f>
        <v>0</v>
      </c>
      <c r="L146" s="248">
        <f>AVERAGE('FASE 2  '!M347:N347,'FASE 2  '!Q347)</f>
        <v>0</v>
      </c>
      <c r="M146" s="248">
        <f>'FASE 4'!J347</f>
        <v>0</v>
      </c>
      <c r="N146" s="248">
        <f>'FASE 2  '!L347</f>
        <v>0</v>
      </c>
      <c r="O146" s="248">
        <f>'FASE 3 '!N347</f>
        <v>0</v>
      </c>
      <c r="P146" s="248">
        <f>'FASE 3 '!L347</f>
        <v>0</v>
      </c>
      <c r="Q146" s="248">
        <f>AVERAGE('FASE 3 '!O347,'FASE 3 '!P347,'FASE 3 '!Q347,'FASE 3 '!R347)</f>
        <v>0</v>
      </c>
      <c r="R146" s="248">
        <f>AVERAGE('FASE 3 '!T347,'FASE 3 '!U347,'FASE 3 '!S347)</f>
        <v>0</v>
      </c>
      <c r="S146" s="248">
        <f>'FASE 3 '!W347</f>
        <v>0</v>
      </c>
      <c r="T146" s="248">
        <f>'FASE 3 '!V347</f>
        <v>0</v>
      </c>
      <c r="U146" s="248">
        <f>'FASE 4'!F347</f>
        <v>0</v>
      </c>
      <c r="V146" s="251">
        <f t="shared" si="4"/>
        <v>0</v>
      </c>
    </row>
    <row r="147" spans="2:22" ht="15.75">
      <c r="B147" s="242">
        <v>804</v>
      </c>
      <c r="C147" s="247">
        <f>'FASE 1   '!E348</f>
        <v>0</v>
      </c>
      <c r="D147" s="248">
        <f>'FASE 1   '!K348</f>
        <v>0</v>
      </c>
      <c r="E147" s="248">
        <f>'FASE 1   '!J348</f>
        <v>0</v>
      </c>
      <c r="F147" s="248">
        <f>'FASE 1   '!P348</f>
        <v>0</v>
      </c>
      <c r="G147" s="248">
        <f>'FASE 1   '!L348</f>
        <v>0</v>
      </c>
      <c r="H147" s="248">
        <f>'FASE 1   '!S348</f>
        <v>0</v>
      </c>
      <c r="I147" s="248">
        <f>'FASE 1   '!N348</f>
        <v>0</v>
      </c>
      <c r="J147" s="248">
        <f>'FASE 1   '!T348</f>
        <v>0</v>
      </c>
      <c r="K147" s="248">
        <f>AVERAGE('FASE 2  '!D348:E348)</f>
        <v>0</v>
      </c>
      <c r="L147" s="248">
        <f>AVERAGE('FASE 2  '!M348:N348,'FASE 2  '!Q348)</f>
        <v>0</v>
      </c>
      <c r="M147" s="248">
        <f>'FASE 4'!J348</f>
        <v>0</v>
      </c>
      <c r="N147" s="248">
        <f>'FASE 2  '!L348</f>
        <v>0</v>
      </c>
      <c r="O147" s="248">
        <f>'FASE 3 '!N348</f>
        <v>0</v>
      </c>
      <c r="P147" s="248">
        <f>'FASE 3 '!L348</f>
        <v>0</v>
      </c>
      <c r="Q147" s="248">
        <f>AVERAGE('FASE 3 '!O348,'FASE 3 '!P348,'FASE 3 '!Q348,'FASE 3 '!R348)</f>
        <v>0</v>
      </c>
      <c r="R147" s="248">
        <f>AVERAGE('FASE 3 '!T348,'FASE 3 '!U348,'FASE 3 '!S348)</f>
        <v>0</v>
      </c>
      <c r="S147" s="248">
        <f>'FASE 3 '!W348</f>
        <v>0</v>
      </c>
      <c r="T147" s="248">
        <f>'FASE 3 '!V348</f>
        <v>0</v>
      </c>
      <c r="U147" s="248">
        <f>'FASE 4'!F348</f>
        <v>0</v>
      </c>
      <c r="V147" s="251">
        <f t="shared" si="4"/>
        <v>0</v>
      </c>
    </row>
    <row r="148" spans="2:22" ht="15.75">
      <c r="B148" s="242">
        <v>805</v>
      </c>
      <c r="C148" s="247">
        <f>'FASE 1   '!E349</f>
        <v>0</v>
      </c>
      <c r="D148" s="248">
        <f>'FASE 1   '!K349</f>
        <v>0</v>
      </c>
      <c r="E148" s="248">
        <f>'FASE 1   '!J349</f>
        <v>0</v>
      </c>
      <c r="F148" s="248">
        <f>'FASE 1   '!P349</f>
        <v>0</v>
      </c>
      <c r="G148" s="248">
        <f>'FASE 1   '!L349</f>
        <v>0</v>
      </c>
      <c r="H148" s="248">
        <f>'FASE 1   '!S349</f>
        <v>0</v>
      </c>
      <c r="I148" s="248">
        <f>'FASE 1   '!N349</f>
        <v>0</v>
      </c>
      <c r="J148" s="248">
        <f>'FASE 1   '!T349</f>
        <v>0</v>
      </c>
      <c r="K148" s="248">
        <f>AVERAGE('FASE 2  '!D349:E349)</f>
        <v>0</v>
      </c>
      <c r="L148" s="248">
        <f>AVERAGE('FASE 2  '!M349:N349,'FASE 2  '!Q349)</f>
        <v>0</v>
      </c>
      <c r="M148" s="248">
        <f>'FASE 4'!J349</f>
        <v>0</v>
      </c>
      <c r="N148" s="248">
        <f>'FASE 2  '!L349</f>
        <v>0</v>
      </c>
      <c r="O148" s="248">
        <f>'FASE 3 '!N349</f>
        <v>0</v>
      </c>
      <c r="P148" s="248">
        <f>'FASE 3 '!L349</f>
        <v>0</v>
      </c>
      <c r="Q148" s="248">
        <f>AVERAGE('FASE 3 '!O349,'FASE 3 '!P349,'FASE 3 '!Q349,'FASE 3 '!R349)</f>
        <v>0</v>
      </c>
      <c r="R148" s="248">
        <f>AVERAGE('FASE 3 '!T349,'FASE 3 '!U349,'FASE 3 '!S349)</f>
        <v>0</v>
      </c>
      <c r="S148" s="248">
        <f>'FASE 3 '!W349</f>
        <v>0</v>
      </c>
      <c r="T148" s="248">
        <f>'FASE 3 '!V349</f>
        <v>0</v>
      </c>
      <c r="U148" s="248">
        <f>'FASE 4'!F349</f>
        <v>0</v>
      </c>
      <c r="V148" s="251">
        <f t="shared" si="4"/>
        <v>0</v>
      </c>
    </row>
    <row r="149" spans="2:22" ht="15.75">
      <c r="B149" s="242">
        <v>806</v>
      </c>
      <c r="C149" s="247">
        <f>'FASE 1   '!E350</f>
        <v>0</v>
      </c>
      <c r="D149" s="248">
        <f>'FASE 1   '!K350</f>
        <v>0</v>
      </c>
      <c r="E149" s="248">
        <f>'FASE 1   '!J350</f>
        <v>0</v>
      </c>
      <c r="F149" s="248">
        <f>'FASE 1   '!P350</f>
        <v>0</v>
      </c>
      <c r="G149" s="248">
        <f>'FASE 1   '!L350</f>
        <v>0</v>
      </c>
      <c r="H149" s="248">
        <f>'FASE 1   '!S350</f>
        <v>0</v>
      </c>
      <c r="I149" s="248">
        <f>'FASE 1   '!N350</f>
        <v>0</v>
      </c>
      <c r="J149" s="248">
        <f>'FASE 1   '!T350</f>
        <v>0</v>
      </c>
      <c r="K149" s="248">
        <f>AVERAGE('FASE 2  '!D350:E350)</f>
        <v>0</v>
      </c>
      <c r="L149" s="248">
        <f>AVERAGE('FASE 2  '!M350:N350,'FASE 2  '!Q350)</f>
        <v>0</v>
      </c>
      <c r="M149" s="248">
        <f>'FASE 4'!J350</f>
        <v>0</v>
      </c>
      <c r="N149" s="248">
        <f>'FASE 2  '!L350</f>
        <v>0</v>
      </c>
      <c r="O149" s="248">
        <f>'FASE 3 '!N350</f>
        <v>0</v>
      </c>
      <c r="P149" s="248">
        <f>'FASE 3 '!L350</f>
        <v>0</v>
      </c>
      <c r="Q149" s="248">
        <f>AVERAGE('FASE 3 '!O350,'FASE 3 '!P350,'FASE 3 '!Q350,'FASE 3 '!R350)</f>
        <v>0</v>
      </c>
      <c r="R149" s="248">
        <f>AVERAGE('FASE 3 '!T350,'FASE 3 '!U350,'FASE 3 '!S350)</f>
        <v>0</v>
      </c>
      <c r="S149" s="248">
        <f>'FASE 3 '!W350</f>
        <v>0</v>
      </c>
      <c r="T149" s="248">
        <f>'FASE 3 '!V350</f>
        <v>0</v>
      </c>
      <c r="U149" s="248">
        <f>'FASE 4'!F350</f>
        <v>0</v>
      </c>
      <c r="V149" s="251">
        <f t="shared" si="4"/>
        <v>0</v>
      </c>
    </row>
    <row r="150" spans="2:22" ht="15.75">
      <c r="B150" s="242">
        <v>807</v>
      </c>
      <c r="C150" s="247">
        <f>'FASE 1   '!E351</f>
        <v>0</v>
      </c>
      <c r="D150" s="248">
        <f>'FASE 1   '!K351</f>
        <v>0</v>
      </c>
      <c r="E150" s="248">
        <f>'FASE 1   '!J351</f>
        <v>0</v>
      </c>
      <c r="F150" s="248">
        <f>'FASE 1   '!P351</f>
        <v>0</v>
      </c>
      <c r="G150" s="248">
        <f>'FASE 1   '!L351</f>
        <v>0</v>
      </c>
      <c r="H150" s="248">
        <f>'FASE 1   '!S351</f>
        <v>0</v>
      </c>
      <c r="I150" s="248">
        <f>'FASE 1   '!N351</f>
        <v>0</v>
      </c>
      <c r="J150" s="248">
        <f>'FASE 1   '!T351</f>
        <v>0</v>
      </c>
      <c r="K150" s="248">
        <f>AVERAGE('FASE 2  '!D351:E351)</f>
        <v>0</v>
      </c>
      <c r="L150" s="248">
        <f>AVERAGE('FASE 2  '!M351:N351,'FASE 2  '!Q351)</f>
        <v>0</v>
      </c>
      <c r="M150" s="248">
        <f>'FASE 4'!J351</f>
        <v>0</v>
      </c>
      <c r="N150" s="248">
        <f>'FASE 2  '!L351</f>
        <v>0</v>
      </c>
      <c r="O150" s="248">
        <f>'FASE 3 '!N351</f>
        <v>0</v>
      </c>
      <c r="P150" s="248">
        <f>'FASE 3 '!L351</f>
        <v>0</v>
      </c>
      <c r="Q150" s="248">
        <f>AVERAGE('FASE 3 '!O351,'FASE 3 '!P351,'FASE 3 '!Q351,'FASE 3 '!R351)</f>
        <v>0</v>
      </c>
      <c r="R150" s="248">
        <f>AVERAGE('FASE 3 '!T351,'FASE 3 '!U351,'FASE 3 '!S351)</f>
        <v>0</v>
      </c>
      <c r="S150" s="248">
        <f>'FASE 3 '!W351</f>
        <v>0</v>
      </c>
      <c r="T150" s="248">
        <f>'FASE 3 '!V351</f>
        <v>0</v>
      </c>
      <c r="U150" s="248">
        <f>'FASE 4'!F351</f>
        <v>0</v>
      </c>
      <c r="V150" s="251">
        <f t="shared" si="4"/>
        <v>0</v>
      </c>
    </row>
    <row r="151" spans="2:22" ht="15.75">
      <c r="B151" s="242">
        <v>808</v>
      </c>
      <c r="C151" s="247">
        <f>'FASE 1   '!E352</f>
        <v>0</v>
      </c>
      <c r="D151" s="248">
        <f>'FASE 1   '!K352</f>
        <v>0</v>
      </c>
      <c r="E151" s="248">
        <f>'FASE 1   '!J352</f>
        <v>0</v>
      </c>
      <c r="F151" s="248">
        <f>'FASE 1   '!P352</f>
        <v>0</v>
      </c>
      <c r="G151" s="248">
        <f>'FASE 1   '!L352</f>
        <v>0</v>
      </c>
      <c r="H151" s="248">
        <f>'FASE 1   '!S352</f>
        <v>0</v>
      </c>
      <c r="I151" s="248">
        <f>'FASE 1   '!N352</f>
        <v>0</v>
      </c>
      <c r="J151" s="248">
        <f>'FASE 1   '!T352</f>
        <v>0</v>
      </c>
      <c r="K151" s="248">
        <f>AVERAGE('FASE 2  '!D352:E352)</f>
        <v>0</v>
      </c>
      <c r="L151" s="248">
        <f>AVERAGE('FASE 2  '!M352:N352,'FASE 2  '!Q352)</f>
        <v>0</v>
      </c>
      <c r="M151" s="248">
        <f>'FASE 4'!J352</f>
        <v>0</v>
      </c>
      <c r="N151" s="248">
        <f>'FASE 2  '!L352</f>
        <v>0</v>
      </c>
      <c r="O151" s="248">
        <f>'FASE 3 '!N352</f>
        <v>0</v>
      </c>
      <c r="P151" s="248">
        <f>'FASE 3 '!L352</f>
        <v>0</v>
      </c>
      <c r="Q151" s="248">
        <f>AVERAGE('FASE 3 '!O352,'FASE 3 '!P352,'FASE 3 '!Q352,'FASE 3 '!R352)</f>
        <v>0</v>
      </c>
      <c r="R151" s="248">
        <f>AVERAGE('FASE 3 '!T352,'FASE 3 '!U352,'FASE 3 '!S352)</f>
        <v>0</v>
      </c>
      <c r="S151" s="248">
        <f>'FASE 3 '!W352</f>
        <v>0</v>
      </c>
      <c r="T151" s="248">
        <f>'FASE 3 '!V352</f>
        <v>0</v>
      </c>
      <c r="U151" s="248">
        <f>'FASE 4'!F352</f>
        <v>0</v>
      </c>
      <c r="V151" s="251">
        <f t="shared" si="4"/>
        <v>0</v>
      </c>
    </row>
    <row r="152" spans="2:22" ht="15.75">
      <c r="B152" s="242">
        <v>809</v>
      </c>
      <c r="C152" s="247">
        <f>'FASE 1   '!E353</f>
        <v>0</v>
      </c>
      <c r="D152" s="248">
        <f>'FASE 1   '!K353</f>
        <v>0</v>
      </c>
      <c r="E152" s="248">
        <f>'FASE 1   '!J353</f>
        <v>0</v>
      </c>
      <c r="F152" s="248">
        <f>'FASE 1   '!P353</f>
        <v>0</v>
      </c>
      <c r="G152" s="248">
        <f>'FASE 1   '!L353</f>
        <v>0</v>
      </c>
      <c r="H152" s="248">
        <f>'FASE 1   '!S353</f>
        <v>0</v>
      </c>
      <c r="I152" s="248">
        <f>'FASE 1   '!N353</f>
        <v>0</v>
      </c>
      <c r="J152" s="248">
        <f>'FASE 1   '!T353</f>
        <v>0</v>
      </c>
      <c r="K152" s="248">
        <f>AVERAGE('FASE 2  '!D353:E353)</f>
        <v>0</v>
      </c>
      <c r="L152" s="248">
        <f>AVERAGE('FASE 2  '!M353:N353,'FASE 2  '!Q353)</f>
        <v>0</v>
      </c>
      <c r="M152" s="248">
        <f>'FASE 4'!J353</f>
        <v>0</v>
      </c>
      <c r="N152" s="248">
        <f>'FASE 2  '!L353</f>
        <v>0</v>
      </c>
      <c r="O152" s="248">
        <f>'FASE 3 '!N353</f>
        <v>0</v>
      </c>
      <c r="P152" s="248">
        <f>'FASE 3 '!L353</f>
        <v>0</v>
      </c>
      <c r="Q152" s="248">
        <f>AVERAGE('FASE 3 '!O353,'FASE 3 '!P353,'FASE 3 '!Q353,'FASE 3 '!R353)</f>
        <v>0</v>
      </c>
      <c r="R152" s="248">
        <f>AVERAGE('FASE 3 '!T353,'FASE 3 '!U353,'FASE 3 '!S353)</f>
        <v>0</v>
      </c>
      <c r="S152" s="248">
        <f>'FASE 3 '!W353</f>
        <v>0</v>
      </c>
      <c r="T152" s="248">
        <f>'FASE 3 '!V353</f>
        <v>0</v>
      </c>
      <c r="U152" s="248">
        <f>'FASE 4'!F353</f>
        <v>0</v>
      </c>
      <c r="V152" s="251">
        <f t="shared" si="4"/>
        <v>0</v>
      </c>
    </row>
    <row r="153" spans="2:22" ht="15.75">
      <c r="B153" s="242">
        <v>810</v>
      </c>
      <c r="C153" s="247">
        <f>'FASE 1   '!E354</f>
        <v>0</v>
      </c>
      <c r="D153" s="248">
        <f>'FASE 1   '!K354</f>
        <v>0</v>
      </c>
      <c r="E153" s="248">
        <f>'FASE 1   '!J354</f>
        <v>0</v>
      </c>
      <c r="F153" s="248">
        <f>'FASE 1   '!P354</f>
        <v>0</v>
      </c>
      <c r="G153" s="248">
        <f>'FASE 1   '!L354</f>
        <v>0</v>
      </c>
      <c r="H153" s="248">
        <f>'FASE 1   '!S354</f>
        <v>0</v>
      </c>
      <c r="I153" s="248">
        <f>'FASE 1   '!N354</f>
        <v>0</v>
      </c>
      <c r="J153" s="248">
        <f>'FASE 1   '!T354</f>
        <v>0</v>
      </c>
      <c r="K153" s="248">
        <f>AVERAGE('FASE 2  '!D354:E354)</f>
        <v>0</v>
      </c>
      <c r="L153" s="248">
        <f>AVERAGE('FASE 2  '!M354:N354,'FASE 2  '!Q354)</f>
        <v>0</v>
      </c>
      <c r="M153" s="248">
        <f>'FASE 4'!J354</f>
        <v>0</v>
      </c>
      <c r="N153" s="248">
        <f>'FASE 2  '!L354</f>
        <v>0</v>
      </c>
      <c r="O153" s="248">
        <f>'FASE 3 '!N354</f>
        <v>0</v>
      </c>
      <c r="P153" s="248">
        <f>'FASE 3 '!L354</f>
        <v>0</v>
      </c>
      <c r="Q153" s="248">
        <f>AVERAGE('FASE 3 '!O354,'FASE 3 '!P354,'FASE 3 '!Q354,'FASE 3 '!R354)</f>
        <v>0</v>
      </c>
      <c r="R153" s="248">
        <f>AVERAGE('FASE 3 '!T354,'FASE 3 '!U354,'FASE 3 '!S354)</f>
        <v>0</v>
      </c>
      <c r="S153" s="248">
        <f>'FASE 3 '!W354</f>
        <v>0</v>
      </c>
      <c r="T153" s="248">
        <f>'FASE 3 '!V354</f>
        <v>0</v>
      </c>
      <c r="U153" s="248">
        <f>'FASE 4'!F354</f>
        <v>0</v>
      </c>
      <c r="V153" s="251">
        <f t="shared" si="4"/>
        <v>0</v>
      </c>
    </row>
    <row r="154" spans="2:22" ht="15.75">
      <c r="B154" s="242">
        <v>811</v>
      </c>
      <c r="C154" s="247">
        <f>'FASE 1   '!E355</f>
        <v>0</v>
      </c>
      <c r="D154" s="248">
        <f>'FASE 1   '!K355</f>
        <v>0</v>
      </c>
      <c r="E154" s="248">
        <f>'FASE 1   '!J355</f>
        <v>0</v>
      </c>
      <c r="F154" s="248">
        <f>'FASE 1   '!P355</f>
        <v>0</v>
      </c>
      <c r="G154" s="248">
        <f>'FASE 1   '!L355</f>
        <v>0</v>
      </c>
      <c r="H154" s="248">
        <f>'FASE 1   '!S355</f>
        <v>0</v>
      </c>
      <c r="I154" s="248">
        <f>'FASE 1   '!N355</f>
        <v>0</v>
      </c>
      <c r="J154" s="248">
        <f>'FASE 1   '!T355</f>
        <v>0</v>
      </c>
      <c r="K154" s="248">
        <f>AVERAGE('FASE 2  '!D355:E355)</f>
        <v>0</v>
      </c>
      <c r="L154" s="248">
        <f>AVERAGE('FASE 2  '!M355:N355,'FASE 2  '!Q355)</f>
        <v>0</v>
      </c>
      <c r="M154" s="248">
        <f>'FASE 4'!J355</f>
        <v>0</v>
      </c>
      <c r="N154" s="248">
        <f>'FASE 2  '!L355</f>
        <v>0</v>
      </c>
      <c r="O154" s="248">
        <f>'FASE 3 '!N355</f>
        <v>0</v>
      </c>
      <c r="P154" s="248">
        <f>'FASE 3 '!L355</f>
        <v>0</v>
      </c>
      <c r="Q154" s="248">
        <f>AVERAGE('FASE 3 '!O355,'FASE 3 '!P355,'FASE 3 '!Q355,'FASE 3 '!R355)</f>
        <v>0</v>
      </c>
      <c r="R154" s="248">
        <f>AVERAGE('FASE 3 '!T355,'FASE 3 '!U355,'FASE 3 '!S355)</f>
        <v>0</v>
      </c>
      <c r="S154" s="248">
        <f>'FASE 3 '!W355</f>
        <v>0</v>
      </c>
      <c r="T154" s="248">
        <f>'FASE 3 '!V355</f>
        <v>0</v>
      </c>
      <c r="U154" s="248">
        <f>'FASE 4'!F355</f>
        <v>0</v>
      </c>
      <c r="V154" s="251">
        <f t="shared" si="4"/>
        <v>0</v>
      </c>
    </row>
    <row r="155" spans="2:22" ht="15.75">
      <c r="B155" s="242">
        <v>812</v>
      </c>
      <c r="C155" s="247">
        <f>'FASE 1   '!E356</f>
        <v>0</v>
      </c>
      <c r="D155" s="248">
        <f>'FASE 1   '!K356</f>
        <v>0</v>
      </c>
      <c r="E155" s="248">
        <f>'FASE 1   '!J356</f>
        <v>0</v>
      </c>
      <c r="F155" s="248">
        <f>'FASE 1   '!P356</f>
        <v>0</v>
      </c>
      <c r="G155" s="248">
        <f>'FASE 1   '!L356</f>
        <v>0</v>
      </c>
      <c r="H155" s="248">
        <f>'FASE 1   '!S356</f>
        <v>0</v>
      </c>
      <c r="I155" s="248">
        <f>'FASE 1   '!N356</f>
        <v>0</v>
      </c>
      <c r="J155" s="248">
        <f>'FASE 1   '!T356</f>
        <v>0</v>
      </c>
      <c r="K155" s="248">
        <f>AVERAGE('FASE 2  '!D356:E356)</f>
        <v>0</v>
      </c>
      <c r="L155" s="248">
        <f>AVERAGE('FASE 2  '!M356:N356,'FASE 2  '!Q356)</f>
        <v>0</v>
      </c>
      <c r="M155" s="248">
        <f>'FASE 4'!J356</f>
        <v>0</v>
      </c>
      <c r="N155" s="248">
        <f>'FASE 2  '!L356</f>
        <v>0</v>
      </c>
      <c r="O155" s="248">
        <f>'FASE 3 '!N356</f>
        <v>0</v>
      </c>
      <c r="P155" s="248">
        <f>'FASE 3 '!L356</f>
        <v>0</v>
      </c>
      <c r="Q155" s="248">
        <f>AVERAGE('FASE 3 '!O356,'FASE 3 '!P356,'FASE 3 '!Q356,'FASE 3 '!R356)</f>
        <v>0</v>
      </c>
      <c r="R155" s="248">
        <f>AVERAGE('FASE 3 '!T356,'FASE 3 '!U356,'FASE 3 '!S356)</f>
        <v>0</v>
      </c>
      <c r="S155" s="248">
        <f>'FASE 3 '!W356</f>
        <v>0</v>
      </c>
      <c r="T155" s="248">
        <f>'FASE 3 '!V356</f>
        <v>0</v>
      </c>
      <c r="U155" s="248">
        <f>'FASE 4'!F356</f>
        <v>0</v>
      </c>
      <c r="V155" s="251">
        <f t="shared" si="4"/>
        <v>0</v>
      </c>
    </row>
    <row r="156" spans="2:22" ht="15.75">
      <c r="B156" s="242">
        <v>813</v>
      </c>
      <c r="C156" s="247">
        <f>'FASE 1   '!E357</f>
        <v>0</v>
      </c>
      <c r="D156" s="248">
        <f>'FASE 1   '!K357</f>
        <v>0</v>
      </c>
      <c r="E156" s="248">
        <f>'FASE 1   '!J357</f>
        <v>0</v>
      </c>
      <c r="F156" s="248">
        <f>'FASE 1   '!P357</f>
        <v>0</v>
      </c>
      <c r="G156" s="248">
        <f>'FASE 1   '!L357</f>
        <v>0</v>
      </c>
      <c r="H156" s="248">
        <f>'FASE 1   '!S357</f>
        <v>0</v>
      </c>
      <c r="I156" s="248">
        <f>'FASE 1   '!N357</f>
        <v>0</v>
      </c>
      <c r="J156" s="248">
        <f>'FASE 1   '!T357</f>
        <v>0</v>
      </c>
      <c r="K156" s="248">
        <f>AVERAGE('FASE 2  '!D357:E357)</f>
        <v>0</v>
      </c>
      <c r="L156" s="248">
        <f>AVERAGE('FASE 2  '!M357:N357,'FASE 2  '!Q357)</f>
        <v>0</v>
      </c>
      <c r="M156" s="248">
        <f>'FASE 4'!J357</f>
        <v>0</v>
      </c>
      <c r="N156" s="248">
        <f>'FASE 2  '!L357</f>
        <v>0</v>
      </c>
      <c r="O156" s="248">
        <f>'FASE 3 '!N357</f>
        <v>0</v>
      </c>
      <c r="P156" s="248">
        <f>'FASE 3 '!L357</f>
        <v>0</v>
      </c>
      <c r="Q156" s="248">
        <f>AVERAGE('FASE 3 '!O357,'FASE 3 '!P357,'FASE 3 '!Q357,'FASE 3 '!R357)</f>
        <v>0</v>
      </c>
      <c r="R156" s="248">
        <f>AVERAGE('FASE 3 '!T357,'FASE 3 '!U357,'FASE 3 '!S357)</f>
        <v>0</v>
      </c>
      <c r="S156" s="248">
        <f>'FASE 3 '!W357</f>
        <v>0</v>
      </c>
      <c r="T156" s="248">
        <f>'FASE 3 '!V357</f>
        <v>0</v>
      </c>
      <c r="U156" s="248">
        <f>'FASE 4'!F357</f>
        <v>0</v>
      </c>
      <c r="V156" s="251">
        <f t="shared" si="4"/>
        <v>0</v>
      </c>
    </row>
    <row r="157" spans="2:22" ht="15.75">
      <c r="B157" s="242">
        <v>814</v>
      </c>
      <c r="C157" s="247">
        <f>'FASE 1   '!E358</f>
        <v>0</v>
      </c>
      <c r="D157" s="248">
        <f>'FASE 1   '!K358</f>
        <v>0</v>
      </c>
      <c r="E157" s="248">
        <f>'FASE 1   '!J358</f>
        <v>0</v>
      </c>
      <c r="F157" s="248">
        <f>'FASE 1   '!P358</f>
        <v>0</v>
      </c>
      <c r="G157" s="248">
        <f>'FASE 1   '!L358</f>
        <v>0</v>
      </c>
      <c r="H157" s="248">
        <f>'FASE 1   '!S358</f>
        <v>0</v>
      </c>
      <c r="I157" s="248">
        <f>'FASE 1   '!N358</f>
        <v>0</v>
      </c>
      <c r="J157" s="248">
        <f>'FASE 1   '!T358</f>
        <v>0</v>
      </c>
      <c r="K157" s="248">
        <f>AVERAGE('FASE 2  '!D358:E358)</f>
        <v>0</v>
      </c>
      <c r="L157" s="248">
        <f>AVERAGE('FASE 2  '!M358:N358,'FASE 2  '!Q358)</f>
        <v>0</v>
      </c>
      <c r="M157" s="248">
        <f>'FASE 4'!J358</f>
        <v>0</v>
      </c>
      <c r="N157" s="248">
        <f>'FASE 2  '!L358</f>
        <v>0</v>
      </c>
      <c r="O157" s="248">
        <f>'FASE 3 '!N358</f>
        <v>0</v>
      </c>
      <c r="P157" s="248">
        <f>'FASE 3 '!L358</f>
        <v>0</v>
      </c>
      <c r="Q157" s="248">
        <f>AVERAGE('FASE 3 '!O358,'FASE 3 '!P358,'FASE 3 '!Q358,'FASE 3 '!R358)</f>
        <v>0</v>
      </c>
      <c r="R157" s="248">
        <f>AVERAGE('FASE 3 '!T358,'FASE 3 '!U358,'FASE 3 '!S358)</f>
        <v>0</v>
      </c>
      <c r="S157" s="248">
        <f>'FASE 3 '!W358</f>
        <v>0</v>
      </c>
      <c r="T157" s="248">
        <f>'FASE 3 '!V358</f>
        <v>0</v>
      </c>
      <c r="U157" s="248">
        <f>'FASE 4'!F358</f>
        <v>0</v>
      </c>
      <c r="V157" s="251">
        <f t="shared" si="4"/>
        <v>0</v>
      </c>
    </row>
    <row r="158" spans="2:22" ht="15.75">
      <c r="B158" s="242">
        <v>815</v>
      </c>
      <c r="C158" s="247" t="e">
        <f>'FASE 1   '!#REF!</f>
        <v>#REF!</v>
      </c>
      <c r="D158" s="248" t="e">
        <f>'FASE 1   '!#REF!</f>
        <v>#REF!</v>
      </c>
      <c r="E158" s="248" t="e">
        <f>'FASE 1   '!#REF!</f>
        <v>#REF!</v>
      </c>
      <c r="F158" s="248" t="e">
        <f>'FASE 1   '!#REF!</f>
        <v>#REF!</v>
      </c>
      <c r="G158" s="248" t="e">
        <f>'FASE 1   '!#REF!</f>
        <v>#REF!</v>
      </c>
      <c r="H158" s="248" t="e">
        <f>'FASE 1   '!#REF!</f>
        <v>#REF!</v>
      </c>
      <c r="I158" s="248" t="e">
        <f>'FASE 1   '!#REF!</f>
        <v>#REF!</v>
      </c>
      <c r="J158" s="248" t="e">
        <f>'FASE 1   '!#REF!</f>
        <v>#REF!</v>
      </c>
      <c r="K158" s="248" t="e">
        <f>AVERAGE('FASE 2  '!#REF!)</f>
        <v>#REF!</v>
      </c>
      <c r="L158" s="248" t="e">
        <f>AVERAGE('FASE 2  '!#REF!,'FASE 2  '!#REF!)</f>
        <v>#REF!</v>
      </c>
      <c r="M158" s="248" t="e">
        <f>'FASE 4'!#REF!</f>
        <v>#REF!</v>
      </c>
      <c r="N158" s="248" t="e">
        <f>'FASE 2  '!#REF!</f>
        <v>#REF!</v>
      </c>
      <c r="O158" s="248" t="e">
        <f>'FASE 3 '!#REF!</f>
        <v>#REF!</v>
      </c>
      <c r="P158" s="248" t="e">
        <f>'FASE 3 '!#REF!</f>
        <v>#REF!</v>
      </c>
      <c r="Q158" s="248" t="e">
        <f>AVERAGE('FASE 3 '!#REF!,'FASE 3 '!#REF!,'FASE 3 '!#REF!,'FASE 3 '!#REF!)</f>
        <v>#REF!</v>
      </c>
      <c r="R158" s="248" t="e">
        <f>AVERAGE('FASE 3 '!#REF!,'FASE 3 '!#REF!,'FASE 3 '!#REF!)</f>
        <v>#REF!</v>
      </c>
      <c r="S158" s="248" t="e">
        <f>'FASE 3 '!#REF!</f>
        <v>#REF!</v>
      </c>
      <c r="T158" s="248" t="e">
        <f>'FASE 3 '!#REF!</f>
        <v>#REF!</v>
      </c>
      <c r="U158" s="248" t="e">
        <f>'FASE 4'!#REF!</f>
        <v>#REF!</v>
      </c>
      <c r="V158" s="251" t="e">
        <f t="shared" si="4"/>
        <v>#REF!</v>
      </c>
    </row>
    <row r="159" spans="2:22" ht="15.75">
      <c r="B159" s="242">
        <v>816</v>
      </c>
      <c r="C159" s="247" t="e">
        <f>'FASE 1   '!#REF!</f>
        <v>#REF!</v>
      </c>
      <c r="D159" s="248" t="e">
        <f>'FASE 1   '!#REF!</f>
        <v>#REF!</v>
      </c>
      <c r="E159" s="248" t="e">
        <f>'FASE 1   '!#REF!</f>
        <v>#REF!</v>
      </c>
      <c r="F159" s="248" t="e">
        <f>'FASE 1   '!#REF!</f>
        <v>#REF!</v>
      </c>
      <c r="G159" s="248" t="e">
        <f>'FASE 1   '!#REF!</f>
        <v>#REF!</v>
      </c>
      <c r="H159" s="248" t="e">
        <f>'FASE 1   '!#REF!</f>
        <v>#REF!</v>
      </c>
      <c r="I159" s="248" t="e">
        <f>'FASE 1   '!#REF!</f>
        <v>#REF!</v>
      </c>
      <c r="J159" s="248" t="e">
        <f>'FASE 1   '!#REF!</f>
        <v>#REF!</v>
      </c>
      <c r="K159" s="248" t="e">
        <f>AVERAGE('FASE 2  '!#REF!)</f>
        <v>#REF!</v>
      </c>
      <c r="L159" s="248" t="e">
        <f>AVERAGE('FASE 2  '!#REF!,'FASE 2  '!#REF!)</f>
        <v>#REF!</v>
      </c>
      <c r="M159" s="248" t="e">
        <f>'FASE 4'!#REF!</f>
        <v>#REF!</v>
      </c>
      <c r="N159" s="248" t="e">
        <f>'FASE 2  '!#REF!</f>
        <v>#REF!</v>
      </c>
      <c r="O159" s="248" t="e">
        <f>'FASE 3 '!#REF!</f>
        <v>#REF!</v>
      </c>
      <c r="P159" s="248" t="e">
        <f>'FASE 3 '!#REF!</f>
        <v>#REF!</v>
      </c>
      <c r="Q159" s="248" t="e">
        <f>AVERAGE('FASE 3 '!#REF!,'FASE 3 '!#REF!,'FASE 3 '!#REF!,'FASE 3 '!#REF!)</f>
        <v>#REF!</v>
      </c>
      <c r="R159" s="248" t="e">
        <f>AVERAGE('FASE 3 '!#REF!,'FASE 3 '!#REF!,'FASE 3 '!#REF!)</f>
        <v>#REF!</v>
      </c>
      <c r="S159" s="248" t="e">
        <f>'FASE 3 '!#REF!</f>
        <v>#REF!</v>
      </c>
      <c r="T159" s="248" t="e">
        <f>'FASE 3 '!#REF!</f>
        <v>#REF!</v>
      </c>
      <c r="U159" s="248" t="e">
        <f>'FASE 4'!#REF!</f>
        <v>#REF!</v>
      </c>
      <c r="V159" s="251" t="e">
        <f t="shared" si="4"/>
        <v>#REF!</v>
      </c>
    </row>
    <row r="160" spans="2:22" ht="15.75">
      <c r="B160" s="242">
        <v>817</v>
      </c>
      <c r="C160" s="247" t="e">
        <f>'FASE 1   '!#REF!</f>
        <v>#REF!</v>
      </c>
      <c r="D160" s="248" t="e">
        <f>'FASE 1   '!#REF!</f>
        <v>#REF!</v>
      </c>
      <c r="E160" s="248" t="e">
        <f>'FASE 1   '!#REF!</f>
        <v>#REF!</v>
      </c>
      <c r="F160" s="248" t="e">
        <f>'FASE 1   '!#REF!</f>
        <v>#REF!</v>
      </c>
      <c r="G160" s="248" t="e">
        <f>'FASE 1   '!#REF!</f>
        <v>#REF!</v>
      </c>
      <c r="H160" s="248" t="e">
        <f>'FASE 1   '!#REF!</f>
        <v>#REF!</v>
      </c>
      <c r="I160" s="248" t="e">
        <f>'FASE 1   '!#REF!</f>
        <v>#REF!</v>
      </c>
      <c r="J160" s="248" t="e">
        <f>'FASE 1   '!#REF!</f>
        <v>#REF!</v>
      </c>
      <c r="K160" s="248" t="e">
        <f>AVERAGE('FASE 2  '!#REF!)</f>
        <v>#REF!</v>
      </c>
      <c r="L160" s="248" t="e">
        <f>AVERAGE('FASE 2  '!#REF!,'FASE 2  '!#REF!)</f>
        <v>#REF!</v>
      </c>
      <c r="M160" s="248" t="e">
        <f>'FASE 4'!#REF!</f>
        <v>#REF!</v>
      </c>
      <c r="N160" s="248" t="e">
        <f>'FASE 2  '!#REF!</f>
        <v>#REF!</v>
      </c>
      <c r="O160" s="248" t="e">
        <f>'FASE 3 '!#REF!</f>
        <v>#REF!</v>
      </c>
      <c r="P160" s="248" t="e">
        <f>'FASE 3 '!#REF!</f>
        <v>#REF!</v>
      </c>
      <c r="Q160" s="248" t="e">
        <f>AVERAGE('FASE 3 '!#REF!,'FASE 3 '!#REF!,'FASE 3 '!#REF!,'FASE 3 '!#REF!)</f>
        <v>#REF!</v>
      </c>
      <c r="R160" s="248" t="e">
        <f>AVERAGE('FASE 3 '!#REF!,'FASE 3 '!#REF!,'FASE 3 '!#REF!)</f>
        <v>#REF!</v>
      </c>
      <c r="S160" s="248" t="e">
        <f>'FASE 3 '!#REF!</f>
        <v>#REF!</v>
      </c>
      <c r="T160" s="248" t="e">
        <f>'FASE 3 '!#REF!</f>
        <v>#REF!</v>
      </c>
      <c r="U160" s="248" t="e">
        <f>'FASE 4'!#REF!</f>
        <v>#REF!</v>
      </c>
      <c r="V160" s="251" t="e">
        <f t="shared" si="4"/>
        <v>#REF!</v>
      </c>
    </row>
    <row r="161" spans="2:23" ht="15.75">
      <c r="B161" s="243" t="s">
        <v>523</v>
      </c>
      <c r="C161" s="251" t="e">
        <f t="shared" ref="C161:U161" si="8">AVERAGE(C144:C160)</f>
        <v>#REF!</v>
      </c>
      <c r="D161" s="251" t="e">
        <f t="shared" si="8"/>
        <v>#REF!</v>
      </c>
      <c r="E161" s="251" t="e">
        <f t="shared" si="8"/>
        <v>#REF!</v>
      </c>
      <c r="F161" s="251" t="e">
        <f t="shared" si="8"/>
        <v>#REF!</v>
      </c>
      <c r="G161" s="251" t="e">
        <f t="shared" si="8"/>
        <v>#REF!</v>
      </c>
      <c r="H161" s="251" t="e">
        <f t="shared" si="8"/>
        <v>#REF!</v>
      </c>
      <c r="I161" s="251" t="e">
        <f t="shared" si="8"/>
        <v>#REF!</v>
      </c>
      <c r="J161" s="251" t="e">
        <f t="shared" si="8"/>
        <v>#REF!</v>
      </c>
      <c r="K161" s="251" t="e">
        <f t="shared" si="8"/>
        <v>#REF!</v>
      </c>
      <c r="L161" s="251" t="e">
        <f t="shared" si="8"/>
        <v>#REF!</v>
      </c>
      <c r="M161" s="251" t="e">
        <f t="shared" si="8"/>
        <v>#REF!</v>
      </c>
      <c r="N161" s="251" t="e">
        <f t="shared" si="8"/>
        <v>#REF!</v>
      </c>
      <c r="O161" s="251" t="e">
        <f t="shared" si="8"/>
        <v>#REF!</v>
      </c>
      <c r="P161" s="251" t="e">
        <f t="shared" si="8"/>
        <v>#REF!</v>
      </c>
      <c r="Q161" s="251" t="e">
        <f t="shared" si="8"/>
        <v>#REF!</v>
      </c>
      <c r="R161" s="251" t="e">
        <f t="shared" si="8"/>
        <v>#REF!</v>
      </c>
      <c r="S161" s="251" t="e">
        <f t="shared" si="8"/>
        <v>#REF!</v>
      </c>
      <c r="T161" s="251" t="e">
        <f t="shared" si="8"/>
        <v>#REF!</v>
      </c>
      <c r="U161" s="251" t="e">
        <f t="shared" si="8"/>
        <v>#REF!</v>
      </c>
      <c r="V161" s="251" t="e">
        <f>AVERAGE(C161:U161)</f>
        <v>#REF!</v>
      </c>
      <c r="W161" s="2"/>
    </row>
    <row r="162" spans="2:23" ht="15.75">
      <c r="B162" s="242">
        <v>901</v>
      </c>
      <c r="C162" s="247">
        <f>'FASE 1   '!E362</f>
        <v>0</v>
      </c>
      <c r="D162" s="248">
        <f>'FASE 1   '!K362</f>
        <v>0</v>
      </c>
      <c r="E162" s="248">
        <f>'FASE 1   '!J362</f>
        <v>0</v>
      </c>
      <c r="F162" s="248">
        <f>'FASE 1   '!P362</f>
        <v>0</v>
      </c>
      <c r="G162" s="248">
        <f>'FASE 1   '!L362</f>
        <v>0</v>
      </c>
      <c r="H162" s="248">
        <f>'FASE 1   '!S362</f>
        <v>0</v>
      </c>
      <c r="I162" s="248">
        <f>'FASE 1   '!N362</f>
        <v>0</v>
      </c>
      <c r="J162" s="248">
        <f>'FASE 1   '!T362</f>
        <v>0</v>
      </c>
      <c r="K162" s="248">
        <f>AVERAGE('FASE 2  '!D362:E362)</f>
        <v>0</v>
      </c>
      <c r="L162" s="248">
        <f>AVERAGE('FASE 2  '!M362:N362,'FASE 2  '!Q362)</f>
        <v>0</v>
      </c>
      <c r="M162" s="248">
        <f>'FASE 4'!J362</f>
        <v>0</v>
      </c>
      <c r="N162" s="248">
        <f>'FASE 2  '!L362</f>
        <v>0</v>
      </c>
      <c r="O162" s="248">
        <f>'FASE 3 '!N362</f>
        <v>0</v>
      </c>
      <c r="P162" s="248">
        <f>'FASE 3 '!L362</f>
        <v>0</v>
      </c>
      <c r="Q162" s="248">
        <f>AVERAGE('FASE 3 '!O362,'FASE 3 '!P362,'FASE 3 '!Q362,'FASE 3 '!R362)</f>
        <v>0</v>
      </c>
      <c r="R162" s="248">
        <f>AVERAGE('FASE 3 '!T362,'FASE 3 '!U362,'FASE 3 '!S362)</f>
        <v>0</v>
      </c>
      <c r="S162" s="248">
        <f>'FASE 3 '!W362</f>
        <v>0</v>
      </c>
      <c r="T162" s="248">
        <f>'FASE 3 '!V362</f>
        <v>0</v>
      </c>
      <c r="U162" s="248">
        <f>'FASE 4'!F362</f>
        <v>0</v>
      </c>
      <c r="V162" s="251">
        <f t="shared" si="4"/>
        <v>0</v>
      </c>
    </row>
    <row r="163" spans="2:23" ht="15.75">
      <c r="B163" s="242">
        <v>902</v>
      </c>
      <c r="C163" s="247">
        <f>'FASE 1   '!E390</f>
        <v>0</v>
      </c>
      <c r="D163" s="248">
        <f>'FASE 1   '!K390</f>
        <v>0</v>
      </c>
      <c r="E163" s="248">
        <f>'FASE 1   '!J390</f>
        <v>0</v>
      </c>
      <c r="F163" s="248">
        <f>'FASE 1   '!P390</f>
        <v>0</v>
      </c>
      <c r="G163" s="248">
        <f>'FASE 1   '!L390</f>
        <v>0</v>
      </c>
      <c r="H163" s="248">
        <f>'FASE 1   '!S390</f>
        <v>0</v>
      </c>
      <c r="I163" s="248">
        <f>'FASE 1   '!N390</f>
        <v>0</v>
      </c>
      <c r="J163" s="248">
        <f>'FASE 1   '!T390</f>
        <v>0</v>
      </c>
      <c r="K163" s="248">
        <f>AVERAGE('FASE 2  '!D393:E393)</f>
        <v>0</v>
      </c>
      <c r="L163" s="248">
        <f>AVERAGE('FASE 2  '!M393:N393,'FASE 2  '!Q393)</f>
        <v>0</v>
      </c>
      <c r="M163" s="248">
        <f>'FASE 4'!J393</f>
        <v>0</v>
      </c>
      <c r="N163" s="248">
        <f>'FASE 2  '!L393</f>
        <v>0</v>
      </c>
      <c r="O163" s="248">
        <f>'FASE 3 '!N393</f>
        <v>0</v>
      </c>
      <c r="P163" s="248">
        <f>'FASE 3 '!L393</f>
        <v>0</v>
      </c>
      <c r="Q163" s="248">
        <f>AVERAGE('FASE 3 '!O393,'FASE 3 '!P393,'FASE 3 '!Q393,'FASE 3 '!R393)</f>
        <v>0</v>
      </c>
      <c r="R163" s="248">
        <f>AVERAGE('FASE 3 '!T393,'FASE 3 '!U393,'FASE 3 '!S393)</f>
        <v>0</v>
      </c>
      <c r="S163" s="248">
        <f>'FASE 3 '!W393</f>
        <v>0</v>
      </c>
      <c r="T163" s="248">
        <f>'FASE 3 '!V393</f>
        <v>0</v>
      </c>
      <c r="U163" s="248">
        <f>'FASE 4'!F393</f>
        <v>0</v>
      </c>
      <c r="V163" s="251">
        <f t="shared" si="4"/>
        <v>0</v>
      </c>
    </row>
    <row r="164" spans="2:23" ht="15.75">
      <c r="B164" s="242">
        <v>903</v>
      </c>
      <c r="C164" s="247">
        <f>'FASE 1   '!E391</f>
        <v>0</v>
      </c>
      <c r="D164" s="248">
        <f>'FASE 1   '!K391</f>
        <v>0</v>
      </c>
      <c r="E164" s="248">
        <f>'FASE 1   '!J391</f>
        <v>0</v>
      </c>
      <c r="F164" s="248">
        <f>'FASE 1   '!P391</f>
        <v>0</v>
      </c>
      <c r="G164" s="248">
        <f>'FASE 1   '!L391</f>
        <v>0</v>
      </c>
      <c r="H164" s="248">
        <f>'FASE 1   '!S391</f>
        <v>0</v>
      </c>
      <c r="I164" s="248">
        <f>'FASE 1   '!N391</f>
        <v>0</v>
      </c>
      <c r="J164" s="248">
        <f>'FASE 1   '!T391</f>
        <v>0</v>
      </c>
      <c r="K164" s="248">
        <f>AVERAGE('FASE 2  '!D394:E394)</f>
        <v>0</v>
      </c>
      <c r="L164" s="248">
        <f>AVERAGE('FASE 2  '!M394:N394,'FASE 2  '!Q394)</f>
        <v>0</v>
      </c>
      <c r="M164" s="248">
        <f>'FASE 4'!J394</f>
        <v>0</v>
      </c>
      <c r="N164" s="248">
        <f>'FASE 2  '!L394</f>
        <v>0</v>
      </c>
      <c r="O164" s="248">
        <f>'FASE 3 '!N394</f>
        <v>0</v>
      </c>
      <c r="P164" s="248">
        <f>'FASE 3 '!L394</f>
        <v>0</v>
      </c>
      <c r="Q164" s="248">
        <f>AVERAGE('FASE 3 '!O394,'FASE 3 '!P394,'FASE 3 '!Q394,'FASE 3 '!R394)</f>
        <v>0</v>
      </c>
      <c r="R164" s="248">
        <f>AVERAGE('FASE 3 '!T394,'FASE 3 '!U394,'FASE 3 '!S394)</f>
        <v>0</v>
      </c>
      <c r="S164" s="248">
        <f>'FASE 3 '!W394</f>
        <v>0</v>
      </c>
      <c r="T164" s="248">
        <f>'FASE 3 '!V394</f>
        <v>0</v>
      </c>
      <c r="U164" s="248">
        <f>'FASE 4'!F394</f>
        <v>0</v>
      </c>
      <c r="V164" s="251">
        <f t="shared" si="4"/>
        <v>0</v>
      </c>
    </row>
    <row r="165" spans="2:23" ht="15.75">
      <c r="B165" s="242">
        <v>904</v>
      </c>
      <c r="C165" s="247">
        <f>'FASE 1   '!E392</f>
        <v>0</v>
      </c>
      <c r="D165" s="248">
        <f>'FASE 1   '!K392</f>
        <v>0</v>
      </c>
      <c r="E165" s="248">
        <f>'FASE 1   '!J392</f>
        <v>0</v>
      </c>
      <c r="F165" s="248">
        <f>'FASE 1   '!P392</f>
        <v>0</v>
      </c>
      <c r="G165" s="248">
        <f>'FASE 1   '!L392</f>
        <v>0</v>
      </c>
      <c r="H165" s="248">
        <f>'FASE 1   '!S392</f>
        <v>0</v>
      </c>
      <c r="I165" s="248">
        <f>'FASE 1   '!N392</f>
        <v>0</v>
      </c>
      <c r="J165" s="248">
        <f>'FASE 1   '!T392</f>
        <v>0</v>
      </c>
      <c r="K165" s="248">
        <f>AVERAGE('FASE 2  '!D395:E395)</f>
        <v>0</v>
      </c>
      <c r="L165" s="248">
        <f>AVERAGE('FASE 2  '!M395:N395,'FASE 2  '!Q395)</f>
        <v>0</v>
      </c>
      <c r="M165" s="248">
        <f>'FASE 4'!J395</f>
        <v>0</v>
      </c>
      <c r="N165" s="248">
        <f>'FASE 2  '!L395</f>
        <v>0</v>
      </c>
      <c r="O165" s="248">
        <f>'FASE 3 '!N395</f>
        <v>0</v>
      </c>
      <c r="P165" s="248">
        <f>'FASE 3 '!L395</f>
        <v>0</v>
      </c>
      <c r="Q165" s="248">
        <f>AVERAGE('FASE 3 '!O395,'FASE 3 '!P395,'FASE 3 '!Q395,'FASE 3 '!R395)</f>
        <v>0</v>
      </c>
      <c r="R165" s="248">
        <f>AVERAGE('FASE 3 '!T395,'FASE 3 '!U395,'FASE 3 '!S395)</f>
        <v>0</v>
      </c>
      <c r="S165" s="248">
        <f>'FASE 3 '!W395</f>
        <v>0</v>
      </c>
      <c r="T165" s="248">
        <f>'FASE 3 '!V395</f>
        <v>0</v>
      </c>
      <c r="U165" s="248">
        <f>'FASE 4'!F395</f>
        <v>0</v>
      </c>
      <c r="V165" s="251">
        <f t="shared" ref="V165:V228" si="9">AVERAGE(C165:U165)</f>
        <v>0</v>
      </c>
    </row>
    <row r="166" spans="2:23" ht="15.75">
      <c r="B166" s="242">
        <v>905</v>
      </c>
      <c r="C166" s="247">
        <f>'FASE 1   '!E393</f>
        <v>0</v>
      </c>
      <c r="D166" s="248">
        <f>'FASE 1   '!K393</f>
        <v>0</v>
      </c>
      <c r="E166" s="248">
        <f>'FASE 1   '!J393</f>
        <v>0</v>
      </c>
      <c r="F166" s="248">
        <f>'FASE 1   '!P393</f>
        <v>0</v>
      </c>
      <c r="G166" s="248">
        <f>'FASE 1   '!L393</f>
        <v>0</v>
      </c>
      <c r="H166" s="248">
        <f>'FASE 1   '!S393</f>
        <v>0</v>
      </c>
      <c r="I166" s="248">
        <f>'FASE 1   '!N393</f>
        <v>0</v>
      </c>
      <c r="J166" s="248">
        <f>'FASE 1   '!T393</f>
        <v>0</v>
      </c>
      <c r="K166" s="248">
        <f>AVERAGE('FASE 2  '!D396:E396)</f>
        <v>0</v>
      </c>
      <c r="L166" s="248">
        <f>AVERAGE('FASE 2  '!M396:N396,'FASE 2  '!Q396)</f>
        <v>0</v>
      </c>
      <c r="M166" s="248">
        <f>'FASE 4'!J396</f>
        <v>0</v>
      </c>
      <c r="N166" s="248">
        <f>'FASE 2  '!L396</f>
        <v>0</v>
      </c>
      <c r="O166" s="248">
        <f>'FASE 3 '!N396</f>
        <v>0</v>
      </c>
      <c r="P166" s="248">
        <f>'FASE 3 '!L396</f>
        <v>0</v>
      </c>
      <c r="Q166" s="248">
        <f>AVERAGE('FASE 3 '!O396,'FASE 3 '!P396,'FASE 3 '!Q396,'FASE 3 '!R396)</f>
        <v>0</v>
      </c>
      <c r="R166" s="248">
        <f>AVERAGE('FASE 3 '!T396,'FASE 3 '!U396,'FASE 3 '!S396)</f>
        <v>0</v>
      </c>
      <c r="S166" s="248">
        <f>'FASE 3 '!W396</f>
        <v>0</v>
      </c>
      <c r="T166" s="248">
        <f>'FASE 3 '!V396</f>
        <v>0</v>
      </c>
      <c r="U166" s="248">
        <f>'FASE 4'!F396</f>
        <v>0</v>
      </c>
      <c r="V166" s="251">
        <f t="shared" si="9"/>
        <v>0</v>
      </c>
    </row>
    <row r="167" spans="2:23" ht="15.75">
      <c r="B167" s="242">
        <v>906</v>
      </c>
      <c r="C167" s="247">
        <f>'FASE 1   '!E394</f>
        <v>0</v>
      </c>
      <c r="D167" s="248">
        <f>'FASE 1   '!K394</f>
        <v>0</v>
      </c>
      <c r="E167" s="248">
        <f>'FASE 1   '!J394</f>
        <v>0</v>
      </c>
      <c r="F167" s="248">
        <f>'FASE 1   '!P394</f>
        <v>0</v>
      </c>
      <c r="G167" s="248">
        <f>'FASE 1   '!L394</f>
        <v>0</v>
      </c>
      <c r="H167" s="248">
        <f>'FASE 1   '!S394</f>
        <v>0</v>
      </c>
      <c r="I167" s="248">
        <f>'FASE 1   '!N394</f>
        <v>0</v>
      </c>
      <c r="J167" s="248">
        <f>'FASE 1   '!T394</f>
        <v>0</v>
      </c>
      <c r="K167" s="248">
        <f>AVERAGE('FASE 2  '!D397:E397)</f>
        <v>0</v>
      </c>
      <c r="L167" s="248">
        <f>AVERAGE('FASE 2  '!M397:N397,'FASE 2  '!Q397)</f>
        <v>0</v>
      </c>
      <c r="M167" s="248">
        <f>'FASE 4'!J397</f>
        <v>0</v>
      </c>
      <c r="N167" s="248">
        <f>'FASE 2  '!L397</f>
        <v>0</v>
      </c>
      <c r="O167" s="248">
        <f>'FASE 3 '!N397</f>
        <v>0</v>
      </c>
      <c r="P167" s="248">
        <f>'FASE 3 '!L397</f>
        <v>0</v>
      </c>
      <c r="Q167" s="248">
        <f>AVERAGE('FASE 3 '!O397,'FASE 3 '!P397,'FASE 3 '!Q397,'FASE 3 '!R397)</f>
        <v>0</v>
      </c>
      <c r="R167" s="248">
        <f>AVERAGE('FASE 3 '!T397,'FASE 3 '!U397,'FASE 3 '!S397)</f>
        <v>0</v>
      </c>
      <c r="S167" s="248">
        <f>'FASE 3 '!W397</f>
        <v>0</v>
      </c>
      <c r="T167" s="248">
        <f>'FASE 3 '!V397</f>
        <v>0</v>
      </c>
      <c r="U167" s="248">
        <f>'FASE 4'!F397</f>
        <v>0</v>
      </c>
      <c r="V167" s="251">
        <f t="shared" si="9"/>
        <v>0</v>
      </c>
    </row>
    <row r="168" spans="2:23" ht="15.75">
      <c r="B168" s="242">
        <v>907</v>
      </c>
      <c r="C168" s="247">
        <f>'FASE 1   '!E395</f>
        <v>0</v>
      </c>
      <c r="D168" s="248">
        <f>'FASE 1   '!K395</f>
        <v>0</v>
      </c>
      <c r="E168" s="248">
        <f>'FASE 1   '!J395</f>
        <v>0</v>
      </c>
      <c r="F168" s="248">
        <f>'FASE 1   '!P395</f>
        <v>0</v>
      </c>
      <c r="G168" s="248">
        <f>'FASE 1   '!L395</f>
        <v>0</v>
      </c>
      <c r="H168" s="248">
        <f>'FASE 1   '!S395</f>
        <v>0</v>
      </c>
      <c r="I168" s="248">
        <f>'FASE 1   '!N395</f>
        <v>0</v>
      </c>
      <c r="J168" s="248">
        <f>'FASE 1   '!T395</f>
        <v>0</v>
      </c>
      <c r="K168" s="248">
        <f>AVERAGE('FASE 2  '!D398:E398)</f>
        <v>0</v>
      </c>
      <c r="L168" s="248">
        <f>AVERAGE('FASE 2  '!M398:N398,'FASE 2  '!Q398)</f>
        <v>0</v>
      </c>
      <c r="M168" s="248">
        <f>'FASE 4'!J398</f>
        <v>0</v>
      </c>
      <c r="N168" s="248">
        <f>'FASE 2  '!L398</f>
        <v>0</v>
      </c>
      <c r="O168" s="248">
        <f>'FASE 3 '!N398</f>
        <v>0</v>
      </c>
      <c r="P168" s="248">
        <f>'FASE 3 '!L398</f>
        <v>0</v>
      </c>
      <c r="Q168" s="248">
        <f>AVERAGE('FASE 3 '!O398,'FASE 3 '!P398,'FASE 3 '!Q398,'FASE 3 '!R398)</f>
        <v>0</v>
      </c>
      <c r="R168" s="248">
        <f>AVERAGE('FASE 3 '!T398,'FASE 3 '!U398,'FASE 3 '!S398)</f>
        <v>0</v>
      </c>
      <c r="S168" s="248">
        <f>'FASE 3 '!W398</f>
        <v>0</v>
      </c>
      <c r="T168" s="248">
        <f>'FASE 3 '!V398</f>
        <v>0</v>
      </c>
      <c r="U168" s="248">
        <f>'FASE 4'!F398</f>
        <v>0</v>
      </c>
      <c r="V168" s="251">
        <f t="shared" si="9"/>
        <v>0</v>
      </c>
    </row>
    <row r="169" spans="2:23" ht="15.75">
      <c r="B169" s="242">
        <v>908</v>
      </c>
      <c r="C169" s="247">
        <f>'FASE 1   '!E396</f>
        <v>0</v>
      </c>
      <c r="D169" s="248">
        <f>'FASE 1   '!K396</f>
        <v>0</v>
      </c>
      <c r="E169" s="248">
        <f>'FASE 1   '!J396</f>
        <v>0</v>
      </c>
      <c r="F169" s="248">
        <f>'FASE 1   '!P396</f>
        <v>0</v>
      </c>
      <c r="G169" s="248">
        <f>'FASE 1   '!L396</f>
        <v>0</v>
      </c>
      <c r="H169" s="248">
        <f>'FASE 1   '!S396</f>
        <v>0</v>
      </c>
      <c r="I169" s="248">
        <f>'FASE 1   '!N396</f>
        <v>0</v>
      </c>
      <c r="J169" s="248">
        <f>'FASE 1   '!T396</f>
        <v>0</v>
      </c>
      <c r="K169" s="248">
        <f>AVERAGE('FASE 2  '!D399:E399)</f>
        <v>0</v>
      </c>
      <c r="L169" s="248">
        <f>AVERAGE('FASE 2  '!M399:N399,'FASE 2  '!Q399)</f>
        <v>0</v>
      </c>
      <c r="M169" s="248">
        <f>'FASE 4'!J399</f>
        <v>0</v>
      </c>
      <c r="N169" s="248">
        <f>'FASE 2  '!L399</f>
        <v>0</v>
      </c>
      <c r="O169" s="248">
        <f>'FASE 3 '!N399</f>
        <v>0</v>
      </c>
      <c r="P169" s="248">
        <f>'FASE 3 '!L399</f>
        <v>0</v>
      </c>
      <c r="Q169" s="248">
        <f>AVERAGE('FASE 3 '!O399,'FASE 3 '!P399,'FASE 3 '!Q399,'FASE 3 '!R399)</f>
        <v>0</v>
      </c>
      <c r="R169" s="248">
        <f>AVERAGE('FASE 3 '!T399,'FASE 3 '!U399,'FASE 3 '!S399)</f>
        <v>0</v>
      </c>
      <c r="S169" s="248">
        <f>'FASE 3 '!W399</f>
        <v>0</v>
      </c>
      <c r="T169" s="248">
        <f>'FASE 3 '!V399</f>
        <v>0</v>
      </c>
      <c r="U169" s="248">
        <f>'FASE 4'!F399</f>
        <v>0</v>
      </c>
      <c r="V169" s="251">
        <f t="shared" si="9"/>
        <v>0</v>
      </c>
    </row>
    <row r="170" spans="2:23" ht="15.75">
      <c r="B170" s="242">
        <v>909</v>
      </c>
      <c r="C170" s="247">
        <f>'FASE 1   '!E397</f>
        <v>0</v>
      </c>
      <c r="D170" s="248">
        <f>'FASE 1   '!K397</f>
        <v>0</v>
      </c>
      <c r="E170" s="248">
        <f>'FASE 1   '!J397</f>
        <v>0</v>
      </c>
      <c r="F170" s="248">
        <f>'FASE 1   '!P397</f>
        <v>0</v>
      </c>
      <c r="G170" s="248">
        <f>'FASE 1   '!L397</f>
        <v>0</v>
      </c>
      <c r="H170" s="248">
        <f>'FASE 1   '!S397</f>
        <v>0</v>
      </c>
      <c r="I170" s="248">
        <f>'FASE 1   '!N397</f>
        <v>0</v>
      </c>
      <c r="J170" s="248">
        <f>'FASE 1   '!T397</f>
        <v>0</v>
      </c>
      <c r="K170" s="248">
        <f>AVERAGE('FASE 2  '!D400:E400)</f>
        <v>0</v>
      </c>
      <c r="L170" s="248">
        <f>AVERAGE('FASE 2  '!M400:N400,'FASE 2  '!Q400)</f>
        <v>0</v>
      </c>
      <c r="M170" s="248">
        <f>'FASE 4'!J400</f>
        <v>0</v>
      </c>
      <c r="N170" s="248">
        <f>'FASE 2  '!L400</f>
        <v>0</v>
      </c>
      <c r="O170" s="248">
        <f>'FASE 3 '!N400</f>
        <v>0</v>
      </c>
      <c r="P170" s="248">
        <f>'FASE 3 '!L400</f>
        <v>0</v>
      </c>
      <c r="Q170" s="248">
        <f>AVERAGE('FASE 3 '!O400,'FASE 3 '!P400,'FASE 3 '!Q400,'FASE 3 '!R400)</f>
        <v>0</v>
      </c>
      <c r="R170" s="248">
        <f>AVERAGE('FASE 3 '!T400,'FASE 3 '!U400,'FASE 3 '!S400)</f>
        <v>0</v>
      </c>
      <c r="S170" s="248">
        <f>'FASE 3 '!W400</f>
        <v>0</v>
      </c>
      <c r="T170" s="248">
        <f>'FASE 3 '!V400</f>
        <v>0</v>
      </c>
      <c r="U170" s="248">
        <f>'FASE 4'!F400</f>
        <v>0</v>
      </c>
      <c r="V170" s="251">
        <f t="shared" si="9"/>
        <v>0</v>
      </c>
    </row>
    <row r="171" spans="2:23" ht="15.75">
      <c r="B171" s="242">
        <v>910</v>
      </c>
      <c r="C171" s="247">
        <f>'FASE 1   '!E398</f>
        <v>0</v>
      </c>
      <c r="D171" s="248">
        <f>'FASE 1   '!K398</f>
        <v>0</v>
      </c>
      <c r="E171" s="248">
        <f>'FASE 1   '!J398</f>
        <v>0</v>
      </c>
      <c r="F171" s="248">
        <f>'FASE 1   '!P398</f>
        <v>0</v>
      </c>
      <c r="G171" s="248">
        <f>'FASE 1   '!L398</f>
        <v>0</v>
      </c>
      <c r="H171" s="248">
        <f>'FASE 1   '!S398</f>
        <v>0</v>
      </c>
      <c r="I171" s="248">
        <f>'FASE 1   '!N398</f>
        <v>0</v>
      </c>
      <c r="J171" s="248">
        <f>'FASE 1   '!T398</f>
        <v>0</v>
      </c>
      <c r="K171" s="248">
        <f>AVERAGE('FASE 2  '!D401:E401)</f>
        <v>0</v>
      </c>
      <c r="L171" s="248">
        <f>AVERAGE('FASE 2  '!M401:N401,'FASE 2  '!Q401)</f>
        <v>0</v>
      </c>
      <c r="M171" s="248">
        <f>'FASE 4'!J401</f>
        <v>0</v>
      </c>
      <c r="N171" s="248">
        <f>'FASE 2  '!L401</f>
        <v>0</v>
      </c>
      <c r="O171" s="248">
        <f>'FASE 3 '!N401</f>
        <v>0</v>
      </c>
      <c r="P171" s="248">
        <f>'FASE 3 '!L401</f>
        <v>0</v>
      </c>
      <c r="Q171" s="248">
        <f>AVERAGE('FASE 3 '!O401,'FASE 3 '!P401,'FASE 3 '!Q401,'FASE 3 '!R401)</f>
        <v>0</v>
      </c>
      <c r="R171" s="248">
        <f>AVERAGE('FASE 3 '!T401,'FASE 3 '!U401,'FASE 3 '!S401)</f>
        <v>0</v>
      </c>
      <c r="S171" s="248">
        <f>'FASE 3 '!W401</f>
        <v>0</v>
      </c>
      <c r="T171" s="248">
        <f>'FASE 3 '!V401</f>
        <v>0</v>
      </c>
      <c r="U171" s="248">
        <f>'FASE 4'!F401</f>
        <v>0</v>
      </c>
      <c r="V171" s="251">
        <f t="shared" si="9"/>
        <v>0</v>
      </c>
    </row>
    <row r="172" spans="2:23" ht="15.75">
      <c r="B172" s="242">
        <v>911</v>
      </c>
      <c r="C172" s="247">
        <f>'FASE 1   '!E399</f>
        <v>0</v>
      </c>
      <c r="D172" s="248">
        <f>'FASE 1   '!K399</f>
        <v>0</v>
      </c>
      <c r="E172" s="248">
        <f>'FASE 1   '!J399</f>
        <v>0</v>
      </c>
      <c r="F172" s="248">
        <f>'FASE 1   '!P399</f>
        <v>0</v>
      </c>
      <c r="G172" s="248">
        <f>'FASE 1   '!L399</f>
        <v>0</v>
      </c>
      <c r="H172" s="248">
        <f>'FASE 1   '!S399</f>
        <v>0</v>
      </c>
      <c r="I172" s="248">
        <f>'FASE 1   '!N399</f>
        <v>0</v>
      </c>
      <c r="J172" s="248">
        <f>'FASE 1   '!T399</f>
        <v>0</v>
      </c>
      <c r="K172" s="248">
        <f>AVERAGE('FASE 2  '!D402:E402)</f>
        <v>0</v>
      </c>
      <c r="L172" s="248">
        <f>AVERAGE('FASE 2  '!M402:N402,'FASE 2  '!Q402)</f>
        <v>0</v>
      </c>
      <c r="M172" s="248">
        <f>'FASE 4'!J402</f>
        <v>0</v>
      </c>
      <c r="N172" s="248">
        <f>'FASE 2  '!L402</f>
        <v>0</v>
      </c>
      <c r="O172" s="248">
        <f>'FASE 3 '!N402</f>
        <v>0</v>
      </c>
      <c r="P172" s="248">
        <f>'FASE 3 '!L402</f>
        <v>0</v>
      </c>
      <c r="Q172" s="248">
        <f>AVERAGE('FASE 3 '!O402,'FASE 3 '!P402,'FASE 3 '!Q402,'FASE 3 '!R402)</f>
        <v>0</v>
      </c>
      <c r="R172" s="248">
        <f>AVERAGE('FASE 3 '!T402,'FASE 3 '!U402,'FASE 3 '!S402)</f>
        <v>0</v>
      </c>
      <c r="S172" s="248">
        <f>'FASE 3 '!W402</f>
        <v>0</v>
      </c>
      <c r="T172" s="248">
        <f>'FASE 3 '!V402</f>
        <v>0</v>
      </c>
      <c r="U172" s="248">
        <f>'FASE 4'!F402</f>
        <v>0</v>
      </c>
      <c r="V172" s="251">
        <f t="shared" si="9"/>
        <v>0</v>
      </c>
    </row>
    <row r="173" spans="2:23" ht="15.75">
      <c r="B173" s="242">
        <v>912</v>
      </c>
      <c r="C173" s="247">
        <f>'FASE 1   '!E400</f>
        <v>0</v>
      </c>
      <c r="D173" s="248">
        <f>'FASE 1   '!K400</f>
        <v>0</v>
      </c>
      <c r="E173" s="248">
        <f>'FASE 1   '!J400</f>
        <v>0</v>
      </c>
      <c r="F173" s="248">
        <f>'FASE 1   '!P400</f>
        <v>0</v>
      </c>
      <c r="G173" s="248">
        <f>'FASE 1   '!L400</f>
        <v>0</v>
      </c>
      <c r="H173" s="248">
        <f>'FASE 1   '!S400</f>
        <v>0</v>
      </c>
      <c r="I173" s="248">
        <f>'FASE 1   '!N400</f>
        <v>0</v>
      </c>
      <c r="J173" s="248">
        <f>'FASE 1   '!T400</f>
        <v>0</v>
      </c>
      <c r="K173" s="248" t="e">
        <f>AVERAGE('FASE 2  '!#REF!)</f>
        <v>#REF!</v>
      </c>
      <c r="L173" s="248" t="e">
        <f>AVERAGE('FASE 2  '!#REF!,'FASE 2  '!#REF!)</f>
        <v>#REF!</v>
      </c>
      <c r="M173" s="248" t="e">
        <f>'FASE 4'!#REF!</f>
        <v>#REF!</v>
      </c>
      <c r="N173" s="248" t="e">
        <f>'FASE 2  '!#REF!</f>
        <v>#REF!</v>
      </c>
      <c r="O173" s="248" t="e">
        <f>'FASE 3 '!#REF!</f>
        <v>#REF!</v>
      </c>
      <c r="P173" s="248" t="e">
        <f>'FASE 3 '!#REF!</f>
        <v>#REF!</v>
      </c>
      <c r="Q173" s="248" t="e">
        <f>AVERAGE('FASE 3 '!#REF!,'FASE 3 '!#REF!,'FASE 3 '!#REF!,'FASE 3 '!#REF!)</f>
        <v>#REF!</v>
      </c>
      <c r="R173" s="248" t="e">
        <f>AVERAGE('FASE 3 '!#REF!,'FASE 3 '!#REF!,'FASE 3 '!#REF!)</f>
        <v>#REF!</v>
      </c>
      <c r="S173" s="248" t="e">
        <f>'FASE 3 '!#REF!</f>
        <v>#REF!</v>
      </c>
      <c r="T173" s="248" t="e">
        <f>'FASE 3 '!#REF!</f>
        <v>#REF!</v>
      </c>
      <c r="U173" s="248" t="e">
        <f>'FASE 4'!#REF!</f>
        <v>#REF!</v>
      </c>
      <c r="V173" s="251" t="e">
        <f t="shared" si="9"/>
        <v>#REF!</v>
      </c>
    </row>
    <row r="174" spans="2:23" ht="15.75">
      <c r="B174" s="242">
        <v>913</v>
      </c>
      <c r="C174" s="247">
        <f>'FASE 1   '!E401</f>
        <v>0</v>
      </c>
      <c r="D174" s="248">
        <f>'FASE 1   '!K401</f>
        <v>0</v>
      </c>
      <c r="E174" s="248">
        <f>'FASE 1   '!J401</f>
        <v>0</v>
      </c>
      <c r="F174" s="248">
        <f>'FASE 1   '!P401</f>
        <v>0</v>
      </c>
      <c r="G174" s="248">
        <f>'FASE 1   '!L401</f>
        <v>0</v>
      </c>
      <c r="H174" s="248">
        <f>'FASE 1   '!S401</f>
        <v>0</v>
      </c>
      <c r="I174" s="248">
        <f>'FASE 1   '!N401</f>
        <v>0</v>
      </c>
      <c r="J174" s="248">
        <f>'FASE 1   '!T401</f>
        <v>0</v>
      </c>
      <c r="K174" s="248" t="e">
        <f>AVERAGE('FASE 2  '!#REF!)</f>
        <v>#REF!</v>
      </c>
      <c r="L174" s="248" t="e">
        <f>AVERAGE('FASE 2  '!#REF!,'FASE 2  '!#REF!)</f>
        <v>#REF!</v>
      </c>
      <c r="M174" s="248" t="e">
        <f>'FASE 4'!#REF!</f>
        <v>#REF!</v>
      </c>
      <c r="N174" s="248" t="e">
        <f>'FASE 2  '!#REF!</f>
        <v>#REF!</v>
      </c>
      <c r="O174" s="248" t="e">
        <f>'FASE 3 '!#REF!</f>
        <v>#REF!</v>
      </c>
      <c r="P174" s="248" t="e">
        <f>'FASE 3 '!#REF!</f>
        <v>#REF!</v>
      </c>
      <c r="Q174" s="248" t="e">
        <f>AVERAGE('FASE 3 '!#REF!,'FASE 3 '!#REF!,'FASE 3 '!#REF!,'FASE 3 '!#REF!)</f>
        <v>#REF!</v>
      </c>
      <c r="R174" s="248" t="e">
        <f>AVERAGE('FASE 3 '!#REF!,'FASE 3 '!#REF!,'FASE 3 '!#REF!)</f>
        <v>#REF!</v>
      </c>
      <c r="S174" s="248" t="e">
        <f>'FASE 3 '!#REF!</f>
        <v>#REF!</v>
      </c>
      <c r="T174" s="248" t="e">
        <f>'FASE 3 '!#REF!</f>
        <v>#REF!</v>
      </c>
      <c r="U174" s="248" t="e">
        <f>'FASE 4'!#REF!</f>
        <v>#REF!</v>
      </c>
      <c r="V174" s="251" t="e">
        <f t="shared" si="9"/>
        <v>#REF!</v>
      </c>
    </row>
    <row r="175" spans="2:23" ht="15.75">
      <c r="B175" s="242">
        <v>914</v>
      </c>
      <c r="C175" s="247">
        <f>'FASE 1   '!E402</f>
        <v>0</v>
      </c>
      <c r="D175" s="248">
        <f>'FASE 1   '!K402</f>
        <v>0</v>
      </c>
      <c r="E175" s="248">
        <f>'FASE 1   '!J402</f>
        <v>0</v>
      </c>
      <c r="F175" s="248">
        <f>'FASE 1   '!P402</f>
        <v>0</v>
      </c>
      <c r="G175" s="248">
        <f>'FASE 1   '!L402</f>
        <v>0</v>
      </c>
      <c r="H175" s="248">
        <f>'FASE 1   '!S402</f>
        <v>0</v>
      </c>
      <c r="I175" s="248">
        <f>'FASE 1   '!N402</f>
        <v>0</v>
      </c>
      <c r="J175" s="248">
        <f>'FASE 1   '!T402</f>
        <v>0</v>
      </c>
      <c r="K175" s="248" t="e">
        <f>AVERAGE('FASE 2  '!#REF!)</f>
        <v>#REF!</v>
      </c>
      <c r="L175" s="248" t="e">
        <f>AVERAGE('FASE 2  '!#REF!,'FASE 2  '!#REF!)</f>
        <v>#REF!</v>
      </c>
      <c r="M175" s="248" t="e">
        <f>'FASE 4'!#REF!</f>
        <v>#REF!</v>
      </c>
      <c r="N175" s="248" t="e">
        <f>'FASE 2  '!#REF!</f>
        <v>#REF!</v>
      </c>
      <c r="O175" s="248" t="e">
        <f>'FASE 3 '!#REF!</f>
        <v>#REF!</v>
      </c>
      <c r="P175" s="248" t="e">
        <f>'FASE 3 '!#REF!</f>
        <v>#REF!</v>
      </c>
      <c r="Q175" s="248" t="e">
        <f>AVERAGE('FASE 3 '!#REF!,'FASE 3 '!#REF!,'FASE 3 '!#REF!,'FASE 3 '!#REF!)</f>
        <v>#REF!</v>
      </c>
      <c r="R175" s="248" t="e">
        <f>AVERAGE('FASE 3 '!#REF!,'FASE 3 '!#REF!,'FASE 3 '!#REF!)</f>
        <v>#REF!</v>
      </c>
      <c r="S175" s="248" t="e">
        <f>'FASE 3 '!#REF!</f>
        <v>#REF!</v>
      </c>
      <c r="T175" s="248" t="e">
        <f>'FASE 3 '!#REF!</f>
        <v>#REF!</v>
      </c>
      <c r="U175" s="248" t="e">
        <f>'FASE 4'!#REF!</f>
        <v>#REF!</v>
      </c>
      <c r="V175" s="251" t="e">
        <f t="shared" si="9"/>
        <v>#REF!</v>
      </c>
    </row>
    <row r="176" spans="2:23" ht="15.75">
      <c r="B176" s="242">
        <v>915</v>
      </c>
      <c r="C176" s="247" t="e">
        <f>'FASE 1   '!#REF!</f>
        <v>#REF!</v>
      </c>
      <c r="D176" s="248" t="e">
        <f>'FASE 1   '!#REF!</f>
        <v>#REF!</v>
      </c>
      <c r="E176" s="248" t="e">
        <f>'FASE 1   '!#REF!</f>
        <v>#REF!</v>
      </c>
      <c r="F176" s="248" t="e">
        <f>'FASE 1   '!#REF!</f>
        <v>#REF!</v>
      </c>
      <c r="G176" s="248" t="e">
        <f>'FASE 1   '!#REF!</f>
        <v>#REF!</v>
      </c>
      <c r="H176" s="248" t="e">
        <f>'FASE 1   '!#REF!</f>
        <v>#REF!</v>
      </c>
      <c r="I176" s="248" t="e">
        <f>'FASE 1   '!#REF!</f>
        <v>#REF!</v>
      </c>
      <c r="J176" s="248" t="e">
        <f>'FASE 1   '!#REF!</f>
        <v>#REF!</v>
      </c>
      <c r="K176" s="248" t="e">
        <f>AVERAGE('FASE 2  '!#REF!)</f>
        <v>#REF!</v>
      </c>
      <c r="L176" s="248" t="e">
        <f>AVERAGE('FASE 2  '!#REF!,'FASE 2  '!#REF!)</f>
        <v>#REF!</v>
      </c>
      <c r="M176" s="248" t="e">
        <f>'FASE 4'!#REF!</f>
        <v>#REF!</v>
      </c>
      <c r="N176" s="248" t="e">
        <f>'FASE 2  '!#REF!</f>
        <v>#REF!</v>
      </c>
      <c r="O176" s="248" t="e">
        <f>'FASE 3 '!#REF!</f>
        <v>#REF!</v>
      </c>
      <c r="P176" s="248" t="e">
        <f>'FASE 3 '!#REF!</f>
        <v>#REF!</v>
      </c>
      <c r="Q176" s="248" t="e">
        <f>AVERAGE('FASE 3 '!#REF!,'FASE 3 '!#REF!,'FASE 3 '!#REF!,'FASE 3 '!#REF!)</f>
        <v>#REF!</v>
      </c>
      <c r="R176" s="248" t="e">
        <f>AVERAGE('FASE 3 '!#REF!,'FASE 3 '!#REF!,'FASE 3 '!#REF!)</f>
        <v>#REF!</v>
      </c>
      <c r="S176" s="248" t="e">
        <f>'FASE 3 '!#REF!</f>
        <v>#REF!</v>
      </c>
      <c r="T176" s="248" t="e">
        <f>'FASE 3 '!#REF!</f>
        <v>#REF!</v>
      </c>
      <c r="U176" s="248" t="e">
        <f>'FASE 4'!#REF!</f>
        <v>#REF!</v>
      </c>
      <c r="V176" s="251" t="e">
        <f t="shared" si="9"/>
        <v>#REF!</v>
      </c>
    </row>
    <row r="177" spans="2:23" ht="15.75">
      <c r="B177" s="242">
        <v>916</v>
      </c>
      <c r="C177" s="247" t="e">
        <f>'FASE 1   '!#REF!</f>
        <v>#REF!</v>
      </c>
      <c r="D177" s="248" t="e">
        <f>'FASE 1   '!#REF!</f>
        <v>#REF!</v>
      </c>
      <c r="E177" s="248" t="e">
        <f>'FASE 1   '!#REF!</f>
        <v>#REF!</v>
      </c>
      <c r="F177" s="248" t="e">
        <f>'FASE 1   '!#REF!</f>
        <v>#REF!</v>
      </c>
      <c r="G177" s="248" t="e">
        <f>'FASE 1   '!#REF!</f>
        <v>#REF!</v>
      </c>
      <c r="H177" s="248" t="e">
        <f>'FASE 1   '!#REF!</f>
        <v>#REF!</v>
      </c>
      <c r="I177" s="248" t="e">
        <f>'FASE 1   '!#REF!</f>
        <v>#REF!</v>
      </c>
      <c r="J177" s="248" t="e">
        <f>'FASE 1   '!#REF!</f>
        <v>#REF!</v>
      </c>
      <c r="K177" s="248" t="e">
        <f>AVERAGE('FASE 2  '!#REF!)</f>
        <v>#REF!</v>
      </c>
      <c r="L177" s="248" t="e">
        <f>AVERAGE('FASE 2  '!#REF!,'FASE 2  '!#REF!)</f>
        <v>#REF!</v>
      </c>
      <c r="M177" s="248" t="e">
        <f>'FASE 4'!#REF!</f>
        <v>#REF!</v>
      </c>
      <c r="N177" s="248" t="e">
        <f>'FASE 2  '!#REF!</f>
        <v>#REF!</v>
      </c>
      <c r="O177" s="248" t="e">
        <f>'FASE 3 '!#REF!</f>
        <v>#REF!</v>
      </c>
      <c r="P177" s="248" t="e">
        <f>'FASE 3 '!#REF!</f>
        <v>#REF!</v>
      </c>
      <c r="Q177" s="248" t="e">
        <f>AVERAGE('FASE 3 '!#REF!,'FASE 3 '!#REF!,'FASE 3 '!#REF!,'FASE 3 '!#REF!)</f>
        <v>#REF!</v>
      </c>
      <c r="R177" s="248" t="e">
        <f>AVERAGE('FASE 3 '!#REF!,'FASE 3 '!#REF!,'FASE 3 '!#REF!)</f>
        <v>#REF!</v>
      </c>
      <c r="S177" s="248" t="e">
        <f>'FASE 3 '!#REF!</f>
        <v>#REF!</v>
      </c>
      <c r="T177" s="248" t="e">
        <f>'FASE 3 '!#REF!</f>
        <v>#REF!</v>
      </c>
      <c r="U177" s="248" t="e">
        <f>'FASE 4'!#REF!</f>
        <v>#REF!</v>
      </c>
      <c r="V177" s="251" t="e">
        <f t="shared" si="9"/>
        <v>#REF!</v>
      </c>
    </row>
    <row r="178" spans="2:23" ht="15.75">
      <c r="B178" s="242">
        <v>917</v>
      </c>
      <c r="C178" s="247" t="e">
        <f>'FASE 1   '!#REF!</f>
        <v>#REF!</v>
      </c>
      <c r="D178" s="248" t="e">
        <f>'FASE 1   '!#REF!</f>
        <v>#REF!</v>
      </c>
      <c r="E178" s="248" t="e">
        <f>'FASE 1   '!#REF!</f>
        <v>#REF!</v>
      </c>
      <c r="F178" s="248" t="e">
        <f>'FASE 1   '!#REF!</f>
        <v>#REF!</v>
      </c>
      <c r="G178" s="248" t="e">
        <f>'FASE 1   '!#REF!</f>
        <v>#REF!</v>
      </c>
      <c r="H178" s="248" t="e">
        <f>'FASE 1   '!#REF!</f>
        <v>#REF!</v>
      </c>
      <c r="I178" s="248" t="e">
        <f>'FASE 1   '!#REF!</f>
        <v>#REF!</v>
      </c>
      <c r="J178" s="248" t="e">
        <f>'FASE 1   '!#REF!</f>
        <v>#REF!</v>
      </c>
      <c r="K178" s="248" t="e">
        <f>AVERAGE('FASE 2  '!#REF!)</f>
        <v>#REF!</v>
      </c>
      <c r="L178" s="248" t="e">
        <f>AVERAGE('FASE 2  '!#REF!,'FASE 2  '!#REF!)</f>
        <v>#REF!</v>
      </c>
      <c r="M178" s="248" t="e">
        <f>'FASE 4'!#REF!</f>
        <v>#REF!</v>
      </c>
      <c r="N178" s="248" t="e">
        <f>'FASE 2  '!#REF!</f>
        <v>#REF!</v>
      </c>
      <c r="O178" s="248" t="e">
        <f>'FASE 3 '!#REF!</f>
        <v>#REF!</v>
      </c>
      <c r="P178" s="248" t="e">
        <f>'FASE 3 '!#REF!</f>
        <v>#REF!</v>
      </c>
      <c r="Q178" s="248" t="e">
        <f>AVERAGE('FASE 3 '!#REF!,'FASE 3 '!#REF!,'FASE 3 '!#REF!,'FASE 3 '!#REF!)</f>
        <v>#REF!</v>
      </c>
      <c r="R178" s="248" t="e">
        <f>AVERAGE('FASE 3 '!#REF!,'FASE 3 '!#REF!,'FASE 3 '!#REF!)</f>
        <v>#REF!</v>
      </c>
      <c r="S178" s="248" t="e">
        <f>'FASE 3 '!#REF!</f>
        <v>#REF!</v>
      </c>
      <c r="T178" s="248" t="e">
        <f>'FASE 3 '!#REF!</f>
        <v>#REF!</v>
      </c>
      <c r="U178" s="248" t="e">
        <f>'FASE 4'!#REF!</f>
        <v>#REF!</v>
      </c>
      <c r="V178" s="251" t="e">
        <f t="shared" si="9"/>
        <v>#REF!</v>
      </c>
    </row>
    <row r="179" spans="2:23" ht="15.75">
      <c r="B179" s="243" t="s">
        <v>524</v>
      </c>
      <c r="C179" s="251" t="e">
        <f t="shared" ref="C179:U179" si="10">AVERAGE(C162:C178)</f>
        <v>#REF!</v>
      </c>
      <c r="D179" s="251" t="e">
        <f t="shared" si="10"/>
        <v>#REF!</v>
      </c>
      <c r="E179" s="251" t="e">
        <f t="shared" si="10"/>
        <v>#REF!</v>
      </c>
      <c r="F179" s="251" t="e">
        <f t="shared" si="10"/>
        <v>#REF!</v>
      </c>
      <c r="G179" s="251" t="e">
        <f t="shared" si="10"/>
        <v>#REF!</v>
      </c>
      <c r="H179" s="251" t="e">
        <f t="shared" si="10"/>
        <v>#REF!</v>
      </c>
      <c r="I179" s="251" t="e">
        <f t="shared" si="10"/>
        <v>#REF!</v>
      </c>
      <c r="J179" s="251" t="e">
        <f t="shared" si="10"/>
        <v>#REF!</v>
      </c>
      <c r="K179" s="251" t="e">
        <f t="shared" si="10"/>
        <v>#REF!</v>
      </c>
      <c r="L179" s="251" t="e">
        <f t="shared" si="10"/>
        <v>#REF!</v>
      </c>
      <c r="M179" s="251" t="e">
        <f t="shared" si="10"/>
        <v>#REF!</v>
      </c>
      <c r="N179" s="251" t="e">
        <f t="shared" si="10"/>
        <v>#REF!</v>
      </c>
      <c r="O179" s="251" t="e">
        <f t="shared" si="10"/>
        <v>#REF!</v>
      </c>
      <c r="P179" s="251" t="e">
        <f t="shared" si="10"/>
        <v>#REF!</v>
      </c>
      <c r="Q179" s="251" t="e">
        <f t="shared" si="10"/>
        <v>#REF!</v>
      </c>
      <c r="R179" s="251" t="e">
        <f t="shared" si="10"/>
        <v>#REF!</v>
      </c>
      <c r="S179" s="251" t="e">
        <f t="shared" si="10"/>
        <v>#REF!</v>
      </c>
      <c r="T179" s="251" t="e">
        <f t="shared" si="10"/>
        <v>#REF!</v>
      </c>
      <c r="U179" s="251" t="e">
        <f t="shared" si="10"/>
        <v>#REF!</v>
      </c>
      <c r="V179" s="251" t="e">
        <f>AVERAGE(C179:U179)</f>
        <v>#REF!</v>
      </c>
      <c r="W179" s="2"/>
    </row>
    <row r="180" spans="2:23" ht="15.75">
      <c r="B180" s="242">
        <v>1001</v>
      </c>
      <c r="C180" s="247" t="e">
        <f>'FASE 1   '!#REF!</f>
        <v>#REF!</v>
      </c>
      <c r="D180" s="248" t="e">
        <f>'FASE 1   '!#REF!</f>
        <v>#REF!</v>
      </c>
      <c r="E180" s="248" t="e">
        <f>'FASE 1   '!#REF!</f>
        <v>#REF!</v>
      </c>
      <c r="F180" s="248" t="e">
        <f>'FASE 1   '!#REF!</f>
        <v>#REF!</v>
      </c>
      <c r="G180" s="248" t="e">
        <f>'FASE 1   '!#REF!</f>
        <v>#REF!</v>
      </c>
      <c r="H180" s="248" t="e">
        <f>'FASE 1   '!#REF!</f>
        <v>#REF!</v>
      </c>
      <c r="I180" s="248" t="e">
        <f>'FASE 1   '!#REF!</f>
        <v>#REF!</v>
      </c>
      <c r="J180" s="248" t="e">
        <f>'FASE 1   '!#REF!</f>
        <v>#REF!</v>
      </c>
      <c r="K180" s="248" t="e">
        <f>AVERAGE('FASE 2  '!#REF!)</f>
        <v>#REF!</v>
      </c>
      <c r="L180" s="248" t="e">
        <f>AVERAGE('FASE 2  '!#REF!,'FASE 2  '!#REF!)</f>
        <v>#REF!</v>
      </c>
      <c r="M180" s="248" t="e">
        <f>'FASE 4'!#REF!</f>
        <v>#REF!</v>
      </c>
      <c r="N180" s="248" t="e">
        <f>'FASE 2  '!#REF!</f>
        <v>#REF!</v>
      </c>
      <c r="O180" s="248" t="e">
        <f>'FASE 3 '!#REF!</f>
        <v>#REF!</v>
      </c>
      <c r="P180" s="248" t="e">
        <f>'FASE 3 '!#REF!</f>
        <v>#REF!</v>
      </c>
      <c r="Q180" s="248" t="e">
        <f>AVERAGE('FASE 3 '!#REF!,'FASE 3 '!#REF!,'FASE 3 '!#REF!,'FASE 3 '!#REF!)</f>
        <v>#REF!</v>
      </c>
      <c r="R180" s="248" t="e">
        <f>AVERAGE('FASE 3 '!#REF!,'FASE 3 '!#REF!,'FASE 3 '!#REF!)</f>
        <v>#REF!</v>
      </c>
      <c r="S180" s="248" t="e">
        <f>'FASE 3 '!#REF!</f>
        <v>#REF!</v>
      </c>
      <c r="T180" s="248" t="e">
        <f>'FASE 3 '!#REF!</f>
        <v>#REF!</v>
      </c>
      <c r="U180" s="248" t="e">
        <f>'FASE 4'!#REF!</f>
        <v>#REF!</v>
      </c>
      <c r="V180" s="251" t="e">
        <f t="shared" si="9"/>
        <v>#REF!</v>
      </c>
    </row>
    <row r="181" spans="2:23" ht="15.75">
      <c r="B181" s="242">
        <v>1002</v>
      </c>
      <c r="C181" s="247" t="e">
        <f>'FASE 1   '!#REF!</f>
        <v>#REF!</v>
      </c>
      <c r="D181" s="248" t="e">
        <f>'FASE 1   '!#REF!</f>
        <v>#REF!</v>
      </c>
      <c r="E181" s="248" t="e">
        <f>'FASE 1   '!#REF!</f>
        <v>#REF!</v>
      </c>
      <c r="F181" s="248" t="e">
        <f>'FASE 1   '!#REF!</f>
        <v>#REF!</v>
      </c>
      <c r="G181" s="248" t="e">
        <f>'FASE 1   '!#REF!</f>
        <v>#REF!</v>
      </c>
      <c r="H181" s="248" t="e">
        <f>'FASE 1   '!#REF!</f>
        <v>#REF!</v>
      </c>
      <c r="I181" s="248" t="e">
        <f>'FASE 1   '!#REF!</f>
        <v>#REF!</v>
      </c>
      <c r="J181" s="248" t="e">
        <f>'FASE 1   '!#REF!</f>
        <v>#REF!</v>
      </c>
      <c r="K181" s="248" t="e">
        <f>AVERAGE('FASE 2  '!#REF!)</f>
        <v>#REF!</v>
      </c>
      <c r="L181" s="248" t="e">
        <f>AVERAGE('FASE 2  '!#REF!,'FASE 2  '!#REF!)</f>
        <v>#REF!</v>
      </c>
      <c r="M181" s="248" t="e">
        <f>'FASE 4'!#REF!</f>
        <v>#REF!</v>
      </c>
      <c r="N181" s="248" t="e">
        <f>'FASE 2  '!#REF!</f>
        <v>#REF!</v>
      </c>
      <c r="O181" s="248" t="e">
        <f>'FASE 3 '!#REF!</f>
        <v>#REF!</v>
      </c>
      <c r="P181" s="248" t="e">
        <f>'FASE 3 '!#REF!</f>
        <v>#REF!</v>
      </c>
      <c r="Q181" s="248" t="e">
        <f>AVERAGE('FASE 3 '!#REF!,'FASE 3 '!#REF!,'FASE 3 '!#REF!,'FASE 3 '!#REF!)</f>
        <v>#REF!</v>
      </c>
      <c r="R181" s="248" t="e">
        <f>AVERAGE('FASE 3 '!#REF!,'FASE 3 '!#REF!,'FASE 3 '!#REF!)</f>
        <v>#REF!</v>
      </c>
      <c r="S181" s="248" t="e">
        <f>'FASE 3 '!#REF!</f>
        <v>#REF!</v>
      </c>
      <c r="T181" s="248" t="e">
        <f>'FASE 3 '!#REF!</f>
        <v>#REF!</v>
      </c>
      <c r="U181" s="248" t="e">
        <f>'FASE 4'!#REF!</f>
        <v>#REF!</v>
      </c>
      <c r="V181" s="251" t="e">
        <f t="shared" si="9"/>
        <v>#REF!</v>
      </c>
    </row>
    <row r="182" spans="2:23" ht="15.75">
      <c r="B182" s="242">
        <v>1003</v>
      </c>
      <c r="C182" s="247" t="e">
        <f>'FASE 1   '!#REF!</f>
        <v>#REF!</v>
      </c>
      <c r="D182" s="248" t="e">
        <f>'FASE 1   '!#REF!</f>
        <v>#REF!</v>
      </c>
      <c r="E182" s="248" t="e">
        <f>'FASE 1   '!#REF!</f>
        <v>#REF!</v>
      </c>
      <c r="F182" s="248" t="e">
        <f>'FASE 1   '!#REF!</f>
        <v>#REF!</v>
      </c>
      <c r="G182" s="248" t="e">
        <f>'FASE 1   '!#REF!</f>
        <v>#REF!</v>
      </c>
      <c r="H182" s="248" t="e">
        <f>'FASE 1   '!#REF!</f>
        <v>#REF!</v>
      </c>
      <c r="I182" s="248" t="e">
        <f>'FASE 1   '!#REF!</f>
        <v>#REF!</v>
      </c>
      <c r="J182" s="248" t="e">
        <f>'FASE 1   '!#REF!</f>
        <v>#REF!</v>
      </c>
      <c r="K182" s="248" t="e">
        <f>AVERAGE('FASE 2  '!#REF!)</f>
        <v>#REF!</v>
      </c>
      <c r="L182" s="248" t="e">
        <f>AVERAGE('FASE 2  '!#REF!,'FASE 2  '!#REF!)</f>
        <v>#REF!</v>
      </c>
      <c r="M182" s="248" t="e">
        <f>'FASE 4'!#REF!</f>
        <v>#REF!</v>
      </c>
      <c r="N182" s="248" t="e">
        <f>'FASE 2  '!#REF!</f>
        <v>#REF!</v>
      </c>
      <c r="O182" s="248" t="e">
        <f>'FASE 3 '!#REF!</f>
        <v>#REF!</v>
      </c>
      <c r="P182" s="248" t="e">
        <f>'FASE 3 '!#REF!</f>
        <v>#REF!</v>
      </c>
      <c r="Q182" s="248" t="e">
        <f>AVERAGE('FASE 3 '!#REF!,'FASE 3 '!#REF!,'FASE 3 '!#REF!,'FASE 3 '!#REF!)</f>
        <v>#REF!</v>
      </c>
      <c r="R182" s="248" t="e">
        <f>AVERAGE('FASE 3 '!#REF!,'FASE 3 '!#REF!,'FASE 3 '!#REF!)</f>
        <v>#REF!</v>
      </c>
      <c r="S182" s="248" t="e">
        <f>'FASE 3 '!#REF!</f>
        <v>#REF!</v>
      </c>
      <c r="T182" s="248" t="e">
        <f>'FASE 3 '!#REF!</f>
        <v>#REF!</v>
      </c>
      <c r="U182" s="248" t="e">
        <f>'FASE 4'!#REF!</f>
        <v>#REF!</v>
      </c>
      <c r="V182" s="251" t="e">
        <f t="shared" si="9"/>
        <v>#REF!</v>
      </c>
    </row>
    <row r="183" spans="2:23" ht="15.75">
      <c r="B183" s="242">
        <v>1004</v>
      </c>
      <c r="C183" s="247" t="e">
        <f>'FASE 1   '!#REF!</f>
        <v>#REF!</v>
      </c>
      <c r="D183" s="248" t="e">
        <f>'FASE 1   '!#REF!</f>
        <v>#REF!</v>
      </c>
      <c r="E183" s="248" t="e">
        <f>'FASE 1   '!#REF!</f>
        <v>#REF!</v>
      </c>
      <c r="F183" s="248" t="e">
        <f>'FASE 1   '!#REF!</f>
        <v>#REF!</v>
      </c>
      <c r="G183" s="248" t="e">
        <f>'FASE 1   '!#REF!</f>
        <v>#REF!</v>
      </c>
      <c r="H183" s="248" t="e">
        <f>'FASE 1   '!#REF!</f>
        <v>#REF!</v>
      </c>
      <c r="I183" s="248" t="e">
        <f>'FASE 1   '!#REF!</f>
        <v>#REF!</v>
      </c>
      <c r="J183" s="248" t="e">
        <f>'FASE 1   '!#REF!</f>
        <v>#REF!</v>
      </c>
      <c r="K183" s="248" t="e">
        <f>AVERAGE('FASE 2  '!#REF!)</f>
        <v>#REF!</v>
      </c>
      <c r="L183" s="248" t="e">
        <f>AVERAGE('FASE 2  '!#REF!,'FASE 2  '!#REF!)</f>
        <v>#REF!</v>
      </c>
      <c r="M183" s="248" t="e">
        <f>'FASE 4'!#REF!</f>
        <v>#REF!</v>
      </c>
      <c r="N183" s="248" t="e">
        <f>'FASE 2  '!#REF!</f>
        <v>#REF!</v>
      </c>
      <c r="O183" s="248" t="e">
        <f>'FASE 3 '!#REF!</f>
        <v>#REF!</v>
      </c>
      <c r="P183" s="248" t="e">
        <f>'FASE 3 '!#REF!</f>
        <v>#REF!</v>
      </c>
      <c r="Q183" s="248" t="e">
        <f>AVERAGE('FASE 3 '!#REF!,'FASE 3 '!#REF!,'FASE 3 '!#REF!,'FASE 3 '!#REF!)</f>
        <v>#REF!</v>
      </c>
      <c r="R183" s="248" t="e">
        <f>AVERAGE('FASE 3 '!#REF!,'FASE 3 '!#REF!,'FASE 3 '!#REF!)</f>
        <v>#REF!</v>
      </c>
      <c r="S183" s="248" t="e">
        <f>'FASE 3 '!#REF!</f>
        <v>#REF!</v>
      </c>
      <c r="T183" s="248" t="e">
        <f>'FASE 3 '!#REF!</f>
        <v>#REF!</v>
      </c>
      <c r="U183" s="248" t="e">
        <f>'FASE 4'!#REF!</f>
        <v>#REF!</v>
      </c>
      <c r="V183" s="251" t="e">
        <f t="shared" si="9"/>
        <v>#REF!</v>
      </c>
    </row>
    <row r="184" spans="2:23" ht="15.75">
      <c r="B184" s="242">
        <v>1005</v>
      </c>
      <c r="C184" s="247" t="e">
        <f>'FASE 1   '!#REF!</f>
        <v>#REF!</v>
      </c>
      <c r="D184" s="248" t="e">
        <f>'FASE 1   '!#REF!</f>
        <v>#REF!</v>
      </c>
      <c r="E184" s="248" t="e">
        <f>'FASE 1   '!#REF!</f>
        <v>#REF!</v>
      </c>
      <c r="F184" s="248" t="e">
        <f>'FASE 1   '!#REF!</f>
        <v>#REF!</v>
      </c>
      <c r="G184" s="248" t="e">
        <f>'FASE 1   '!#REF!</f>
        <v>#REF!</v>
      </c>
      <c r="H184" s="248" t="e">
        <f>'FASE 1   '!#REF!</f>
        <v>#REF!</v>
      </c>
      <c r="I184" s="248" t="e">
        <f>'FASE 1   '!#REF!</f>
        <v>#REF!</v>
      </c>
      <c r="J184" s="248" t="e">
        <f>'FASE 1   '!#REF!</f>
        <v>#REF!</v>
      </c>
      <c r="K184" s="248" t="e">
        <f>AVERAGE('FASE 2  '!#REF!)</f>
        <v>#REF!</v>
      </c>
      <c r="L184" s="248" t="e">
        <f>AVERAGE('FASE 2  '!#REF!,'FASE 2  '!#REF!)</f>
        <v>#REF!</v>
      </c>
      <c r="M184" s="248" t="e">
        <f>'FASE 4'!#REF!</f>
        <v>#REF!</v>
      </c>
      <c r="N184" s="248" t="e">
        <f>'FASE 2  '!#REF!</f>
        <v>#REF!</v>
      </c>
      <c r="O184" s="248" t="e">
        <f>'FASE 3 '!#REF!</f>
        <v>#REF!</v>
      </c>
      <c r="P184" s="248" t="e">
        <f>'FASE 3 '!#REF!</f>
        <v>#REF!</v>
      </c>
      <c r="Q184" s="248" t="e">
        <f>AVERAGE('FASE 3 '!#REF!,'FASE 3 '!#REF!,'FASE 3 '!#REF!,'FASE 3 '!#REF!)</f>
        <v>#REF!</v>
      </c>
      <c r="R184" s="248" t="e">
        <f>AVERAGE('FASE 3 '!#REF!,'FASE 3 '!#REF!,'FASE 3 '!#REF!)</f>
        <v>#REF!</v>
      </c>
      <c r="S184" s="248" t="e">
        <f>'FASE 3 '!#REF!</f>
        <v>#REF!</v>
      </c>
      <c r="T184" s="248" t="e">
        <f>'FASE 3 '!#REF!</f>
        <v>#REF!</v>
      </c>
      <c r="U184" s="248" t="e">
        <f>'FASE 4'!#REF!</f>
        <v>#REF!</v>
      </c>
      <c r="V184" s="251" t="e">
        <f t="shared" si="9"/>
        <v>#REF!</v>
      </c>
    </row>
    <row r="185" spans="2:23" ht="15.75">
      <c r="B185" s="242">
        <v>1006</v>
      </c>
      <c r="C185" s="247" t="e">
        <f>'FASE 1   '!#REF!</f>
        <v>#REF!</v>
      </c>
      <c r="D185" s="248" t="e">
        <f>'FASE 1   '!#REF!</f>
        <v>#REF!</v>
      </c>
      <c r="E185" s="248" t="e">
        <f>'FASE 1   '!#REF!</f>
        <v>#REF!</v>
      </c>
      <c r="F185" s="248" t="e">
        <f>'FASE 1   '!#REF!</f>
        <v>#REF!</v>
      </c>
      <c r="G185" s="248" t="e">
        <f>'FASE 1   '!#REF!</f>
        <v>#REF!</v>
      </c>
      <c r="H185" s="248" t="e">
        <f>'FASE 1   '!#REF!</f>
        <v>#REF!</v>
      </c>
      <c r="I185" s="248" t="e">
        <f>'FASE 1   '!#REF!</f>
        <v>#REF!</v>
      </c>
      <c r="J185" s="248" t="e">
        <f>'FASE 1   '!#REF!</f>
        <v>#REF!</v>
      </c>
      <c r="K185" s="248" t="e">
        <f>AVERAGE('FASE 2  '!#REF!)</f>
        <v>#REF!</v>
      </c>
      <c r="L185" s="248" t="e">
        <f>AVERAGE('FASE 2  '!#REF!,'FASE 2  '!#REF!)</f>
        <v>#REF!</v>
      </c>
      <c r="M185" s="248" t="e">
        <f>'FASE 4'!#REF!</f>
        <v>#REF!</v>
      </c>
      <c r="N185" s="248" t="e">
        <f>'FASE 2  '!#REF!</f>
        <v>#REF!</v>
      </c>
      <c r="O185" s="248" t="e">
        <f>'FASE 3 '!#REF!</f>
        <v>#REF!</v>
      </c>
      <c r="P185" s="248" t="e">
        <f>'FASE 3 '!#REF!</f>
        <v>#REF!</v>
      </c>
      <c r="Q185" s="248" t="e">
        <f>AVERAGE('FASE 3 '!#REF!,'FASE 3 '!#REF!,'FASE 3 '!#REF!,'FASE 3 '!#REF!)</f>
        <v>#REF!</v>
      </c>
      <c r="R185" s="248" t="e">
        <f>AVERAGE('FASE 3 '!#REF!,'FASE 3 '!#REF!,'FASE 3 '!#REF!)</f>
        <v>#REF!</v>
      </c>
      <c r="S185" s="248" t="e">
        <f>'FASE 3 '!#REF!</f>
        <v>#REF!</v>
      </c>
      <c r="T185" s="248" t="e">
        <f>'FASE 3 '!#REF!</f>
        <v>#REF!</v>
      </c>
      <c r="U185" s="248" t="e">
        <f>'FASE 4'!#REF!</f>
        <v>#REF!</v>
      </c>
      <c r="V185" s="251" t="e">
        <f t="shared" si="9"/>
        <v>#REF!</v>
      </c>
    </row>
    <row r="186" spans="2:23" ht="15.75">
      <c r="B186" s="242">
        <v>1007</v>
      </c>
      <c r="C186" s="247" t="e">
        <f>'FASE 1   '!#REF!</f>
        <v>#REF!</v>
      </c>
      <c r="D186" s="248" t="e">
        <f>'FASE 1   '!#REF!</f>
        <v>#REF!</v>
      </c>
      <c r="E186" s="248" t="e">
        <f>'FASE 1   '!#REF!</f>
        <v>#REF!</v>
      </c>
      <c r="F186" s="248" t="e">
        <f>'FASE 1   '!#REF!</f>
        <v>#REF!</v>
      </c>
      <c r="G186" s="248" t="e">
        <f>'FASE 1   '!#REF!</f>
        <v>#REF!</v>
      </c>
      <c r="H186" s="248" t="e">
        <f>'FASE 1   '!#REF!</f>
        <v>#REF!</v>
      </c>
      <c r="I186" s="248" t="e">
        <f>'FASE 1   '!#REF!</f>
        <v>#REF!</v>
      </c>
      <c r="J186" s="248" t="e">
        <f>'FASE 1   '!#REF!</f>
        <v>#REF!</v>
      </c>
      <c r="K186" s="248" t="e">
        <f>AVERAGE('FASE 2  '!#REF!)</f>
        <v>#REF!</v>
      </c>
      <c r="L186" s="248" t="e">
        <f>AVERAGE('FASE 2  '!#REF!,'FASE 2  '!#REF!)</f>
        <v>#REF!</v>
      </c>
      <c r="M186" s="248" t="e">
        <f>'FASE 4'!#REF!</f>
        <v>#REF!</v>
      </c>
      <c r="N186" s="248" t="e">
        <f>'FASE 2  '!#REF!</f>
        <v>#REF!</v>
      </c>
      <c r="O186" s="248" t="e">
        <f>'FASE 3 '!#REF!</f>
        <v>#REF!</v>
      </c>
      <c r="P186" s="248" t="e">
        <f>'FASE 3 '!#REF!</f>
        <v>#REF!</v>
      </c>
      <c r="Q186" s="248" t="e">
        <f>AVERAGE('FASE 3 '!#REF!,'FASE 3 '!#REF!,'FASE 3 '!#REF!,'FASE 3 '!#REF!)</f>
        <v>#REF!</v>
      </c>
      <c r="R186" s="248" t="e">
        <f>AVERAGE('FASE 3 '!#REF!,'FASE 3 '!#REF!,'FASE 3 '!#REF!)</f>
        <v>#REF!</v>
      </c>
      <c r="S186" s="248" t="e">
        <f>'FASE 3 '!#REF!</f>
        <v>#REF!</v>
      </c>
      <c r="T186" s="248" t="e">
        <f>'FASE 3 '!#REF!</f>
        <v>#REF!</v>
      </c>
      <c r="U186" s="248" t="e">
        <f>'FASE 4'!#REF!</f>
        <v>#REF!</v>
      </c>
      <c r="V186" s="251" t="e">
        <f t="shared" si="9"/>
        <v>#REF!</v>
      </c>
    </row>
    <row r="187" spans="2:23" ht="15.75">
      <c r="B187" s="242">
        <v>1008</v>
      </c>
      <c r="C187" s="247" t="e">
        <f>'FASE 1   '!#REF!</f>
        <v>#REF!</v>
      </c>
      <c r="D187" s="248" t="e">
        <f>'FASE 1   '!#REF!</f>
        <v>#REF!</v>
      </c>
      <c r="E187" s="248" t="e">
        <f>'FASE 1   '!#REF!</f>
        <v>#REF!</v>
      </c>
      <c r="F187" s="248" t="e">
        <f>'FASE 1   '!#REF!</f>
        <v>#REF!</v>
      </c>
      <c r="G187" s="248" t="e">
        <f>'FASE 1   '!#REF!</f>
        <v>#REF!</v>
      </c>
      <c r="H187" s="248" t="e">
        <f>'FASE 1   '!#REF!</f>
        <v>#REF!</v>
      </c>
      <c r="I187" s="248" t="e">
        <f>'FASE 1   '!#REF!</f>
        <v>#REF!</v>
      </c>
      <c r="J187" s="248" t="e">
        <f>'FASE 1   '!#REF!</f>
        <v>#REF!</v>
      </c>
      <c r="K187" s="248" t="e">
        <f>AVERAGE('FASE 2  '!#REF!)</f>
        <v>#REF!</v>
      </c>
      <c r="L187" s="248" t="e">
        <f>AVERAGE('FASE 2  '!#REF!,'FASE 2  '!#REF!)</f>
        <v>#REF!</v>
      </c>
      <c r="M187" s="248" t="e">
        <f>'FASE 4'!#REF!</f>
        <v>#REF!</v>
      </c>
      <c r="N187" s="248" t="e">
        <f>'FASE 2  '!#REF!</f>
        <v>#REF!</v>
      </c>
      <c r="O187" s="248" t="e">
        <f>'FASE 3 '!#REF!</f>
        <v>#REF!</v>
      </c>
      <c r="P187" s="248" t="e">
        <f>'FASE 3 '!#REF!</f>
        <v>#REF!</v>
      </c>
      <c r="Q187" s="248" t="e">
        <f>AVERAGE('FASE 3 '!#REF!,'FASE 3 '!#REF!,'FASE 3 '!#REF!,'FASE 3 '!#REF!)</f>
        <v>#REF!</v>
      </c>
      <c r="R187" s="248" t="e">
        <f>AVERAGE('FASE 3 '!#REF!,'FASE 3 '!#REF!,'FASE 3 '!#REF!)</f>
        <v>#REF!</v>
      </c>
      <c r="S187" s="248" t="e">
        <f>'FASE 3 '!#REF!</f>
        <v>#REF!</v>
      </c>
      <c r="T187" s="248" t="e">
        <f>'FASE 3 '!#REF!</f>
        <v>#REF!</v>
      </c>
      <c r="U187" s="248" t="e">
        <f>'FASE 4'!#REF!</f>
        <v>#REF!</v>
      </c>
      <c r="V187" s="251" t="e">
        <f t="shared" si="9"/>
        <v>#REF!</v>
      </c>
    </row>
    <row r="188" spans="2:23" ht="15.75">
      <c r="B188" s="242">
        <v>1009</v>
      </c>
      <c r="C188" s="247" t="e">
        <f>'FASE 1   '!#REF!</f>
        <v>#REF!</v>
      </c>
      <c r="D188" s="248" t="e">
        <f>'FASE 1   '!#REF!</f>
        <v>#REF!</v>
      </c>
      <c r="E188" s="248" t="e">
        <f>'FASE 1   '!#REF!</f>
        <v>#REF!</v>
      </c>
      <c r="F188" s="248" t="e">
        <f>'FASE 1   '!#REF!</f>
        <v>#REF!</v>
      </c>
      <c r="G188" s="248" t="e">
        <f>'FASE 1   '!#REF!</f>
        <v>#REF!</v>
      </c>
      <c r="H188" s="248" t="e">
        <f>'FASE 1   '!#REF!</f>
        <v>#REF!</v>
      </c>
      <c r="I188" s="248" t="e">
        <f>'FASE 1   '!#REF!</f>
        <v>#REF!</v>
      </c>
      <c r="J188" s="248" t="e">
        <f>'FASE 1   '!#REF!</f>
        <v>#REF!</v>
      </c>
      <c r="K188" s="248" t="e">
        <f>AVERAGE('FASE 2  '!#REF!)</f>
        <v>#REF!</v>
      </c>
      <c r="L188" s="248" t="e">
        <f>AVERAGE('FASE 2  '!#REF!,'FASE 2  '!#REF!)</f>
        <v>#REF!</v>
      </c>
      <c r="M188" s="248" t="e">
        <f>'FASE 4'!#REF!</f>
        <v>#REF!</v>
      </c>
      <c r="N188" s="248" t="e">
        <f>'FASE 2  '!#REF!</f>
        <v>#REF!</v>
      </c>
      <c r="O188" s="248" t="e">
        <f>'FASE 3 '!#REF!</f>
        <v>#REF!</v>
      </c>
      <c r="P188" s="248" t="e">
        <f>'FASE 3 '!#REF!</f>
        <v>#REF!</v>
      </c>
      <c r="Q188" s="248" t="e">
        <f>AVERAGE('FASE 3 '!#REF!,'FASE 3 '!#REF!,'FASE 3 '!#REF!,'FASE 3 '!#REF!)</f>
        <v>#REF!</v>
      </c>
      <c r="R188" s="248" t="e">
        <f>AVERAGE('FASE 3 '!#REF!,'FASE 3 '!#REF!,'FASE 3 '!#REF!)</f>
        <v>#REF!</v>
      </c>
      <c r="S188" s="248" t="e">
        <f>'FASE 3 '!#REF!</f>
        <v>#REF!</v>
      </c>
      <c r="T188" s="248" t="e">
        <f>'FASE 3 '!#REF!</f>
        <v>#REF!</v>
      </c>
      <c r="U188" s="248" t="e">
        <f>'FASE 4'!#REF!</f>
        <v>#REF!</v>
      </c>
      <c r="V188" s="251" t="e">
        <f t="shared" si="9"/>
        <v>#REF!</v>
      </c>
    </row>
    <row r="189" spans="2:23" ht="15.75">
      <c r="B189" s="242">
        <v>1010</v>
      </c>
      <c r="C189" s="247" t="e">
        <f>'FASE 1   '!#REF!</f>
        <v>#REF!</v>
      </c>
      <c r="D189" s="248" t="e">
        <f>'FASE 1   '!#REF!</f>
        <v>#REF!</v>
      </c>
      <c r="E189" s="248" t="e">
        <f>'FASE 1   '!#REF!</f>
        <v>#REF!</v>
      </c>
      <c r="F189" s="248" t="e">
        <f>'FASE 1   '!#REF!</f>
        <v>#REF!</v>
      </c>
      <c r="G189" s="248" t="e">
        <f>'FASE 1   '!#REF!</f>
        <v>#REF!</v>
      </c>
      <c r="H189" s="248" t="e">
        <f>'FASE 1   '!#REF!</f>
        <v>#REF!</v>
      </c>
      <c r="I189" s="248" t="e">
        <f>'FASE 1   '!#REF!</f>
        <v>#REF!</v>
      </c>
      <c r="J189" s="248" t="e">
        <f>'FASE 1   '!#REF!</f>
        <v>#REF!</v>
      </c>
      <c r="K189" s="248" t="e">
        <f>AVERAGE('FASE 2  '!#REF!)</f>
        <v>#REF!</v>
      </c>
      <c r="L189" s="248" t="e">
        <f>AVERAGE('FASE 2  '!#REF!,'FASE 2  '!#REF!)</f>
        <v>#REF!</v>
      </c>
      <c r="M189" s="248" t="e">
        <f>'FASE 4'!#REF!</f>
        <v>#REF!</v>
      </c>
      <c r="N189" s="248" t="e">
        <f>'FASE 2  '!#REF!</f>
        <v>#REF!</v>
      </c>
      <c r="O189" s="248" t="e">
        <f>'FASE 3 '!#REF!</f>
        <v>#REF!</v>
      </c>
      <c r="P189" s="248" t="e">
        <f>'FASE 3 '!#REF!</f>
        <v>#REF!</v>
      </c>
      <c r="Q189" s="248" t="e">
        <f>AVERAGE('FASE 3 '!#REF!,'FASE 3 '!#REF!,'FASE 3 '!#REF!,'FASE 3 '!#REF!)</f>
        <v>#REF!</v>
      </c>
      <c r="R189" s="248" t="e">
        <f>AVERAGE('FASE 3 '!#REF!,'FASE 3 '!#REF!,'FASE 3 '!#REF!)</f>
        <v>#REF!</v>
      </c>
      <c r="S189" s="248" t="e">
        <f>'FASE 3 '!#REF!</f>
        <v>#REF!</v>
      </c>
      <c r="T189" s="248" t="e">
        <f>'FASE 3 '!#REF!</f>
        <v>#REF!</v>
      </c>
      <c r="U189" s="248" t="e">
        <f>'FASE 4'!#REF!</f>
        <v>#REF!</v>
      </c>
      <c r="V189" s="251" t="e">
        <f t="shared" si="9"/>
        <v>#REF!</v>
      </c>
    </row>
    <row r="190" spans="2:23" ht="15.75">
      <c r="B190" s="242">
        <v>1011</v>
      </c>
      <c r="C190" s="247" t="e">
        <f>'FASE 1   '!#REF!</f>
        <v>#REF!</v>
      </c>
      <c r="D190" s="248" t="e">
        <f>'FASE 1   '!#REF!</f>
        <v>#REF!</v>
      </c>
      <c r="E190" s="248" t="e">
        <f>'FASE 1   '!#REF!</f>
        <v>#REF!</v>
      </c>
      <c r="F190" s="248" t="e">
        <f>'FASE 1   '!#REF!</f>
        <v>#REF!</v>
      </c>
      <c r="G190" s="248" t="e">
        <f>'FASE 1   '!#REF!</f>
        <v>#REF!</v>
      </c>
      <c r="H190" s="248" t="e">
        <f>'FASE 1   '!#REF!</f>
        <v>#REF!</v>
      </c>
      <c r="I190" s="248" t="e">
        <f>'FASE 1   '!#REF!</f>
        <v>#REF!</v>
      </c>
      <c r="J190" s="248" t="e">
        <f>'FASE 1   '!#REF!</f>
        <v>#REF!</v>
      </c>
      <c r="K190" s="248" t="e">
        <f>AVERAGE('FASE 2  '!#REF!)</f>
        <v>#REF!</v>
      </c>
      <c r="L190" s="248" t="e">
        <f>AVERAGE('FASE 2  '!#REF!,'FASE 2  '!#REF!)</f>
        <v>#REF!</v>
      </c>
      <c r="M190" s="248" t="e">
        <f>'FASE 4'!#REF!</f>
        <v>#REF!</v>
      </c>
      <c r="N190" s="248" t="e">
        <f>'FASE 2  '!#REF!</f>
        <v>#REF!</v>
      </c>
      <c r="O190" s="248" t="e">
        <f>'FASE 3 '!#REF!</f>
        <v>#REF!</v>
      </c>
      <c r="P190" s="248" t="e">
        <f>'FASE 3 '!#REF!</f>
        <v>#REF!</v>
      </c>
      <c r="Q190" s="248" t="e">
        <f>AVERAGE('FASE 3 '!#REF!,'FASE 3 '!#REF!,'FASE 3 '!#REF!,'FASE 3 '!#REF!)</f>
        <v>#REF!</v>
      </c>
      <c r="R190" s="248" t="e">
        <f>AVERAGE('FASE 3 '!#REF!,'FASE 3 '!#REF!,'FASE 3 '!#REF!)</f>
        <v>#REF!</v>
      </c>
      <c r="S190" s="248" t="e">
        <f>'FASE 3 '!#REF!</f>
        <v>#REF!</v>
      </c>
      <c r="T190" s="248" t="e">
        <f>'FASE 3 '!#REF!</f>
        <v>#REF!</v>
      </c>
      <c r="U190" s="248" t="e">
        <f>'FASE 4'!#REF!</f>
        <v>#REF!</v>
      </c>
      <c r="V190" s="251" t="e">
        <f t="shared" si="9"/>
        <v>#REF!</v>
      </c>
    </row>
    <row r="191" spans="2:23" ht="15.75">
      <c r="B191" s="242">
        <v>1012</v>
      </c>
      <c r="C191" s="247" t="e">
        <f>'FASE 1   '!#REF!</f>
        <v>#REF!</v>
      </c>
      <c r="D191" s="248" t="e">
        <f>'FASE 1   '!#REF!</f>
        <v>#REF!</v>
      </c>
      <c r="E191" s="248" t="e">
        <f>'FASE 1   '!#REF!</f>
        <v>#REF!</v>
      </c>
      <c r="F191" s="248" t="e">
        <f>'FASE 1   '!#REF!</f>
        <v>#REF!</v>
      </c>
      <c r="G191" s="248" t="e">
        <f>'FASE 1   '!#REF!</f>
        <v>#REF!</v>
      </c>
      <c r="H191" s="248" t="e">
        <f>'FASE 1   '!#REF!</f>
        <v>#REF!</v>
      </c>
      <c r="I191" s="248" t="e">
        <f>'FASE 1   '!#REF!</f>
        <v>#REF!</v>
      </c>
      <c r="J191" s="248" t="e">
        <f>'FASE 1   '!#REF!</f>
        <v>#REF!</v>
      </c>
      <c r="K191" s="248" t="e">
        <f>AVERAGE('FASE 2  '!#REF!)</f>
        <v>#REF!</v>
      </c>
      <c r="L191" s="248" t="e">
        <f>AVERAGE('FASE 2  '!#REF!,'FASE 2  '!#REF!)</f>
        <v>#REF!</v>
      </c>
      <c r="M191" s="248" t="e">
        <f>'FASE 4'!#REF!</f>
        <v>#REF!</v>
      </c>
      <c r="N191" s="248" t="e">
        <f>'FASE 2  '!#REF!</f>
        <v>#REF!</v>
      </c>
      <c r="O191" s="248" t="e">
        <f>'FASE 3 '!#REF!</f>
        <v>#REF!</v>
      </c>
      <c r="P191" s="248" t="e">
        <f>'FASE 3 '!#REF!</f>
        <v>#REF!</v>
      </c>
      <c r="Q191" s="248" t="e">
        <f>AVERAGE('FASE 3 '!#REF!,'FASE 3 '!#REF!,'FASE 3 '!#REF!,'FASE 3 '!#REF!)</f>
        <v>#REF!</v>
      </c>
      <c r="R191" s="248" t="e">
        <f>AVERAGE('FASE 3 '!#REF!,'FASE 3 '!#REF!,'FASE 3 '!#REF!)</f>
        <v>#REF!</v>
      </c>
      <c r="S191" s="248" t="e">
        <f>'FASE 3 '!#REF!</f>
        <v>#REF!</v>
      </c>
      <c r="T191" s="248" t="e">
        <f>'FASE 3 '!#REF!</f>
        <v>#REF!</v>
      </c>
      <c r="U191" s="248" t="e">
        <f>'FASE 4'!#REF!</f>
        <v>#REF!</v>
      </c>
      <c r="V191" s="251" t="e">
        <f t="shared" si="9"/>
        <v>#REF!</v>
      </c>
    </row>
    <row r="192" spans="2:23" ht="15.75">
      <c r="B192" s="242">
        <v>1013</v>
      </c>
      <c r="C192" s="247" t="e">
        <f>'FASE 1   '!#REF!</f>
        <v>#REF!</v>
      </c>
      <c r="D192" s="248" t="e">
        <f>'FASE 1   '!#REF!</f>
        <v>#REF!</v>
      </c>
      <c r="E192" s="248" t="e">
        <f>'FASE 1   '!#REF!</f>
        <v>#REF!</v>
      </c>
      <c r="F192" s="248" t="e">
        <f>'FASE 1   '!#REF!</f>
        <v>#REF!</v>
      </c>
      <c r="G192" s="248" t="e">
        <f>'FASE 1   '!#REF!</f>
        <v>#REF!</v>
      </c>
      <c r="H192" s="248" t="e">
        <f>'FASE 1   '!#REF!</f>
        <v>#REF!</v>
      </c>
      <c r="I192" s="248" t="e">
        <f>'FASE 1   '!#REF!</f>
        <v>#REF!</v>
      </c>
      <c r="J192" s="248" t="e">
        <f>'FASE 1   '!#REF!</f>
        <v>#REF!</v>
      </c>
      <c r="K192" s="248" t="e">
        <f>AVERAGE('FASE 2  '!#REF!)</f>
        <v>#REF!</v>
      </c>
      <c r="L192" s="248" t="e">
        <f>AVERAGE('FASE 2  '!#REF!,'FASE 2  '!#REF!)</f>
        <v>#REF!</v>
      </c>
      <c r="M192" s="248" t="e">
        <f>'FASE 4'!#REF!</f>
        <v>#REF!</v>
      </c>
      <c r="N192" s="248" t="e">
        <f>'FASE 2  '!#REF!</f>
        <v>#REF!</v>
      </c>
      <c r="O192" s="248" t="e">
        <f>'FASE 3 '!#REF!</f>
        <v>#REF!</v>
      </c>
      <c r="P192" s="248" t="e">
        <f>'FASE 3 '!#REF!</f>
        <v>#REF!</v>
      </c>
      <c r="Q192" s="248" t="e">
        <f>AVERAGE('FASE 3 '!#REF!,'FASE 3 '!#REF!,'FASE 3 '!#REF!,'FASE 3 '!#REF!)</f>
        <v>#REF!</v>
      </c>
      <c r="R192" s="248" t="e">
        <f>AVERAGE('FASE 3 '!#REF!,'FASE 3 '!#REF!,'FASE 3 '!#REF!)</f>
        <v>#REF!</v>
      </c>
      <c r="S192" s="248" t="e">
        <f>'FASE 3 '!#REF!</f>
        <v>#REF!</v>
      </c>
      <c r="T192" s="248" t="e">
        <f>'FASE 3 '!#REF!</f>
        <v>#REF!</v>
      </c>
      <c r="U192" s="248" t="e">
        <f>'FASE 4'!#REF!</f>
        <v>#REF!</v>
      </c>
      <c r="V192" s="251" t="e">
        <f t="shared" si="9"/>
        <v>#REF!</v>
      </c>
    </row>
    <row r="193" spans="2:23" ht="15.75">
      <c r="B193" s="242">
        <v>1014</v>
      </c>
      <c r="C193" s="247" t="e">
        <f>'FASE 1   '!#REF!</f>
        <v>#REF!</v>
      </c>
      <c r="D193" s="248" t="e">
        <f>'FASE 1   '!#REF!</f>
        <v>#REF!</v>
      </c>
      <c r="E193" s="248" t="e">
        <f>'FASE 1   '!#REF!</f>
        <v>#REF!</v>
      </c>
      <c r="F193" s="248" t="e">
        <f>'FASE 1   '!#REF!</f>
        <v>#REF!</v>
      </c>
      <c r="G193" s="248" t="e">
        <f>'FASE 1   '!#REF!</f>
        <v>#REF!</v>
      </c>
      <c r="H193" s="248" t="e">
        <f>'FASE 1   '!#REF!</f>
        <v>#REF!</v>
      </c>
      <c r="I193" s="248" t="e">
        <f>'FASE 1   '!#REF!</f>
        <v>#REF!</v>
      </c>
      <c r="J193" s="248" t="e">
        <f>'FASE 1   '!#REF!</f>
        <v>#REF!</v>
      </c>
      <c r="K193" s="248" t="e">
        <f>AVERAGE('FASE 2  '!#REF!)</f>
        <v>#REF!</v>
      </c>
      <c r="L193" s="248" t="e">
        <f>AVERAGE('FASE 2  '!#REF!,'FASE 2  '!#REF!)</f>
        <v>#REF!</v>
      </c>
      <c r="M193" s="248" t="e">
        <f>'FASE 4'!#REF!</f>
        <v>#REF!</v>
      </c>
      <c r="N193" s="248" t="e">
        <f>'FASE 2  '!#REF!</f>
        <v>#REF!</v>
      </c>
      <c r="O193" s="248" t="e">
        <f>'FASE 3 '!#REF!</f>
        <v>#REF!</v>
      </c>
      <c r="P193" s="248" t="e">
        <f>'FASE 3 '!#REF!</f>
        <v>#REF!</v>
      </c>
      <c r="Q193" s="248" t="e">
        <f>AVERAGE('FASE 3 '!#REF!,'FASE 3 '!#REF!,'FASE 3 '!#REF!,'FASE 3 '!#REF!)</f>
        <v>#REF!</v>
      </c>
      <c r="R193" s="248" t="e">
        <f>AVERAGE('FASE 3 '!#REF!,'FASE 3 '!#REF!,'FASE 3 '!#REF!)</f>
        <v>#REF!</v>
      </c>
      <c r="S193" s="248" t="e">
        <f>'FASE 3 '!#REF!</f>
        <v>#REF!</v>
      </c>
      <c r="T193" s="248" t="e">
        <f>'FASE 3 '!#REF!</f>
        <v>#REF!</v>
      </c>
      <c r="U193" s="248" t="e">
        <f>'FASE 4'!#REF!</f>
        <v>#REF!</v>
      </c>
      <c r="V193" s="251" t="e">
        <f t="shared" si="9"/>
        <v>#REF!</v>
      </c>
    </row>
    <row r="194" spans="2:23" ht="15.75">
      <c r="B194" s="242">
        <v>1015</v>
      </c>
      <c r="C194" s="247" t="e">
        <f>'FASE 1   '!#REF!</f>
        <v>#REF!</v>
      </c>
      <c r="D194" s="248" t="e">
        <f>'FASE 1   '!#REF!</f>
        <v>#REF!</v>
      </c>
      <c r="E194" s="248" t="e">
        <f>'FASE 1   '!#REF!</f>
        <v>#REF!</v>
      </c>
      <c r="F194" s="248" t="e">
        <f>'FASE 1   '!#REF!</f>
        <v>#REF!</v>
      </c>
      <c r="G194" s="248" t="e">
        <f>'FASE 1   '!#REF!</f>
        <v>#REF!</v>
      </c>
      <c r="H194" s="248" t="e">
        <f>'FASE 1   '!#REF!</f>
        <v>#REF!</v>
      </c>
      <c r="I194" s="248" t="e">
        <f>'FASE 1   '!#REF!</f>
        <v>#REF!</v>
      </c>
      <c r="J194" s="248" t="e">
        <f>'FASE 1   '!#REF!</f>
        <v>#REF!</v>
      </c>
      <c r="K194" s="248" t="e">
        <f>AVERAGE('FASE 2  '!#REF!)</f>
        <v>#REF!</v>
      </c>
      <c r="L194" s="248" t="e">
        <f>AVERAGE('FASE 2  '!#REF!,'FASE 2  '!#REF!)</f>
        <v>#REF!</v>
      </c>
      <c r="M194" s="248" t="e">
        <f>'FASE 4'!#REF!</f>
        <v>#REF!</v>
      </c>
      <c r="N194" s="248" t="e">
        <f>'FASE 2  '!#REF!</f>
        <v>#REF!</v>
      </c>
      <c r="O194" s="248" t="e">
        <f>'FASE 3 '!#REF!</f>
        <v>#REF!</v>
      </c>
      <c r="P194" s="248" t="e">
        <f>'FASE 3 '!#REF!</f>
        <v>#REF!</v>
      </c>
      <c r="Q194" s="248" t="e">
        <f>AVERAGE('FASE 3 '!#REF!,'FASE 3 '!#REF!,'FASE 3 '!#REF!,'FASE 3 '!#REF!)</f>
        <v>#REF!</v>
      </c>
      <c r="R194" s="248" t="e">
        <f>AVERAGE('FASE 3 '!#REF!,'FASE 3 '!#REF!,'FASE 3 '!#REF!)</f>
        <v>#REF!</v>
      </c>
      <c r="S194" s="248" t="e">
        <f>'FASE 3 '!#REF!</f>
        <v>#REF!</v>
      </c>
      <c r="T194" s="248" t="e">
        <f>'FASE 3 '!#REF!</f>
        <v>#REF!</v>
      </c>
      <c r="U194" s="248" t="e">
        <f>'FASE 4'!#REF!</f>
        <v>#REF!</v>
      </c>
      <c r="V194" s="251" t="e">
        <f t="shared" si="9"/>
        <v>#REF!</v>
      </c>
    </row>
    <row r="195" spans="2:23" ht="15.75">
      <c r="B195" s="242">
        <v>1016</v>
      </c>
      <c r="C195" s="247" t="e">
        <f>'FASE 1   '!#REF!</f>
        <v>#REF!</v>
      </c>
      <c r="D195" s="248" t="e">
        <f>'FASE 1   '!#REF!</f>
        <v>#REF!</v>
      </c>
      <c r="E195" s="248" t="e">
        <f>'FASE 1   '!#REF!</f>
        <v>#REF!</v>
      </c>
      <c r="F195" s="248" t="e">
        <f>'FASE 1   '!#REF!</f>
        <v>#REF!</v>
      </c>
      <c r="G195" s="248" t="e">
        <f>'FASE 1   '!#REF!</f>
        <v>#REF!</v>
      </c>
      <c r="H195" s="248" t="e">
        <f>'FASE 1   '!#REF!</f>
        <v>#REF!</v>
      </c>
      <c r="I195" s="248" t="e">
        <f>'FASE 1   '!#REF!</f>
        <v>#REF!</v>
      </c>
      <c r="J195" s="248" t="e">
        <f>'FASE 1   '!#REF!</f>
        <v>#REF!</v>
      </c>
      <c r="K195" s="248" t="e">
        <f>AVERAGE('FASE 2  '!#REF!)</f>
        <v>#REF!</v>
      </c>
      <c r="L195" s="248" t="e">
        <f>AVERAGE('FASE 2  '!#REF!,'FASE 2  '!#REF!)</f>
        <v>#REF!</v>
      </c>
      <c r="M195" s="248" t="e">
        <f>'FASE 4'!#REF!</f>
        <v>#REF!</v>
      </c>
      <c r="N195" s="248" t="e">
        <f>'FASE 2  '!#REF!</f>
        <v>#REF!</v>
      </c>
      <c r="O195" s="248" t="e">
        <f>'FASE 3 '!#REF!</f>
        <v>#REF!</v>
      </c>
      <c r="P195" s="248" t="e">
        <f>'FASE 3 '!#REF!</f>
        <v>#REF!</v>
      </c>
      <c r="Q195" s="248" t="e">
        <f>AVERAGE('FASE 3 '!#REF!,'FASE 3 '!#REF!,'FASE 3 '!#REF!,'FASE 3 '!#REF!)</f>
        <v>#REF!</v>
      </c>
      <c r="R195" s="248" t="e">
        <f>AVERAGE('FASE 3 '!#REF!,'FASE 3 '!#REF!,'FASE 3 '!#REF!)</f>
        <v>#REF!</v>
      </c>
      <c r="S195" s="248" t="e">
        <f>'FASE 3 '!#REF!</f>
        <v>#REF!</v>
      </c>
      <c r="T195" s="248" t="e">
        <f>'FASE 3 '!#REF!</f>
        <v>#REF!</v>
      </c>
      <c r="U195" s="248" t="e">
        <f>'FASE 4'!#REF!</f>
        <v>#REF!</v>
      </c>
      <c r="V195" s="251" t="e">
        <f t="shared" si="9"/>
        <v>#REF!</v>
      </c>
    </row>
    <row r="196" spans="2:23" ht="15.75">
      <c r="B196" s="242">
        <v>1017</v>
      </c>
      <c r="C196" s="247" t="e">
        <f>'FASE 1   '!#REF!</f>
        <v>#REF!</v>
      </c>
      <c r="D196" s="248" t="e">
        <f>'FASE 1   '!#REF!</f>
        <v>#REF!</v>
      </c>
      <c r="E196" s="248" t="e">
        <f>'FASE 1   '!#REF!</f>
        <v>#REF!</v>
      </c>
      <c r="F196" s="248" t="e">
        <f>'FASE 1   '!#REF!</f>
        <v>#REF!</v>
      </c>
      <c r="G196" s="248" t="e">
        <f>'FASE 1   '!#REF!</f>
        <v>#REF!</v>
      </c>
      <c r="H196" s="248" t="e">
        <f>'FASE 1   '!#REF!</f>
        <v>#REF!</v>
      </c>
      <c r="I196" s="248" t="e">
        <f>'FASE 1   '!#REF!</f>
        <v>#REF!</v>
      </c>
      <c r="J196" s="248" t="e">
        <f>'FASE 1   '!#REF!</f>
        <v>#REF!</v>
      </c>
      <c r="K196" s="248" t="e">
        <f>AVERAGE('FASE 2  '!#REF!)</f>
        <v>#REF!</v>
      </c>
      <c r="L196" s="248" t="e">
        <f>AVERAGE('FASE 2  '!#REF!,'FASE 2  '!#REF!)</f>
        <v>#REF!</v>
      </c>
      <c r="M196" s="248" t="e">
        <f>'FASE 4'!#REF!</f>
        <v>#REF!</v>
      </c>
      <c r="N196" s="248" t="e">
        <f>'FASE 2  '!#REF!</f>
        <v>#REF!</v>
      </c>
      <c r="O196" s="248" t="e">
        <f>'FASE 3 '!#REF!</f>
        <v>#REF!</v>
      </c>
      <c r="P196" s="248" t="e">
        <f>'FASE 3 '!#REF!</f>
        <v>#REF!</v>
      </c>
      <c r="Q196" s="248" t="e">
        <f>AVERAGE('FASE 3 '!#REF!,'FASE 3 '!#REF!,'FASE 3 '!#REF!,'FASE 3 '!#REF!)</f>
        <v>#REF!</v>
      </c>
      <c r="R196" s="248" t="e">
        <f>AVERAGE('FASE 3 '!#REF!,'FASE 3 '!#REF!,'FASE 3 '!#REF!)</f>
        <v>#REF!</v>
      </c>
      <c r="S196" s="248" t="e">
        <f>'FASE 3 '!#REF!</f>
        <v>#REF!</v>
      </c>
      <c r="T196" s="248" t="e">
        <f>'FASE 3 '!#REF!</f>
        <v>#REF!</v>
      </c>
      <c r="U196" s="248" t="e">
        <f>'FASE 4'!#REF!</f>
        <v>#REF!</v>
      </c>
      <c r="V196" s="251" t="e">
        <f t="shared" si="9"/>
        <v>#REF!</v>
      </c>
    </row>
    <row r="197" spans="2:23" ht="15.75">
      <c r="B197" s="243" t="s">
        <v>525</v>
      </c>
      <c r="C197" s="251" t="e">
        <f t="shared" ref="C197:U197" si="11">AVERAGE(C180:C196)</f>
        <v>#REF!</v>
      </c>
      <c r="D197" s="251" t="e">
        <f t="shared" si="11"/>
        <v>#REF!</v>
      </c>
      <c r="E197" s="251" t="e">
        <f t="shared" si="11"/>
        <v>#REF!</v>
      </c>
      <c r="F197" s="251" t="e">
        <f t="shared" si="11"/>
        <v>#REF!</v>
      </c>
      <c r="G197" s="251" t="e">
        <f t="shared" si="11"/>
        <v>#REF!</v>
      </c>
      <c r="H197" s="251" t="e">
        <f t="shared" si="11"/>
        <v>#REF!</v>
      </c>
      <c r="I197" s="251" t="e">
        <f t="shared" si="11"/>
        <v>#REF!</v>
      </c>
      <c r="J197" s="251" t="e">
        <f t="shared" si="11"/>
        <v>#REF!</v>
      </c>
      <c r="K197" s="251" t="e">
        <f t="shared" si="11"/>
        <v>#REF!</v>
      </c>
      <c r="L197" s="251" t="e">
        <f t="shared" si="11"/>
        <v>#REF!</v>
      </c>
      <c r="M197" s="251" t="e">
        <f t="shared" si="11"/>
        <v>#REF!</v>
      </c>
      <c r="N197" s="251" t="e">
        <f t="shared" si="11"/>
        <v>#REF!</v>
      </c>
      <c r="O197" s="251" t="e">
        <f t="shared" si="11"/>
        <v>#REF!</v>
      </c>
      <c r="P197" s="251" t="e">
        <f t="shared" si="11"/>
        <v>#REF!</v>
      </c>
      <c r="Q197" s="251" t="e">
        <f t="shared" si="11"/>
        <v>#REF!</v>
      </c>
      <c r="R197" s="251" t="e">
        <f t="shared" si="11"/>
        <v>#REF!</v>
      </c>
      <c r="S197" s="251" t="e">
        <f t="shared" si="11"/>
        <v>#REF!</v>
      </c>
      <c r="T197" s="251" t="e">
        <f t="shared" si="11"/>
        <v>#REF!</v>
      </c>
      <c r="U197" s="251" t="e">
        <f t="shared" si="11"/>
        <v>#REF!</v>
      </c>
      <c r="V197" s="251" t="e">
        <f>AVERAGE(C197:U197)</f>
        <v>#REF!</v>
      </c>
      <c r="W197" s="2"/>
    </row>
    <row r="198" spans="2:23" ht="15.75">
      <c r="B198" s="242">
        <v>1101</v>
      </c>
      <c r="C198" s="247" t="e">
        <f>'FASE 1   '!#REF!</f>
        <v>#REF!</v>
      </c>
      <c r="D198" s="248" t="e">
        <f>'FASE 1   '!#REF!</f>
        <v>#REF!</v>
      </c>
      <c r="E198" s="248" t="e">
        <f>'FASE 1   '!#REF!</f>
        <v>#REF!</v>
      </c>
      <c r="F198" s="248" t="e">
        <f>'FASE 1   '!#REF!</f>
        <v>#REF!</v>
      </c>
      <c r="G198" s="248" t="e">
        <f>'FASE 1   '!#REF!</f>
        <v>#REF!</v>
      </c>
      <c r="H198" s="248" t="e">
        <f>'FASE 1   '!#REF!</f>
        <v>#REF!</v>
      </c>
      <c r="I198" s="248" t="e">
        <f>'FASE 1   '!#REF!</f>
        <v>#REF!</v>
      </c>
      <c r="J198" s="248" t="e">
        <f>'FASE 1   '!#REF!</f>
        <v>#REF!</v>
      </c>
      <c r="K198" s="248" t="e">
        <f>AVERAGE('FASE 2  '!#REF!)</f>
        <v>#REF!</v>
      </c>
      <c r="L198" s="248" t="e">
        <f>AVERAGE('FASE 2  '!#REF!,'FASE 2  '!#REF!)</f>
        <v>#REF!</v>
      </c>
      <c r="M198" s="248" t="e">
        <f>'FASE 4'!#REF!</f>
        <v>#REF!</v>
      </c>
      <c r="N198" s="248" t="e">
        <f>'FASE 2  '!#REF!</f>
        <v>#REF!</v>
      </c>
      <c r="O198" s="248" t="e">
        <f>'FASE 3 '!#REF!</f>
        <v>#REF!</v>
      </c>
      <c r="P198" s="248" t="e">
        <f>'FASE 3 '!#REF!</f>
        <v>#REF!</v>
      </c>
      <c r="Q198" s="248" t="e">
        <f>AVERAGE('FASE 3 '!#REF!,'FASE 3 '!#REF!,'FASE 3 '!#REF!,'FASE 3 '!#REF!)</f>
        <v>#REF!</v>
      </c>
      <c r="R198" s="248" t="e">
        <f>AVERAGE('FASE 3 '!#REF!,'FASE 3 '!#REF!,'FASE 3 '!#REF!)</f>
        <v>#REF!</v>
      </c>
      <c r="S198" s="248" t="e">
        <f>'FASE 3 '!#REF!</f>
        <v>#REF!</v>
      </c>
      <c r="T198" s="248" t="e">
        <f>'FASE 3 '!#REF!</f>
        <v>#REF!</v>
      </c>
      <c r="U198" s="248" t="e">
        <f>'FASE 4'!#REF!</f>
        <v>#REF!</v>
      </c>
      <c r="V198" s="251" t="e">
        <f t="shared" si="9"/>
        <v>#REF!</v>
      </c>
    </row>
    <row r="199" spans="2:23" ht="15.75">
      <c r="B199" s="242">
        <v>1102</v>
      </c>
      <c r="C199" s="247" t="e">
        <f>'FASE 1   '!#REF!</f>
        <v>#REF!</v>
      </c>
      <c r="D199" s="248" t="e">
        <f>'FASE 1   '!#REF!</f>
        <v>#REF!</v>
      </c>
      <c r="E199" s="248" t="e">
        <f>'FASE 1   '!#REF!</f>
        <v>#REF!</v>
      </c>
      <c r="F199" s="248" t="e">
        <f>'FASE 1   '!#REF!</f>
        <v>#REF!</v>
      </c>
      <c r="G199" s="248" t="e">
        <f>'FASE 1   '!#REF!</f>
        <v>#REF!</v>
      </c>
      <c r="H199" s="248" t="e">
        <f>'FASE 1   '!#REF!</f>
        <v>#REF!</v>
      </c>
      <c r="I199" s="248" t="e">
        <f>'FASE 1   '!#REF!</f>
        <v>#REF!</v>
      </c>
      <c r="J199" s="248" t="e">
        <f>'FASE 1   '!#REF!</f>
        <v>#REF!</v>
      </c>
      <c r="K199" s="248" t="e">
        <f>AVERAGE('FASE 2  '!#REF!)</f>
        <v>#REF!</v>
      </c>
      <c r="L199" s="248" t="e">
        <f>AVERAGE('FASE 2  '!#REF!,'FASE 2  '!#REF!)</f>
        <v>#REF!</v>
      </c>
      <c r="M199" s="248" t="e">
        <f>'FASE 4'!#REF!</f>
        <v>#REF!</v>
      </c>
      <c r="N199" s="248" t="e">
        <f>'FASE 2  '!#REF!</f>
        <v>#REF!</v>
      </c>
      <c r="O199" s="248" t="e">
        <f>'FASE 3 '!#REF!</f>
        <v>#REF!</v>
      </c>
      <c r="P199" s="248" t="e">
        <f>'FASE 3 '!#REF!</f>
        <v>#REF!</v>
      </c>
      <c r="Q199" s="248" t="e">
        <f>AVERAGE('FASE 3 '!#REF!,'FASE 3 '!#REF!,'FASE 3 '!#REF!,'FASE 3 '!#REF!)</f>
        <v>#REF!</v>
      </c>
      <c r="R199" s="248" t="e">
        <f>AVERAGE('FASE 3 '!#REF!,'FASE 3 '!#REF!,'FASE 3 '!#REF!)</f>
        <v>#REF!</v>
      </c>
      <c r="S199" s="248" t="e">
        <f>'FASE 3 '!#REF!</f>
        <v>#REF!</v>
      </c>
      <c r="T199" s="248" t="e">
        <f>'FASE 3 '!#REF!</f>
        <v>#REF!</v>
      </c>
      <c r="U199" s="248" t="e">
        <f>'FASE 4'!#REF!</f>
        <v>#REF!</v>
      </c>
      <c r="V199" s="251" t="e">
        <f t="shared" si="9"/>
        <v>#REF!</v>
      </c>
    </row>
    <row r="200" spans="2:23" ht="15.75">
      <c r="B200" s="242">
        <v>1103</v>
      </c>
      <c r="C200" s="247" t="e">
        <f>'FASE 1   '!#REF!</f>
        <v>#REF!</v>
      </c>
      <c r="D200" s="248" t="e">
        <f>'FASE 1   '!#REF!</f>
        <v>#REF!</v>
      </c>
      <c r="E200" s="248" t="e">
        <f>'FASE 1   '!#REF!</f>
        <v>#REF!</v>
      </c>
      <c r="F200" s="248" t="e">
        <f>'FASE 1   '!#REF!</f>
        <v>#REF!</v>
      </c>
      <c r="G200" s="248" t="e">
        <f>'FASE 1   '!#REF!</f>
        <v>#REF!</v>
      </c>
      <c r="H200" s="248" t="e">
        <f>'FASE 1   '!#REF!</f>
        <v>#REF!</v>
      </c>
      <c r="I200" s="248" t="e">
        <f>'FASE 1   '!#REF!</f>
        <v>#REF!</v>
      </c>
      <c r="J200" s="248" t="e">
        <f>'FASE 1   '!#REF!</f>
        <v>#REF!</v>
      </c>
      <c r="K200" s="248" t="e">
        <f>AVERAGE('FASE 2  '!#REF!)</f>
        <v>#REF!</v>
      </c>
      <c r="L200" s="248" t="e">
        <f>AVERAGE('FASE 2  '!#REF!,'FASE 2  '!#REF!)</f>
        <v>#REF!</v>
      </c>
      <c r="M200" s="248" t="e">
        <f>'FASE 4'!#REF!</f>
        <v>#REF!</v>
      </c>
      <c r="N200" s="248" t="e">
        <f>'FASE 2  '!#REF!</f>
        <v>#REF!</v>
      </c>
      <c r="O200" s="248" t="e">
        <f>'FASE 3 '!#REF!</f>
        <v>#REF!</v>
      </c>
      <c r="P200" s="248" t="e">
        <f>'FASE 3 '!#REF!</f>
        <v>#REF!</v>
      </c>
      <c r="Q200" s="248" t="e">
        <f>AVERAGE('FASE 3 '!#REF!,'FASE 3 '!#REF!,'FASE 3 '!#REF!,'FASE 3 '!#REF!)</f>
        <v>#REF!</v>
      </c>
      <c r="R200" s="248" t="e">
        <f>AVERAGE('FASE 3 '!#REF!,'FASE 3 '!#REF!,'FASE 3 '!#REF!)</f>
        <v>#REF!</v>
      </c>
      <c r="S200" s="248" t="e">
        <f>'FASE 3 '!#REF!</f>
        <v>#REF!</v>
      </c>
      <c r="T200" s="248" t="e">
        <f>'FASE 3 '!#REF!</f>
        <v>#REF!</v>
      </c>
      <c r="U200" s="248" t="e">
        <f>'FASE 4'!#REF!</f>
        <v>#REF!</v>
      </c>
      <c r="V200" s="251" t="e">
        <f t="shared" si="9"/>
        <v>#REF!</v>
      </c>
    </row>
    <row r="201" spans="2:23" ht="15.75">
      <c r="B201" s="242">
        <v>1104</v>
      </c>
      <c r="C201" s="247" t="e">
        <f>'FASE 1   '!#REF!</f>
        <v>#REF!</v>
      </c>
      <c r="D201" s="248" t="e">
        <f>'FASE 1   '!#REF!</f>
        <v>#REF!</v>
      </c>
      <c r="E201" s="248" t="e">
        <f>'FASE 1   '!#REF!</f>
        <v>#REF!</v>
      </c>
      <c r="F201" s="248" t="e">
        <f>'FASE 1   '!#REF!</f>
        <v>#REF!</v>
      </c>
      <c r="G201" s="248" t="e">
        <f>'FASE 1   '!#REF!</f>
        <v>#REF!</v>
      </c>
      <c r="H201" s="248" t="e">
        <f>'FASE 1   '!#REF!</f>
        <v>#REF!</v>
      </c>
      <c r="I201" s="248" t="e">
        <f>'FASE 1   '!#REF!</f>
        <v>#REF!</v>
      </c>
      <c r="J201" s="248" t="e">
        <f>'FASE 1   '!#REF!</f>
        <v>#REF!</v>
      </c>
      <c r="K201" s="248" t="e">
        <f>AVERAGE('FASE 2  '!#REF!)</f>
        <v>#REF!</v>
      </c>
      <c r="L201" s="248" t="e">
        <f>AVERAGE('FASE 2  '!#REF!,'FASE 2  '!#REF!)</f>
        <v>#REF!</v>
      </c>
      <c r="M201" s="248" t="e">
        <f>'FASE 4'!#REF!</f>
        <v>#REF!</v>
      </c>
      <c r="N201" s="248" t="e">
        <f>'FASE 2  '!#REF!</f>
        <v>#REF!</v>
      </c>
      <c r="O201" s="248" t="e">
        <f>'FASE 3 '!#REF!</f>
        <v>#REF!</v>
      </c>
      <c r="P201" s="248" t="e">
        <f>'FASE 3 '!#REF!</f>
        <v>#REF!</v>
      </c>
      <c r="Q201" s="248" t="e">
        <f>AVERAGE('FASE 3 '!#REF!,'FASE 3 '!#REF!,'FASE 3 '!#REF!,'FASE 3 '!#REF!)</f>
        <v>#REF!</v>
      </c>
      <c r="R201" s="248" t="e">
        <f>AVERAGE('FASE 3 '!#REF!,'FASE 3 '!#REF!,'FASE 3 '!#REF!)</f>
        <v>#REF!</v>
      </c>
      <c r="S201" s="248" t="e">
        <f>'FASE 3 '!#REF!</f>
        <v>#REF!</v>
      </c>
      <c r="T201" s="248" t="e">
        <f>'FASE 3 '!#REF!</f>
        <v>#REF!</v>
      </c>
      <c r="U201" s="248" t="e">
        <f>'FASE 4'!#REF!</f>
        <v>#REF!</v>
      </c>
      <c r="V201" s="251" t="e">
        <f t="shared" si="9"/>
        <v>#REF!</v>
      </c>
    </row>
    <row r="202" spans="2:23" ht="15.75">
      <c r="B202" s="242">
        <v>1105</v>
      </c>
      <c r="C202" s="247" t="e">
        <f>'FASE 1   '!#REF!</f>
        <v>#REF!</v>
      </c>
      <c r="D202" s="248" t="e">
        <f>'FASE 1   '!#REF!</f>
        <v>#REF!</v>
      </c>
      <c r="E202" s="248" t="e">
        <f>'FASE 1   '!#REF!</f>
        <v>#REF!</v>
      </c>
      <c r="F202" s="248" t="e">
        <f>'FASE 1   '!#REF!</f>
        <v>#REF!</v>
      </c>
      <c r="G202" s="248" t="e">
        <f>'FASE 1   '!#REF!</f>
        <v>#REF!</v>
      </c>
      <c r="H202" s="248" t="e">
        <f>'FASE 1   '!#REF!</f>
        <v>#REF!</v>
      </c>
      <c r="I202" s="248" t="e">
        <f>'FASE 1   '!#REF!</f>
        <v>#REF!</v>
      </c>
      <c r="J202" s="248" t="e">
        <f>'FASE 1   '!#REF!</f>
        <v>#REF!</v>
      </c>
      <c r="K202" s="248" t="e">
        <f>AVERAGE('FASE 2  '!#REF!)</f>
        <v>#REF!</v>
      </c>
      <c r="L202" s="248" t="e">
        <f>AVERAGE('FASE 2  '!#REF!,'FASE 2  '!#REF!)</f>
        <v>#REF!</v>
      </c>
      <c r="M202" s="248" t="e">
        <f>'FASE 4'!#REF!</f>
        <v>#REF!</v>
      </c>
      <c r="N202" s="248" t="e">
        <f>'FASE 2  '!#REF!</f>
        <v>#REF!</v>
      </c>
      <c r="O202" s="248" t="e">
        <f>'FASE 3 '!#REF!</f>
        <v>#REF!</v>
      </c>
      <c r="P202" s="248" t="e">
        <f>'FASE 3 '!#REF!</f>
        <v>#REF!</v>
      </c>
      <c r="Q202" s="248" t="e">
        <f>AVERAGE('FASE 3 '!#REF!,'FASE 3 '!#REF!,'FASE 3 '!#REF!,'FASE 3 '!#REF!)</f>
        <v>#REF!</v>
      </c>
      <c r="R202" s="248" t="e">
        <f>AVERAGE('FASE 3 '!#REF!,'FASE 3 '!#REF!,'FASE 3 '!#REF!)</f>
        <v>#REF!</v>
      </c>
      <c r="S202" s="248" t="e">
        <f>'FASE 3 '!#REF!</f>
        <v>#REF!</v>
      </c>
      <c r="T202" s="248" t="e">
        <f>'FASE 3 '!#REF!</f>
        <v>#REF!</v>
      </c>
      <c r="U202" s="248" t="e">
        <f>'FASE 4'!#REF!</f>
        <v>#REF!</v>
      </c>
      <c r="V202" s="251" t="e">
        <f t="shared" si="9"/>
        <v>#REF!</v>
      </c>
    </row>
    <row r="203" spans="2:23" ht="15.75">
      <c r="B203" s="242">
        <v>1106</v>
      </c>
      <c r="C203" s="247" t="e">
        <f>'FASE 1   '!#REF!</f>
        <v>#REF!</v>
      </c>
      <c r="D203" s="248" t="e">
        <f>'FASE 1   '!#REF!</f>
        <v>#REF!</v>
      </c>
      <c r="E203" s="248" t="e">
        <f>'FASE 1   '!#REF!</f>
        <v>#REF!</v>
      </c>
      <c r="F203" s="248" t="e">
        <f>'FASE 1   '!#REF!</f>
        <v>#REF!</v>
      </c>
      <c r="G203" s="248" t="e">
        <f>'FASE 1   '!#REF!</f>
        <v>#REF!</v>
      </c>
      <c r="H203" s="248" t="e">
        <f>'FASE 1   '!#REF!</f>
        <v>#REF!</v>
      </c>
      <c r="I203" s="248" t="e">
        <f>'FASE 1   '!#REF!</f>
        <v>#REF!</v>
      </c>
      <c r="J203" s="248" t="e">
        <f>'FASE 1   '!#REF!</f>
        <v>#REF!</v>
      </c>
      <c r="K203" s="248" t="e">
        <f>AVERAGE('FASE 2  '!#REF!)</f>
        <v>#REF!</v>
      </c>
      <c r="L203" s="248" t="e">
        <f>AVERAGE('FASE 2  '!#REF!,'FASE 2  '!#REF!)</f>
        <v>#REF!</v>
      </c>
      <c r="M203" s="248" t="e">
        <f>'FASE 4'!#REF!</f>
        <v>#REF!</v>
      </c>
      <c r="N203" s="248" t="e">
        <f>'FASE 2  '!#REF!</f>
        <v>#REF!</v>
      </c>
      <c r="O203" s="248" t="e">
        <f>'FASE 3 '!#REF!</f>
        <v>#REF!</v>
      </c>
      <c r="P203" s="248" t="e">
        <f>'FASE 3 '!#REF!</f>
        <v>#REF!</v>
      </c>
      <c r="Q203" s="248" t="e">
        <f>AVERAGE('FASE 3 '!#REF!,'FASE 3 '!#REF!,'FASE 3 '!#REF!,'FASE 3 '!#REF!)</f>
        <v>#REF!</v>
      </c>
      <c r="R203" s="248" t="e">
        <f>AVERAGE('FASE 3 '!#REF!,'FASE 3 '!#REF!,'FASE 3 '!#REF!)</f>
        <v>#REF!</v>
      </c>
      <c r="S203" s="248" t="e">
        <f>'FASE 3 '!#REF!</f>
        <v>#REF!</v>
      </c>
      <c r="T203" s="248" t="e">
        <f>'FASE 3 '!#REF!</f>
        <v>#REF!</v>
      </c>
      <c r="U203" s="248" t="e">
        <f>'FASE 4'!#REF!</f>
        <v>#REF!</v>
      </c>
      <c r="V203" s="251" t="e">
        <f t="shared" si="9"/>
        <v>#REF!</v>
      </c>
    </row>
    <row r="204" spans="2:23" ht="15.75">
      <c r="B204" s="242">
        <v>1107</v>
      </c>
      <c r="C204" s="247" t="e">
        <f>'FASE 1   '!#REF!</f>
        <v>#REF!</v>
      </c>
      <c r="D204" s="248" t="e">
        <f>'FASE 1   '!#REF!</f>
        <v>#REF!</v>
      </c>
      <c r="E204" s="248" t="e">
        <f>'FASE 1   '!#REF!</f>
        <v>#REF!</v>
      </c>
      <c r="F204" s="248" t="e">
        <f>'FASE 1   '!#REF!</f>
        <v>#REF!</v>
      </c>
      <c r="G204" s="248" t="e">
        <f>'FASE 1   '!#REF!</f>
        <v>#REF!</v>
      </c>
      <c r="H204" s="248" t="e">
        <f>'FASE 1   '!#REF!</f>
        <v>#REF!</v>
      </c>
      <c r="I204" s="248" t="e">
        <f>'FASE 1   '!#REF!</f>
        <v>#REF!</v>
      </c>
      <c r="J204" s="248" t="e">
        <f>'FASE 1   '!#REF!</f>
        <v>#REF!</v>
      </c>
      <c r="K204" s="248" t="e">
        <f>AVERAGE('FASE 2  '!#REF!)</f>
        <v>#REF!</v>
      </c>
      <c r="L204" s="248" t="e">
        <f>AVERAGE('FASE 2  '!#REF!,'FASE 2  '!#REF!)</f>
        <v>#REF!</v>
      </c>
      <c r="M204" s="248" t="e">
        <f>'FASE 4'!#REF!</f>
        <v>#REF!</v>
      </c>
      <c r="N204" s="248" t="e">
        <f>'FASE 2  '!#REF!</f>
        <v>#REF!</v>
      </c>
      <c r="O204" s="248" t="e">
        <f>'FASE 3 '!#REF!</f>
        <v>#REF!</v>
      </c>
      <c r="P204" s="248" t="e">
        <f>'FASE 3 '!#REF!</f>
        <v>#REF!</v>
      </c>
      <c r="Q204" s="248" t="e">
        <f>AVERAGE('FASE 3 '!#REF!,'FASE 3 '!#REF!,'FASE 3 '!#REF!,'FASE 3 '!#REF!)</f>
        <v>#REF!</v>
      </c>
      <c r="R204" s="248" t="e">
        <f>AVERAGE('FASE 3 '!#REF!,'FASE 3 '!#REF!,'FASE 3 '!#REF!)</f>
        <v>#REF!</v>
      </c>
      <c r="S204" s="248" t="e">
        <f>'FASE 3 '!#REF!</f>
        <v>#REF!</v>
      </c>
      <c r="T204" s="248" t="e">
        <f>'FASE 3 '!#REF!</f>
        <v>#REF!</v>
      </c>
      <c r="U204" s="248" t="e">
        <f>'FASE 4'!#REF!</f>
        <v>#REF!</v>
      </c>
      <c r="V204" s="251" t="e">
        <f t="shared" si="9"/>
        <v>#REF!</v>
      </c>
    </row>
    <row r="205" spans="2:23" ht="15.75">
      <c r="B205" s="242">
        <v>1108</v>
      </c>
      <c r="C205" s="247" t="e">
        <f>'FASE 1   '!#REF!</f>
        <v>#REF!</v>
      </c>
      <c r="D205" s="248" t="e">
        <f>'FASE 1   '!#REF!</f>
        <v>#REF!</v>
      </c>
      <c r="E205" s="248" t="e">
        <f>'FASE 1   '!#REF!</f>
        <v>#REF!</v>
      </c>
      <c r="F205" s="248" t="e">
        <f>'FASE 1   '!#REF!</f>
        <v>#REF!</v>
      </c>
      <c r="G205" s="248" t="e">
        <f>'FASE 1   '!#REF!</f>
        <v>#REF!</v>
      </c>
      <c r="H205" s="248" t="e">
        <f>'FASE 1   '!#REF!</f>
        <v>#REF!</v>
      </c>
      <c r="I205" s="248" t="e">
        <f>'FASE 1   '!#REF!</f>
        <v>#REF!</v>
      </c>
      <c r="J205" s="248" t="e">
        <f>'FASE 1   '!#REF!</f>
        <v>#REF!</v>
      </c>
      <c r="K205" s="248" t="e">
        <f>AVERAGE('FASE 2  '!#REF!)</f>
        <v>#REF!</v>
      </c>
      <c r="L205" s="248" t="e">
        <f>AVERAGE('FASE 2  '!#REF!,'FASE 2  '!#REF!)</f>
        <v>#REF!</v>
      </c>
      <c r="M205" s="248" t="e">
        <f>'FASE 4'!#REF!</f>
        <v>#REF!</v>
      </c>
      <c r="N205" s="248" t="e">
        <f>'FASE 2  '!#REF!</f>
        <v>#REF!</v>
      </c>
      <c r="O205" s="248" t="e">
        <f>'FASE 3 '!#REF!</f>
        <v>#REF!</v>
      </c>
      <c r="P205" s="248" t="e">
        <f>'FASE 3 '!#REF!</f>
        <v>#REF!</v>
      </c>
      <c r="Q205" s="248" t="e">
        <f>AVERAGE('FASE 3 '!#REF!,'FASE 3 '!#REF!,'FASE 3 '!#REF!,'FASE 3 '!#REF!)</f>
        <v>#REF!</v>
      </c>
      <c r="R205" s="248" t="e">
        <f>AVERAGE('FASE 3 '!#REF!,'FASE 3 '!#REF!,'FASE 3 '!#REF!)</f>
        <v>#REF!</v>
      </c>
      <c r="S205" s="248" t="e">
        <f>'FASE 3 '!#REF!</f>
        <v>#REF!</v>
      </c>
      <c r="T205" s="248" t="e">
        <f>'FASE 3 '!#REF!</f>
        <v>#REF!</v>
      </c>
      <c r="U205" s="248" t="e">
        <f>'FASE 4'!#REF!</f>
        <v>#REF!</v>
      </c>
      <c r="V205" s="251" t="e">
        <f t="shared" si="9"/>
        <v>#REF!</v>
      </c>
    </row>
    <row r="206" spans="2:23" ht="15.75">
      <c r="B206" s="242">
        <v>1109</v>
      </c>
      <c r="C206" s="247" t="e">
        <f>'FASE 1   '!#REF!</f>
        <v>#REF!</v>
      </c>
      <c r="D206" s="248" t="e">
        <f>'FASE 1   '!#REF!</f>
        <v>#REF!</v>
      </c>
      <c r="E206" s="248" t="e">
        <f>'FASE 1   '!#REF!</f>
        <v>#REF!</v>
      </c>
      <c r="F206" s="248" t="e">
        <f>'FASE 1   '!#REF!</f>
        <v>#REF!</v>
      </c>
      <c r="G206" s="248" t="e">
        <f>'FASE 1   '!#REF!</f>
        <v>#REF!</v>
      </c>
      <c r="H206" s="248" t="e">
        <f>'FASE 1   '!#REF!</f>
        <v>#REF!</v>
      </c>
      <c r="I206" s="248" t="e">
        <f>'FASE 1   '!#REF!</f>
        <v>#REF!</v>
      </c>
      <c r="J206" s="248" t="e">
        <f>'FASE 1   '!#REF!</f>
        <v>#REF!</v>
      </c>
      <c r="K206" s="248" t="e">
        <f>AVERAGE('FASE 2  '!#REF!)</f>
        <v>#REF!</v>
      </c>
      <c r="L206" s="248" t="e">
        <f>AVERAGE('FASE 2  '!#REF!,'FASE 2  '!#REF!)</f>
        <v>#REF!</v>
      </c>
      <c r="M206" s="248" t="e">
        <f>'FASE 4'!#REF!</f>
        <v>#REF!</v>
      </c>
      <c r="N206" s="248" t="e">
        <f>'FASE 2  '!#REF!</f>
        <v>#REF!</v>
      </c>
      <c r="O206" s="248" t="e">
        <f>'FASE 3 '!#REF!</f>
        <v>#REF!</v>
      </c>
      <c r="P206" s="248" t="e">
        <f>'FASE 3 '!#REF!</f>
        <v>#REF!</v>
      </c>
      <c r="Q206" s="248" t="e">
        <f>AVERAGE('FASE 3 '!#REF!,'FASE 3 '!#REF!,'FASE 3 '!#REF!,'FASE 3 '!#REF!)</f>
        <v>#REF!</v>
      </c>
      <c r="R206" s="248" t="e">
        <f>AVERAGE('FASE 3 '!#REF!,'FASE 3 '!#REF!,'FASE 3 '!#REF!)</f>
        <v>#REF!</v>
      </c>
      <c r="S206" s="248" t="e">
        <f>'FASE 3 '!#REF!</f>
        <v>#REF!</v>
      </c>
      <c r="T206" s="248" t="e">
        <f>'FASE 3 '!#REF!</f>
        <v>#REF!</v>
      </c>
      <c r="U206" s="248" t="e">
        <f>'FASE 4'!#REF!</f>
        <v>#REF!</v>
      </c>
      <c r="V206" s="251" t="e">
        <f t="shared" si="9"/>
        <v>#REF!</v>
      </c>
    </row>
    <row r="207" spans="2:23" ht="15.75">
      <c r="B207" s="242">
        <v>1110</v>
      </c>
      <c r="C207" s="247" t="e">
        <f>'FASE 1   '!#REF!</f>
        <v>#REF!</v>
      </c>
      <c r="D207" s="248" t="e">
        <f>'FASE 1   '!#REF!</f>
        <v>#REF!</v>
      </c>
      <c r="E207" s="248" t="e">
        <f>'FASE 1   '!#REF!</f>
        <v>#REF!</v>
      </c>
      <c r="F207" s="248" t="e">
        <f>'FASE 1   '!#REF!</f>
        <v>#REF!</v>
      </c>
      <c r="G207" s="248" t="e">
        <f>'FASE 1   '!#REF!</f>
        <v>#REF!</v>
      </c>
      <c r="H207" s="248" t="e">
        <f>'FASE 1   '!#REF!</f>
        <v>#REF!</v>
      </c>
      <c r="I207" s="248" t="e">
        <f>'FASE 1   '!#REF!</f>
        <v>#REF!</v>
      </c>
      <c r="J207" s="248" t="e">
        <f>'FASE 1   '!#REF!</f>
        <v>#REF!</v>
      </c>
      <c r="K207" s="248" t="e">
        <f>AVERAGE('FASE 2  '!#REF!)</f>
        <v>#REF!</v>
      </c>
      <c r="L207" s="248" t="e">
        <f>AVERAGE('FASE 2  '!#REF!,'FASE 2  '!#REF!)</f>
        <v>#REF!</v>
      </c>
      <c r="M207" s="248" t="e">
        <f>'FASE 4'!#REF!</f>
        <v>#REF!</v>
      </c>
      <c r="N207" s="248" t="e">
        <f>'FASE 2  '!#REF!</f>
        <v>#REF!</v>
      </c>
      <c r="O207" s="248" t="e">
        <f>'FASE 3 '!#REF!</f>
        <v>#REF!</v>
      </c>
      <c r="P207" s="248" t="e">
        <f>'FASE 3 '!#REF!</f>
        <v>#REF!</v>
      </c>
      <c r="Q207" s="248" t="e">
        <f>AVERAGE('FASE 3 '!#REF!,'FASE 3 '!#REF!,'FASE 3 '!#REF!,'FASE 3 '!#REF!)</f>
        <v>#REF!</v>
      </c>
      <c r="R207" s="248" t="e">
        <f>AVERAGE('FASE 3 '!#REF!,'FASE 3 '!#REF!,'FASE 3 '!#REF!)</f>
        <v>#REF!</v>
      </c>
      <c r="S207" s="248" t="e">
        <f>'FASE 3 '!#REF!</f>
        <v>#REF!</v>
      </c>
      <c r="T207" s="248" t="e">
        <f>'FASE 3 '!#REF!</f>
        <v>#REF!</v>
      </c>
      <c r="U207" s="248" t="e">
        <f>'FASE 4'!#REF!</f>
        <v>#REF!</v>
      </c>
      <c r="V207" s="251" t="e">
        <f t="shared" si="9"/>
        <v>#REF!</v>
      </c>
    </row>
    <row r="208" spans="2:23" ht="15.75">
      <c r="B208" s="242">
        <v>1111</v>
      </c>
      <c r="C208" s="247" t="e">
        <f>'FASE 1   '!#REF!</f>
        <v>#REF!</v>
      </c>
      <c r="D208" s="248" t="e">
        <f>'FASE 1   '!#REF!</f>
        <v>#REF!</v>
      </c>
      <c r="E208" s="248" t="e">
        <f>'FASE 1   '!#REF!</f>
        <v>#REF!</v>
      </c>
      <c r="F208" s="248" t="e">
        <f>'FASE 1   '!#REF!</f>
        <v>#REF!</v>
      </c>
      <c r="G208" s="248" t="e">
        <f>'FASE 1   '!#REF!</f>
        <v>#REF!</v>
      </c>
      <c r="H208" s="248" t="e">
        <f>'FASE 1   '!#REF!</f>
        <v>#REF!</v>
      </c>
      <c r="I208" s="248" t="e">
        <f>'FASE 1   '!#REF!</f>
        <v>#REF!</v>
      </c>
      <c r="J208" s="248" t="e">
        <f>'FASE 1   '!#REF!</f>
        <v>#REF!</v>
      </c>
      <c r="K208" s="248" t="e">
        <f>AVERAGE('FASE 2  '!#REF!)</f>
        <v>#REF!</v>
      </c>
      <c r="L208" s="248" t="e">
        <f>AVERAGE('FASE 2  '!#REF!,'FASE 2  '!#REF!)</f>
        <v>#REF!</v>
      </c>
      <c r="M208" s="248" t="e">
        <f>'FASE 4'!#REF!</f>
        <v>#REF!</v>
      </c>
      <c r="N208" s="248" t="e">
        <f>'FASE 2  '!#REF!</f>
        <v>#REF!</v>
      </c>
      <c r="O208" s="248" t="e">
        <f>'FASE 3 '!#REF!</f>
        <v>#REF!</v>
      </c>
      <c r="P208" s="248" t="e">
        <f>'FASE 3 '!#REF!</f>
        <v>#REF!</v>
      </c>
      <c r="Q208" s="248" t="e">
        <f>AVERAGE('FASE 3 '!#REF!,'FASE 3 '!#REF!,'FASE 3 '!#REF!,'FASE 3 '!#REF!)</f>
        <v>#REF!</v>
      </c>
      <c r="R208" s="248" t="e">
        <f>AVERAGE('FASE 3 '!#REF!,'FASE 3 '!#REF!,'FASE 3 '!#REF!)</f>
        <v>#REF!</v>
      </c>
      <c r="S208" s="248" t="e">
        <f>'FASE 3 '!#REF!</f>
        <v>#REF!</v>
      </c>
      <c r="T208" s="248" t="e">
        <f>'FASE 3 '!#REF!</f>
        <v>#REF!</v>
      </c>
      <c r="U208" s="248" t="e">
        <f>'FASE 4'!#REF!</f>
        <v>#REF!</v>
      </c>
      <c r="V208" s="251" t="e">
        <f t="shared" si="9"/>
        <v>#REF!</v>
      </c>
    </row>
    <row r="209" spans="2:23" ht="15.75">
      <c r="B209" s="242">
        <v>1112</v>
      </c>
      <c r="C209" s="247" t="e">
        <f>'FASE 1   '!#REF!</f>
        <v>#REF!</v>
      </c>
      <c r="D209" s="248" t="e">
        <f>'FASE 1   '!#REF!</f>
        <v>#REF!</v>
      </c>
      <c r="E209" s="248" t="e">
        <f>'FASE 1   '!#REF!</f>
        <v>#REF!</v>
      </c>
      <c r="F209" s="248" t="e">
        <f>'FASE 1   '!#REF!</f>
        <v>#REF!</v>
      </c>
      <c r="G209" s="248" t="e">
        <f>'FASE 1   '!#REF!</f>
        <v>#REF!</v>
      </c>
      <c r="H209" s="248" t="e">
        <f>'FASE 1   '!#REF!</f>
        <v>#REF!</v>
      </c>
      <c r="I209" s="248" t="e">
        <f>'FASE 1   '!#REF!</f>
        <v>#REF!</v>
      </c>
      <c r="J209" s="248" t="e">
        <f>'FASE 1   '!#REF!</f>
        <v>#REF!</v>
      </c>
      <c r="K209" s="248" t="e">
        <f>AVERAGE('FASE 2  '!#REF!)</f>
        <v>#REF!</v>
      </c>
      <c r="L209" s="248" t="e">
        <f>AVERAGE('FASE 2  '!#REF!,'FASE 2  '!#REF!)</f>
        <v>#REF!</v>
      </c>
      <c r="M209" s="248" t="e">
        <f>'FASE 4'!#REF!</f>
        <v>#REF!</v>
      </c>
      <c r="N209" s="248" t="e">
        <f>'FASE 2  '!#REF!</f>
        <v>#REF!</v>
      </c>
      <c r="O209" s="248" t="e">
        <f>'FASE 3 '!#REF!</f>
        <v>#REF!</v>
      </c>
      <c r="P209" s="248" t="e">
        <f>'FASE 3 '!#REF!</f>
        <v>#REF!</v>
      </c>
      <c r="Q209" s="248" t="e">
        <f>AVERAGE('FASE 3 '!#REF!,'FASE 3 '!#REF!,'FASE 3 '!#REF!,'FASE 3 '!#REF!)</f>
        <v>#REF!</v>
      </c>
      <c r="R209" s="248" t="e">
        <f>AVERAGE('FASE 3 '!#REF!,'FASE 3 '!#REF!,'FASE 3 '!#REF!)</f>
        <v>#REF!</v>
      </c>
      <c r="S209" s="248" t="e">
        <f>'FASE 3 '!#REF!</f>
        <v>#REF!</v>
      </c>
      <c r="T209" s="248" t="e">
        <f>'FASE 3 '!#REF!</f>
        <v>#REF!</v>
      </c>
      <c r="U209" s="248" t="e">
        <f>'FASE 4'!#REF!</f>
        <v>#REF!</v>
      </c>
      <c r="V209" s="251" t="e">
        <f t="shared" si="9"/>
        <v>#REF!</v>
      </c>
    </row>
    <row r="210" spans="2:23" ht="15.75">
      <c r="B210" s="242">
        <v>1113</v>
      </c>
      <c r="C210" s="247" t="e">
        <f>'FASE 1   '!#REF!</f>
        <v>#REF!</v>
      </c>
      <c r="D210" s="248" t="e">
        <f>'FASE 1   '!#REF!</f>
        <v>#REF!</v>
      </c>
      <c r="E210" s="248" t="e">
        <f>'FASE 1   '!#REF!</f>
        <v>#REF!</v>
      </c>
      <c r="F210" s="248" t="e">
        <f>'FASE 1   '!#REF!</f>
        <v>#REF!</v>
      </c>
      <c r="G210" s="248" t="e">
        <f>'FASE 1   '!#REF!</f>
        <v>#REF!</v>
      </c>
      <c r="H210" s="248" t="e">
        <f>'FASE 1   '!#REF!</f>
        <v>#REF!</v>
      </c>
      <c r="I210" s="248" t="e">
        <f>'FASE 1   '!#REF!</f>
        <v>#REF!</v>
      </c>
      <c r="J210" s="248" t="e">
        <f>'FASE 1   '!#REF!</f>
        <v>#REF!</v>
      </c>
      <c r="K210" s="248" t="e">
        <f>AVERAGE('FASE 2  '!#REF!)</f>
        <v>#REF!</v>
      </c>
      <c r="L210" s="248" t="e">
        <f>AVERAGE('FASE 2  '!#REF!,'FASE 2  '!#REF!)</f>
        <v>#REF!</v>
      </c>
      <c r="M210" s="248" t="e">
        <f>'FASE 4'!#REF!</f>
        <v>#REF!</v>
      </c>
      <c r="N210" s="248" t="e">
        <f>'FASE 2  '!#REF!</f>
        <v>#REF!</v>
      </c>
      <c r="O210" s="248" t="e">
        <f>'FASE 3 '!#REF!</f>
        <v>#REF!</v>
      </c>
      <c r="P210" s="248" t="e">
        <f>'FASE 3 '!#REF!</f>
        <v>#REF!</v>
      </c>
      <c r="Q210" s="248" t="e">
        <f>AVERAGE('FASE 3 '!#REF!,'FASE 3 '!#REF!,'FASE 3 '!#REF!,'FASE 3 '!#REF!)</f>
        <v>#REF!</v>
      </c>
      <c r="R210" s="248" t="e">
        <f>AVERAGE('FASE 3 '!#REF!,'FASE 3 '!#REF!,'FASE 3 '!#REF!)</f>
        <v>#REF!</v>
      </c>
      <c r="S210" s="248" t="e">
        <f>'FASE 3 '!#REF!</f>
        <v>#REF!</v>
      </c>
      <c r="T210" s="248" t="e">
        <f>'FASE 3 '!#REF!</f>
        <v>#REF!</v>
      </c>
      <c r="U210" s="248" t="e">
        <f>'FASE 4'!#REF!</f>
        <v>#REF!</v>
      </c>
      <c r="V210" s="251" t="e">
        <f t="shared" si="9"/>
        <v>#REF!</v>
      </c>
    </row>
    <row r="211" spans="2:23" ht="15.75">
      <c r="B211" s="242">
        <v>1114</v>
      </c>
      <c r="C211" s="247" t="e">
        <f>'FASE 1   '!#REF!</f>
        <v>#REF!</v>
      </c>
      <c r="D211" s="248" t="e">
        <f>'FASE 1   '!#REF!</f>
        <v>#REF!</v>
      </c>
      <c r="E211" s="248" t="e">
        <f>'FASE 1   '!#REF!</f>
        <v>#REF!</v>
      </c>
      <c r="F211" s="248" t="e">
        <f>'FASE 1   '!#REF!</f>
        <v>#REF!</v>
      </c>
      <c r="G211" s="248" t="e">
        <f>'FASE 1   '!#REF!</f>
        <v>#REF!</v>
      </c>
      <c r="H211" s="248" t="e">
        <f>'FASE 1   '!#REF!</f>
        <v>#REF!</v>
      </c>
      <c r="I211" s="248" t="e">
        <f>'FASE 1   '!#REF!</f>
        <v>#REF!</v>
      </c>
      <c r="J211" s="248" t="e">
        <f>'FASE 1   '!#REF!</f>
        <v>#REF!</v>
      </c>
      <c r="K211" s="248" t="e">
        <f>AVERAGE('FASE 2  '!#REF!)</f>
        <v>#REF!</v>
      </c>
      <c r="L211" s="248" t="e">
        <f>AVERAGE('FASE 2  '!#REF!,'FASE 2  '!#REF!)</f>
        <v>#REF!</v>
      </c>
      <c r="M211" s="248" t="e">
        <f>'FASE 4'!#REF!</f>
        <v>#REF!</v>
      </c>
      <c r="N211" s="248" t="e">
        <f>'FASE 2  '!#REF!</f>
        <v>#REF!</v>
      </c>
      <c r="O211" s="248" t="e">
        <f>'FASE 3 '!#REF!</f>
        <v>#REF!</v>
      </c>
      <c r="P211" s="248" t="e">
        <f>'FASE 3 '!#REF!</f>
        <v>#REF!</v>
      </c>
      <c r="Q211" s="248" t="e">
        <f>AVERAGE('FASE 3 '!#REF!,'FASE 3 '!#REF!,'FASE 3 '!#REF!,'FASE 3 '!#REF!)</f>
        <v>#REF!</v>
      </c>
      <c r="R211" s="248" t="e">
        <f>AVERAGE('FASE 3 '!#REF!,'FASE 3 '!#REF!,'FASE 3 '!#REF!)</f>
        <v>#REF!</v>
      </c>
      <c r="S211" s="248" t="e">
        <f>'FASE 3 '!#REF!</f>
        <v>#REF!</v>
      </c>
      <c r="T211" s="248" t="e">
        <f>'FASE 3 '!#REF!</f>
        <v>#REF!</v>
      </c>
      <c r="U211" s="248" t="e">
        <f>'FASE 4'!#REF!</f>
        <v>#REF!</v>
      </c>
      <c r="V211" s="251" t="e">
        <f t="shared" si="9"/>
        <v>#REF!</v>
      </c>
    </row>
    <row r="212" spans="2:23" ht="15.75">
      <c r="B212" s="242">
        <v>1115</v>
      </c>
      <c r="C212" s="247" t="e">
        <f>'FASE 1   '!#REF!</f>
        <v>#REF!</v>
      </c>
      <c r="D212" s="248" t="e">
        <f>'FASE 1   '!#REF!</f>
        <v>#REF!</v>
      </c>
      <c r="E212" s="248" t="e">
        <f>'FASE 1   '!#REF!</f>
        <v>#REF!</v>
      </c>
      <c r="F212" s="248" t="e">
        <f>'FASE 1   '!#REF!</f>
        <v>#REF!</v>
      </c>
      <c r="G212" s="248" t="e">
        <f>'FASE 1   '!#REF!</f>
        <v>#REF!</v>
      </c>
      <c r="H212" s="248" t="e">
        <f>'FASE 1   '!#REF!</f>
        <v>#REF!</v>
      </c>
      <c r="I212" s="248" t="e">
        <f>'FASE 1   '!#REF!</f>
        <v>#REF!</v>
      </c>
      <c r="J212" s="248" t="e">
        <f>'FASE 1   '!#REF!</f>
        <v>#REF!</v>
      </c>
      <c r="K212" s="248" t="e">
        <f>AVERAGE('FASE 2  '!#REF!)</f>
        <v>#REF!</v>
      </c>
      <c r="L212" s="248" t="e">
        <f>AVERAGE('FASE 2  '!#REF!,'FASE 2  '!#REF!)</f>
        <v>#REF!</v>
      </c>
      <c r="M212" s="248" t="e">
        <f>'FASE 4'!#REF!</f>
        <v>#REF!</v>
      </c>
      <c r="N212" s="248" t="e">
        <f>'FASE 2  '!#REF!</f>
        <v>#REF!</v>
      </c>
      <c r="O212" s="248" t="e">
        <f>'FASE 3 '!#REF!</f>
        <v>#REF!</v>
      </c>
      <c r="P212" s="248" t="e">
        <f>'FASE 3 '!#REF!</f>
        <v>#REF!</v>
      </c>
      <c r="Q212" s="248" t="e">
        <f>AVERAGE('FASE 3 '!#REF!,'FASE 3 '!#REF!,'FASE 3 '!#REF!,'FASE 3 '!#REF!)</f>
        <v>#REF!</v>
      </c>
      <c r="R212" s="248" t="e">
        <f>AVERAGE('FASE 3 '!#REF!,'FASE 3 '!#REF!,'FASE 3 '!#REF!)</f>
        <v>#REF!</v>
      </c>
      <c r="S212" s="248" t="e">
        <f>'FASE 3 '!#REF!</f>
        <v>#REF!</v>
      </c>
      <c r="T212" s="248" t="e">
        <f>'FASE 3 '!#REF!</f>
        <v>#REF!</v>
      </c>
      <c r="U212" s="248" t="e">
        <f>'FASE 4'!#REF!</f>
        <v>#REF!</v>
      </c>
      <c r="V212" s="251" t="e">
        <f t="shared" si="9"/>
        <v>#REF!</v>
      </c>
    </row>
    <row r="213" spans="2:23" ht="15.75">
      <c r="B213" s="242">
        <v>1116</v>
      </c>
      <c r="C213" s="247" t="e">
        <f>'FASE 1   '!#REF!</f>
        <v>#REF!</v>
      </c>
      <c r="D213" s="248" t="e">
        <f>'FASE 1   '!#REF!</f>
        <v>#REF!</v>
      </c>
      <c r="E213" s="248" t="e">
        <f>'FASE 1   '!#REF!</f>
        <v>#REF!</v>
      </c>
      <c r="F213" s="248" t="e">
        <f>'FASE 1   '!#REF!</f>
        <v>#REF!</v>
      </c>
      <c r="G213" s="248" t="e">
        <f>'FASE 1   '!#REF!</f>
        <v>#REF!</v>
      </c>
      <c r="H213" s="248" t="e">
        <f>'FASE 1   '!#REF!</f>
        <v>#REF!</v>
      </c>
      <c r="I213" s="248" t="e">
        <f>'FASE 1   '!#REF!</f>
        <v>#REF!</v>
      </c>
      <c r="J213" s="248" t="e">
        <f>'FASE 1   '!#REF!</f>
        <v>#REF!</v>
      </c>
      <c r="K213" s="248" t="e">
        <f>AVERAGE('FASE 2  '!#REF!)</f>
        <v>#REF!</v>
      </c>
      <c r="L213" s="248" t="e">
        <f>AVERAGE('FASE 2  '!#REF!,'FASE 2  '!#REF!)</f>
        <v>#REF!</v>
      </c>
      <c r="M213" s="248" t="e">
        <f>'FASE 4'!#REF!</f>
        <v>#REF!</v>
      </c>
      <c r="N213" s="248" t="e">
        <f>'FASE 2  '!#REF!</f>
        <v>#REF!</v>
      </c>
      <c r="O213" s="248" t="e">
        <f>'FASE 3 '!#REF!</f>
        <v>#REF!</v>
      </c>
      <c r="P213" s="248" t="e">
        <f>'FASE 3 '!#REF!</f>
        <v>#REF!</v>
      </c>
      <c r="Q213" s="248" t="e">
        <f>AVERAGE('FASE 3 '!#REF!,'FASE 3 '!#REF!,'FASE 3 '!#REF!,'FASE 3 '!#REF!)</f>
        <v>#REF!</v>
      </c>
      <c r="R213" s="248" t="e">
        <f>AVERAGE('FASE 3 '!#REF!,'FASE 3 '!#REF!,'FASE 3 '!#REF!)</f>
        <v>#REF!</v>
      </c>
      <c r="S213" s="248" t="e">
        <f>'FASE 3 '!#REF!</f>
        <v>#REF!</v>
      </c>
      <c r="T213" s="248" t="e">
        <f>'FASE 3 '!#REF!</f>
        <v>#REF!</v>
      </c>
      <c r="U213" s="248" t="e">
        <f>'FASE 4'!#REF!</f>
        <v>#REF!</v>
      </c>
      <c r="V213" s="251" t="e">
        <f t="shared" si="9"/>
        <v>#REF!</v>
      </c>
    </row>
    <row r="214" spans="2:23" ht="15.75">
      <c r="B214" s="242">
        <v>1117</v>
      </c>
      <c r="C214" s="247" t="e">
        <f>'FASE 1   '!#REF!</f>
        <v>#REF!</v>
      </c>
      <c r="D214" s="248" t="e">
        <f>'FASE 1   '!#REF!</f>
        <v>#REF!</v>
      </c>
      <c r="E214" s="248" t="e">
        <f>'FASE 1   '!#REF!</f>
        <v>#REF!</v>
      </c>
      <c r="F214" s="248" t="e">
        <f>'FASE 1   '!#REF!</f>
        <v>#REF!</v>
      </c>
      <c r="G214" s="248" t="e">
        <f>'FASE 1   '!#REF!</f>
        <v>#REF!</v>
      </c>
      <c r="H214" s="248" t="e">
        <f>'FASE 1   '!#REF!</f>
        <v>#REF!</v>
      </c>
      <c r="I214" s="248" t="e">
        <f>'FASE 1   '!#REF!</f>
        <v>#REF!</v>
      </c>
      <c r="J214" s="248" t="e">
        <f>'FASE 1   '!#REF!</f>
        <v>#REF!</v>
      </c>
      <c r="K214" s="248" t="e">
        <f>AVERAGE('FASE 2  '!#REF!)</f>
        <v>#REF!</v>
      </c>
      <c r="L214" s="248" t="e">
        <f>AVERAGE('FASE 2  '!#REF!,'FASE 2  '!#REF!)</f>
        <v>#REF!</v>
      </c>
      <c r="M214" s="248" t="e">
        <f>'FASE 4'!#REF!</f>
        <v>#REF!</v>
      </c>
      <c r="N214" s="248" t="e">
        <f>'FASE 2  '!#REF!</f>
        <v>#REF!</v>
      </c>
      <c r="O214" s="248" t="e">
        <f>'FASE 3 '!#REF!</f>
        <v>#REF!</v>
      </c>
      <c r="P214" s="248" t="e">
        <f>'FASE 3 '!#REF!</f>
        <v>#REF!</v>
      </c>
      <c r="Q214" s="248" t="e">
        <f>AVERAGE('FASE 3 '!#REF!,'FASE 3 '!#REF!,'FASE 3 '!#REF!,'FASE 3 '!#REF!)</f>
        <v>#REF!</v>
      </c>
      <c r="R214" s="248" t="e">
        <f>AVERAGE('FASE 3 '!#REF!,'FASE 3 '!#REF!,'FASE 3 '!#REF!)</f>
        <v>#REF!</v>
      </c>
      <c r="S214" s="248" t="e">
        <f>'FASE 3 '!#REF!</f>
        <v>#REF!</v>
      </c>
      <c r="T214" s="248" t="e">
        <f>'FASE 3 '!#REF!</f>
        <v>#REF!</v>
      </c>
      <c r="U214" s="248" t="e">
        <f>'FASE 4'!#REF!</f>
        <v>#REF!</v>
      </c>
      <c r="V214" s="251" t="e">
        <f t="shared" si="9"/>
        <v>#REF!</v>
      </c>
    </row>
    <row r="215" spans="2:23" ht="15.75">
      <c r="B215" s="243" t="s">
        <v>526</v>
      </c>
      <c r="C215" s="251" t="e">
        <f t="shared" ref="C215:U215" si="12">AVERAGE(C198:C214)</f>
        <v>#REF!</v>
      </c>
      <c r="D215" s="251" t="e">
        <f t="shared" si="12"/>
        <v>#REF!</v>
      </c>
      <c r="E215" s="251" t="e">
        <f t="shared" si="12"/>
        <v>#REF!</v>
      </c>
      <c r="F215" s="251" t="e">
        <f t="shared" si="12"/>
        <v>#REF!</v>
      </c>
      <c r="G215" s="251" t="e">
        <f t="shared" si="12"/>
        <v>#REF!</v>
      </c>
      <c r="H215" s="251" t="e">
        <f t="shared" si="12"/>
        <v>#REF!</v>
      </c>
      <c r="I215" s="251" t="e">
        <f t="shared" si="12"/>
        <v>#REF!</v>
      </c>
      <c r="J215" s="251" t="e">
        <f t="shared" si="12"/>
        <v>#REF!</v>
      </c>
      <c r="K215" s="251" t="e">
        <f t="shared" si="12"/>
        <v>#REF!</v>
      </c>
      <c r="L215" s="251" t="e">
        <f t="shared" si="12"/>
        <v>#REF!</v>
      </c>
      <c r="M215" s="251" t="e">
        <f t="shared" si="12"/>
        <v>#REF!</v>
      </c>
      <c r="N215" s="251" t="e">
        <f t="shared" si="12"/>
        <v>#REF!</v>
      </c>
      <c r="O215" s="251" t="e">
        <f t="shared" si="12"/>
        <v>#REF!</v>
      </c>
      <c r="P215" s="251" t="e">
        <f t="shared" si="12"/>
        <v>#REF!</v>
      </c>
      <c r="Q215" s="251" t="e">
        <f t="shared" si="12"/>
        <v>#REF!</v>
      </c>
      <c r="R215" s="251" t="e">
        <f t="shared" si="12"/>
        <v>#REF!</v>
      </c>
      <c r="S215" s="251" t="e">
        <f t="shared" si="12"/>
        <v>#REF!</v>
      </c>
      <c r="T215" s="251" t="e">
        <f t="shared" si="12"/>
        <v>#REF!</v>
      </c>
      <c r="U215" s="251" t="e">
        <f t="shared" si="12"/>
        <v>#REF!</v>
      </c>
      <c r="V215" s="251" t="e">
        <f>AVERAGE(C215:U215)</f>
        <v>#REF!</v>
      </c>
      <c r="W215" s="2"/>
    </row>
    <row r="216" spans="2:23" ht="15.75">
      <c r="B216" s="242">
        <v>1201</v>
      </c>
      <c r="C216" s="247" t="e">
        <f>'FASE 1   '!#REF!</f>
        <v>#REF!</v>
      </c>
      <c r="D216" s="248" t="e">
        <f>'FASE 1   '!#REF!</f>
        <v>#REF!</v>
      </c>
      <c r="E216" s="248" t="e">
        <f>'FASE 1   '!#REF!</f>
        <v>#REF!</v>
      </c>
      <c r="F216" s="248" t="e">
        <f>'FASE 1   '!#REF!</f>
        <v>#REF!</v>
      </c>
      <c r="G216" s="248" t="e">
        <f>'FASE 1   '!#REF!</f>
        <v>#REF!</v>
      </c>
      <c r="H216" s="248" t="e">
        <f>'FASE 1   '!#REF!</f>
        <v>#REF!</v>
      </c>
      <c r="I216" s="248" t="e">
        <f>'FASE 1   '!#REF!</f>
        <v>#REF!</v>
      </c>
      <c r="J216" s="248" t="e">
        <f>'FASE 1   '!#REF!</f>
        <v>#REF!</v>
      </c>
      <c r="K216" s="248" t="e">
        <f>AVERAGE('FASE 2  '!#REF!)</f>
        <v>#REF!</v>
      </c>
      <c r="L216" s="248" t="e">
        <f>AVERAGE('FASE 2  '!#REF!,'FASE 2  '!#REF!)</f>
        <v>#REF!</v>
      </c>
      <c r="M216" s="248" t="e">
        <f>'FASE 4'!#REF!</f>
        <v>#REF!</v>
      </c>
      <c r="N216" s="248" t="e">
        <f>'FASE 2  '!#REF!</f>
        <v>#REF!</v>
      </c>
      <c r="O216" s="248" t="e">
        <f>'FASE 3 '!#REF!</f>
        <v>#REF!</v>
      </c>
      <c r="P216" s="248" t="e">
        <f>'FASE 3 '!#REF!</f>
        <v>#REF!</v>
      </c>
      <c r="Q216" s="248" t="e">
        <f>AVERAGE('FASE 3 '!#REF!,'FASE 3 '!#REF!,'FASE 3 '!#REF!,'FASE 3 '!#REF!)</f>
        <v>#REF!</v>
      </c>
      <c r="R216" s="248" t="e">
        <f>AVERAGE('FASE 3 '!#REF!,'FASE 3 '!#REF!,'FASE 3 '!#REF!)</f>
        <v>#REF!</v>
      </c>
      <c r="S216" s="248" t="e">
        <f>'FASE 3 '!#REF!</f>
        <v>#REF!</v>
      </c>
      <c r="T216" s="248" t="e">
        <f>'FASE 3 '!#REF!</f>
        <v>#REF!</v>
      </c>
      <c r="U216" s="248" t="e">
        <f>'FASE 4'!#REF!</f>
        <v>#REF!</v>
      </c>
      <c r="V216" s="251" t="e">
        <f t="shared" si="9"/>
        <v>#REF!</v>
      </c>
    </row>
    <row r="217" spans="2:23" ht="15.75">
      <c r="B217" s="242">
        <v>1202</v>
      </c>
      <c r="C217" s="247" t="e">
        <f>'FASE 1   '!#REF!</f>
        <v>#REF!</v>
      </c>
      <c r="D217" s="248" t="e">
        <f>'FASE 1   '!#REF!</f>
        <v>#REF!</v>
      </c>
      <c r="E217" s="248" t="e">
        <f>'FASE 1   '!#REF!</f>
        <v>#REF!</v>
      </c>
      <c r="F217" s="248" t="e">
        <f>'FASE 1   '!#REF!</f>
        <v>#REF!</v>
      </c>
      <c r="G217" s="248" t="e">
        <f>'FASE 1   '!#REF!</f>
        <v>#REF!</v>
      </c>
      <c r="H217" s="248" t="e">
        <f>'FASE 1   '!#REF!</f>
        <v>#REF!</v>
      </c>
      <c r="I217" s="248" t="e">
        <f>'FASE 1   '!#REF!</f>
        <v>#REF!</v>
      </c>
      <c r="J217" s="248" t="e">
        <f>'FASE 1   '!#REF!</f>
        <v>#REF!</v>
      </c>
      <c r="K217" s="248" t="e">
        <f>AVERAGE('FASE 2  '!#REF!)</f>
        <v>#REF!</v>
      </c>
      <c r="L217" s="248" t="e">
        <f>AVERAGE('FASE 2  '!#REF!,'FASE 2  '!#REF!)</f>
        <v>#REF!</v>
      </c>
      <c r="M217" s="248" t="e">
        <f>'FASE 4'!#REF!</f>
        <v>#REF!</v>
      </c>
      <c r="N217" s="248" t="e">
        <f>'FASE 2  '!#REF!</f>
        <v>#REF!</v>
      </c>
      <c r="O217" s="248" t="e">
        <f>'FASE 3 '!#REF!</f>
        <v>#REF!</v>
      </c>
      <c r="P217" s="248" t="e">
        <f>'FASE 3 '!#REF!</f>
        <v>#REF!</v>
      </c>
      <c r="Q217" s="248" t="e">
        <f>AVERAGE('FASE 3 '!#REF!,'FASE 3 '!#REF!,'FASE 3 '!#REF!,'FASE 3 '!#REF!)</f>
        <v>#REF!</v>
      </c>
      <c r="R217" s="248" t="e">
        <f>AVERAGE('FASE 3 '!#REF!,'FASE 3 '!#REF!,'FASE 3 '!#REF!)</f>
        <v>#REF!</v>
      </c>
      <c r="S217" s="248" t="e">
        <f>'FASE 3 '!#REF!</f>
        <v>#REF!</v>
      </c>
      <c r="T217" s="248" t="e">
        <f>'FASE 3 '!#REF!</f>
        <v>#REF!</v>
      </c>
      <c r="U217" s="248" t="e">
        <f>'FASE 4'!#REF!</f>
        <v>#REF!</v>
      </c>
      <c r="V217" s="251" t="e">
        <f t="shared" si="9"/>
        <v>#REF!</v>
      </c>
    </row>
    <row r="218" spans="2:23" ht="15.75">
      <c r="B218" s="242">
        <v>1203</v>
      </c>
      <c r="C218" s="247" t="e">
        <f>'FASE 1   '!#REF!</f>
        <v>#REF!</v>
      </c>
      <c r="D218" s="248" t="e">
        <f>'FASE 1   '!#REF!</f>
        <v>#REF!</v>
      </c>
      <c r="E218" s="248" t="e">
        <f>'FASE 1   '!#REF!</f>
        <v>#REF!</v>
      </c>
      <c r="F218" s="248" t="e">
        <f>'FASE 1   '!#REF!</f>
        <v>#REF!</v>
      </c>
      <c r="G218" s="248" t="e">
        <f>'FASE 1   '!#REF!</f>
        <v>#REF!</v>
      </c>
      <c r="H218" s="248" t="e">
        <f>'FASE 1   '!#REF!</f>
        <v>#REF!</v>
      </c>
      <c r="I218" s="248" t="e">
        <f>'FASE 1   '!#REF!</f>
        <v>#REF!</v>
      </c>
      <c r="J218" s="248" t="e">
        <f>'FASE 1   '!#REF!</f>
        <v>#REF!</v>
      </c>
      <c r="K218" s="248" t="e">
        <f>AVERAGE('FASE 2  '!#REF!)</f>
        <v>#REF!</v>
      </c>
      <c r="L218" s="248" t="e">
        <f>AVERAGE('FASE 2  '!#REF!,'FASE 2  '!#REF!)</f>
        <v>#REF!</v>
      </c>
      <c r="M218" s="248" t="e">
        <f>'FASE 4'!#REF!</f>
        <v>#REF!</v>
      </c>
      <c r="N218" s="248" t="e">
        <f>'FASE 2  '!#REF!</f>
        <v>#REF!</v>
      </c>
      <c r="O218" s="248" t="e">
        <f>'FASE 3 '!#REF!</f>
        <v>#REF!</v>
      </c>
      <c r="P218" s="248" t="e">
        <f>'FASE 3 '!#REF!</f>
        <v>#REF!</v>
      </c>
      <c r="Q218" s="248" t="e">
        <f>AVERAGE('FASE 3 '!#REF!,'FASE 3 '!#REF!,'FASE 3 '!#REF!,'FASE 3 '!#REF!)</f>
        <v>#REF!</v>
      </c>
      <c r="R218" s="248" t="e">
        <f>AVERAGE('FASE 3 '!#REF!,'FASE 3 '!#REF!,'FASE 3 '!#REF!)</f>
        <v>#REF!</v>
      </c>
      <c r="S218" s="248" t="e">
        <f>'FASE 3 '!#REF!</f>
        <v>#REF!</v>
      </c>
      <c r="T218" s="248" t="e">
        <f>'FASE 3 '!#REF!</f>
        <v>#REF!</v>
      </c>
      <c r="U218" s="248" t="e">
        <f>'FASE 4'!#REF!</f>
        <v>#REF!</v>
      </c>
      <c r="V218" s="251" t="e">
        <f t="shared" si="9"/>
        <v>#REF!</v>
      </c>
    </row>
    <row r="219" spans="2:23" ht="15.75">
      <c r="B219" s="242">
        <v>1204</v>
      </c>
      <c r="C219" s="247" t="e">
        <f>'FASE 1   '!#REF!</f>
        <v>#REF!</v>
      </c>
      <c r="D219" s="248" t="e">
        <f>'FASE 1   '!#REF!</f>
        <v>#REF!</v>
      </c>
      <c r="E219" s="248" t="e">
        <f>'FASE 1   '!#REF!</f>
        <v>#REF!</v>
      </c>
      <c r="F219" s="248" t="e">
        <f>'FASE 1   '!#REF!</f>
        <v>#REF!</v>
      </c>
      <c r="G219" s="248" t="e">
        <f>'FASE 1   '!#REF!</f>
        <v>#REF!</v>
      </c>
      <c r="H219" s="248" t="e">
        <f>'FASE 1   '!#REF!</f>
        <v>#REF!</v>
      </c>
      <c r="I219" s="248" t="e">
        <f>'FASE 1   '!#REF!</f>
        <v>#REF!</v>
      </c>
      <c r="J219" s="248" t="e">
        <f>'FASE 1   '!#REF!</f>
        <v>#REF!</v>
      </c>
      <c r="K219" s="248" t="e">
        <f>AVERAGE('FASE 2  '!#REF!)</f>
        <v>#REF!</v>
      </c>
      <c r="L219" s="248" t="e">
        <f>AVERAGE('FASE 2  '!#REF!,'FASE 2  '!#REF!)</f>
        <v>#REF!</v>
      </c>
      <c r="M219" s="248" t="e">
        <f>'FASE 4'!#REF!</f>
        <v>#REF!</v>
      </c>
      <c r="N219" s="248" t="e">
        <f>'FASE 2  '!#REF!</f>
        <v>#REF!</v>
      </c>
      <c r="O219" s="248" t="e">
        <f>'FASE 3 '!#REF!</f>
        <v>#REF!</v>
      </c>
      <c r="P219" s="248" t="e">
        <f>'FASE 3 '!#REF!</f>
        <v>#REF!</v>
      </c>
      <c r="Q219" s="248" t="e">
        <f>AVERAGE('FASE 3 '!#REF!,'FASE 3 '!#REF!,'FASE 3 '!#REF!,'FASE 3 '!#REF!)</f>
        <v>#REF!</v>
      </c>
      <c r="R219" s="248" t="e">
        <f>AVERAGE('FASE 3 '!#REF!,'FASE 3 '!#REF!,'FASE 3 '!#REF!)</f>
        <v>#REF!</v>
      </c>
      <c r="S219" s="248" t="e">
        <f>'FASE 3 '!#REF!</f>
        <v>#REF!</v>
      </c>
      <c r="T219" s="248" t="e">
        <f>'FASE 3 '!#REF!</f>
        <v>#REF!</v>
      </c>
      <c r="U219" s="248" t="e">
        <f>'FASE 4'!#REF!</f>
        <v>#REF!</v>
      </c>
      <c r="V219" s="251" t="e">
        <f t="shared" si="9"/>
        <v>#REF!</v>
      </c>
    </row>
    <row r="220" spans="2:23" ht="15.75">
      <c r="B220" s="242">
        <v>1205</v>
      </c>
      <c r="C220" s="247" t="e">
        <f>'FASE 1   '!#REF!</f>
        <v>#REF!</v>
      </c>
      <c r="D220" s="248" t="e">
        <f>'FASE 1   '!#REF!</f>
        <v>#REF!</v>
      </c>
      <c r="E220" s="248" t="e">
        <f>'FASE 1   '!#REF!</f>
        <v>#REF!</v>
      </c>
      <c r="F220" s="248" t="e">
        <f>'FASE 1   '!#REF!</f>
        <v>#REF!</v>
      </c>
      <c r="G220" s="248" t="e">
        <f>'FASE 1   '!#REF!</f>
        <v>#REF!</v>
      </c>
      <c r="H220" s="248" t="e">
        <f>'FASE 1   '!#REF!</f>
        <v>#REF!</v>
      </c>
      <c r="I220" s="248" t="e">
        <f>'FASE 1   '!#REF!</f>
        <v>#REF!</v>
      </c>
      <c r="J220" s="248" t="e">
        <f>'FASE 1   '!#REF!</f>
        <v>#REF!</v>
      </c>
      <c r="K220" s="248" t="e">
        <f>AVERAGE('FASE 2  '!#REF!)</f>
        <v>#REF!</v>
      </c>
      <c r="L220" s="248" t="e">
        <f>AVERAGE('FASE 2  '!#REF!,'FASE 2  '!#REF!)</f>
        <v>#REF!</v>
      </c>
      <c r="M220" s="248" t="e">
        <f>'FASE 4'!#REF!</f>
        <v>#REF!</v>
      </c>
      <c r="N220" s="248" t="e">
        <f>'FASE 2  '!#REF!</f>
        <v>#REF!</v>
      </c>
      <c r="O220" s="248" t="e">
        <f>'FASE 3 '!#REF!</f>
        <v>#REF!</v>
      </c>
      <c r="P220" s="248" t="e">
        <f>'FASE 3 '!#REF!</f>
        <v>#REF!</v>
      </c>
      <c r="Q220" s="248" t="e">
        <f>AVERAGE('FASE 3 '!#REF!,'FASE 3 '!#REF!,'FASE 3 '!#REF!,'FASE 3 '!#REF!)</f>
        <v>#REF!</v>
      </c>
      <c r="R220" s="248" t="e">
        <f>AVERAGE('FASE 3 '!#REF!,'FASE 3 '!#REF!,'FASE 3 '!#REF!)</f>
        <v>#REF!</v>
      </c>
      <c r="S220" s="248" t="e">
        <f>'FASE 3 '!#REF!</f>
        <v>#REF!</v>
      </c>
      <c r="T220" s="248" t="e">
        <f>'FASE 3 '!#REF!</f>
        <v>#REF!</v>
      </c>
      <c r="U220" s="248" t="e">
        <f>'FASE 4'!#REF!</f>
        <v>#REF!</v>
      </c>
      <c r="V220" s="251" t="e">
        <f t="shared" si="9"/>
        <v>#REF!</v>
      </c>
    </row>
    <row r="221" spans="2:23" ht="15.75">
      <c r="B221" s="242">
        <v>1206</v>
      </c>
      <c r="C221" s="247" t="e">
        <f>'FASE 1   '!#REF!</f>
        <v>#REF!</v>
      </c>
      <c r="D221" s="248" t="e">
        <f>'FASE 1   '!#REF!</f>
        <v>#REF!</v>
      </c>
      <c r="E221" s="248" t="e">
        <f>'FASE 1   '!#REF!</f>
        <v>#REF!</v>
      </c>
      <c r="F221" s="248" t="e">
        <f>'FASE 1   '!#REF!</f>
        <v>#REF!</v>
      </c>
      <c r="G221" s="248" t="e">
        <f>'FASE 1   '!#REF!</f>
        <v>#REF!</v>
      </c>
      <c r="H221" s="248" t="e">
        <f>'FASE 1   '!#REF!</f>
        <v>#REF!</v>
      </c>
      <c r="I221" s="248" t="e">
        <f>'FASE 1   '!#REF!</f>
        <v>#REF!</v>
      </c>
      <c r="J221" s="248" t="e">
        <f>'FASE 1   '!#REF!</f>
        <v>#REF!</v>
      </c>
      <c r="K221" s="248" t="e">
        <f>AVERAGE('FASE 2  '!#REF!)</f>
        <v>#REF!</v>
      </c>
      <c r="L221" s="248" t="e">
        <f>AVERAGE('FASE 2  '!#REF!,'FASE 2  '!#REF!)</f>
        <v>#REF!</v>
      </c>
      <c r="M221" s="248" t="e">
        <f>'FASE 4'!#REF!</f>
        <v>#REF!</v>
      </c>
      <c r="N221" s="248" t="e">
        <f>'FASE 2  '!#REF!</f>
        <v>#REF!</v>
      </c>
      <c r="O221" s="248" t="e">
        <f>'FASE 3 '!#REF!</f>
        <v>#REF!</v>
      </c>
      <c r="P221" s="248" t="e">
        <f>'FASE 3 '!#REF!</f>
        <v>#REF!</v>
      </c>
      <c r="Q221" s="248" t="e">
        <f>AVERAGE('FASE 3 '!#REF!,'FASE 3 '!#REF!,'FASE 3 '!#REF!,'FASE 3 '!#REF!)</f>
        <v>#REF!</v>
      </c>
      <c r="R221" s="248" t="e">
        <f>AVERAGE('FASE 3 '!#REF!,'FASE 3 '!#REF!,'FASE 3 '!#REF!)</f>
        <v>#REF!</v>
      </c>
      <c r="S221" s="248" t="e">
        <f>'FASE 3 '!#REF!</f>
        <v>#REF!</v>
      </c>
      <c r="T221" s="248" t="e">
        <f>'FASE 3 '!#REF!</f>
        <v>#REF!</v>
      </c>
      <c r="U221" s="248" t="e">
        <f>'FASE 4'!#REF!</f>
        <v>#REF!</v>
      </c>
      <c r="V221" s="251" t="e">
        <f t="shared" si="9"/>
        <v>#REF!</v>
      </c>
    </row>
    <row r="222" spans="2:23" ht="15.75">
      <c r="B222" s="242">
        <v>1207</v>
      </c>
      <c r="C222" s="247" t="e">
        <f>'FASE 1   '!#REF!</f>
        <v>#REF!</v>
      </c>
      <c r="D222" s="248" t="e">
        <f>'FASE 1   '!#REF!</f>
        <v>#REF!</v>
      </c>
      <c r="E222" s="248" t="e">
        <f>'FASE 1   '!#REF!</f>
        <v>#REF!</v>
      </c>
      <c r="F222" s="248" t="e">
        <f>'FASE 1   '!#REF!</f>
        <v>#REF!</v>
      </c>
      <c r="G222" s="248" t="e">
        <f>'FASE 1   '!#REF!</f>
        <v>#REF!</v>
      </c>
      <c r="H222" s="248" t="e">
        <f>'FASE 1   '!#REF!</f>
        <v>#REF!</v>
      </c>
      <c r="I222" s="248" t="e">
        <f>'FASE 1   '!#REF!</f>
        <v>#REF!</v>
      </c>
      <c r="J222" s="248" t="e">
        <f>'FASE 1   '!#REF!</f>
        <v>#REF!</v>
      </c>
      <c r="K222" s="248" t="e">
        <f>AVERAGE('FASE 2  '!#REF!)</f>
        <v>#REF!</v>
      </c>
      <c r="L222" s="248" t="e">
        <f>AVERAGE('FASE 2  '!#REF!,'FASE 2  '!#REF!)</f>
        <v>#REF!</v>
      </c>
      <c r="M222" s="248" t="e">
        <f>'FASE 4'!#REF!</f>
        <v>#REF!</v>
      </c>
      <c r="N222" s="248" t="e">
        <f>'FASE 2  '!#REF!</f>
        <v>#REF!</v>
      </c>
      <c r="O222" s="248" t="e">
        <f>'FASE 3 '!#REF!</f>
        <v>#REF!</v>
      </c>
      <c r="P222" s="248" t="e">
        <f>'FASE 3 '!#REF!</f>
        <v>#REF!</v>
      </c>
      <c r="Q222" s="248" t="e">
        <f>AVERAGE('FASE 3 '!#REF!,'FASE 3 '!#REF!,'FASE 3 '!#REF!,'FASE 3 '!#REF!)</f>
        <v>#REF!</v>
      </c>
      <c r="R222" s="248" t="e">
        <f>AVERAGE('FASE 3 '!#REF!,'FASE 3 '!#REF!,'FASE 3 '!#REF!)</f>
        <v>#REF!</v>
      </c>
      <c r="S222" s="248" t="e">
        <f>'FASE 3 '!#REF!</f>
        <v>#REF!</v>
      </c>
      <c r="T222" s="248" t="e">
        <f>'FASE 3 '!#REF!</f>
        <v>#REF!</v>
      </c>
      <c r="U222" s="248" t="e">
        <f>'FASE 4'!#REF!</f>
        <v>#REF!</v>
      </c>
      <c r="V222" s="251" t="e">
        <f t="shared" si="9"/>
        <v>#REF!</v>
      </c>
    </row>
    <row r="223" spans="2:23" ht="15.75">
      <c r="B223" s="242">
        <v>1208</v>
      </c>
      <c r="C223" s="247" t="e">
        <f>'FASE 1   '!#REF!</f>
        <v>#REF!</v>
      </c>
      <c r="D223" s="248" t="e">
        <f>'FASE 1   '!#REF!</f>
        <v>#REF!</v>
      </c>
      <c r="E223" s="248" t="e">
        <f>'FASE 1   '!#REF!</f>
        <v>#REF!</v>
      </c>
      <c r="F223" s="248" t="e">
        <f>'FASE 1   '!#REF!</f>
        <v>#REF!</v>
      </c>
      <c r="G223" s="248" t="e">
        <f>'FASE 1   '!#REF!</f>
        <v>#REF!</v>
      </c>
      <c r="H223" s="248" t="e">
        <f>'FASE 1   '!#REF!</f>
        <v>#REF!</v>
      </c>
      <c r="I223" s="248" t="e">
        <f>'FASE 1   '!#REF!</f>
        <v>#REF!</v>
      </c>
      <c r="J223" s="248" t="e">
        <f>'FASE 1   '!#REF!</f>
        <v>#REF!</v>
      </c>
      <c r="K223" s="248" t="e">
        <f>AVERAGE('FASE 2  '!#REF!)</f>
        <v>#REF!</v>
      </c>
      <c r="L223" s="248" t="e">
        <f>AVERAGE('FASE 2  '!#REF!,'FASE 2  '!#REF!)</f>
        <v>#REF!</v>
      </c>
      <c r="M223" s="248" t="e">
        <f>'FASE 4'!#REF!</f>
        <v>#REF!</v>
      </c>
      <c r="N223" s="248" t="e">
        <f>'FASE 2  '!#REF!</f>
        <v>#REF!</v>
      </c>
      <c r="O223" s="248" t="e">
        <f>'FASE 3 '!#REF!</f>
        <v>#REF!</v>
      </c>
      <c r="P223" s="248" t="e">
        <f>'FASE 3 '!#REF!</f>
        <v>#REF!</v>
      </c>
      <c r="Q223" s="248" t="e">
        <f>AVERAGE('FASE 3 '!#REF!,'FASE 3 '!#REF!,'FASE 3 '!#REF!,'FASE 3 '!#REF!)</f>
        <v>#REF!</v>
      </c>
      <c r="R223" s="248" t="e">
        <f>AVERAGE('FASE 3 '!#REF!,'FASE 3 '!#REF!,'FASE 3 '!#REF!)</f>
        <v>#REF!</v>
      </c>
      <c r="S223" s="248" t="e">
        <f>'FASE 3 '!#REF!</f>
        <v>#REF!</v>
      </c>
      <c r="T223" s="248" t="e">
        <f>'FASE 3 '!#REF!</f>
        <v>#REF!</v>
      </c>
      <c r="U223" s="248" t="e">
        <f>'FASE 4'!#REF!</f>
        <v>#REF!</v>
      </c>
      <c r="V223" s="251" t="e">
        <f t="shared" si="9"/>
        <v>#REF!</v>
      </c>
    </row>
    <row r="224" spans="2:23" ht="15.75">
      <c r="B224" s="242">
        <v>1209</v>
      </c>
      <c r="C224" s="247" t="e">
        <f>'FASE 1   '!#REF!</f>
        <v>#REF!</v>
      </c>
      <c r="D224" s="248" t="e">
        <f>'FASE 1   '!#REF!</f>
        <v>#REF!</v>
      </c>
      <c r="E224" s="248" t="e">
        <f>'FASE 1   '!#REF!</f>
        <v>#REF!</v>
      </c>
      <c r="F224" s="248" t="e">
        <f>'FASE 1   '!#REF!</f>
        <v>#REF!</v>
      </c>
      <c r="G224" s="248" t="e">
        <f>'FASE 1   '!#REF!</f>
        <v>#REF!</v>
      </c>
      <c r="H224" s="248" t="e">
        <f>'FASE 1   '!#REF!</f>
        <v>#REF!</v>
      </c>
      <c r="I224" s="248" t="e">
        <f>'FASE 1   '!#REF!</f>
        <v>#REF!</v>
      </c>
      <c r="J224" s="248" t="e">
        <f>'FASE 1   '!#REF!</f>
        <v>#REF!</v>
      </c>
      <c r="K224" s="248" t="e">
        <f>AVERAGE('FASE 2  '!#REF!)</f>
        <v>#REF!</v>
      </c>
      <c r="L224" s="248" t="e">
        <f>AVERAGE('FASE 2  '!#REF!,'FASE 2  '!#REF!)</f>
        <v>#REF!</v>
      </c>
      <c r="M224" s="248" t="e">
        <f>'FASE 4'!#REF!</f>
        <v>#REF!</v>
      </c>
      <c r="N224" s="248" t="e">
        <f>'FASE 2  '!#REF!</f>
        <v>#REF!</v>
      </c>
      <c r="O224" s="248" t="e">
        <f>'FASE 3 '!#REF!</f>
        <v>#REF!</v>
      </c>
      <c r="P224" s="248" t="e">
        <f>'FASE 3 '!#REF!</f>
        <v>#REF!</v>
      </c>
      <c r="Q224" s="248" t="e">
        <f>AVERAGE('FASE 3 '!#REF!,'FASE 3 '!#REF!,'FASE 3 '!#REF!,'FASE 3 '!#REF!)</f>
        <v>#REF!</v>
      </c>
      <c r="R224" s="248" t="e">
        <f>AVERAGE('FASE 3 '!#REF!,'FASE 3 '!#REF!,'FASE 3 '!#REF!)</f>
        <v>#REF!</v>
      </c>
      <c r="S224" s="248" t="e">
        <f>'FASE 3 '!#REF!</f>
        <v>#REF!</v>
      </c>
      <c r="T224" s="248" t="e">
        <f>'FASE 3 '!#REF!</f>
        <v>#REF!</v>
      </c>
      <c r="U224" s="248" t="e">
        <f>'FASE 4'!#REF!</f>
        <v>#REF!</v>
      </c>
      <c r="V224" s="251" t="e">
        <f t="shared" si="9"/>
        <v>#REF!</v>
      </c>
    </row>
    <row r="225" spans="1:23" ht="15.75">
      <c r="B225" s="242">
        <v>1210</v>
      </c>
      <c r="C225" s="247" t="e">
        <f>'FASE 1   '!#REF!</f>
        <v>#REF!</v>
      </c>
      <c r="D225" s="248" t="e">
        <f>'FASE 1   '!#REF!</f>
        <v>#REF!</v>
      </c>
      <c r="E225" s="248" t="e">
        <f>'FASE 1   '!#REF!</f>
        <v>#REF!</v>
      </c>
      <c r="F225" s="248" t="e">
        <f>'FASE 1   '!#REF!</f>
        <v>#REF!</v>
      </c>
      <c r="G225" s="248" t="e">
        <f>'FASE 1   '!#REF!</f>
        <v>#REF!</v>
      </c>
      <c r="H225" s="248" t="e">
        <f>'FASE 1   '!#REF!</f>
        <v>#REF!</v>
      </c>
      <c r="I225" s="248" t="e">
        <f>'FASE 1   '!#REF!</f>
        <v>#REF!</v>
      </c>
      <c r="J225" s="248" t="e">
        <f>'FASE 1   '!#REF!</f>
        <v>#REF!</v>
      </c>
      <c r="K225" s="248" t="e">
        <f>AVERAGE('FASE 2  '!#REF!)</f>
        <v>#REF!</v>
      </c>
      <c r="L225" s="248" t="e">
        <f>AVERAGE('FASE 2  '!#REF!,'FASE 2  '!#REF!)</f>
        <v>#REF!</v>
      </c>
      <c r="M225" s="248" t="e">
        <f>'FASE 4'!#REF!</f>
        <v>#REF!</v>
      </c>
      <c r="N225" s="248" t="e">
        <f>'FASE 2  '!#REF!</f>
        <v>#REF!</v>
      </c>
      <c r="O225" s="248" t="e">
        <f>'FASE 3 '!#REF!</f>
        <v>#REF!</v>
      </c>
      <c r="P225" s="248" t="e">
        <f>'FASE 3 '!#REF!</f>
        <v>#REF!</v>
      </c>
      <c r="Q225" s="248" t="e">
        <f>AVERAGE('FASE 3 '!#REF!,'FASE 3 '!#REF!,'FASE 3 '!#REF!,'FASE 3 '!#REF!)</f>
        <v>#REF!</v>
      </c>
      <c r="R225" s="248" t="e">
        <f>AVERAGE('FASE 3 '!#REF!,'FASE 3 '!#REF!,'FASE 3 '!#REF!)</f>
        <v>#REF!</v>
      </c>
      <c r="S225" s="248" t="e">
        <f>'FASE 3 '!#REF!</f>
        <v>#REF!</v>
      </c>
      <c r="T225" s="248" t="e">
        <f>'FASE 3 '!#REF!</f>
        <v>#REF!</v>
      </c>
      <c r="U225" s="248" t="e">
        <f>'FASE 4'!#REF!</f>
        <v>#REF!</v>
      </c>
      <c r="V225" s="251" t="e">
        <f t="shared" si="9"/>
        <v>#REF!</v>
      </c>
    </row>
    <row r="226" spans="1:23" ht="15.75">
      <c r="B226" s="242">
        <v>1211</v>
      </c>
      <c r="C226" s="247" t="e">
        <f>'FASE 1   '!#REF!</f>
        <v>#REF!</v>
      </c>
      <c r="D226" s="248" t="e">
        <f>'FASE 1   '!#REF!</f>
        <v>#REF!</v>
      </c>
      <c r="E226" s="248" t="e">
        <f>'FASE 1   '!#REF!</f>
        <v>#REF!</v>
      </c>
      <c r="F226" s="248" t="e">
        <f>'FASE 1   '!#REF!</f>
        <v>#REF!</v>
      </c>
      <c r="G226" s="248" t="e">
        <f>'FASE 1   '!#REF!</f>
        <v>#REF!</v>
      </c>
      <c r="H226" s="248" t="e">
        <f>'FASE 1   '!#REF!</f>
        <v>#REF!</v>
      </c>
      <c r="I226" s="248" t="e">
        <f>'FASE 1   '!#REF!</f>
        <v>#REF!</v>
      </c>
      <c r="J226" s="248" t="e">
        <f>'FASE 1   '!#REF!</f>
        <v>#REF!</v>
      </c>
      <c r="K226" s="248" t="e">
        <f>AVERAGE('FASE 2  '!#REF!)</f>
        <v>#REF!</v>
      </c>
      <c r="L226" s="248" t="e">
        <f>AVERAGE('FASE 2  '!#REF!,'FASE 2  '!#REF!)</f>
        <v>#REF!</v>
      </c>
      <c r="M226" s="248" t="e">
        <f>'FASE 4'!#REF!</f>
        <v>#REF!</v>
      </c>
      <c r="N226" s="248" t="e">
        <f>'FASE 2  '!#REF!</f>
        <v>#REF!</v>
      </c>
      <c r="O226" s="248" t="e">
        <f>'FASE 3 '!#REF!</f>
        <v>#REF!</v>
      </c>
      <c r="P226" s="248" t="e">
        <f>'FASE 3 '!#REF!</f>
        <v>#REF!</v>
      </c>
      <c r="Q226" s="248" t="e">
        <f>AVERAGE('FASE 3 '!#REF!,'FASE 3 '!#REF!,'FASE 3 '!#REF!,'FASE 3 '!#REF!)</f>
        <v>#REF!</v>
      </c>
      <c r="R226" s="248" t="e">
        <f>AVERAGE('FASE 3 '!#REF!,'FASE 3 '!#REF!,'FASE 3 '!#REF!)</f>
        <v>#REF!</v>
      </c>
      <c r="S226" s="248" t="e">
        <f>'FASE 3 '!#REF!</f>
        <v>#REF!</v>
      </c>
      <c r="T226" s="248" t="e">
        <f>'FASE 3 '!#REF!</f>
        <v>#REF!</v>
      </c>
      <c r="U226" s="248" t="e">
        <f>'FASE 4'!#REF!</f>
        <v>#REF!</v>
      </c>
      <c r="V226" s="251" t="e">
        <f t="shared" si="9"/>
        <v>#REF!</v>
      </c>
    </row>
    <row r="227" spans="1:23" ht="15.75">
      <c r="B227" s="242">
        <v>1212</v>
      </c>
      <c r="C227" s="247" t="e">
        <f>'FASE 1   '!#REF!</f>
        <v>#REF!</v>
      </c>
      <c r="D227" s="248" t="e">
        <f>'FASE 1   '!#REF!</f>
        <v>#REF!</v>
      </c>
      <c r="E227" s="248" t="e">
        <f>'FASE 1   '!#REF!</f>
        <v>#REF!</v>
      </c>
      <c r="F227" s="248" t="e">
        <f>'FASE 1   '!#REF!</f>
        <v>#REF!</v>
      </c>
      <c r="G227" s="248" t="e">
        <f>'FASE 1   '!#REF!</f>
        <v>#REF!</v>
      </c>
      <c r="H227" s="248" t="e">
        <f>'FASE 1   '!#REF!</f>
        <v>#REF!</v>
      </c>
      <c r="I227" s="248" t="e">
        <f>'FASE 1   '!#REF!</f>
        <v>#REF!</v>
      </c>
      <c r="J227" s="248" t="e">
        <f>'FASE 1   '!#REF!</f>
        <v>#REF!</v>
      </c>
      <c r="K227" s="248" t="e">
        <f>AVERAGE('FASE 2  '!#REF!)</f>
        <v>#REF!</v>
      </c>
      <c r="L227" s="248" t="e">
        <f>AVERAGE('FASE 2  '!#REF!,'FASE 2  '!#REF!)</f>
        <v>#REF!</v>
      </c>
      <c r="M227" s="248" t="e">
        <f>'FASE 4'!#REF!</f>
        <v>#REF!</v>
      </c>
      <c r="N227" s="248" t="e">
        <f>'FASE 2  '!#REF!</f>
        <v>#REF!</v>
      </c>
      <c r="O227" s="248" t="e">
        <f>'FASE 3 '!#REF!</f>
        <v>#REF!</v>
      </c>
      <c r="P227" s="248" t="e">
        <f>'FASE 3 '!#REF!</f>
        <v>#REF!</v>
      </c>
      <c r="Q227" s="248" t="e">
        <f>AVERAGE('FASE 3 '!#REF!,'FASE 3 '!#REF!,'FASE 3 '!#REF!,'FASE 3 '!#REF!)</f>
        <v>#REF!</v>
      </c>
      <c r="R227" s="248" t="e">
        <f>AVERAGE('FASE 3 '!#REF!,'FASE 3 '!#REF!,'FASE 3 '!#REF!)</f>
        <v>#REF!</v>
      </c>
      <c r="S227" s="248" t="e">
        <f>'FASE 3 '!#REF!</f>
        <v>#REF!</v>
      </c>
      <c r="T227" s="248" t="e">
        <f>'FASE 3 '!#REF!</f>
        <v>#REF!</v>
      </c>
      <c r="U227" s="248" t="e">
        <f>'FASE 4'!#REF!</f>
        <v>#REF!</v>
      </c>
      <c r="V227" s="251" t="e">
        <f t="shared" si="9"/>
        <v>#REF!</v>
      </c>
    </row>
    <row r="228" spans="1:23" ht="15.75">
      <c r="B228" s="242">
        <v>1213</v>
      </c>
      <c r="C228" s="247" t="e">
        <f>'FASE 1   '!#REF!</f>
        <v>#REF!</v>
      </c>
      <c r="D228" s="248" t="e">
        <f>'FASE 1   '!#REF!</f>
        <v>#REF!</v>
      </c>
      <c r="E228" s="248" t="e">
        <f>'FASE 1   '!#REF!</f>
        <v>#REF!</v>
      </c>
      <c r="F228" s="248" t="e">
        <f>'FASE 1   '!#REF!</f>
        <v>#REF!</v>
      </c>
      <c r="G228" s="248" t="e">
        <f>'FASE 1   '!#REF!</f>
        <v>#REF!</v>
      </c>
      <c r="H228" s="248" t="e">
        <f>'FASE 1   '!#REF!</f>
        <v>#REF!</v>
      </c>
      <c r="I228" s="248" t="e">
        <f>'FASE 1   '!#REF!</f>
        <v>#REF!</v>
      </c>
      <c r="J228" s="248" t="e">
        <f>'FASE 1   '!#REF!</f>
        <v>#REF!</v>
      </c>
      <c r="K228" s="248" t="e">
        <f>AVERAGE('FASE 2  '!#REF!)</f>
        <v>#REF!</v>
      </c>
      <c r="L228" s="248" t="e">
        <f>AVERAGE('FASE 2  '!#REF!,'FASE 2  '!#REF!)</f>
        <v>#REF!</v>
      </c>
      <c r="M228" s="248" t="e">
        <f>'FASE 4'!#REF!</f>
        <v>#REF!</v>
      </c>
      <c r="N228" s="248" t="e">
        <f>'FASE 2  '!#REF!</f>
        <v>#REF!</v>
      </c>
      <c r="O228" s="248" t="e">
        <f>'FASE 3 '!#REF!</f>
        <v>#REF!</v>
      </c>
      <c r="P228" s="248" t="e">
        <f>'FASE 3 '!#REF!</f>
        <v>#REF!</v>
      </c>
      <c r="Q228" s="248" t="e">
        <f>AVERAGE('FASE 3 '!#REF!,'FASE 3 '!#REF!,'FASE 3 '!#REF!,'FASE 3 '!#REF!)</f>
        <v>#REF!</v>
      </c>
      <c r="R228" s="248" t="e">
        <f>AVERAGE('FASE 3 '!#REF!,'FASE 3 '!#REF!,'FASE 3 '!#REF!)</f>
        <v>#REF!</v>
      </c>
      <c r="S228" s="248" t="e">
        <f>'FASE 3 '!#REF!</f>
        <v>#REF!</v>
      </c>
      <c r="T228" s="248" t="e">
        <f>'FASE 3 '!#REF!</f>
        <v>#REF!</v>
      </c>
      <c r="U228" s="248" t="e">
        <f>'FASE 4'!#REF!</f>
        <v>#REF!</v>
      </c>
      <c r="V228" s="251" t="e">
        <f t="shared" si="9"/>
        <v>#REF!</v>
      </c>
    </row>
    <row r="229" spans="1:23" ht="15.75">
      <c r="B229" s="242">
        <v>1214</v>
      </c>
      <c r="C229" s="247" t="e">
        <f>'FASE 1   '!#REF!</f>
        <v>#REF!</v>
      </c>
      <c r="D229" s="248" t="e">
        <f>'FASE 1   '!#REF!</f>
        <v>#REF!</v>
      </c>
      <c r="E229" s="248" t="e">
        <f>'FASE 1   '!#REF!</f>
        <v>#REF!</v>
      </c>
      <c r="F229" s="248" t="e">
        <f>'FASE 1   '!#REF!</f>
        <v>#REF!</v>
      </c>
      <c r="G229" s="248" t="e">
        <f>'FASE 1   '!#REF!</f>
        <v>#REF!</v>
      </c>
      <c r="H229" s="248" t="e">
        <f>'FASE 1   '!#REF!</f>
        <v>#REF!</v>
      </c>
      <c r="I229" s="248" t="e">
        <f>'FASE 1   '!#REF!</f>
        <v>#REF!</v>
      </c>
      <c r="J229" s="248" t="e">
        <f>'FASE 1   '!#REF!</f>
        <v>#REF!</v>
      </c>
      <c r="K229" s="248" t="e">
        <f>AVERAGE('FASE 2  '!#REF!)</f>
        <v>#REF!</v>
      </c>
      <c r="L229" s="248" t="e">
        <f>AVERAGE('FASE 2  '!#REF!,'FASE 2  '!#REF!)</f>
        <v>#REF!</v>
      </c>
      <c r="M229" s="248" t="e">
        <f>'FASE 4'!#REF!</f>
        <v>#REF!</v>
      </c>
      <c r="N229" s="248" t="e">
        <f>'FASE 2  '!#REF!</f>
        <v>#REF!</v>
      </c>
      <c r="O229" s="248" t="e">
        <f>'FASE 3 '!#REF!</f>
        <v>#REF!</v>
      </c>
      <c r="P229" s="248" t="e">
        <f>'FASE 3 '!#REF!</f>
        <v>#REF!</v>
      </c>
      <c r="Q229" s="248" t="e">
        <f>AVERAGE('FASE 3 '!#REF!,'FASE 3 '!#REF!,'FASE 3 '!#REF!,'FASE 3 '!#REF!)</f>
        <v>#REF!</v>
      </c>
      <c r="R229" s="248" t="e">
        <f>AVERAGE('FASE 3 '!#REF!,'FASE 3 '!#REF!,'FASE 3 '!#REF!)</f>
        <v>#REF!</v>
      </c>
      <c r="S229" s="248" t="e">
        <f>'FASE 3 '!#REF!</f>
        <v>#REF!</v>
      </c>
      <c r="T229" s="248" t="e">
        <f>'FASE 3 '!#REF!</f>
        <v>#REF!</v>
      </c>
      <c r="U229" s="248" t="e">
        <f>'FASE 4'!#REF!</f>
        <v>#REF!</v>
      </c>
      <c r="V229" s="251" t="e">
        <f>AVERAGE(C229:U229)</f>
        <v>#REF!</v>
      </c>
    </row>
    <row r="230" spans="1:23" ht="15.75">
      <c r="B230" s="242">
        <v>1215</v>
      </c>
      <c r="C230" s="247" t="e">
        <f>'FASE 1   '!#REF!</f>
        <v>#REF!</v>
      </c>
      <c r="D230" s="248" t="e">
        <f>'FASE 1   '!#REF!</f>
        <v>#REF!</v>
      </c>
      <c r="E230" s="248" t="e">
        <f>'FASE 1   '!#REF!</f>
        <v>#REF!</v>
      </c>
      <c r="F230" s="248" t="e">
        <f>'FASE 1   '!#REF!</f>
        <v>#REF!</v>
      </c>
      <c r="G230" s="248" t="e">
        <f>'FASE 1   '!#REF!</f>
        <v>#REF!</v>
      </c>
      <c r="H230" s="248" t="e">
        <f>'FASE 1   '!#REF!</f>
        <v>#REF!</v>
      </c>
      <c r="I230" s="248" t="e">
        <f>'FASE 1   '!#REF!</f>
        <v>#REF!</v>
      </c>
      <c r="J230" s="248" t="e">
        <f>'FASE 1   '!#REF!</f>
        <v>#REF!</v>
      </c>
      <c r="K230" s="248" t="e">
        <f>AVERAGE('FASE 2  '!#REF!)</f>
        <v>#REF!</v>
      </c>
      <c r="L230" s="248" t="e">
        <f>AVERAGE('FASE 2  '!#REF!,'FASE 2  '!#REF!)</f>
        <v>#REF!</v>
      </c>
      <c r="M230" s="248" t="e">
        <f>'FASE 4'!#REF!</f>
        <v>#REF!</v>
      </c>
      <c r="N230" s="248" t="e">
        <f>'FASE 2  '!#REF!</f>
        <v>#REF!</v>
      </c>
      <c r="O230" s="248" t="e">
        <f>'FASE 3 '!#REF!</f>
        <v>#REF!</v>
      </c>
      <c r="P230" s="248" t="e">
        <f>'FASE 3 '!#REF!</f>
        <v>#REF!</v>
      </c>
      <c r="Q230" s="248" t="e">
        <f>AVERAGE('FASE 3 '!#REF!,'FASE 3 '!#REF!,'FASE 3 '!#REF!,'FASE 3 '!#REF!)</f>
        <v>#REF!</v>
      </c>
      <c r="R230" s="248" t="e">
        <f>AVERAGE('FASE 3 '!#REF!,'FASE 3 '!#REF!,'FASE 3 '!#REF!)</f>
        <v>#REF!</v>
      </c>
      <c r="S230" s="248" t="e">
        <f>'FASE 3 '!#REF!</f>
        <v>#REF!</v>
      </c>
      <c r="T230" s="248" t="e">
        <f>'FASE 3 '!#REF!</f>
        <v>#REF!</v>
      </c>
      <c r="U230" s="248" t="e">
        <f>'FASE 4'!#REF!</f>
        <v>#REF!</v>
      </c>
      <c r="V230" s="251" t="e">
        <f>AVERAGE(C230:U230)</f>
        <v>#REF!</v>
      </c>
    </row>
    <row r="231" spans="1:23" ht="15.75">
      <c r="B231" s="242">
        <v>1216</v>
      </c>
      <c r="C231" s="247" t="e">
        <f>'FASE 1   '!#REF!</f>
        <v>#REF!</v>
      </c>
      <c r="D231" s="248" t="e">
        <f>'FASE 1   '!#REF!</f>
        <v>#REF!</v>
      </c>
      <c r="E231" s="248" t="e">
        <f>'FASE 1   '!#REF!</f>
        <v>#REF!</v>
      </c>
      <c r="F231" s="248" t="e">
        <f>'FASE 1   '!#REF!</f>
        <v>#REF!</v>
      </c>
      <c r="G231" s="248" t="e">
        <f>'FASE 1   '!#REF!</f>
        <v>#REF!</v>
      </c>
      <c r="H231" s="248" t="e">
        <f>'FASE 1   '!#REF!</f>
        <v>#REF!</v>
      </c>
      <c r="I231" s="248" t="e">
        <f>'FASE 1   '!#REF!</f>
        <v>#REF!</v>
      </c>
      <c r="J231" s="248" t="e">
        <f>'FASE 1   '!#REF!</f>
        <v>#REF!</v>
      </c>
      <c r="K231" s="248" t="e">
        <f>AVERAGE('FASE 2  '!#REF!)</f>
        <v>#REF!</v>
      </c>
      <c r="L231" s="248" t="e">
        <f>AVERAGE('FASE 2  '!#REF!,'FASE 2  '!#REF!)</f>
        <v>#REF!</v>
      </c>
      <c r="M231" s="248" t="e">
        <f>'FASE 4'!#REF!</f>
        <v>#REF!</v>
      </c>
      <c r="N231" s="248" t="e">
        <f>'FASE 2  '!#REF!</f>
        <v>#REF!</v>
      </c>
      <c r="O231" s="248" t="e">
        <f>'FASE 3 '!#REF!</f>
        <v>#REF!</v>
      </c>
      <c r="P231" s="248" t="e">
        <f>'FASE 3 '!#REF!</f>
        <v>#REF!</v>
      </c>
      <c r="Q231" s="248" t="e">
        <f>AVERAGE('FASE 3 '!#REF!,'FASE 3 '!#REF!,'FASE 3 '!#REF!,'FASE 3 '!#REF!)</f>
        <v>#REF!</v>
      </c>
      <c r="R231" s="248" t="e">
        <f>AVERAGE('FASE 3 '!#REF!,'FASE 3 '!#REF!,'FASE 3 '!#REF!)</f>
        <v>#REF!</v>
      </c>
      <c r="S231" s="248" t="e">
        <f>'FASE 3 '!#REF!</f>
        <v>#REF!</v>
      </c>
      <c r="T231" s="248" t="e">
        <f>'FASE 3 '!#REF!</f>
        <v>#REF!</v>
      </c>
      <c r="U231" s="248" t="e">
        <f>'FASE 4'!#REF!</f>
        <v>#REF!</v>
      </c>
      <c r="V231" s="251" t="e">
        <f>AVERAGE(C231:U231)</f>
        <v>#REF!</v>
      </c>
    </row>
    <row r="232" spans="1:23" ht="15.75">
      <c r="B232" s="243" t="s">
        <v>527</v>
      </c>
      <c r="C232" s="251" t="e">
        <f t="shared" ref="C232:U232" si="13">AVERAGE(C215:C231)</f>
        <v>#REF!</v>
      </c>
      <c r="D232" s="251" t="e">
        <f t="shared" si="13"/>
        <v>#REF!</v>
      </c>
      <c r="E232" s="251" t="e">
        <f t="shared" si="13"/>
        <v>#REF!</v>
      </c>
      <c r="F232" s="251" t="e">
        <f t="shared" si="13"/>
        <v>#REF!</v>
      </c>
      <c r="G232" s="251" t="e">
        <f t="shared" si="13"/>
        <v>#REF!</v>
      </c>
      <c r="H232" s="251" t="e">
        <f t="shared" si="13"/>
        <v>#REF!</v>
      </c>
      <c r="I232" s="251" t="e">
        <f t="shared" si="13"/>
        <v>#REF!</v>
      </c>
      <c r="J232" s="251" t="e">
        <f t="shared" si="13"/>
        <v>#REF!</v>
      </c>
      <c r="K232" s="251" t="e">
        <f t="shared" si="13"/>
        <v>#REF!</v>
      </c>
      <c r="L232" s="251" t="e">
        <f t="shared" si="13"/>
        <v>#REF!</v>
      </c>
      <c r="M232" s="251" t="e">
        <f t="shared" si="13"/>
        <v>#REF!</v>
      </c>
      <c r="N232" s="251" t="e">
        <f t="shared" si="13"/>
        <v>#REF!</v>
      </c>
      <c r="O232" s="251" t="e">
        <f t="shared" si="13"/>
        <v>#REF!</v>
      </c>
      <c r="P232" s="251" t="e">
        <f t="shared" si="13"/>
        <v>#REF!</v>
      </c>
      <c r="Q232" s="251" t="e">
        <f t="shared" si="13"/>
        <v>#REF!</v>
      </c>
      <c r="R232" s="251" t="e">
        <f t="shared" si="13"/>
        <v>#REF!</v>
      </c>
      <c r="S232" s="251" t="e">
        <f t="shared" si="13"/>
        <v>#REF!</v>
      </c>
      <c r="T232" s="251" t="e">
        <f t="shared" si="13"/>
        <v>#REF!</v>
      </c>
      <c r="U232" s="251" t="e">
        <f t="shared" si="13"/>
        <v>#REF!</v>
      </c>
      <c r="V232" s="251" t="e">
        <f>AVERAGE(C232:U232)</f>
        <v>#REF!</v>
      </c>
      <c r="W232" s="2"/>
    </row>
    <row r="233" spans="1:23" ht="15.75" thickBot="1"/>
    <row r="234" spans="1:23" ht="16.5" thickBot="1">
      <c r="A234" s="148" t="s">
        <v>845</v>
      </c>
      <c r="C234" s="257" t="e">
        <f t="shared" ref="C234:T234" si="14">AVERAGE(C6:C232)</f>
        <v>#REF!</v>
      </c>
      <c r="D234" s="257" t="e">
        <f t="shared" si="14"/>
        <v>#REF!</v>
      </c>
      <c r="E234" s="257" t="e">
        <f t="shared" si="14"/>
        <v>#REF!</v>
      </c>
      <c r="F234" s="257" t="e">
        <f t="shared" si="14"/>
        <v>#REF!</v>
      </c>
      <c r="G234" s="257" t="e">
        <f t="shared" si="14"/>
        <v>#REF!</v>
      </c>
      <c r="H234" s="257" t="e">
        <f t="shared" si="14"/>
        <v>#REF!</v>
      </c>
      <c r="I234" s="257" t="e">
        <f t="shared" si="14"/>
        <v>#REF!</v>
      </c>
      <c r="J234" s="257" t="e">
        <f t="shared" si="14"/>
        <v>#REF!</v>
      </c>
      <c r="K234" s="257" t="e">
        <f t="shared" si="14"/>
        <v>#REF!</v>
      </c>
      <c r="L234" s="257" t="e">
        <f t="shared" si="14"/>
        <v>#REF!</v>
      </c>
      <c r="M234" s="257" t="e">
        <f t="shared" si="14"/>
        <v>#REF!</v>
      </c>
      <c r="N234" s="257" t="e">
        <f t="shared" si="14"/>
        <v>#REF!</v>
      </c>
      <c r="O234" s="257" t="e">
        <f t="shared" si="14"/>
        <v>#REF!</v>
      </c>
      <c r="P234" s="257" t="e">
        <f t="shared" si="14"/>
        <v>#REF!</v>
      </c>
      <c r="Q234" s="257" t="e">
        <f t="shared" si="14"/>
        <v>#REF!</v>
      </c>
      <c r="R234" s="257" t="e">
        <f t="shared" si="14"/>
        <v>#REF!</v>
      </c>
      <c r="S234" s="257" t="e">
        <f t="shared" si="14"/>
        <v>#REF!</v>
      </c>
      <c r="T234" s="257" t="e">
        <f t="shared" si="14"/>
        <v>#REF!</v>
      </c>
      <c r="U234" s="257" t="e">
        <f>AVERAGE(U6:U232)</f>
        <v>#REF!</v>
      </c>
      <c r="V234" s="257" t="e">
        <f>AVERAGE(V6:V232)</f>
        <v>#REF!</v>
      </c>
    </row>
    <row r="236" spans="1:23">
      <c r="D236" s="644" t="s">
        <v>808</v>
      </c>
      <c r="E236" s="644"/>
      <c r="F236" s="644" t="s">
        <v>809</v>
      </c>
      <c r="G236" s="644"/>
      <c r="H236" s="644"/>
      <c r="I236" s="644" t="s">
        <v>780</v>
      </c>
      <c r="J236" s="644"/>
      <c r="K236" s="644" t="s">
        <v>169</v>
      </c>
      <c r="L236" s="644"/>
      <c r="M236" s="644"/>
      <c r="N236" s="644" t="s">
        <v>49</v>
      </c>
      <c r="O236" s="644"/>
    </row>
    <row r="237" spans="1:23" ht="15.75">
      <c r="B237" s="643" t="s">
        <v>807</v>
      </c>
      <c r="C237" s="643"/>
      <c r="D237" s="258" t="s">
        <v>516</v>
      </c>
      <c r="E237" s="258" t="s">
        <v>517</v>
      </c>
      <c r="F237" s="258" t="s">
        <v>518</v>
      </c>
      <c r="G237" s="258" t="s">
        <v>519</v>
      </c>
      <c r="H237" s="258" t="s">
        <v>520</v>
      </c>
      <c r="I237" s="258" t="s">
        <v>521</v>
      </c>
      <c r="J237" s="258" t="s">
        <v>522</v>
      </c>
      <c r="K237" s="258" t="s">
        <v>523</v>
      </c>
      <c r="L237" s="258" t="s">
        <v>524</v>
      </c>
      <c r="M237" s="258" t="s">
        <v>525</v>
      </c>
      <c r="N237" s="258" t="s">
        <v>526</v>
      </c>
      <c r="O237" s="258" t="s">
        <v>527</v>
      </c>
    </row>
    <row r="238" spans="1:23" ht="15.75">
      <c r="B238" s="643" t="s">
        <v>811</v>
      </c>
      <c r="C238" s="643"/>
      <c r="D238" s="259"/>
      <c r="E238" s="259" t="e">
        <f>$V23</f>
        <v>#REF!</v>
      </c>
      <c r="F238" s="259" t="e">
        <f>$V41</f>
        <v>#DIV/0!</v>
      </c>
      <c r="G238" s="259" t="e">
        <f>$V89</f>
        <v>#REF!</v>
      </c>
      <c r="H238" s="259" t="e">
        <f>$V107</f>
        <v>#REF!</v>
      </c>
      <c r="I238" s="259" t="e">
        <f>V125</f>
        <v>#REF!</v>
      </c>
      <c r="J238" s="259" t="e">
        <f>V143</f>
        <v>#REF!</v>
      </c>
      <c r="K238" s="259" t="e">
        <f>V161</f>
        <v>#REF!</v>
      </c>
      <c r="L238" s="259" t="e">
        <f>V179</f>
        <v>#REF!</v>
      </c>
      <c r="M238" s="259" t="e">
        <f>V197</f>
        <v>#REF!</v>
      </c>
      <c r="N238" s="259" t="e">
        <f>V215</f>
        <v>#REF!</v>
      </c>
      <c r="O238" s="259" t="e">
        <f>V232</f>
        <v>#REF!</v>
      </c>
    </row>
    <row r="240" spans="1:23">
      <c r="D240" s="644" t="s">
        <v>809</v>
      </c>
      <c r="E240" s="644"/>
      <c r="F240" s="644" t="s">
        <v>780</v>
      </c>
      <c r="G240" s="644"/>
      <c r="H240" s="644"/>
      <c r="I240" s="644" t="s">
        <v>169</v>
      </c>
      <c r="J240" s="644"/>
      <c r="K240" s="644" t="s">
        <v>49</v>
      </c>
      <c r="L240" s="644"/>
      <c r="M240" s="644"/>
      <c r="N240" s="644" t="s">
        <v>50</v>
      </c>
      <c r="O240" s="644"/>
    </row>
    <row r="241" spans="2:22" ht="15.75">
      <c r="B241" s="643" t="s">
        <v>810</v>
      </c>
      <c r="C241" s="643"/>
      <c r="D241" s="258" t="s">
        <v>516</v>
      </c>
      <c r="E241" s="258" t="s">
        <v>517</v>
      </c>
      <c r="F241" s="258" t="s">
        <v>518</v>
      </c>
      <c r="G241" s="258" t="s">
        <v>519</v>
      </c>
      <c r="H241" s="258" t="s">
        <v>520</v>
      </c>
      <c r="I241" s="258" t="s">
        <v>521</v>
      </c>
      <c r="J241" s="258" t="s">
        <v>522</v>
      </c>
      <c r="K241" s="258" t="s">
        <v>523</v>
      </c>
      <c r="L241" s="258" t="s">
        <v>524</v>
      </c>
      <c r="M241" s="258" t="s">
        <v>525</v>
      </c>
      <c r="N241" s="258" t="s">
        <v>526</v>
      </c>
      <c r="O241" s="258" t="s">
        <v>527</v>
      </c>
    </row>
    <row r="242" spans="2:22" ht="15.75">
      <c r="B242" s="643" t="s">
        <v>811</v>
      </c>
      <c r="C242" s="643"/>
      <c r="D242" s="259"/>
      <c r="E242" s="259"/>
      <c r="F242" s="259"/>
      <c r="G242" s="259"/>
      <c r="H242" s="259"/>
      <c r="I242" s="259"/>
      <c r="J242" s="259"/>
      <c r="K242" s="259"/>
      <c r="L242" s="259"/>
      <c r="M242" s="259"/>
      <c r="N242" s="259"/>
      <c r="O242" s="259"/>
    </row>
    <row r="243" spans="2:22" ht="15.75" thickBot="1"/>
    <row r="244" spans="2:22" ht="16.5" thickBot="1">
      <c r="E244" s="261">
        <v>0.996</v>
      </c>
      <c r="F244" s="262">
        <v>1</v>
      </c>
      <c r="G244" s="262">
        <v>1</v>
      </c>
      <c r="H244" s="262">
        <v>1</v>
      </c>
      <c r="I244" s="262">
        <v>1</v>
      </c>
      <c r="J244" s="262">
        <v>1</v>
      </c>
      <c r="K244" s="262">
        <v>1</v>
      </c>
      <c r="L244" s="262">
        <v>1</v>
      </c>
      <c r="M244" s="262">
        <v>0.97</v>
      </c>
      <c r="N244" s="262">
        <v>0.95</v>
      </c>
      <c r="O244" s="263">
        <v>0.9</v>
      </c>
      <c r="V244" s="257">
        <f>AVERAGE(E244:O244)</f>
        <v>0.9832727272727273</v>
      </c>
    </row>
    <row r="245" spans="2:22">
      <c r="B245" s="645" t="s">
        <v>853</v>
      </c>
      <c r="C245" s="645"/>
      <c r="D245" s="645"/>
      <c r="E245" s="645"/>
      <c r="F245" s="645"/>
      <c r="G245" s="645"/>
      <c r="H245" s="645"/>
      <c r="I245" s="645"/>
      <c r="J245" s="645"/>
      <c r="K245" s="645"/>
      <c r="L245" s="645"/>
      <c r="M245" s="645"/>
      <c r="N245" s="645"/>
      <c r="O245" s="645"/>
      <c r="P245" s="645"/>
      <c r="Q245" s="645"/>
      <c r="R245" s="645"/>
      <c r="S245" s="645"/>
    </row>
  </sheetData>
  <mergeCells count="16">
    <mergeCell ref="B245:S245"/>
    <mergeCell ref="B241:C241"/>
    <mergeCell ref="B238:C238"/>
    <mergeCell ref="B242:C242"/>
    <mergeCell ref="D240:E240"/>
    <mergeCell ref="F240:H240"/>
    <mergeCell ref="I240:J240"/>
    <mergeCell ref="K240:M240"/>
    <mergeCell ref="N240:O240"/>
    <mergeCell ref="D3:AC3"/>
    <mergeCell ref="B237:C237"/>
    <mergeCell ref="D236:E236"/>
    <mergeCell ref="F236:H236"/>
    <mergeCell ref="I236:J236"/>
    <mergeCell ref="K236:M236"/>
    <mergeCell ref="N236:O236"/>
  </mergeCells>
  <phoneticPr fontId="28" type="noConversion"/>
  <conditionalFormatting sqref="C6:U6 C7:C232 D23:V23 D41:V41 D89:V89 D107:V107 D125:V125 D143:V143 D161:V161 D197:V197 D215:V215 D232:V232 D24:U40 D7:U22 D42:U88 D90:U106 D108:U124 D126:U142 D144:U160 D162:U178 D180:U196 D198:U214 D216:U231 D179:V179">
    <cfRule type="dataBar" priority="578">
      <dataBar>
        <cfvo type="min"/>
        <cfvo type="max"/>
        <color rgb="FF638EC6"/>
      </dataBar>
      <extLst>
        <ext xmlns:x14="http://schemas.microsoft.com/office/spreadsheetml/2009/9/main" uri="{B025F937-C7B1-47D3-B67F-A62EFF666E3E}">
          <x14:id>{82E35F56-C4B3-4449-963F-1423DF7C7494}</x14:id>
        </ext>
      </extLst>
    </cfRule>
  </conditionalFormatting>
  <conditionalFormatting sqref="C23:V23">
    <cfRule type="dataBar" priority="55">
      <dataBar>
        <cfvo type="min"/>
        <cfvo type="max"/>
        <color rgb="FF63C384"/>
      </dataBar>
      <extLst>
        <ext xmlns:x14="http://schemas.microsoft.com/office/spreadsheetml/2009/9/main" uri="{B025F937-C7B1-47D3-B67F-A62EFF666E3E}">
          <x14:id>{2F05300B-3B8B-41A0-8730-8A38AA5133C0}</x14:id>
        </ext>
      </extLst>
    </cfRule>
  </conditionalFormatting>
  <conditionalFormatting sqref="C41:V41">
    <cfRule type="dataBar" priority="54">
      <dataBar>
        <cfvo type="min"/>
        <cfvo type="max"/>
        <color rgb="FF63C384"/>
      </dataBar>
      <extLst>
        <ext xmlns:x14="http://schemas.microsoft.com/office/spreadsheetml/2009/9/main" uri="{B025F937-C7B1-47D3-B67F-A62EFF666E3E}">
          <x14:id>{389358CD-432F-4C3E-A421-FE98B9356646}</x14:id>
        </ext>
      </extLst>
    </cfRule>
  </conditionalFormatting>
  <conditionalFormatting sqref="C89:V89">
    <cfRule type="dataBar" priority="53">
      <dataBar>
        <cfvo type="min"/>
        <cfvo type="max"/>
        <color rgb="FF63C384"/>
      </dataBar>
      <extLst>
        <ext xmlns:x14="http://schemas.microsoft.com/office/spreadsheetml/2009/9/main" uri="{B025F937-C7B1-47D3-B67F-A62EFF666E3E}">
          <x14:id>{EB93A843-7F19-4A10-AA92-711F801663AE}</x14:id>
        </ext>
      </extLst>
    </cfRule>
  </conditionalFormatting>
  <conditionalFormatting sqref="C107:V107">
    <cfRule type="dataBar" priority="52">
      <dataBar>
        <cfvo type="min"/>
        <cfvo type="max"/>
        <color rgb="FF63C384"/>
      </dataBar>
      <extLst>
        <ext xmlns:x14="http://schemas.microsoft.com/office/spreadsheetml/2009/9/main" uri="{B025F937-C7B1-47D3-B67F-A62EFF666E3E}">
          <x14:id>{394E2769-B48A-4017-A8A0-9C0CC1C0404E}</x14:id>
        </ext>
      </extLst>
    </cfRule>
  </conditionalFormatting>
  <conditionalFormatting sqref="C125:V125">
    <cfRule type="dataBar" priority="51">
      <dataBar>
        <cfvo type="min"/>
        <cfvo type="max"/>
        <color rgb="FF63C384"/>
      </dataBar>
      <extLst>
        <ext xmlns:x14="http://schemas.microsoft.com/office/spreadsheetml/2009/9/main" uri="{B025F937-C7B1-47D3-B67F-A62EFF666E3E}">
          <x14:id>{E5DB958F-BE6D-4663-9C95-884754EDF2BB}</x14:id>
        </ext>
      </extLst>
    </cfRule>
  </conditionalFormatting>
  <conditionalFormatting sqref="C143:V143">
    <cfRule type="dataBar" priority="50">
      <dataBar>
        <cfvo type="min"/>
        <cfvo type="max"/>
        <color rgb="FF63C384"/>
      </dataBar>
      <extLst>
        <ext xmlns:x14="http://schemas.microsoft.com/office/spreadsheetml/2009/9/main" uri="{B025F937-C7B1-47D3-B67F-A62EFF666E3E}">
          <x14:id>{0B0EE1D0-5FCF-41D4-8BD7-52DCB2281C18}</x14:id>
        </ext>
      </extLst>
    </cfRule>
  </conditionalFormatting>
  <conditionalFormatting sqref="C161:V161">
    <cfRule type="dataBar" priority="49">
      <dataBar>
        <cfvo type="min"/>
        <cfvo type="max"/>
        <color rgb="FF63C384"/>
      </dataBar>
      <extLst>
        <ext xmlns:x14="http://schemas.microsoft.com/office/spreadsheetml/2009/9/main" uri="{B025F937-C7B1-47D3-B67F-A62EFF666E3E}">
          <x14:id>{D4534D08-F05C-4FBF-AB57-30C975F11C02}</x14:id>
        </ext>
      </extLst>
    </cfRule>
  </conditionalFormatting>
  <conditionalFormatting sqref="C179:V179">
    <cfRule type="dataBar" priority="48">
      <dataBar>
        <cfvo type="min"/>
        <cfvo type="max"/>
        <color rgb="FF63C384"/>
      </dataBar>
      <extLst>
        <ext xmlns:x14="http://schemas.microsoft.com/office/spreadsheetml/2009/9/main" uri="{B025F937-C7B1-47D3-B67F-A62EFF666E3E}">
          <x14:id>{0D19EB0B-EAB9-4F63-8E09-1EBCFD1FC070}</x14:id>
        </ext>
      </extLst>
    </cfRule>
  </conditionalFormatting>
  <conditionalFormatting sqref="C197:V197">
    <cfRule type="dataBar" priority="47">
      <dataBar>
        <cfvo type="min"/>
        <cfvo type="max"/>
        <color rgb="FF63C384"/>
      </dataBar>
      <extLst>
        <ext xmlns:x14="http://schemas.microsoft.com/office/spreadsheetml/2009/9/main" uri="{B025F937-C7B1-47D3-B67F-A62EFF666E3E}">
          <x14:id>{C96A06A7-DEDA-40F7-801F-C70221A1B196}</x14:id>
        </ext>
      </extLst>
    </cfRule>
  </conditionalFormatting>
  <conditionalFormatting sqref="C215:V215">
    <cfRule type="dataBar" priority="46">
      <dataBar>
        <cfvo type="min"/>
        <cfvo type="max"/>
        <color rgb="FF63C384"/>
      </dataBar>
      <extLst>
        <ext xmlns:x14="http://schemas.microsoft.com/office/spreadsheetml/2009/9/main" uri="{B025F937-C7B1-47D3-B67F-A62EFF666E3E}">
          <x14:id>{CD3230BC-A9AB-49F5-B771-1DE96F53E050}</x14:id>
        </ext>
      </extLst>
    </cfRule>
  </conditionalFormatting>
  <conditionalFormatting sqref="C232:V232">
    <cfRule type="dataBar" priority="45">
      <dataBar>
        <cfvo type="min"/>
        <cfvo type="max"/>
        <color rgb="FF63C384"/>
      </dataBar>
      <extLst>
        <ext xmlns:x14="http://schemas.microsoft.com/office/spreadsheetml/2009/9/main" uri="{B025F937-C7B1-47D3-B67F-A62EFF666E3E}">
          <x14:id>{72E5B14D-B038-42F3-AAFC-BA0B6E7FD00A}</x14:id>
        </ext>
      </extLst>
    </cfRule>
  </conditionalFormatting>
  <conditionalFormatting sqref="C234:V234">
    <cfRule type="dataBar" priority="5">
      <dataBar>
        <cfvo type="min"/>
        <cfvo type="max"/>
        <color rgb="FF638EC6"/>
      </dataBar>
      <extLst>
        <ext xmlns:x14="http://schemas.microsoft.com/office/spreadsheetml/2009/9/main" uri="{B025F937-C7B1-47D3-B67F-A62EFF666E3E}">
          <x14:id>{00565431-14E6-4B23-8EDB-CEA5F79C72FC}</x14:id>
        </ext>
      </extLst>
    </cfRule>
  </conditionalFormatting>
  <conditionalFormatting sqref="E244:O244">
    <cfRule type="dataBar" priority="3">
      <dataBar>
        <cfvo type="min"/>
        <cfvo type="max"/>
        <color rgb="FF638EC6"/>
      </dataBar>
      <extLst>
        <ext xmlns:x14="http://schemas.microsoft.com/office/spreadsheetml/2009/9/main" uri="{B025F937-C7B1-47D3-B67F-A62EFF666E3E}">
          <x14:id>{E128F0E9-6781-497E-8B04-FDD865FFA3CC}</x14:id>
        </ext>
      </extLst>
    </cfRule>
  </conditionalFormatting>
  <conditionalFormatting sqref="V6:V22">
    <cfRule type="dataBar" priority="27">
      <dataBar>
        <cfvo type="min"/>
        <cfvo type="max"/>
        <color rgb="FF638EC6"/>
      </dataBar>
      <extLst>
        <ext xmlns:x14="http://schemas.microsoft.com/office/spreadsheetml/2009/9/main" uri="{B025F937-C7B1-47D3-B67F-A62EFF666E3E}">
          <x14:id>{4E8923DD-FE0F-44F7-B926-9ECA40B39F3E}</x14:id>
        </ext>
      </extLst>
    </cfRule>
    <cfRule type="dataBar" priority="26">
      <dataBar>
        <cfvo type="min"/>
        <cfvo type="max"/>
        <color rgb="FF63C384"/>
      </dataBar>
      <extLst>
        <ext xmlns:x14="http://schemas.microsoft.com/office/spreadsheetml/2009/9/main" uri="{B025F937-C7B1-47D3-B67F-A62EFF666E3E}">
          <x14:id>{A4DC4A44-B8E5-40AA-BDBB-5BC7C23E2AE1}</x14:id>
        </ext>
      </extLst>
    </cfRule>
  </conditionalFormatting>
  <conditionalFormatting sqref="V24:V40">
    <cfRule type="dataBar" priority="25">
      <dataBar>
        <cfvo type="min"/>
        <cfvo type="max"/>
        <color rgb="FF638EC6"/>
      </dataBar>
      <extLst>
        <ext xmlns:x14="http://schemas.microsoft.com/office/spreadsheetml/2009/9/main" uri="{B025F937-C7B1-47D3-B67F-A62EFF666E3E}">
          <x14:id>{D75372AA-2CCC-455D-91F8-208F95DE1B54}</x14:id>
        </ext>
      </extLst>
    </cfRule>
    <cfRule type="dataBar" priority="24">
      <dataBar>
        <cfvo type="min"/>
        <cfvo type="max"/>
        <color rgb="FF63C384"/>
      </dataBar>
      <extLst>
        <ext xmlns:x14="http://schemas.microsoft.com/office/spreadsheetml/2009/9/main" uri="{B025F937-C7B1-47D3-B67F-A62EFF666E3E}">
          <x14:id>{C93770EE-62BE-4512-98A1-F46BB615506E}</x14:id>
        </ext>
      </extLst>
    </cfRule>
  </conditionalFormatting>
  <conditionalFormatting sqref="V42:V88">
    <cfRule type="dataBar" priority="23">
      <dataBar>
        <cfvo type="min"/>
        <cfvo type="max"/>
        <color rgb="FF638EC6"/>
      </dataBar>
      <extLst>
        <ext xmlns:x14="http://schemas.microsoft.com/office/spreadsheetml/2009/9/main" uri="{B025F937-C7B1-47D3-B67F-A62EFF666E3E}">
          <x14:id>{ECDB7744-E0D4-4A5C-AE88-F584AE34D5F0}</x14:id>
        </ext>
      </extLst>
    </cfRule>
    <cfRule type="dataBar" priority="22">
      <dataBar>
        <cfvo type="min"/>
        <cfvo type="max"/>
        <color rgb="FF63C384"/>
      </dataBar>
      <extLst>
        <ext xmlns:x14="http://schemas.microsoft.com/office/spreadsheetml/2009/9/main" uri="{B025F937-C7B1-47D3-B67F-A62EFF666E3E}">
          <x14:id>{D2772E05-54AD-470E-8895-45509D006300}</x14:id>
        </ext>
      </extLst>
    </cfRule>
  </conditionalFormatting>
  <conditionalFormatting sqref="V90:V106">
    <cfRule type="dataBar" priority="20">
      <dataBar>
        <cfvo type="min"/>
        <cfvo type="max"/>
        <color rgb="FF63C384"/>
      </dataBar>
      <extLst>
        <ext xmlns:x14="http://schemas.microsoft.com/office/spreadsheetml/2009/9/main" uri="{B025F937-C7B1-47D3-B67F-A62EFF666E3E}">
          <x14:id>{E05DF0B6-3AA6-4C54-BBB5-A650532037A9}</x14:id>
        </ext>
      </extLst>
    </cfRule>
    <cfRule type="dataBar" priority="21">
      <dataBar>
        <cfvo type="min"/>
        <cfvo type="max"/>
        <color rgb="FF638EC6"/>
      </dataBar>
      <extLst>
        <ext xmlns:x14="http://schemas.microsoft.com/office/spreadsheetml/2009/9/main" uri="{B025F937-C7B1-47D3-B67F-A62EFF666E3E}">
          <x14:id>{9F3E65FD-B590-40CA-94D1-C646793FCD67}</x14:id>
        </ext>
      </extLst>
    </cfRule>
  </conditionalFormatting>
  <conditionalFormatting sqref="V108:V124">
    <cfRule type="dataBar" priority="18">
      <dataBar>
        <cfvo type="min"/>
        <cfvo type="max"/>
        <color rgb="FF63C384"/>
      </dataBar>
      <extLst>
        <ext xmlns:x14="http://schemas.microsoft.com/office/spreadsheetml/2009/9/main" uri="{B025F937-C7B1-47D3-B67F-A62EFF666E3E}">
          <x14:id>{A82E9F85-6FD6-4CE9-882C-C621CF947572}</x14:id>
        </ext>
      </extLst>
    </cfRule>
    <cfRule type="dataBar" priority="19">
      <dataBar>
        <cfvo type="min"/>
        <cfvo type="max"/>
        <color rgb="FF638EC6"/>
      </dataBar>
      <extLst>
        <ext xmlns:x14="http://schemas.microsoft.com/office/spreadsheetml/2009/9/main" uri="{B025F937-C7B1-47D3-B67F-A62EFF666E3E}">
          <x14:id>{799C94EA-308C-4375-B4EE-4FEF54E774C4}</x14:id>
        </ext>
      </extLst>
    </cfRule>
  </conditionalFormatting>
  <conditionalFormatting sqref="V126:V142">
    <cfRule type="dataBar" priority="17">
      <dataBar>
        <cfvo type="min"/>
        <cfvo type="max"/>
        <color rgb="FF638EC6"/>
      </dataBar>
      <extLst>
        <ext xmlns:x14="http://schemas.microsoft.com/office/spreadsheetml/2009/9/main" uri="{B025F937-C7B1-47D3-B67F-A62EFF666E3E}">
          <x14:id>{18374187-0BF9-437D-A8B9-E6E84F6D886A}</x14:id>
        </ext>
      </extLst>
    </cfRule>
    <cfRule type="dataBar" priority="16">
      <dataBar>
        <cfvo type="min"/>
        <cfvo type="max"/>
        <color rgb="FF63C384"/>
      </dataBar>
      <extLst>
        <ext xmlns:x14="http://schemas.microsoft.com/office/spreadsheetml/2009/9/main" uri="{B025F937-C7B1-47D3-B67F-A62EFF666E3E}">
          <x14:id>{627654D8-6622-4314-9DB5-2A2822A356A3}</x14:id>
        </ext>
      </extLst>
    </cfRule>
  </conditionalFormatting>
  <conditionalFormatting sqref="V143">
    <cfRule type="dataBar" priority="33">
      <dataBar>
        <cfvo type="min"/>
        <cfvo type="max"/>
        <color rgb="FF63C384"/>
      </dataBar>
      <extLst>
        <ext xmlns:x14="http://schemas.microsoft.com/office/spreadsheetml/2009/9/main" uri="{B025F937-C7B1-47D3-B67F-A62EFF666E3E}">
          <x14:id>{F392647D-E946-4496-9586-2A1B3D9965EE}</x14:id>
        </ext>
      </extLst>
    </cfRule>
  </conditionalFormatting>
  <conditionalFormatting sqref="V144:V160">
    <cfRule type="dataBar" priority="15">
      <dataBar>
        <cfvo type="min"/>
        <cfvo type="max"/>
        <color rgb="FF638EC6"/>
      </dataBar>
      <extLst>
        <ext xmlns:x14="http://schemas.microsoft.com/office/spreadsheetml/2009/9/main" uri="{B025F937-C7B1-47D3-B67F-A62EFF666E3E}">
          <x14:id>{2DB27CE4-0F06-4FFA-9DA6-C2DDF21DAF9A}</x14:id>
        </ext>
      </extLst>
    </cfRule>
    <cfRule type="dataBar" priority="14">
      <dataBar>
        <cfvo type="min"/>
        <cfvo type="max"/>
        <color rgb="FF63C384"/>
      </dataBar>
      <extLst>
        <ext xmlns:x14="http://schemas.microsoft.com/office/spreadsheetml/2009/9/main" uri="{B025F937-C7B1-47D3-B67F-A62EFF666E3E}">
          <x14:id>{5FECE6D8-19D8-455E-A018-555A7A3C5B86}</x14:id>
        </ext>
      </extLst>
    </cfRule>
  </conditionalFormatting>
  <conditionalFormatting sqref="V161">
    <cfRule type="dataBar" priority="32">
      <dataBar>
        <cfvo type="min"/>
        <cfvo type="max"/>
        <color rgb="FF63C384"/>
      </dataBar>
      <extLst>
        <ext xmlns:x14="http://schemas.microsoft.com/office/spreadsheetml/2009/9/main" uri="{B025F937-C7B1-47D3-B67F-A62EFF666E3E}">
          <x14:id>{6CE47209-DDD2-417A-8A73-5D143D47E099}</x14:id>
        </ext>
      </extLst>
    </cfRule>
  </conditionalFormatting>
  <conditionalFormatting sqref="V162:V178">
    <cfRule type="dataBar" priority="12">
      <dataBar>
        <cfvo type="min"/>
        <cfvo type="max"/>
        <color rgb="FF63C384"/>
      </dataBar>
      <extLst>
        <ext xmlns:x14="http://schemas.microsoft.com/office/spreadsheetml/2009/9/main" uri="{B025F937-C7B1-47D3-B67F-A62EFF666E3E}">
          <x14:id>{21FED3F2-0EA6-4A75-92C5-D68EFF681E62}</x14:id>
        </ext>
      </extLst>
    </cfRule>
    <cfRule type="dataBar" priority="13">
      <dataBar>
        <cfvo type="min"/>
        <cfvo type="max"/>
        <color rgb="FF638EC6"/>
      </dataBar>
      <extLst>
        <ext xmlns:x14="http://schemas.microsoft.com/office/spreadsheetml/2009/9/main" uri="{B025F937-C7B1-47D3-B67F-A62EFF666E3E}">
          <x14:id>{4C1F2D51-D016-469F-A8FB-DBB6BEA8977C}</x14:id>
        </ext>
      </extLst>
    </cfRule>
  </conditionalFormatting>
  <conditionalFormatting sqref="V179">
    <cfRule type="dataBar" priority="31">
      <dataBar>
        <cfvo type="min"/>
        <cfvo type="max"/>
        <color rgb="FF63C384"/>
      </dataBar>
      <extLst>
        <ext xmlns:x14="http://schemas.microsoft.com/office/spreadsheetml/2009/9/main" uri="{B025F937-C7B1-47D3-B67F-A62EFF666E3E}">
          <x14:id>{6ECBE5C7-9001-4310-80B7-56F254F690B6}</x14:id>
        </ext>
      </extLst>
    </cfRule>
  </conditionalFormatting>
  <conditionalFormatting sqref="V180:V196">
    <cfRule type="dataBar" priority="11">
      <dataBar>
        <cfvo type="min"/>
        <cfvo type="max"/>
        <color rgb="FF638EC6"/>
      </dataBar>
      <extLst>
        <ext xmlns:x14="http://schemas.microsoft.com/office/spreadsheetml/2009/9/main" uri="{B025F937-C7B1-47D3-B67F-A62EFF666E3E}">
          <x14:id>{DEB44E21-92C6-481C-9385-BBE6DE4B690B}</x14:id>
        </ext>
      </extLst>
    </cfRule>
    <cfRule type="dataBar" priority="10">
      <dataBar>
        <cfvo type="min"/>
        <cfvo type="max"/>
        <color rgb="FF63C384"/>
      </dataBar>
      <extLst>
        <ext xmlns:x14="http://schemas.microsoft.com/office/spreadsheetml/2009/9/main" uri="{B025F937-C7B1-47D3-B67F-A62EFF666E3E}">
          <x14:id>{9F6B84F9-FAF5-467D-A8FC-28888C1893A8}</x14:id>
        </ext>
      </extLst>
    </cfRule>
  </conditionalFormatting>
  <conditionalFormatting sqref="V197">
    <cfRule type="dataBar" priority="30">
      <dataBar>
        <cfvo type="min"/>
        <cfvo type="max"/>
        <color rgb="FF63C384"/>
      </dataBar>
      <extLst>
        <ext xmlns:x14="http://schemas.microsoft.com/office/spreadsheetml/2009/9/main" uri="{B025F937-C7B1-47D3-B67F-A62EFF666E3E}">
          <x14:id>{35FCC25C-571D-4210-A83F-0DC5EFDFD5D7}</x14:id>
        </ext>
      </extLst>
    </cfRule>
  </conditionalFormatting>
  <conditionalFormatting sqref="V198:V214">
    <cfRule type="dataBar" priority="9">
      <dataBar>
        <cfvo type="min"/>
        <cfvo type="max"/>
        <color rgb="FF638EC6"/>
      </dataBar>
      <extLst>
        <ext xmlns:x14="http://schemas.microsoft.com/office/spreadsheetml/2009/9/main" uri="{B025F937-C7B1-47D3-B67F-A62EFF666E3E}">
          <x14:id>{D33C1981-C041-485B-96B3-DD11F0C5A0F4}</x14:id>
        </ext>
      </extLst>
    </cfRule>
    <cfRule type="dataBar" priority="8">
      <dataBar>
        <cfvo type="min"/>
        <cfvo type="max"/>
        <color rgb="FF63C384"/>
      </dataBar>
      <extLst>
        <ext xmlns:x14="http://schemas.microsoft.com/office/spreadsheetml/2009/9/main" uri="{B025F937-C7B1-47D3-B67F-A62EFF666E3E}">
          <x14:id>{4D660E8A-DF81-469D-AAB5-3072308ED4DF}</x14:id>
        </ext>
      </extLst>
    </cfRule>
  </conditionalFormatting>
  <conditionalFormatting sqref="V215">
    <cfRule type="dataBar" priority="29">
      <dataBar>
        <cfvo type="min"/>
        <cfvo type="max"/>
        <color rgb="FF63C384"/>
      </dataBar>
      <extLst>
        <ext xmlns:x14="http://schemas.microsoft.com/office/spreadsheetml/2009/9/main" uri="{B025F937-C7B1-47D3-B67F-A62EFF666E3E}">
          <x14:id>{3389976D-26DA-4CA6-B952-3363A547C43D}</x14:id>
        </ext>
      </extLst>
    </cfRule>
  </conditionalFormatting>
  <conditionalFormatting sqref="V216:V231">
    <cfRule type="dataBar" priority="7">
      <dataBar>
        <cfvo type="min"/>
        <cfvo type="max"/>
        <color rgb="FF638EC6"/>
      </dataBar>
      <extLst>
        <ext xmlns:x14="http://schemas.microsoft.com/office/spreadsheetml/2009/9/main" uri="{B025F937-C7B1-47D3-B67F-A62EFF666E3E}">
          <x14:id>{A03D2FFC-14AE-48F9-8C65-7412D642D652}</x14:id>
        </ext>
      </extLst>
    </cfRule>
    <cfRule type="dataBar" priority="6">
      <dataBar>
        <cfvo type="min"/>
        <cfvo type="max"/>
        <color rgb="FF63C384"/>
      </dataBar>
      <extLst>
        <ext xmlns:x14="http://schemas.microsoft.com/office/spreadsheetml/2009/9/main" uri="{B025F937-C7B1-47D3-B67F-A62EFF666E3E}">
          <x14:id>{D78B475C-8CA6-42D2-BF3B-AFF8F83FB3F0}</x14:id>
        </ext>
      </extLst>
    </cfRule>
  </conditionalFormatting>
  <conditionalFormatting sqref="V232">
    <cfRule type="dataBar" priority="28">
      <dataBar>
        <cfvo type="min"/>
        <cfvo type="max"/>
        <color rgb="FF63C384"/>
      </dataBar>
      <extLst>
        <ext xmlns:x14="http://schemas.microsoft.com/office/spreadsheetml/2009/9/main" uri="{B025F937-C7B1-47D3-B67F-A62EFF666E3E}">
          <x14:id>{BED67A89-D8D4-4A3D-A45B-5EF27C3DE85E}</x14:id>
        </ext>
      </extLst>
    </cfRule>
  </conditionalFormatting>
  <conditionalFormatting sqref="V244">
    <cfRule type="dataBar" priority="1">
      <dataBar>
        <cfvo type="min"/>
        <cfvo type="max"/>
        <color rgb="FF63C384"/>
      </dataBar>
      <extLst>
        <ext xmlns:x14="http://schemas.microsoft.com/office/spreadsheetml/2009/9/main" uri="{B025F937-C7B1-47D3-B67F-A62EFF666E3E}">
          <x14:id>{06304666-61C3-444F-86E5-906609EC2620}</x14:id>
        </ext>
      </extLst>
    </cfRule>
  </conditionalFormatting>
  <pageMargins left="0.7" right="0.7" top="0.75" bottom="0.75" header="0.3" footer="0.3"/>
  <pageSetup paperSize="139" orientation="portrait" r:id="rId1"/>
  <drawing r:id="rId2"/>
  <extLst>
    <ext xmlns:x14="http://schemas.microsoft.com/office/spreadsheetml/2009/9/main" uri="{78C0D931-6437-407d-A8EE-F0AAD7539E65}">
      <x14:conditionalFormattings>
        <x14:conditionalFormatting xmlns:xm="http://schemas.microsoft.com/office/excel/2006/main">
          <x14:cfRule type="dataBar" id="{82E35F56-C4B3-4449-963F-1423DF7C7494}">
            <x14:dataBar minLength="0" maxLength="100" border="1" negativeBarBorderColorSameAsPositive="0">
              <x14:cfvo type="autoMin"/>
              <x14:cfvo type="autoMax"/>
              <x14:borderColor rgb="FF638EC6"/>
              <x14:negativeFillColor rgb="FFFF0000"/>
              <x14:negativeBorderColor rgb="FFFF0000"/>
              <x14:axisColor rgb="FF000000"/>
            </x14:dataBar>
          </x14:cfRule>
          <xm:sqref>C6:U6 C7:C232 D23:V23 D41:V41 D89:V89 D107:V107 D125:V125 D143:V143 D161:V161 D197:V197 D215:V215 D232:V232 D24:U40 D7:U22 D42:U88 D90:U106 D108:U124 D126:U142 D144:U160 D162:U178 D180:U196 D198:U214 D216:U231 D179:V179</xm:sqref>
        </x14:conditionalFormatting>
        <x14:conditionalFormatting xmlns:xm="http://schemas.microsoft.com/office/excel/2006/main">
          <x14:cfRule type="dataBar" id="{2F05300B-3B8B-41A0-8730-8A38AA5133C0}">
            <x14:dataBar minLength="0" maxLength="100" border="1" negativeBarBorderColorSameAsPositive="0">
              <x14:cfvo type="autoMin"/>
              <x14:cfvo type="autoMax"/>
              <x14:borderColor rgb="FF63C384"/>
              <x14:negativeFillColor rgb="FFFF0000"/>
              <x14:negativeBorderColor rgb="FFFF0000"/>
              <x14:axisColor rgb="FF000000"/>
            </x14:dataBar>
          </x14:cfRule>
          <xm:sqref>C23:V23</xm:sqref>
        </x14:conditionalFormatting>
        <x14:conditionalFormatting xmlns:xm="http://schemas.microsoft.com/office/excel/2006/main">
          <x14:cfRule type="dataBar" id="{389358CD-432F-4C3E-A421-FE98B9356646}">
            <x14:dataBar minLength="0" maxLength="100" border="1" negativeBarBorderColorSameAsPositive="0">
              <x14:cfvo type="autoMin"/>
              <x14:cfvo type="autoMax"/>
              <x14:borderColor rgb="FF63C384"/>
              <x14:negativeFillColor rgb="FFFF0000"/>
              <x14:negativeBorderColor rgb="FFFF0000"/>
              <x14:axisColor rgb="FF000000"/>
            </x14:dataBar>
          </x14:cfRule>
          <xm:sqref>C41:V41</xm:sqref>
        </x14:conditionalFormatting>
        <x14:conditionalFormatting xmlns:xm="http://schemas.microsoft.com/office/excel/2006/main">
          <x14:cfRule type="dataBar" id="{EB93A843-7F19-4A10-AA92-711F801663AE}">
            <x14:dataBar minLength="0" maxLength="100" border="1" negativeBarBorderColorSameAsPositive="0">
              <x14:cfvo type="autoMin"/>
              <x14:cfvo type="autoMax"/>
              <x14:borderColor rgb="FF63C384"/>
              <x14:negativeFillColor rgb="FFFF0000"/>
              <x14:negativeBorderColor rgb="FFFF0000"/>
              <x14:axisColor rgb="FF000000"/>
            </x14:dataBar>
          </x14:cfRule>
          <xm:sqref>C89:V89</xm:sqref>
        </x14:conditionalFormatting>
        <x14:conditionalFormatting xmlns:xm="http://schemas.microsoft.com/office/excel/2006/main">
          <x14:cfRule type="dataBar" id="{394E2769-B48A-4017-A8A0-9C0CC1C0404E}">
            <x14:dataBar minLength="0" maxLength="100" border="1" negativeBarBorderColorSameAsPositive="0">
              <x14:cfvo type="autoMin"/>
              <x14:cfvo type="autoMax"/>
              <x14:borderColor rgb="FF63C384"/>
              <x14:negativeFillColor rgb="FFFF0000"/>
              <x14:negativeBorderColor rgb="FFFF0000"/>
              <x14:axisColor rgb="FF000000"/>
            </x14:dataBar>
          </x14:cfRule>
          <xm:sqref>C107:V107</xm:sqref>
        </x14:conditionalFormatting>
        <x14:conditionalFormatting xmlns:xm="http://schemas.microsoft.com/office/excel/2006/main">
          <x14:cfRule type="dataBar" id="{E5DB958F-BE6D-4663-9C95-884754EDF2BB}">
            <x14:dataBar minLength="0" maxLength="100" border="1" negativeBarBorderColorSameAsPositive="0">
              <x14:cfvo type="autoMin"/>
              <x14:cfvo type="autoMax"/>
              <x14:borderColor rgb="FF63C384"/>
              <x14:negativeFillColor rgb="FFFF0000"/>
              <x14:negativeBorderColor rgb="FFFF0000"/>
              <x14:axisColor rgb="FF000000"/>
            </x14:dataBar>
          </x14:cfRule>
          <xm:sqref>C125:V125</xm:sqref>
        </x14:conditionalFormatting>
        <x14:conditionalFormatting xmlns:xm="http://schemas.microsoft.com/office/excel/2006/main">
          <x14:cfRule type="dataBar" id="{0B0EE1D0-5FCF-41D4-8BD7-52DCB2281C18}">
            <x14:dataBar minLength="0" maxLength="100" border="1" negativeBarBorderColorSameAsPositive="0">
              <x14:cfvo type="autoMin"/>
              <x14:cfvo type="autoMax"/>
              <x14:borderColor rgb="FF63C384"/>
              <x14:negativeFillColor rgb="FFFF0000"/>
              <x14:negativeBorderColor rgb="FFFF0000"/>
              <x14:axisColor rgb="FF000000"/>
            </x14:dataBar>
          </x14:cfRule>
          <xm:sqref>C143:V143</xm:sqref>
        </x14:conditionalFormatting>
        <x14:conditionalFormatting xmlns:xm="http://schemas.microsoft.com/office/excel/2006/main">
          <x14:cfRule type="dataBar" id="{D4534D08-F05C-4FBF-AB57-30C975F11C02}">
            <x14:dataBar minLength="0" maxLength="100" border="1" negativeBarBorderColorSameAsPositive="0">
              <x14:cfvo type="autoMin"/>
              <x14:cfvo type="autoMax"/>
              <x14:borderColor rgb="FF63C384"/>
              <x14:negativeFillColor rgb="FFFF0000"/>
              <x14:negativeBorderColor rgb="FFFF0000"/>
              <x14:axisColor rgb="FF000000"/>
            </x14:dataBar>
          </x14:cfRule>
          <xm:sqref>C161:V161</xm:sqref>
        </x14:conditionalFormatting>
        <x14:conditionalFormatting xmlns:xm="http://schemas.microsoft.com/office/excel/2006/main">
          <x14:cfRule type="dataBar" id="{0D19EB0B-EAB9-4F63-8E09-1EBCFD1FC070}">
            <x14:dataBar minLength="0" maxLength="100" border="1" negativeBarBorderColorSameAsPositive="0">
              <x14:cfvo type="autoMin"/>
              <x14:cfvo type="autoMax"/>
              <x14:borderColor rgb="FF63C384"/>
              <x14:negativeFillColor rgb="FFFF0000"/>
              <x14:negativeBorderColor rgb="FFFF0000"/>
              <x14:axisColor rgb="FF000000"/>
            </x14:dataBar>
          </x14:cfRule>
          <xm:sqref>C179:V179</xm:sqref>
        </x14:conditionalFormatting>
        <x14:conditionalFormatting xmlns:xm="http://schemas.microsoft.com/office/excel/2006/main">
          <x14:cfRule type="dataBar" id="{C96A06A7-DEDA-40F7-801F-C70221A1B196}">
            <x14:dataBar minLength="0" maxLength="100" border="1" negativeBarBorderColorSameAsPositive="0">
              <x14:cfvo type="autoMin"/>
              <x14:cfvo type="autoMax"/>
              <x14:borderColor rgb="FF63C384"/>
              <x14:negativeFillColor rgb="FFFF0000"/>
              <x14:negativeBorderColor rgb="FFFF0000"/>
              <x14:axisColor rgb="FF000000"/>
            </x14:dataBar>
          </x14:cfRule>
          <xm:sqref>C197:V197</xm:sqref>
        </x14:conditionalFormatting>
        <x14:conditionalFormatting xmlns:xm="http://schemas.microsoft.com/office/excel/2006/main">
          <x14:cfRule type="dataBar" id="{CD3230BC-A9AB-49F5-B771-1DE96F53E050}">
            <x14:dataBar minLength="0" maxLength="100" border="1" negativeBarBorderColorSameAsPositive="0">
              <x14:cfvo type="autoMin"/>
              <x14:cfvo type="autoMax"/>
              <x14:borderColor rgb="FF63C384"/>
              <x14:negativeFillColor rgb="FFFF0000"/>
              <x14:negativeBorderColor rgb="FFFF0000"/>
              <x14:axisColor rgb="FF000000"/>
            </x14:dataBar>
          </x14:cfRule>
          <xm:sqref>C215:V215</xm:sqref>
        </x14:conditionalFormatting>
        <x14:conditionalFormatting xmlns:xm="http://schemas.microsoft.com/office/excel/2006/main">
          <x14:cfRule type="dataBar" id="{72E5B14D-B038-42F3-AAFC-BA0B6E7FD00A}">
            <x14:dataBar minLength="0" maxLength="100" border="1" negativeBarBorderColorSameAsPositive="0">
              <x14:cfvo type="autoMin"/>
              <x14:cfvo type="autoMax"/>
              <x14:borderColor rgb="FF63C384"/>
              <x14:negativeFillColor rgb="FFFF0000"/>
              <x14:negativeBorderColor rgb="FFFF0000"/>
              <x14:axisColor rgb="FF000000"/>
            </x14:dataBar>
          </x14:cfRule>
          <xm:sqref>C232:V232</xm:sqref>
        </x14:conditionalFormatting>
        <x14:conditionalFormatting xmlns:xm="http://schemas.microsoft.com/office/excel/2006/main">
          <x14:cfRule type="dataBar" id="{00565431-14E6-4B23-8EDB-CEA5F79C72FC}">
            <x14:dataBar minLength="0" maxLength="100" border="1" negativeBarBorderColorSameAsPositive="0">
              <x14:cfvo type="autoMin"/>
              <x14:cfvo type="autoMax"/>
              <x14:borderColor rgb="FF638EC6"/>
              <x14:negativeFillColor rgb="FFFF0000"/>
              <x14:negativeBorderColor rgb="FFFF0000"/>
              <x14:axisColor rgb="FF000000"/>
            </x14:dataBar>
          </x14:cfRule>
          <xm:sqref>C234:V234</xm:sqref>
        </x14:conditionalFormatting>
        <x14:conditionalFormatting xmlns:xm="http://schemas.microsoft.com/office/excel/2006/main">
          <x14:cfRule type="dataBar" id="{E128F0E9-6781-497E-8B04-FDD865FFA3CC}">
            <x14:dataBar minLength="0" maxLength="100" border="1" negativeBarBorderColorSameAsPositive="0">
              <x14:cfvo type="autoMin"/>
              <x14:cfvo type="autoMax"/>
              <x14:borderColor rgb="FF638EC6"/>
              <x14:negativeFillColor rgb="FFFF0000"/>
              <x14:negativeBorderColor rgb="FFFF0000"/>
              <x14:axisColor rgb="FF000000"/>
            </x14:dataBar>
          </x14:cfRule>
          <xm:sqref>E244:O244</xm:sqref>
        </x14:conditionalFormatting>
        <x14:conditionalFormatting xmlns:xm="http://schemas.microsoft.com/office/excel/2006/main">
          <x14:cfRule type="dataBar" id="{4E8923DD-FE0F-44F7-B926-9ECA40B39F3E}">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A4DC4A44-B8E5-40AA-BDBB-5BC7C23E2AE1}">
            <x14:dataBar minLength="0" maxLength="100" border="1" negativeBarBorderColorSameAsPositive="0">
              <x14:cfvo type="autoMin"/>
              <x14:cfvo type="autoMax"/>
              <x14:borderColor rgb="FF63C384"/>
              <x14:negativeFillColor rgb="FFFF0000"/>
              <x14:negativeBorderColor rgb="FFFF0000"/>
              <x14:axisColor rgb="FF000000"/>
            </x14:dataBar>
          </x14:cfRule>
          <xm:sqref>V6:V22</xm:sqref>
        </x14:conditionalFormatting>
        <x14:conditionalFormatting xmlns:xm="http://schemas.microsoft.com/office/excel/2006/main">
          <x14:cfRule type="dataBar" id="{D75372AA-2CCC-455D-91F8-208F95DE1B54}">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C93770EE-62BE-4512-98A1-F46BB615506E}">
            <x14:dataBar minLength="0" maxLength="100" border="1" negativeBarBorderColorSameAsPositive="0">
              <x14:cfvo type="autoMin"/>
              <x14:cfvo type="autoMax"/>
              <x14:borderColor rgb="FF63C384"/>
              <x14:negativeFillColor rgb="FFFF0000"/>
              <x14:negativeBorderColor rgb="FFFF0000"/>
              <x14:axisColor rgb="FF000000"/>
            </x14:dataBar>
          </x14:cfRule>
          <xm:sqref>V24:V40</xm:sqref>
        </x14:conditionalFormatting>
        <x14:conditionalFormatting xmlns:xm="http://schemas.microsoft.com/office/excel/2006/main">
          <x14:cfRule type="dataBar" id="{ECDB7744-E0D4-4A5C-AE88-F584AE34D5F0}">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D2772E05-54AD-470E-8895-45509D006300}">
            <x14:dataBar minLength="0" maxLength="100" border="1" negativeBarBorderColorSameAsPositive="0">
              <x14:cfvo type="autoMin"/>
              <x14:cfvo type="autoMax"/>
              <x14:borderColor rgb="FF63C384"/>
              <x14:negativeFillColor rgb="FFFF0000"/>
              <x14:negativeBorderColor rgb="FFFF0000"/>
              <x14:axisColor rgb="FF000000"/>
            </x14:dataBar>
          </x14:cfRule>
          <xm:sqref>V42:V88</xm:sqref>
        </x14:conditionalFormatting>
        <x14:conditionalFormatting xmlns:xm="http://schemas.microsoft.com/office/excel/2006/main">
          <x14:cfRule type="dataBar" id="{E05DF0B6-3AA6-4C54-BBB5-A650532037A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F3E65FD-B590-40CA-94D1-C646793FCD67}">
            <x14:dataBar minLength="0" maxLength="100" border="1" negativeBarBorderColorSameAsPositive="0">
              <x14:cfvo type="autoMin"/>
              <x14:cfvo type="autoMax"/>
              <x14:borderColor rgb="FF638EC6"/>
              <x14:negativeFillColor rgb="FFFF0000"/>
              <x14:negativeBorderColor rgb="FFFF0000"/>
              <x14:axisColor rgb="FF000000"/>
            </x14:dataBar>
          </x14:cfRule>
          <xm:sqref>V90:V106</xm:sqref>
        </x14:conditionalFormatting>
        <x14:conditionalFormatting xmlns:xm="http://schemas.microsoft.com/office/excel/2006/main">
          <x14:cfRule type="dataBar" id="{A82E9F85-6FD6-4CE9-882C-C621CF94757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99C94EA-308C-4375-B4EE-4FEF54E774C4}">
            <x14:dataBar minLength="0" maxLength="100" border="1" negativeBarBorderColorSameAsPositive="0">
              <x14:cfvo type="autoMin"/>
              <x14:cfvo type="autoMax"/>
              <x14:borderColor rgb="FF638EC6"/>
              <x14:negativeFillColor rgb="FFFF0000"/>
              <x14:negativeBorderColor rgb="FFFF0000"/>
              <x14:axisColor rgb="FF000000"/>
            </x14:dataBar>
          </x14:cfRule>
          <xm:sqref>V108:V124</xm:sqref>
        </x14:conditionalFormatting>
        <x14:conditionalFormatting xmlns:xm="http://schemas.microsoft.com/office/excel/2006/main">
          <x14:cfRule type="dataBar" id="{18374187-0BF9-437D-A8B9-E6E84F6D886A}">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627654D8-6622-4314-9DB5-2A2822A356A3}">
            <x14:dataBar minLength="0" maxLength="100" border="1" negativeBarBorderColorSameAsPositive="0">
              <x14:cfvo type="autoMin"/>
              <x14:cfvo type="autoMax"/>
              <x14:borderColor rgb="FF63C384"/>
              <x14:negativeFillColor rgb="FFFF0000"/>
              <x14:negativeBorderColor rgb="FFFF0000"/>
              <x14:axisColor rgb="FF000000"/>
            </x14:dataBar>
          </x14:cfRule>
          <xm:sqref>V126:V142</xm:sqref>
        </x14:conditionalFormatting>
        <x14:conditionalFormatting xmlns:xm="http://schemas.microsoft.com/office/excel/2006/main">
          <x14:cfRule type="dataBar" id="{F392647D-E946-4496-9586-2A1B3D9965EE}">
            <x14:dataBar minLength="0" maxLength="100" border="1" negativeBarBorderColorSameAsPositive="0">
              <x14:cfvo type="autoMin"/>
              <x14:cfvo type="autoMax"/>
              <x14:borderColor rgb="FF63C384"/>
              <x14:negativeFillColor rgb="FFFF0000"/>
              <x14:negativeBorderColor rgb="FFFF0000"/>
              <x14:axisColor rgb="FF000000"/>
            </x14:dataBar>
          </x14:cfRule>
          <xm:sqref>V143</xm:sqref>
        </x14:conditionalFormatting>
        <x14:conditionalFormatting xmlns:xm="http://schemas.microsoft.com/office/excel/2006/main">
          <x14:cfRule type="dataBar" id="{2DB27CE4-0F06-4FFA-9DA6-C2DDF21DAF9A}">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5FECE6D8-19D8-455E-A018-555A7A3C5B86}">
            <x14:dataBar minLength="0" maxLength="100" border="1" negativeBarBorderColorSameAsPositive="0">
              <x14:cfvo type="autoMin"/>
              <x14:cfvo type="autoMax"/>
              <x14:borderColor rgb="FF63C384"/>
              <x14:negativeFillColor rgb="FFFF0000"/>
              <x14:negativeBorderColor rgb="FFFF0000"/>
              <x14:axisColor rgb="FF000000"/>
            </x14:dataBar>
          </x14:cfRule>
          <xm:sqref>V144:V160</xm:sqref>
        </x14:conditionalFormatting>
        <x14:conditionalFormatting xmlns:xm="http://schemas.microsoft.com/office/excel/2006/main">
          <x14:cfRule type="dataBar" id="{6CE47209-DDD2-417A-8A73-5D143D47E099}">
            <x14:dataBar minLength="0" maxLength="100" border="1" negativeBarBorderColorSameAsPositive="0">
              <x14:cfvo type="autoMin"/>
              <x14:cfvo type="autoMax"/>
              <x14:borderColor rgb="FF63C384"/>
              <x14:negativeFillColor rgb="FFFF0000"/>
              <x14:negativeBorderColor rgb="FFFF0000"/>
              <x14:axisColor rgb="FF000000"/>
            </x14:dataBar>
          </x14:cfRule>
          <xm:sqref>V161</xm:sqref>
        </x14:conditionalFormatting>
        <x14:conditionalFormatting xmlns:xm="http://schemas.microsoft.com/office/excel/2006/main">
          <x14:cfRule type="dataBar" id="{21FED3F2-0EA6-4A75-92C5-D68EFF681E6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C1F2D51-D016-469F-A8FB-DBB6BEA8977C}">
            <x14:dataBar minLength="0" maxLength="100" border="1" negativeBarBorderColorSameAsPositive="0">
              <x14:cfvo type="autoMin"/>
              <x14:cfvo type="autoMax"/>
              <x14:borderColor rgb="FF638EC6"/>
              <x14:negativeFillColor rgb="FFFF0000"/>
              <x14:negativeBorderColor rgb="FFFF0000"/>
              <x14:axisColor rgb="FF000000"/>
            </x14:dataBar>
          </x14:cfRule>
          <xm:sqref>V162:V178</xm:sqref>
        </x14:conditionalFormatting>
        <x14:conditionalFormatting xmlns:xm="http://schemas.microsoft.com/office/excel/2006/main">
          <x14:cfRule type="dataBar" id="{6ECBE5C7-9001-4310-80B7-56F254F690B6}">
            <x14:dataBar minLength="0" maxLength="100" border="1" negativeBarBorderColorSameAsPositive="0">
              <x14:cfvo type="autoMin"/>
              <x14:cfvo type="autoMax"/>
              <x14:borderColor rgb="FF63C384"/>
              <x14:negativeFillColor rgb="FFFF0000"/>
              <x14:negativeBorderColor rgb="FFFF0000"/>
              <x14:axisColor rgb="FF000000"/>
            </x14:dataBar>
          </x14:cfRule>
          <xm:sqref>V179</xm:sqref>
        </x14:conditionalFormatting>
        <x14:conditionalFormatting xmlns:xm="http://schemas.microsoft.com/office/excel/2006/main">
          <x14:cfRule type="dataBar" id="{DEB44E21-92C6-481C-9385-BBE6DE4B690B}">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9F6B84F9-FAF5-467D-A8FC-28888C1893A8}">
            <x14:dataBar minLength="0" maxLength="100" border="1" negativeBarBorderColorSameAsPositive="0">
              <x14:cfvo type="autoMin"/>
              <x14:cfvo type="autoMax"/>
              <x14:borderColor rgb="FF63C384"/>
              <x14:negativeFillColor rgb="FFFF0000"/>
              <x14:negativeBorderColor rgb="FFFF0000"/>
              <x14:axisColor rgb="FF000000"/>
            </x14:dataBar>
          </x14:cfRule>
          <xm:sqref>V180:V196</xm:sqref>
        </x14:conditionalFormatting>
        <x14:conditionalFormatting xmlns:xm="http://schemas.microsoft.com/office/excel/2006/main">
          <x14:cfRule type="dataBar" id="{35FCC25C-571D-4210-A83F-0DC5EFDFD5D7}">
            <x14:dataBar minLength="0" maxLength="100" border="1" negativeBarBorderColorSameAsPositive="0">
              <x14:cfvo type="autoMin"/>
              <x14:cfvo type="autoMax"/>
              <x14:borderColor rgb="FF63C384"/>
              <x14:negativeFillColor rgb="FFFF0000"/>
              <x14:negativeBorderColor rgb="FFFF0000"/>
              <x14:axisColor rgb="FF000000"/>
            </x14:dataBar>
          </x14:cfRule>
          <xm:sqref>V197</xm:sqref>
        </x14:conditionalFormatting>
        <x14:conditionalFormatting xmlns:xm="http://schemas.microsoft.com/office/excel/2006/main">
          <x14:cfRule type="dataBar" id="{D33C1981-C041-485B-96B3-DD11F0C5A0F4}">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4D660E8A-DF81-469D-AAB5-3072308ED4DF}">
            <x14:dataBar minLength="0" maxLength="100" border="1" negativeBarBorderColorSameAsPositive="0">
              <x14:cfvo type="autoMin"/>
              <x14:cfvo type="autoMax"/>
              <x14:borderColor rgb="FF63C384"/>
              <x14:negativeFillColor rgb="FFFF0000"/>
              <x14:negativeBorderColor rgb="FFFF0000"/>
              <x14:axisColor rgb="FF000000"/>
            </x14:dataBar>
          </x14:cfRule>
          <xm:sqref>V198:V214</xm:sqref>
        </x14:conditionalFormatting>
        <x14:conditionalFormatting xmlns:xm="http://schemas.microsoft.com/office/excel/2006/main">
          <x14:cfRule type="dataBar" id="{3389976D-26DA-4CA6-B952-3363A547C43D}">
            <x14:dataBar minLength="0" maxLength="100" border="1" negativeBarBorderColorSameAsPositive="0">
              <x14:cfvo type="autoMin"/>
              <x14:cfvo type="autoMax"/>
              <x14:borderColor rgb="FF63C384"/>
              <x14:negativeFillColor rgb="FFFF0000"/>
              <x14:negativeBorderColor rgb="FFFF0000"/>
              <x14:axisColor rgb="FF000000"/>
            </x14:dataBar>
          </x14:cfRule>
          <xm:sqref>V215</xm:sqref>
        </x14:conditionalFormatting>
        <x14:conditionalFormatting xmlns:xm="http://schemas.microsoft.com/office/excel/2006/main">
          <x14:cfRule type="dataBar" id="{A03D2FFC-14AE-48F9-8C65-7412D642D652}">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D78B475C-8CA6-42D2-BF3B-AFF8F83FB3F0}">
            <x14:dataBar minLength="0" maxLength="100" border="1" negativeBarBorderColorSameAsPositive="0">
              <x14:cfvo type="autoMin"/>
              <x14:cfvo type="autoMax"/>
              <x14:borderColor rgb="FF63C384"/>
              <x14:negativeFillColor rgb="FFFF0000"/>
              <x14:negativeBorderColor rgb="FFFF0000"/>
              <x14:axisColor rgb="FF000000"/>
            </x14:dataBar>
          </x14:cfRule>
          <xm:sqref>V216:V231</xm:sqref>
        </x14:conditionalFormatting>
        <x14:conditionalFormatting xmlns:xm="http://schemas.microsoft.com/office/excel/2006/main">
          <x14:cfRule type="dataBar" id="{BED67A89-D8D4-4A3D-A45B-5EF27C3DE85E}">
            <x14:dataBar minLength="0" maxLength="100" border="1" negativeBarBorderColorSameAsPositive="0">
              <x14:cfvo type="autoMin"/>
              <x14:cfvo type="autoMax"/>
              <x14:borderColor rgb="FF63C384"/>
              <x14:negativeFillColor rgb="FFFF0000"/>
              <x14:negativeBorderColor rgb="FFFF0000"/>
              <x14:axisColor rgb="FF000000"/>
            </x14:dataBar>
          </x14:cfRule>
          <xm:sqref>V232</xm:sqref>
        </x14:conditionalFormatting>
        <x14:conditionalFormatting xmlns:xm="http://schemas.microsoft.com/office/excel/2006/main">
          <x14:cfRule type="dataBar" id="{06304666-61C3-444F-86E5-906609EC2620}">
            <x14:dataBar minLength="0" maxLength="100" border="1" negativeBarBorderColorSameAsPositive="0">
              <x14:cfvo type="autoMin"/>
              <x14:cfvo type="autoMax"/>
              <x14:borderColor rgb="FF63C384"/>
              <x14:negativeFillColor rgb="FFFF0000"/>
              <x14:negativeBorderColor rgb="FFFF0000"/>
              <x14:axisColor rgb="FF000000"/>
            </x14:dataBar>
          </x14:cfRule>
          <xm:sqref>V244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AC3CF-FD95-416E-A866-058338541A20}">
  <dimension ref="A1"/>
  <sheetViews>
    <sheetView workbookViewId="0">
      <selection activeCell="D38" sqref="D38"/>
    </sheetView>
  </sheetViews>
  <sheetFormatPr baseColWidth="10" defaultRowHeight="12.75"/>
  <cols>
    <col min="1" max="16384" width="11.42578125" style="399"/>
  </cols>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76897-F49D-453E-B215-DEF75EEF0612}">
  <sheetPr>
    <pageSetUpPr fitToPage="1"/>
  </sheetPr>
  <dimension ref="A1:AF50"/>
  <sheetViews>
    <sheetView showGridLines="0" showRuler="0" topLeftCell="A2" zoomScale="115" zoomScaleNormal="115" zoomScalePageLayoutView="70" workbookViewId="0">
      <selection activeCell="D37" sqref="D37"/>
    </sheetView>
  </sheetViews>
  <sheetFormatPr baseColWidth="10" defaultColWidth="8.85546875" defaultRowHeight="30" customHeight="1"/>
  <cols>
    <col min="1" max="1" width="4.7109375" style="441" customWidth="1"/>
    <col min="2" max="2" width="36.7109375" style="442" customWidth="1"/>
    <col min="3" max="3" width="17.7109375" style="442" customWidth="1"/>
    <col min="4" max="4" width="20.5703125" style="442" customWidth="1"/>
    <col min="5" max="5" width="15.7109375" style="442" customWidth="1"/>
    <col min="6" max="6" width="12.7109375" style="443" customWidth="1"/>
    <col min="7" max="7" width="10.42578125" style="442" customWidth="1"/>
    <col min="8" max="8" width="2.7109375" style="442" customWidth="1"/>
    <col min="9" max="27" width="5.7109375" style="442" customWidth="1"/>
    <col min="28" max="32" width="3.7109375" style="442" customWidth="1"/>
    <col min="33" max="16384" width="8.85546875" style="442"/>
  </cols>
  <sheetData>
    <row r="1" spans="1:32" ht="25.15" customHeight="1"/>
    <row r="2" spans="1:32" ht="49.9" customHeight="1">
      <c r="A2" s="444"/>
      <c r="B2" s="494" t="s">
        <v>988</v>
      </c>
      <c r="C2" s="494"/>
      <c r="D2" s="494"/>
      <c r="E2" s="494"/>
      <c r="F2" s="494"/>
      <c r="G2" s="494"/>
      <c r="H2" s="494"/>
      <c r="I2" s="495"/>
      <c r="J2" s="495"/>
      <c r="K2" s="495"/>
      <c r="L2" s="495"/>
      <c r="M2" s="495"/>
      <c r="N2" s="495"/>
      <c r="O2" s="496"/>
      <c r="P2" s="496"/>
      <c r="Q2" s="496"/>
      <c r="R2" s="496"/>
      <c r="S2" s="496"/>
      <c r="T2" s="496"/>
      <c r="U2" s="445"/>
      <c r="V2" s="445"/>
      <c r="W2" s="445"/>
      <c r="X2" s="445"/>
      <c r="Y2" s="445"/>
      <c r="Z2" s="445"/>
      <c r="AA2" s="445"/>
      <c r="AB2" s="445"/>
      <c r="AC2" s="445"/>
      <c r="AD2" s="445"/>
      <c r="AE2" s="445"/>
      <c r="AF2" s="445"/>
    </row>
    <row r="3" spans="1:32" ht="19.899999999999999" customHeight="1">
      <c r="A3" s="444"/>
      <c r="B3" s="446"/>
      <c r="C3" s="447"/>
      <c r="D3" s="448"/>
      <c r="E3" s="448"/>
      <c r="F3" s="449"/>
      <c r="G3" s="448"/>
      <c r="H3" s="448"/>
      <c r="I3" s="450"/>
      <c r="J3" s="451"/>
      <c r="K3" s="451"/>
      <c r="L3" s="451"/>
    </row>
    <row r="4" spans="1:32" ht="24" customHeight="1">
      <c r="A4" s="444"/>
      <c r="B4" s="452" t="s">
        <v>989</v>
      </c>
      <c r="C4" s="453"/>
      <c r="D4" s="454"/>
      <c r="E4" s="455"/>
      <c r="F4" s="456"/>
      <c r="G4" s="457" t="s">
        <v>990</v>
      </c>
      <c r="H4" s="455"/>
      <c r="I4" s="497" t="s">
        <v>991</v>
      </c>
      <c r="J4" s="497"/>
      <c r="K4" s="497"/>
      <c r="L4" s="497"/>
      <c r="N4" s="498" t="s">
        <v>992</v>
      </c>
      <c r="O4" s="498"/>
      <c r="P4" s="498"/>
      <c r="Q4" s="498"/>
      <c r="S4" s="499" t="s">
        <v>993</v>
      </c>
      <c r="T4" s="499"/>
      <c r="U4" s="499"/>
      <c r="V4" s="499"/>
      <c r="X4" s="489" t="s">
        <v>994</v>
      </c>
      <c r="Y4" s="489"/>
      <c r="Z4" s="489"/>
      <c r="AA4" s="489"/>
      <c r="AC4" s="490" t="s">
        <v>995</v>
      </c>
      <c r="AD4" s="490"/>
      <c r="AE4" s="490"/>
      <c r="AF4" s="490"/>
    </row>
    <row r="5" spans="1:32" ht="19.5" customHeight="1">
      <c r="A5" s="444"/>
      <c r="B5" s="458" t="s">
        <v>996</v>
      </c>
      <c r="C5" s="454"/>
      <c r="D5" s="454"/>
      <c r="E5" s="455"/>
      <c r="F5" s="456"/>
      <c r="G5" s="455"/>
      <c r="H5" s="455"/>
    </row>
    <row r="6" spans="1:32" ht="20.25" customHeight="1">
      <c r="A6" s="444"/>
      <c r="B6" s="459" t="s">
        <v>997</v>
      </c>
      <c r="C6" s="460">
        <f>F12</f>
        <v>46174</v>
      </c>
      <c r="D6" s="460"/>
      <c r="E6" s="455"/>
      <c r="F6" s="456"/>
      <c r="G6" s="455"/>
      <c r="H6" s="455"/>
      <c r="AB6" s="461"/>
      <c r="AC6" s="461"/>
      <c r="AD6" s="461"/>
      <c r="AE6" s="461"/>
      <c r="AF6" s="461"/>
    </row>
    <row r="7" spans="1:32" ht="16.5" customHeight="1">
      <c r="A7" s="444"/>
      <c r="B7" s="459" t="s">
        <v>998</v>
      </c>
      <c r="C7" s="462">
        <v>0</v>
      </c>
      <c r="D7" s="454"/>
      <c r="E7" s="455"/>
      <c r="F7" s="455"/>
      <c r="G7" s="455"/>
      <c r="H7" s="455"/>
      <c r="I7" s="491">
        <v>2026</v>
      </c>
      <c r="J7" s="492"/>
      <c r="K7" s="492"/>
      <c r="L7" s="492"/>
      <c r="M7" s="492"/>
      <c r="N7" s="492"/>
      <c r="O7" s="493"/>
      <c r="P7" s="491">
        <v>2027</v>
      </c>
      <c r="Q7" s="492"/>
      <c r="R7" s="492"/>
      <c r="S7" s="492"/>
      <c r="T7" s="492"/>
      <c r="U7" s="492"/>
      <c r="V7" s="492"/>
      <c r="W7" s="492"/>
      <c r="X7" s="492"/>
      <c r="Y7" s="492"/>
      <c r="Z7" s="492"/>
      <c r="AA7" s="493"/>
      <c r="AF7" s="463"/>
    </row>
    <row r="8" spans="1:32" ht="19.899999999999999" customHeight="1">
      <c r="A8" s="444"/>
      <c r="B8" s="454"/>
      <c r="C8" s="454"/>
      <c r="D8" s="454"/>
      <c r="E8" s="455"/>
      <c r="F8" s="455"/>
      <c r="G8" s="455"/>
      <c r="H8" s="455"/>
      <c r="I8" s="464"/>
      <c r="J8" s="464"/>
      <c r="K8" s="464"/>
      <c r="L8" s="464"/>
      <c r="M8" s="464"/>
      <c r="N8" s="464"/>
      <c r="O8" s="464"/>
      <c r="P8" s="464"/>
      <c r="Q8" s="464"/>
      <c r="R8" s="464"/>
      <c r="S8" s="464"/>
      <c r="T8" s="464"/>
      <c r="U8" s="464"/>
      <c r="V8" s="464"/>
      <c r="W8" s="464"/>
      <c r="X8" s="464"/>
      <c r="Y8" s="464"/>
      <c r="Z8" s="464"/>
      <c r="AA8" s="464"/>
      <c r="AB8" s="463"/>
      <c r="AC8" s="463"/>
      <c r="AD8" s="463"/>
      <c r="AE8" s="463"/>
      <c r="AF8" s="463"/>
    </row>
    <row r="9" spans="1:32" ht="27.75" customHeight="1">
      <c r="A9" s="444"/>
      <c r="B9" s="465" t="s">
        <v>999</v>
      </c>
      <c r="C9" s="466" t="s">
        <v>1000</v>
      </c>
      <c r="D9" s="466" t="s">
        <v>1001</v>
      </c>
      <c r="E9" s="466" t="s">
        <v>1002</v>
      </c>
      <c r="F9" s="466" t="s">
        <v>1003</v>
      </c>
      <c r="G9" s="466" t="s">
        <v>1004</v>
      </c>
      <c r="H9" s="467"/>
      <c r="I9" s="468" t="s">
        <v>1005</v>
      </c>
      <c r="J9" s="468" t="s">
        <v>1006</v>
      </c>
      <c r="K9" s="468" t="s">
        <v>1007</v>
      </c>
      <c r="L9" s="468" t="s">
        <v>1008</v>
      </c>
      <c r="M9" s="468" t="s">
        <v>1009</v>
      </c>
      <c r="N9" s="468" t="s">
        <v>1010</v>
      </c>
      <c r="O9" s="468" t="s">
        <v>1011</v>
      </c>
      <c r="P9" s="468" t="s">
        <v>1012</v>
      </c>
      <c r="Q9" s="468" t="s">
        <v>1013</v>
      </c>
      <c r="R9" s="468" t="s">
        <v>1014</v>
      </c>
      <c r="S9" s="468" t="s">
        <v>1015</v>
      </c>
      <c r="T9" s="468" t="s">
        <v>1016</v>
      </c>
      <c r="U9" s="468" t="s">
        <v>1005</v>
      </c>
      <c r="V9" s="468" t="s">
        <v>1006</v>
      </c>
      <c r="W9" s="468" t="s">
        <v>1007</v>
      </c>
      <c r="X9" s="468" t="s">
        <v>1008</v>
      </c>
      <c r="Y9" s="468" t="s">
        <v>1009</v>
      </c>
      <c r="Z9" s="468" t="s">
        <v>1010</v>
      </c>
      <c r="AA9" s="469" t="s">
        <v>1011</v>
      </c>
      <c r="AB9" s="464"/>
      <c r="AC9" s="464"/>
      <c r="AD9" s="464"/>
      <c r="AE9" s="464"/>
      <c r="AF9" s="464"/>
    </row>
    <row r="10" spans="1:32" ht="30" hidden="1" customHeight="1">
      <c r="B10" s="470"/>
      <c r="C10" s="471"/>
      <c r="D10" s="472"/>
      <c r="E10" s="471"/>
      <c r="F10" s="473"/>
      <c r="G10" s="474"/>
      <c r="I10" s="475"/>
      <c r="J10" s="475"/>
      <c r="K10" s="475"/>
      <c r="L10" s="475"/>
      <c r="M10" s="475"/>
      <c r="N10" s="475"/>
      <c r="O10" s="475"/>
      <c r="P10" s="475"/>
      <c r="Q10" s="475"/>
      <c r="R10" s="475"/>
      <c r="S10" s="475"/>
      <c r="T10" s="475"/>
      <c r="U10" s="475"/>
      <c r="V10" s="475"/>
      <c r="W10" s="475"/>
      <c r="X10" s="475"/>
      <c r="Y10" s="475"/>
      <c r="Z10" s="475"/>
      <c r="AA10" s="476"/>
      <c r="AB10" s="451"/>
      <c r="AC10" s="451"/>
      <c r="AD10" s="451"/>
      <c r="AE10" s="451"/>
      <c r="AF10" s="451"/>
    </row>
    <row r="11" spans="1:32" s="451" customFormat="1" ht="11.1" customHeight="1">
      <c r="A11" s="444"/>
      <c r="B11" s="477" t="s">
        <v>126</v>
      </c>
      <c r="C11" s="478" t="s">
        <v>1017</v>
      </c>
      <c r="D11" s="478"/>
      <c r="E11" s="479"/>
      <c r="F11" s="480"/>
      <c r="G11" s="481"/>
      <c r="H11" s="482"/>
      <c r="I11" s="483" t="str">
        <f t="shared" ref="I11:X26" si="0">IF(AND($C11="Objetivo",I$8&gt;=$F11,I$8&lt;=$F11+$G11-1),2,IF(AND($C11="Hito",I$8&gt;=$F11,I$8&lt;=$F11+$G11-1),1,""))</f>
        <v/>
      </c>
      <c r="J11" s="483" t="str">
        <f t="shared" si="0"/>
        <v/>
      </c>
      <c r="K11" s="483" t="str">
        <f t="shared" si="0"/>
        <v/>
      </c>
      <c r="L11" s="483" t="str">
        <f t="shared" si="0"/>
        <v/>
      </c>
      <c r="M11" s="483" t="str">
        <f t="shared" si="0"/>
        <v/>
      </c>
      <c r="N11" s="483" t="str">
        <f t="shared" si="0"/>
        <v/>
      </c>
      <c r="O11" s="483" t="str">
        <f t="shared" si="0"/>
        <v/>
      </c>
      <c r="P11" s="483" t="str">
        <f t="shared" si="0"/>
        <v/>
      </c>
      <c r="Q11" s="483" t="str">
        <f t="shared" si="0"/>
        <v/>
      </c>
      <c r="R11" s="483" t="str">
        <f t="shared" si="0"/>
        <v/>
      </c>
      <c r="S11" s="483" t="str">
        <f t="shared" si="0"/>
        <v/>
      </c>
      <c r="T11" s="483" t="str">
        <f t="shared" si="0"/>
        <v/>
      </c>
      <c r="U11" s="483" t="str">
        <f t="shared" si="0"/>
        <v/>
      </c>
      <c r="V11" s="483" t="str">
        <f t="shared" si="0"/>
        <v/>
      </c>
      <c r="W11" s="483" t="str">
        <f t="shared" si="0"/>
        <v/>
      </c>
      <c r="X11" s="483" t="str">
        <f t="shared" si="0"/>
        <v/>
      </c>
      <c r="Y11" s="483" t="str">
        <f t="shared" ref="Y11:AE25" si="1">IF(AND($C11="Objetivo",Y$8&gt;=$F11,Y$8&lt;=$F11+$G11-1),2,IF(AND($C11="Hito",Y$8&gt;=$F11,Y$8&lt;=$F11+$G11-1),1,""))</f>
        <v/>
      </c>
      <c r="Z11" s="483" t="str">
        <f t="shared" si="1"/>
        <v/>
      </c>
      <c r="AA11" s="483" t="str">
        <f t="shared" si="1"/>
        <v/>
      </c>
      <c r="AB11" s="484" t="str">
        <f t="shared" si="1"/>
        <v/>
      </c>
      <c r="AC11" s="484" t="str">
        <f t="shared" si="1"/>
        <v/>
      </c>
      <c r="AD11" s="484" t="str">
        <f t="shared" si="1"/>
        <v/>
      </c>
      <c r="AE11" s="484" t="str">
        <f t="shared" si="1"/>
        <v/>
      </c>
      <c r="AF11" s="484" t="str">
        <f t="shared" ref="AF11:AF50" si="2">IF(AND($C11="Objetivo",AF$7&gt;=$F11,AF$7&lt;=$F11+$G11-1),2,IF(AND($C11="Hito",AF$7&gt;=$F11,AF$7&lt;=$F11+$G11-1),1,""))</f>
        <v/>
      </c>
    </row>
    <row r="12" spans="1:32" s="451" customFormat="1" ht="11.1" customHeight="1">
      <c r="A12" s="444"/>
      <c r="B12" s="485" t="s">
        <v>1018</v>
      </c>
      <c r="C12" s="478" t="s">
        <v>991</v>
      </c>
      <c r="D12" s="478"/>
      <c r="E12" s="479">
        <f>+'FASE 1   '!W423</f>
        <v>0.41520833333333335</v>
      </c>
      <c r="F12" s="480">
        <v>46174</v>
      </c>
      <c r="G12" s="481">
        <v>30</v>
      </c>
      <c r="H12" s="482"/>
      <c r="I12" s="488" t="str">
        <f t="shared" si="0"/>
        <v/>
      </c>
      <c r="J12" s="483" t="str">
        <f t="shared" si="0"/>
        <v/>
      </c>
      <c r="K12" s="483" t="str">
        <f t="shared" si="0"/>
        <v/>
      </c>
      <c r="L12" s="483" t="str">
        <f t="shared" si="0"/>
        <v/>
      </c>
      <c r="M12" s="483" t="str">
        <f t="shared" si="0"/>
        <v/>
      </c>
      <c r="N12" s="483" t="str">
        <f t="shared" si="0"/>
        <v/>
      </c>
      <c r="O12" s="483" t="str">
        <f t="shared" si="0"/>
        <v/>
      </c>
      <c r="P12" s="483" t="str">
        <f t="shared" si="0"/>
        <v/>
      </c>
      <c r="Q12" s="483" t="str">
        <f t="shared" si="0"/>
        <v/>
      </c>
      <c r="R12" s="483" t="str">
        <f t="shared" si="0"/>
        <v/>
      </c>
      <c r="S12" s="483" t="str">
        <f t="shared" si="0"/>
        <v/>
      </c>
      <c r="T12" s="483" t="str">
        <f t="shared" si="0"/>
        <v/>
      </c>
      <c r="U12" s="483" t="str">
        <f t="shared" si="0"/>
        <v/>
      </c>
      <c r="V12" s="483" t="str">
        <f t="shared" si="0"/>
        <v/>
      </c>
      <c r="W12" s="483" t="str">
        <f t="shared" si="0"/>
        <v/>
      </c>
      <c r="X12" s="483" t="str">
        <f t="shared" si="0"/>
        <v/>
      </c>
      <c r="Y12" s="483" t="str">
        <f t="shared" si="1"/>
        <v/>
      </c>
      <c r="Z12" s="483" t="str">
        <f t="shared" si="1"/>
        <v/>
      </c>
      <c r="AA12" s="483" t="str">
        <f t="shared" si="1"/>
        <v/>
      </c>
      <c r="AB12" s="484" t="str">
        <f t="shared" si="1"/>
        <v/>
      </c>
      <c r="AC12" s="484" t="str">
        <f t="shared" si="1"/>
        <v/>
      </c>
      <c r="AD12" s="484" t="str">
        <f t="shared" si="1"/>
        <v/>
      </c>
      <c r="AE12" s="484" t="str">
        <f t="shared" si="1"/>
        <v/>
      </c>
      <c r="AF12" s="484" t="str">
        <f t="shared" si="2"/>
        <v/>
      </c>
    </row>
    <row r="13" spans="1:32" s="451" customFormat="1" ht="11.1" customHeight="1">
      <c r="A13" s="444"/>
      <c r="B13" s="485" t="s">
        <v>1019</v>
      </c>
      <c r="C13" s="478" t="s">
        <v>991</v>
      </c>
      <c r="D13" s="478"/>
      <c r="E13" s="479">
        <f>+'FASE 1   '!W424</f>
        <v>0.22343023255813951</v>
      </c>
      <c r="F13" s="480">
        <f>F12+30</f>
        <v>46204</v>
      </c>
      <c r="G13" s="481">
        <v>30</v>
      </c>
      <c r="H13" s="482"/>
      <c r="I13" s="483" t="str">
        <f t="shared" si="0"/>
        <v/>
      </c>
      <c r="J13" s="488" t="str">
        <f t="shared" si="0"/>
        <v/>
      </c>
      <c r="K13" s="483" t="str">
        <f t="shared" si="0"/>
        <v/>
      </c>
      <c r="L13" s="483" t="str">
        <f t="shared" si="0"/>
        <v/>
      </c>
      <c r="M13" s="483" t="str">
        <f t="shared" si="0"/>
        <v/>
      </c>
      <c r="N13" s="483" t="str">
        <f t="shared" si="0"/>
        <v/>
      </c>
      <c r="O13" s="483" t="str">
        <f t="shared" si="0"/>
        <v/>
      </c>
      <c r="P13" s="483" t="str">
        <f t="shared" si="0"/>
        <v/>
      </c>
      <c r="Q13" s="483" t="str">
        <f t="shared" si="0"/>
        <v/>
      </c>
      <c r="R13" s="483" t="str">
        <f t="shared" si="0"/>
        <v/>
      </c>
      <c r="S13" s="483" t="str">
        <f t="shared" si="0"/>
        <v/>
      </c>
      <c r="T13" s="483" t="str">
        <f t="shared" si="0"/>
        <v/>
      </c>
      <c r="U13" s="483" t="str">
        <f t="shared" si="0"/>
        <v/>
      </c>
      <c r="V13" s="483" t="str">
        <f t="shared" si="0"/>
        <v/>
      </c>
      <c r="W13" s="483" t="str">
        <f t="shared" si="0"/>
        <v/>
      </c>
      <c r="X13" s="483" t="str">
        <f t="shared" si="0"/>
        <v/>
      </c>
      <c r="Y13" s="483" t="str">
        <f t="shared" si="1"/>
        <v/>
      </c>
      <c r="Z13" s="483" t="str">
        <f t="shared" si="1"/>
        <v/>
      </c>
      <c r="AA13" s="483" t="str">
        <f t="shared" si="1"/>
        <v/>
      </c>
      <c r="AB13" s="484" t="str">
        <f t="shared" si="1"/>
        <v/>
      </c>
      <c r="AC13" s="484" t="str">
        <f t="shared" si="1"/>
        <v/>
      </c>
      <c r="AD13" s="484" t="str">
        <f t="shared" si="1"/>
        <v/>
      </c>
      <c r="AE13" s="484" t="str">
        <f t="shared" si="1"/>
        <v/>
      </c>
      <c r="AF13" s="484" t="str">
        <f t="shared" si="2"/>
        <v/>
      </c>
    </row>
    <row r="14" spans="1:32" s="451" customFormat="1" ht="11.1" customHeight="1">
      <c r="A14" s="441"/>
      <c r="B14" s="485" t="s">
        <v>1020</v>
      </c>
      <c r="C14" s="478" t="s">
        <v>991</v>
      </c>
      <c r="D14" s="478"/>
      <c r="E14" s="479">
        <f>+'FASE 1   '!W425</f>
        <v>6.6363636363636375E-2</v>
      </c>
      <c r="F14" s="480">
        <f>F13+31</f>
        <v>46235</v>
      </c>
      <c r="G14" s="481">
        <v>31</v>
      </c>
      <c r="H14" s="482"/>
      <c r="I14" s="483" t="str">
        <f t="shared" si="0"/>
        <v/>
      </c>
      <c r="J14" s="483" t="str">
        <f t="shared" si="0"/>
        <v/>
      </c>
      <c r="K14" s="488" t="str">
        <f t="shared" si="0"/>
        <v/>
      </c>
      <c r="L14" s="483" t="str">
        <f t="shared" si="0"/>
        <v/>
      </c>
      <c r="M14" s="483" t="str">
        <f t="shared" si="0"/>
        <v/>
      </c>
      <c r="N14" s="483" t="str">
        <f t="shared" si="0"/>
        <v/>
      </c>
      <c r="O14" s="483" t="str">
        <f t="shared" si="0"/>
        <v/>
      </c>
      <c r="P14" s="483" t="str">
        <f t="shared" si="0"/>
        <v/>
      </c>
      <c r="Q14" s="483" t="str">
        <f t="shared" si="0"/>
        <v/>
      </c>
      <c r="R14" s="483" t="str">
        <f t="shared" si="0"/>
        <v/>
      </c>
      <c r="S14" s="483" t="str">
        <f t="shared" si="0"/>
        <v/>
      </c>
      <c r="T14" s="483" t="str">
        <f t="shared" si="0"/>
        <v/>
      </c>
      <c r="U14" s="483" t="str">
        <f t="shared" si="0"/>
        <v/>
      </c>
      <c r="V14" s="483" t="str">
        <f t="shared" si="0"/>
        <v/>
      </c>
      <c r="W14" s="483" t="str">
        <f t="shared" si="0"/>
        <v/>
      </c>
      <c r="X14" s="483" t="str">
        <f t="shared" si="0"/>
        <v/>
      </c>
      <c r="Y14" s="483" t="str">
        <f t="shared" si="1"/>
        <v/>
      </c>
      <c r="Z14" s="483" t="str">
        <f t="shared" si="1"/>
        <v/>
      </c>
      <c r="AA14" s="483" t="str">
        <f t="shared" si="1"/>
        <v/>
      </c>
      <c r="AB14" s="484" t="str">
        <f t="shared" si="1"/>
        <v/>
      </c>
      <c r="AC14" s="484" t="str">
        <f t="shared" si="1"/>
        <v/>
      </c>
      <c r="AD14" s="484" t="str">
        <f t="shared" si="1"/>
        <v/>
      </c>
      <c r="AE14" s="484" t="str">
        <f t="shared" si="1"/>
        <v/>
      </c>
      <c r="AF14" s="484" t="str">
        <f t="shared" si="2"/>
        <v/>
      </c>
    </row>
    <row r="15" spans="1:32" s="451" customFormat="1" ht="11.1" customHeight="1">
      <c r="A15" s="441"/>
      <c r="B15" s="485" t="s">
        <v>1021</v>
      </c>
      <c r="C15" s="478" t="s">
        <v>991</v>
      </c>
      <c r="D15" s="478"/>
      <c r="E15" s="479">
        <f>+'FASE 1   '!W426</f>
        <v>0</v>
      </c>
      <c r="F15" s="480">
        <f>F14+31</f>
        <v>46266</v>
      </c>
      <c r="G15" s="481">
        <v>31</v>
      </c>
      <c r="H15" s="482"/>
      <c r="I15" s="483" t="str">
        <f t="shared" si="0"/>
        <v/>
      </c>
      <c r="J15" s="483" t="str">
        <f t="shared" si="0"/>
        <v/>
      </c>
      <c r="K15" s="483" t="str">
        <f t="shared" si="0"/>
        <v/>
      </c>
      <c r="L15" s="488" t="str">
        <f t="shared" si="0"/>
        <v/>
      </c>
      <c r="M15" s="483" t="str">
        <f t="shared" si="0"/>
        <v/>
      </c>
      <c r="N15" s="483" t="str">
        <f t="shared" si="0"/>
        <v/>
      </c>
      <c r="O15" s="483" t="str">
        <f t="shared" si="0"/>
        <v/>
      </c>
      <c r="P15" s="483" t="str">
        <f t="shared" si="0"/>
        <v/>
      </c>
      <c r="Q15" s="483" t="str">
        <f t="shared" si="0"/>
        <v/>
      </c>
      <c r="R15" s="483" t="str">
        <f t="shared" si="0"/>
        <v/>
      </c>
      <c r="S15" s="483" t="str">
        <f t="shared" si="0"/>
        <v/>
      </c>
      <c r="T15" s="483" t="str">
        <f t="shared" si="0"/>
        <v/>
      </c>
      <c r="U15" s="483" t="str">
        <f t="shared" si="0"/>
        <v/>
      </c>
      <c r="V15" s="483" t="str">
        <f t="shared" si="0"/>
        <v/>
      </c>
      <c r="W15" s="483" t="str">
        <f t="shared" si="0"/>
        <v/>
      </c>
      <c r="X15" s="483" t="str">
        <f t="shared" si="0"/>
        <v/>
      </c>
      <c r="Y15" s="483" t="str">
        <f t="shared" si="1"/>
        <v/>
      </c>
      <c r="Z15" s="483" t="str">
        <f t="shared" si="1"/>
        <v/>
      </c>
      <c r="AA15" s="483" t="str">
        <f t="shared" si="1"/>
        <v/>
      </c>
      <c r="AB15" s="484" t="str">
        <f t="shared" si="1"/>
        <v/>
      </c>
      <c r="AC15" s="484" t="str">
        <f t="shared" si="1"/>
        <v/>
      </c>
      <c r="AD15" s="484" t="str">
        <f t="shared" si="1"/>
        <v/>
      </c>
      <c r="AE15" s="484" t="str">
        <f t="shared" si="1"/>
        <v/>
      </c>
      <c r="AF15" s="484" t="str">
        <f t="shared" si="2"/>
        <v/>
      </c>
    </row>
    <row r="16" spans="1:32" s="451" customFormat="1" ht="11.1" customHeight="1">
      <c r="A16" s="441"/>
      <c r="B16" s="485" t="s">
        <v>1022</v>
      </c>
      <c r="C16" s="478" t="s">
        <v>991</v>
      </c>
      <c r="D16" s="478"/>
      <c r="E16" s="479">
        <f>+'FASE 1   '!W427</f>
        <v>0</v>
      </c>
      <c r="F16" s="480">
        <f t="shared" ref="F16:F18" si="3">F15+30</f>
        <v>46296</v>
      </c>
      <c r="G16" s="481">
        <v>30</v>
      </c>
      <c r="H16" s="482"/>
      <c r="I16" s="483" t="str">
        <f t="shared" si="0"/>
        <v/>
      </c>
      <c r="J16" s="483" t="str">
        <f t="shared" si="0"/>
        <v/>
      </c>
      <c r="K16" s="483" t="str">
        <f t="shared" si="0"/>
        <v/>
      </c>
      <c r="L16" s="483" t="str">
        <f t="shared" si="0"/>
        <v/>
      </c>
      <c r="M16" s="488" t="str">
        <f t="shared" si="0"/>
        <v/>
      </c>
      <c r="N16" s="483" t="str">
        <f t="shared" si="0"/>
        <v/>
      </c>
      <c r="O16" s="483" t="str">
        <f t="shared" si="0"/>
        <v/>
      </c>
      <c r="P16" s="483" t="str">
        <f t="shared" si="0"/>
        <v/>
      </c>
      <c r="Q16" s="483" t="str">
        <f t="shared" si="0"/>
        <v/>
      </c>
      <c r="R16" s="483" t="str">
        <f t="shared" si="0"/>
        <v/>
      </c>
      <c r="S16" s="483" t="str">
        <f t="shared" si="0"/>
        <v/>
      </c>
      <c r="T16" s="483" t="str">
        <f t="shared" si="0"/>
        <v/>
      </c>
      <c r="U16" s="483" t="str">
        <f t="shared" si="0"/>
        <v/>
      </c>
      <c r="V16" s="483" t="str">
        <f t="shared" si="0"/>
        <v/>
      </c>
      <c r="W16" s="483" t="str">
        <f t="shared" si="0"/>
        <v/>
      </c>
      <c r="X16" s="483" t="str">
        <f t="shared" si="0"/>
        <v/>
      </c>
      <c r="Y16" s="483" t="str">
        <f t="shared" si="1"/>
        <v/>
      </c>
      <c r="Z16" s="483" t="str">
        <f t="shared" si="1"/>
        <v/>
      </c>
      <c r="AA16" s="483" t="str">
        <f t="shared" si="1"/>
        <v/>
      </c>
      <c r="AB16" s="484" t="str">
        <f t="shared" si="1"/>
        <v/>
      </c>
      <c r="AC16" s="484" t="str">
        <f t="shared" si="1"/>
        <v/>
      </c>
      <c r="AD16" s="484" t="str">
        <f t="shared" si="1"/>
        <v/>
      </c>
      <c r="AE16" s="484" t="str">
        <f t="shared" si="1"/>
        <v/>
      </c>
      <c r="AF16" s="484" t="str">
        <f t="shared" si="2"/>
        <v/>
      </c>
    </row>
    <row r="17" spans="1:32" s="451" customFormat="1" ht="11.1" customHeight="1">
      <c r="A17" s="441"/>
      <c r="B17" s="485" t="s">
        <v>1023</v>
      </c>
      <c r="C17" s="478" t="s">
        <v>991</v>
      </c>
      <c r="D17" s="478"/>
      <c r="E17" s="479">
        <f>+'FASE 1   '!W428</f>
        <v>0</v>
      </c>
      <c r="F17" s="480">
        <f>F16+31</f>
        <v>46327</v>
      </c>
      <c r="G17" s="481">
        <v>31</v>
      </c>
      <c r="H17" s="482"/>
      <c r="I17" s="483" t="str">
        <f t="shared" si="0"/>
        <v/>
      </c>
      <c r="J17" s="483" t="str">
        <f t="shared" si="0"/>
        <v/>
      </c>
      <c r="K17" s="483" t="str">
        <f t="shared" si="0"/>
        <v/>
      </c>
      <c r="L17" s="483" t="str">
        <f t="shared" si="0"/>
        <v/>
      </c>
      <c r="M17" s="483" t="str">
        <f t="shared" si="0"/>
        <v/>
      </c>
      <c r="N17" s="488" t="str">
        <f t="shared" si="0"/>
        <v/>
      </c>
      <c r="O17" s="483" t="str">
        <f t="shared" si="0"/>
        <v/>
      </c>
      <c r="P17" s="483" t="str">
        <f t="shared" si="0"/>
        <v/>
      </c>
      <c r="Q17" s="483" t="str">
        <f t="shared" si="0"/>
        <v/>
      </c>
      <c r="R17" s="483" t="str">
        <f t="shared" si="0"/>
        <v/>
      </c>
      <c r="S17" s="483" t="str">
        <f t="shared" si="0"/>
        <v/>
      </c>
      <c r="T17" s="483" t="str">
        <f t="shared" si="0"/>
        <v/>
      </c>
      <c r="U17" s="483" t="str">
        <f t="shared" si="0"/>
        <v/>
      </c>
      <c r="V17" s="483" t="str">
        <f t="shared" si="0"/>
        <v/>
      </c>
      <c r="W17" s="483" t="str">
        <f t="shared" si="0"/>
        <v/>
      </c>
      <c r="X17" s="483" t="str">
        <f t="shared" si="0"/>
        <v/>
      </c>
      <c r="Y17" s="483" t="str">
        <f t="shared" si="1"/>
        <v/>
      </c>
      <c r="Z17" s="483" t="str">
        <f t="shared" si="1"/>
        <v/>
      </c>
      <c r="AA17" s="483" t="str">
        <f t="shared" si="1"/>
        <v/>
      </c>
      <c r="AB17" s="484" t="str">
        <f t="shared" si="1"/>
        <v/>
      </c>
      <c r="AC17" s="484" t="str">
        <f t="shared" si="1"/>
        <v/>
      </c>
      <c r="AD17" s="484" t="str">
        <f t="shared" si="1"/>
        <v/>
      </c>
      <c r="AE17" s="484" t="str">
        <f t="shared" si="1"/>
        <v/>
      </c>
      <c r="AF17" s="484" t="str">
        <f t="shared" si="2"/>
        <v/>
      </c>
    </row>
    <row r="18" spans="1:32" s="451" customFormat="1" ht="11.1" customHeight="1">
      <c r="A18" s="441"/>
      <c r="B18" s="485" t="s">
        <v>1024</v>
      </c>
      <c r="C18" s="478" t="s">
        <v>991</v>
      </c>
      <c r="D18" s="478"/>
      <c r="E18" s="479">
        <f>+'FASE 1   '!W429</f>
        <v>0</v>
      </c>
      <c r="F18" s="480">
        <f t="shared" si="3"/>
        <v>46357</v>
      </c>
      <c r="G18" s="481">
        <v>30</v>
      </c>
      <c r="H18" s="482"/>
      <c r="I18" s="483" t="str">
        <f t="shared" si="0"/>
        <v/>
      </c>
      <c r="J18" s="483" t="str">
        <f t="shared" si="0"/>
        <v/>
      </c>
      <c r="K18" s="483" t="str">
        <f t="shared" si="0"/>
        <v/>
      </c>
      <c r="L18" s="483" t="str">
        <f t="shared" si="0"/>
        <v/>
      </c>
      <c r="M18" s="483" t="str">
        <f t="shared" si="0"/>
        <v/>
      </c>
      <c r="N18" s="483" t="str">
        <f t="shared" si="0"/>
        <v/>
      </c>
      <c r="O18" s="488" t="str">
        <f t="shared" si="0"/>
        <v/>
      </c>
      <c r="P18" s="483" t="str">
        <f t="shared" si="0"/>
        <v/>
      </c>
      <c r="Q18" s="483" t="str">
        <f t="shared" si="0"/>
        <v/>
      </c>
      <c r="R18" s="483" t="str">
        <f t="shared" si="0"/>
        <v/>
      </c>
      <c r="S18" s="483" t="str">
        <f t="shared" si="0"/>
        <v/>
      </c>
      <c r="T18" s="483" t="str">
        <f t="shared" si="0"/>
        <v/>
      </c>
      <c r="U18" s="483" t="str">
        <f t="shared" si="0"/>
        <v/>
      </c>
      <c r="V18" s="483" t="str">
        <f t="shared" si="0"/>
        <v/>
      </c>
      <c r="W18" s="483" t="str">
        <f t="shared" si="0"/>
        <v/>
      </c>
      <c r="X18" s="483" t="str">
        <f t="shared" si="0"/>
        <v/>
      </c>
      <c r="Y18" s="483" t="str">
        <f t="shared" si="1"/>
        <v/>
      </c>
      <c r="Z18" s="483" t="str">
        <f t="shared" si="1"/>
        <v/>
      </c>
      <c r="AA18" s="483" t="str">
        <f t="shared" si="1"/>
        <v/>
      </c>
      <c r="AB18" s="484" t="str">
        <f t="shared" si="1"/>
        <v/>
      </c>
      <c r="AC18" s="484" t="str">
        <f t="shared" si="1"/>
        <v/>
      </c>
      <c r="AD18" s="484" t="str">
        <f t="shared" si="1"/>
        <v/>
      </c>
      <c r="AE18" s="484" t="str">
        <f t="shared" si="1"/>
        <v/>
      </c>
      <c r="AF18" s="484" t="str">
        <f t="shared" si="2"/>
        <v/>
      </c>
    </row>
    <row r="19" spans="1:32" s="451" customFormat="1" ht="11.1" customHeight="1">
      <c r="A19" s="441"/>
      <c r="B19" s="485" t="s">
        <v>1025</v>
      </c>
      <c r="C19" s="478" t="s">
        <v>991</v>
      </c>
      <c r="D19" s="478"/>
      <c r="E19" s="479">
        <f>+'FASE 1   '!W430</f>
        <v>0</v>
      </c>
      <c r="F19" s="480">
        <f>F18+31</f>
        <v>46388</v>
      </c>
      <c r="G19" s="481">
        <v>31</v>
      </c>
      <c r="H19" s="482"/>
      <c r="I19" s="483" t="str">
        <f t="shared" si="0"/>
        <v/>
      </c>
      <c r="J19" s="483" t="str">
        <f t="shared" si="0"/>
        <v/>
      </c>
      <c r="K19" s="483" t="str">
        <f t="shared" si="0"/>
        <v/>
      </c>
      <c r="L19" s="483" t="str">
        <f t="shared" si="0"/>
        <v/>
      </c>
      <c r="M19" s="483" t="str">
        <f t="shared" si="0"/>
        <v/>
      </c>
      <c r="N19" s="483" t="str">
        <f t="shared" si="0"/>
        <v/>
      </c>
      <c r="O19" s="483" t="str">
        <f t="shared" si="0"/>
        <v/>
      </c>
      <c r="P19" s="488" t="str">
        <f t="shared" si="0"/>
        <v/>
      </c>
      <c r="Q19" s="483" t="str">
        <f t="shared" si="0"/>
        <v/>
      </c>
      <c r="R19" s="483" t="str">
        <f t="shared" si="0"/>
        <v/>
      </c>
      <c r="S19" s="483" t="str">
        <f t="shared" si="0"/>
        <v/>
      </c>
      <c r="T19" s="483" t="str">
        <f t="shared" si="0"/>
        <v/>
      </c>
      <c r="U19" s="483" t="str">
        <f t="shared" si="0"/>
        <v/>
      </c>
      <c r="V19" s="483" t="str">
        <f t="shared" si="0"/>
        <v/>
      </c>
      <c r="W19" s="483" t="str">
        <f t="shared" si="0"/>
        <v/>
      </c>
      <c r="X19" s="483" t="str">
        <f t="shared" si="0"/>
        <v/>
      </c>
      <c r="Y19" s="483" t="str">
        <f t="shared" si="1"/>
        <v/>
      </c>
      <c r="Z19" s="483" t="str">
        <f t="shared" si="1"/>
        <v/>
      </c>
      <c r="AA19" s="483" t="str">
        <f t="shared" si="1"/>
        <v/>
      </c>
      <c r="AB19" s="484" t="str">
        <f t="shared" si="1"/>
        <v/>
      </c>
      <c r="AC19" s="484" t="str">
        <f t="shared" si="1"/>
        <v/>
      </c>
      <c r="AD19" s="484" t="str">
        <f t="shared" si="1"/>
        <v/>
      </c>
      <c r="AE19" s="484" t="str">
        <f t="shared" si="1"/>
        <v/>
      </c>
      <c r="AF19" s="484" t="str">
        <f t="shared" si="2"/>
        <v/>
      </c>
    </row>
    <row r="20" spans="1:32" s="451" customFormat="1" ht="11.1" customHeight="1">
      <c r="A20" s="441"/>
      <c r="B20" s="485" t="s">
        <v>1026</v>
      </c>
      <c r="C20" s="478" t="s">
        <v>991</v>
      </c>
      <c r="D20" s="478"/>
      <c r="E20" s="479">
        <f>+'FASE 1   '!W431</f>
        <v>0</v>
      </c>
      <c r="F20" s="480">
        <f>F19+31</f>
        <v>46419</v>
      </c>
      <c r="G20" s="481">
        <v>31</v>
      </c>
      <c r="H20" s="482"/>
      <c r="I20" s="483" t="str">
        <f t="shared" si="0"/>
        <v/>
      </c>
      <c r="J20" s="483" t="str">
        <f t="shared" si="0"/>
        <v/>
      </c>
      <c r="K20" s="483" t="str">
        <f t="shared" si="0"/>
        <v/>
      </c>
      <c r="L20" s="483" t="str">
        <f t="shared" si="0"/>
        <v/>
      </c>
      <c r="M20" s="483" t="str">
        <f t="shared" si="0"/>
        <v/>
      </c>
      <c r="N20" s="483" t="str">
        <f t="shared" si="0"/>
        <v/>
      </c>
      <c r="O20" s="483" t="str">
        <f t="shared" si="0"/>
        <v/>
      </c>
      <c r="P20" s="483" t="str">
        <f t="shared" si="0"/>
        <v/>
      </c>
      <c r="Q20" s="488" t="str">
        <f t="shared" si="0"/>
        <v/>
      </c>
      <c r="R20" s="483" t="str">
        <f t="shared" si="0"/>
        <v/>
      </c>
      <c r="S20" s="483" t="str">
        <f t="shared" si="0"/>
        <v/>
      </c>
      <c r="T20" s="483" t="str">
        <f t="shared" si="0"/>
        <v/>
      </c>
      <c r="U20" s="483" t="str">
        <f t="shared" si="0"/>
        <v/>
      </c>
      <c r="V20" s="483" t="str">
        <f t="shared" si="0"/>
        <v/>
      </c>
      <c r="W20" s="483" t="str">
        <f t="shared" si="0"/>
        <v/>
      </c>
      <c r="X20" s="483" t="str">
        <f t="shared" si="0"/>
        <v/>
      </c>
      <c r="Y20" s="483" t="str">
        <f t="shared" si="1"/>
        <v/>
      </c>
      <c r="Z20" s="483" t="str">
        <f t="shared" si="1"/>
        <v/>
      </c>
      <c r="AA20" s="483" t="str">
        <f t="shared" si="1"/>
        <v/>
      </c>
      <c r="AB20" s="484" t="str">
        <f t="shared" si="1"/>
        <v/>
      </c>
      <c r="AC20" s="484" t="str">
        <f t="shared" si="1"/>
        <v/>
      </c>
      <c r="AD20" s="484" t="str">
        <f t="shared" si="1"/>
        <v/>
      </c>
      <c r="AE20" s="484" t="str">
        <f t="shared" si="1"/>
        <v/>
      </c>
      <c r="AF20" s="484" t="str">
        <f t="shared" si="2"/>
        <v/>
      </c>
    </row>
    <row r="21" spans="1:32" s="451" customFormat="1" ht="11.1" customHeight="1">
      <c r="A21" s="444"/>
      <c r="B21" s="477" t="s">
        <v>45</v>
      </c>
      <c r="C21" s="478"/>
      <c r="D21" s="478"/>
      <c r="E21" s="479"/>
      <c r="F21" s="480"/>
      <c r="G21" s="481"/>
      <c r="H21" s="482"/>
      <c r="I21" s="483" t="str">
        <f t="shared" si="0"/>
        <v/>
      </c>
      <c r="J21" s="483" t="str">
        <f t="shared" si="0"/>
        <v/>
      </c>
      <c r="K21" s="483" t="str">
        <f t="shared" si="0"/>
        <v/>
      </c>
      <c r="L21" s="483" t="str">
        <f t="shared" si="0"/>
        <v/>
      </c>
      <c r="M21" s="483" t="str">
        <f t="shared" si="0"/>
        <v/>
      </c>
      <c r="N21" s="483" t="str">
        <f t="shared" si="0"/>
        <v/>
      </c>
      <c r="O21" s="483" t="str">
        <f t="shared" si="0"/>
        <v/>
      </c>
      <c r="P21" s="483" t="str">
        <f t="shared" si="0"/>
        <v/>
      </c>
      <c r="Q21" s="483" t="str">
        <f t="shared" si="0"/>
        <v/>
      </c>
      <c r="R21" s="483" t="str">
        <f t="shared" si="0"/>
        <v/>
      </c>
      <c r="S21" s="483" t="str">
        <f t="shared" si="0"/>
        <v/>
      </c>
      <c r="T21" s="483" t="str">
        <f t="shared" si="0"/>
        <v/>
      </c>
      <c r="U21" s="483" t="str">
        <f t="shared" si="0"/>
        <v/>
      </c>
      <c r="V21" s="483" t="str">
        <f t="shared" si="0"/>
        <v/>
      </c>
      <c r="W21" s="483" t="str">
        <f t="shared" si="0"/>
        <v/>
      </c>
      <c r="X21" s="483" t="str">
        <f t="shared" si="0"/>
        <v/>
      </c>
      <c r="Y21" s="483" t="str">
        <f t="shared" si="1"/>
        <v/>
      </c>
      <c r="Z21" s="483" t="str">
        <f t="shared" si="1"/>
        <v/>
      </c>
      <c r="AA21" s="483" t="str">
        <f t="shared" si="1"/>
        <v/>
      </c>
      <c r="AB21" s="484" t="str">
        <f t="shared" si="1"/>
        <v/>
      </c>
      <c r="AC21" s="484" t="str">
        <f t="shared" si="1"/>
        <v/>
      </c>
      <c r="AD21" s="484" t="str">
        <f t="shared" si="1"/>
        <v/>
      </c>
      <c r="AE21" s="484" t="str">
        <f t="shared" si="1"/>
        <v/>
      </c>
      <c r="AF21" s="484" t="str">
        <f t="shared" si="2"/>
        <v/>
      </c>
    </row>
    <row r="22" spans="1:32" s="451" customFormat="1" ht="11.1" customHeight="1">
      <c r="A22" s="444"/>
      <c r="B22" s="485" t="s">
        <v>1018</v>
      </c>
      <c r="C22" s="478" t="s">
        <v>991</v>
      </c>
      <c r="D22" s="478"/>
      <c r="E22" s="479">
        <v>0</v>
      </c>
      <c r="F22" s="480">
        <f ca="1">TODAY()+39</f>
        <v>46269</v>
      </c>
      <c r="G22" s="481">
        <v>39</v>
      </c>
      <c r="H22" s="482"/>
      <c r="I22" s="483" t="str">
        <f t="shared" ca="1" si="0"/>
        <v/>
      </c>
      <c r="J22" s="483" t="str">
        <f t="shared" ca="1" si="0"/>
        <v/>
      </c>
      <c r="K22" s="486" t="str">
        <f t="shared" ca="1" si="0"/>
        <v/>
      </c>
      <c r="L22" s="483" t="str">
        <f t="shared" ca="1" si="0"/>
        <v/>
      </c>
      <c r="M22" s="483" t="str">
        <f t="shared" ca="1" si="0"/>
        <v/>
      </c>
      <c r="N22" s="483" t="str">
        <f t="shared" ca="1" si="0"/>
        <v/>
      </c>
      <c r="O22" s="483" t="str">
        <f t="shared" ca="1" si="0"/>
        <v/>
      </c>
      <c r="P22" s="483" t="str">
        <f t="shared" ca="1" si="0"/>
        <v/>
      </c>
      <c r="Q22" s="483" t="str">
        <f t="shared" ca="1" si="0"/>
        <v/>
      </c>
      <c r="R22" s="483" t="str">
        <f t="shared" ca="1" si="0"/>
        <v/>
      </c>
      <c r="S22" s="483" t="str">
        <f t="shared" ca="1" si="0"/>
        <v/>
      </c>
      <c r="T22" s="483" t="str">
        <f t="shared" ca="1" si="0"/>
        <v/>
      </c>
      <c r="U22" s="483" t="str">
        <f t="shared" ca="1" si="0"/>
        <v/>
      </c>
      <c r="V22" s="483" t="str">
        <f t="shared" ca="1" si="0"/>
        <v/>
      </c>
      <c r="W22" s="483" t="str">
        <f t="shared" ca="1" si="0"/>
        <v/>
      </c>
      <c r="X22" s="483" t="str">
        <f t="shared" ca="1" si="0"/>
        <v/>
      </c>
      <c r="Y22" s="483" t="str">
        <f t="shared" ca="1" si="1"/>
        <v/>
      </c>
      <c r="Z22" s="483" t="str">
        <f t="shared" ca="1" si="1"/>
        <v/>
      </c>
      <c r="AA22" s="483" t="str">
        <f t="shared" ca="1" si="1"/>
        <v/>
      </c>
      <c r="AB22" s="484" t="str">
        <f t="shared" ca="1" si="1"/>
        <v/>
      </c>
      <c r="AC22" s="484" t="str">
        <f t="shared" ca="1" si="1"/>
        <v/>
      </c>
      <c r="AD22" s="484" t="str">
        <f t="shared" ca="1" si="1"/>
        <v/>
      </c>
      <c r="AE22" s="484" t="str">
        <f t="shared" ca="1" si="1"/>
        <v/>
      </c>
      <c r="AF22" s="484" t="str">
        <f t="shared" ca="1" si="2"/>
        <v/>
      </c>
    </row>
    <row r="23" spans="1:32" s="451" customFormat="1" ht="11.1" customHeight="1">
      <c r="A23" s="441"/>
      <c r="B23" s="485" t="s">
        <v>1019</v>
      </c>
      <c r="C23" s="478" t="s">
        <v>991</v>
      </c>
      <c r="D23" s="478"/>
      <c r="E23" s="479">
        <v>0</v>
      </c>
      <c r="F23" s="480">
        <f ca="1">F22+31</f>
        <v>46300</v>
      </c>
      <c r="G23" s="481">
        <v>31</v>
      </c>
      <c r="H23" s="482"/>
      <c r="I23" s="483" t="str">
        <f t="shared" ca="1" si="0"/>
        <v/>
      </c>
      <c r="J23" s="483" t="str">
        <f t="shared" ca="1" si="0"/>
        <v/>
      </c>
      <c r="K23" s="483" t="str">
        <f t="shared" ca="1" si="0"/>
        <v/>
      </c>
      <c r="L23" s="486" t="str">
        <f t="shared" ca="1" si="0"/>
        <v/>
      </c>
      <c r="M23" s="483" t="str">
        <f t="shared" ca="1" si="0"/>
        <v/>
      </c>
      <c r="N23" s="483" t="str">
        <f t="shared" ca="1" si="0"/>
        <v/>
      </c>
      <c r="O23" s="483" t="str">
        <f t="shared" ca="1" si="0"/>
        <v/>
      </c>
      <c r="P23" s="483" t="str">
        <f t="shared" ca="1" si="0"/>
        <v/>
      </c>
      <c r="Q23" s="483" t="str">
        <f t="shared" ca="1" si="0"/>
        <v/>
      </c>
      <c r="R23" s="483" t="str">
        <f t="shared" ca="1" si="0"/>
        <v/>
      </c>
      <c r="S23" s="483" t="str">
        <f t="shared" ca="1" si="0"/>
        <v/>
      </c>
      <c r="T23" s="483" t="str">
        <f t="shared" ca="1" si="0"/>
        <v/>
      </c>
      <c r="U23" s="483" t="str">
        <f t="shared" ca="1" si="0"/>
        <v/>
      </c>
      <c r="V23" s="483" t="str">
        <f t="shared" ca="1" si="0"/>
        <v/>
      </c>
      <c r="W23" s="483" t="str">
        <f t="shared" ca="1" si="0"/>
        <v/>
      </c>
      <c r="X23" s="483" t="str">
        <f t="shared" ca="1" si="0"/>
        <v/>
      </c>
      <c r="Y23" s="483" t="str">
        <f t="shared" ca="1" si="1"/>
        <v/>
      </c>
      <c r="Z23" s="483" t="str">
        <f t="shared" ca="1" si="1"/>
        <v/>
      </c>
      <c r="AA23" s="483" t="str">
        <f t="shared" ca="1" si="1"/>
        <v/>
      </c>
      <c r="AB23" s="484" t="str">
        <f t="shared" ca="1" si="1"/>
        <v/>
      </c>
      <c r="AC23" s="484" t="str">
        <f t="shared" ca="1" si="1"/>
        <v/>
      </c>
      <c r="AD23" s="484" t="str">
        <f t="shared" ca="1" si="1"/>
        <v/>
      </c>
      <c r="AE23" s="484" t="str">
        <f t="shared" ca="1" si="1"/>
        <v/>
      </c>
      <c r="AF23" s="484" t="str">
        <f t="shared" ca="1" si="2"/>
        <v/>
      </c>
    </row>
    <row r="24" spans="1:32" s="451" customFormat="1" ht="11.1" customHeight="1">
      <c r="A24" s="441"/>
      <c r="B24" s="485" t="s">
        <v>1020</v>
      </c>
      <c r="C24" s="478" t="s">
        <v>991</v>
      </c>
      <c r="D24" s="478"/>
      <c r="E24" s="479">
        <v>0</v>
      </c>
      <c r="F24" s="480">
        <f ca="1">F23+30</f>
        <v>46330</v>
      </c>
      <c r="G24" s="481">
        <v>30</v>
      </c>
      <c r="H24" s="482"/>
      <c r="I24" s="483" t="str">
        <f t="shared" ca="1" si="0"/>
        <v/>
      </c>
      <c r="J24" s="483" t="str">
        <f t="shared" ca="1" si="0"/>
        <v/>
      </c>
      <c r="K24" s="483" t="str">
        <f t="shared" ca="1" si="0"/>
        <v/>
      </c>
      <c r="L24" s="483" t="str">
        <f t="shared" ca="1" si="0"/>
        <v/>
      </c>
      <c r="M24" s="486" t="str">
        <f t="shared" ca="1" si="0"/>
        <v/>
      </c>
      <c r="N24" s="483" t="str">
        <f t="shared" ca="1" si="0"/>
        <v/>
      </c>
      <c r="O24" s="483" t="str">
        <f t="shared" ca="1" si="0"/>
        <v/>
      </c>
      <c r="P24" s="483" t="str">
        <f t="shared" ca="1" si="0"/>
        <v/>
      </c>
      <c r="Q24" s="483" t="str">
        <f t="shared" ca="1" si="0"/>
        <v/>
      </c>
      <c r="R24" s="483" t="str">
        <f t="shared" ca="1" si="0"/>
        <v/>
      </c>
      <c r="S24" s="483" t="str">
        <f t="shared" ca="1" si="0"/>
        <v/>
      </c>
      <c r="T24" s="483" t="str">
        <f t="shared" ca="1" si="0"/>
        <v/>
      </c>
      <c r="U24" s="483" t="str">
        <f t="shared" ca="1" si="0"/>
        <v/>
      </c>
      <c r="V24" s="483" t="str">
        <f t="shared" ca="1" si="0"/>
        <v/>
      </c>
      <c r="W24" s="483" t="str">
        <f t="shared" ca="1" si="0"/>
        <v/>
      </c>
      <c r="X24" s="483" t="str">
        <f t="shared" ca="1" si="0"/>
        <v/>
      </c>
      <c r="Y24" s="483" t="str">
        <f t="shared" ca="1" si="1"/>
        <v/>
      </c>
      <c r="Z24" s="483" t="str">
        <f t="shared" ca="1" si="1"/>
        <v/>
      </c>
      <c r="AA24" s="483" t="str">
        <f t="shared" ca="1" si="1"/>
        <v/>
      </c>
      <c r="AB24" s="484" t="str">
        <f t="shared" ca="1" si="1"/>
        <v/>
      </c>
      <c r="AC24" s="484" t="str">
        <f t="shared" ca="1" si="1"/>
        <v/>
      </c>
      <c r="AD24" s="484" t="str">
        <f t="shared" ca="1" si="1"/>
        <v/>
      </c>
      <c r="AE24" s="484" t="str">
        <f t="shared" ca="1" si="1"/>
        <v/>
      </c>
      <c r="AF24" s="484" t="str">
        <f t="shared" ca="1" si="2"/>
        <v/>
      </c>
    </row>
    <row r="25" spans="1:32" s="451" customFormat="1" ht="11.1" customHeight="1">
      <c r="A25" s="441"/>
      <c r="B25" s="485" t="s">
        <v>1021</v>
      </c>
      <c r="C25" s="478" t="s">
        <v>991</v>
      </c>
      <c r="D25" s="478"/>
      <c r="E25" s="479">
        <v>0</v>
      </c>
      <c r="F25" s="480">
        <f t="shared" ref="F25:F30" ca="1" si="4">F24+31</f>
        <v>46361</v>
      </c>
      <c r="G25" s="481">
        <v>31</v>
      </c>
      <c r="H25" s="482"/>
      <c r="I25" s="483" t="str">
        <f t="shared" ca="1" si="0"/>
        <v/>
      </c>
      <c r="J25" s="483" t="str">
        <f t="shared" ca="1" si="0"/>
        <v/>
      </c>
      <c r="K25" s="483" t="str">
        <f t="shared" ca="1" si="0"/>
        <v/>
      </c>
      <c r="L25" s="483" t="str">
        <f t="shared" ca="1" si="0"/>
        <v/>
      </c>
      <c r="M25" s="483" t="str">
        <f t="shared" ca="1" si="0"/>
        <v/>
      </c>
      <c r="N25" s="486" t="str">
        <f t="shared" ca="1" si="0"/>
        <v/>
      </c>
      <c r="O25" s="483" t="str">
        <f t="shared" ca="1" si="0"/>
        <v/>
      </c>
      <c r="P25" s="483" t="str">
        <f t="shared" ca="1" si="0"/>
        <v/>
      </c>
      <c r="Q25" s="483" t="str">
        <f t="shared" ca="1" si="0"/>
        <v/>
      </c>
      <c r="R25" s="483" t="str">
        <f t="shared" ca="1" si="0"/>
        <v/>
      </c>
      <c r="S25" s="483" t="str">
        <f t="shared" ca="1" si="0"/>
        <v/>
      </c>
      <c r="T25" s="483" t="str">
        <f t="shared" ca="1" si="0"/>
        <v/>
      </c>
      <c r="U25" s="483" t="str">
        <f t="shared" ca="1" si="0"/>
        <v/>
      </c>
      <c r="V25" s="483" t="str">
        <f t="shared" ca="1" si="0"/>
        <v/>
      </c>
      <c r="W25" s="483" t="str">
        <f t="shared" ca="1" si="0"/>
        <v/>
      </c>
      <c r="X25" s="483" t="str">
        <f t="shared" ca="1" si="0"/>
        <v/>
      </c>
      <c r="Y25" s="483" t="str">
        <f t="shared" ca="1" si="1"/>
        <v/>
      </c>
      <c r="Z25" s="483" t="str">
        <f t="shared" ca="1" si="1"/>
        <v/>
      </c>
      <c r="AA25" s="483" t="str">
        <f t="shared" ca="1" si="1"/>
        <v/>
      </c>
      <c r="AB25" s="484" t="str">
        <f t="shared" ca="1" si="1"/>
        <v/>
      </c>
      <c r="AC25" s="484" t="str">
        <f t="shared" ca="1" si="1"/>
        <v/>
      </c>
      <c r="AD25" s="484" t="str">
        <f t="shared" ca="1" si="1"/>
        <v/>
      </c>
      <c r="AE25" s="484" t="str">
        <f t="shared" ca="1" si="1"/>
        <v/>
      </c>
      <c r="AF25" s="484" t="str">
        <f t="shared" ca="1" si="2"/>
        <v/>
      </c>
    </row>
    <row r="26" spans="1:32" s="451" customFormat="1" ht="11.1" customHeight="1">
      <c r="A26" s="441"/>
      <c r="B26" s="485" t="s">
        <v>1022</v>
      </c>
      <c r="C26" s="478" t="s">
        <v>991</v>
      </c>
      <c r="D26" s="478"/>
      <c r="E26" s="479">
        <v>0</v>
      </c>
      <c r="F26" s="480">
        <f ca="1">F25+30</f>
        <v>46391</v>
      </c>
      <c r="G26" s="481">
        <v>30</v>
      </c>
      <c r="H26" s="482"/>
      <c r="I26" s="483" t="str">
        <f t="shared" ca="1" si="0"/>
        <v/>
      </c>
      <c r="J26" s="483" t="str">
        <f t="shared" ca="1" si="0"/>
        <v/>
      </c>
      <c r="K26" s="483" t="str">
        <f t="shared" ca="1" si="0"/>
        <v/>
      </c>
      <c r="L26" s="483" t="str">
        <f t="shared" ca="1" si="0"/>
        <v/>
      </c>
      <c r="M26" s="483" t="str">
        <f t="shared" ca="1" si="0"/>
        <v/>
      </c>
      <c r="N26" s="483" t="str">
        <f t="shared" ca="1" si="0"/>
        <v/>
      </c>
      <c r="O26" s="486" t="str">
        <f t="shared" ca="1" si="0"/>
        <v/>
      </c>
      <c r="P26" s="483" t="str">
        <f t="shared" ca="1" si="0"/>
        <v/>
      </c>
      <c r="Q26" s="483" t="str">
        <f t="shared" ca="1" si="0"/>
        <v/>
      </c>
      <c r="R26" s="483" t="str">
        <f t="shared" ca="1" si="0"/>
        <v/>
      </c>
      <c r="S26" s="483" t="str">
        <f t="shared" ca="1" si="0"/>
        <v/>
      </c>
      <c r="T26" s="483" t="str">
        <f t="shared" ca="1" si="0"/>
        <v/>
      </c>
      <c r="U26" s="483" t="str">
        <f t="shared" ca="1" si="0"/>
        <v/>
      </c>
      <c r="V26" s="483" t="str">
        <f t="shared" ca="1" si="0"/>
        <v/>
      </c>
      <c r="W26" s="483" t="str">
        <f t="shared" ca="1" si="0"/>
        <v/>
      </c>
      <c r="X26" s="483" t="str">
        <f t="shared" ref="X26:AE41" ca="1" si="5">IF(AND($C26="Objetivo",X$8&gt;=$F26,X$8&lt;=$F26+$G26-1),2,IF(AND($C26="Hito",X$8&gt;=$F26,X$8&lt;=$F26+$G26-1),1,""))</f>
        <v/>
      </c>
      <c r="Y26" s="483" t="str">
        <f t="shared" ca="1" si="5"/>
        <v/>
      </c>
      <c r="Z26" s="483" t="str">
        <f t="shared" ca="1" si="5"/>
        <v/>
      </c>
      <c r="AA26" s="483" t="str">
        <f t="shared" ca="1" si="5"/>
        <v/>
      </c>
      <c r="AB26" s="484" t="str">
        <f t="shared" ca="1" si="5"/>
        <v/>
      </c>
      <c r="AC26" s="484" t="str">
        <f t="shared" ca="1" si="5"/>
        <v/>
      </c>
      <c r="AD26" s="484" t="str">
        <f t="shared" ca="1" si="5"/>
        <v/>
      </c>
      <c r="AE26" s="484" t="str">
        <f t="shared" ca="1" si="5"/>
        <v/>
      </c>
      <c r="AF26" s="484" t="str">
        <f t="shared" ca="1" si="2"/>
        <v/>
      </c>
    </row>
    <row r="27" spans="1:32" s="451" customFormat="1" ht="11.1" customHeight="1">
      <c r="A27" s="441"/>
      <c r="B27" s="485" t="s">
        <v>1023</v>
      </c>
      <c r="C27" s="478" t="s">
        <v>991</v>
      </c>
      <c r="D27" s="478"/>
      <c r="E27" s="479">
        <v>0</v>
      </c>
      <c r="F27" s="480">
        <f t="shared" ca="1" si="4"/>
        <v>46422</v>
      </c>
      <c r="G27" s="481">
        <v>31</v>
      </c>
      <c r="H27" s="482"/>
      <c r="I27" s="483" t="str">
        <f t="shared" ref="I27:X42" ca="1" si="6">IF(AND($C27="Objetivo",I$8&gt;=$F27,I$8&lt;=$F27+$G27-1),2,IF(AND($C27="Hito",I$8&gt;=$F27,I$8&lt;=$F27+$G27-1),1,""))</f>
        <v/>
      </c>
      <c r="J27" s="483" t="str">
        <f t="shared" ca="1" si="6"/>
        <v/>
      </c>
      <c r="K27" s="483" t="str">
        <f t="shared" ca="1" si="6"/>
        <v/>
      </c>
      <c r="L27" s="483" t="str">
        <f t="shared" ca="1" si="6"/>
        <v/>
      </c>
      <c r="M27" s="483" t="str">
        <f t="shared" ca="1" si="6"/>
        <v/>
      </c>
      <c r="N27" s="483" t="str">
        <f t="shared" ca="1" si="6"/>
        <v/>
      </c>
      <c r="O27" s="483" t="str">
        <f t="shared" ca="1" si="6"/>
        <v/>
      </c>
      <c r="P27" s="486" t="str">
        <f t="shared" ca="1" si="6"/>
        <v/>
      </c>
      <c r="Q27" s="483" t="str">
        <f t="shared" ca="1" si="6"/>
        <v/>
      </c>
      <c r="R27" s="483" t="str">
        <f t="shared" ca="1" si="6"/>
        <v/>
      </c>
      <c r="S27" s="483" t="str">
        <f t="shared" ca="1" si="6"/>
        <v/>
      </c>
      <c r="T27" s="483" t="str">
        <f t="shared" ca="1" si="6"/>
        <v/>
      </c>
      <c r="U27" s="483" t="str">
        <f t="shared" ca="1" si="6"/>
        <v/>
      </c>
      <c r="V27" s="483" t="str">
        <f t="shared" ca="1" si="6"/>
        <v/>
      </c>
      <c r="W27" s="483" t="str">
        <f t="shared" ca="1" si="6"/>
        <v/>
      </c>
      <c r="X27" s="483" t="str">
        <f t="shared" ca="1" si="6"/>
        <v/>
      </c>
      <c r="Y27" s="483" t="str">
        <f t="shared" ca="1" si="5"/>
        <v/>
      </c>
      <c r="Z27" s="483" t="str">
        <f t="shared" ca="1" si="5"/>
        <v/>
      </c>
      <c r="AA27" s="483" t="str">
        <f t="shared" ca="1" si="5"/>
        <v/>
      </c>
      <c r="AB27" s="484" t="str">
        <f t="shared" ca="1" si="5"/>
        <v/>
      </c>
      <c r="AC27" s="484" t="str">
        <f t="shared" ca="1" si="5"/>
        <v/>
      </c>
      <c r="AD27" s="484" t="str">
        <f t="shared" ca="1" si="5"/>
        <v/>
      </c>
      <c r="AE27" s="484" t="str">
        <f t="shared" ca="1" si="5"/>
        <v/>
      </c>
      <c r="AF27" s="484" t="str">
        <f t="shared" ca="1" si="2"/>
        <v/>
      </c>
    </row>
    <row r="28" spans="1:32" s="451" customFormat="1" ht="11.1" customHeight="1">
      <c r="A28" s="441"/>
      <c r="B28" s="485" t="s">
        <v>1024</v>
      </c>
      <c r="C28" s="478" t="s">
        <v>991</v>
      </c>
      <c r="D28" s="478"/>
      <c r="E28" s="479">
        <v>0</v>
      </c>
      <c r="F28" s="480">
        <f t="shared" ca="1" si="4"/>
        <v>46453</v>
      </c>
      <c r="G28" s="481">
        <v>31</v>
      </c>
      <c r="H28" s="482"/>
      <c r="I28" s="483" t="str">
        <f t="shared" ca="1" si="6"/>
        <v/>
      </c>
      <c r="J28" s="483" t="str">
        <f t="shared" ca="1" si="6"/>
        <v/>
      </c>
      <c r="K28" s="483" t="str">
        <f t="shared" ca="1" si="6"/>
        <v/>
      </c>
      <c r="L28" s="483" t="str">
        <f t="shared" ca="1" si="6"/>
        <v/>
      </c>
      <c r="M28" s="483" t="str">
        <f t="shared" ca="1" si="6"/>
        <v/>
      </c>
      <c r="N28" s="483" t="str">
        <f t="shared" ca="1" si="6"/>
        <v/>
      </c>
      <c r="O28" s="483" t="str">
        <f t="shared" ca="1" si="6"/>
        <v/>
      </c>
      <c r="P28" s="483" t="str">
        <f t="shared" ca="1" si="6"/>
        <v/>
      </c>
      <c r="Q28" s="486" t="str">
        <f t="shared" ca="1" si="6"/>
        <v/>
      </c>
      <c r="R28" s="483" t="str">
        <f t="shared" ca="1" si="6"/>
        <v/>
      </c>
      <c r="S28" s="483" t="str">
        <f t="shared" ca="1" si="6"/>
        <v/>
      </c>
      <c r="T28" s="483" t="str">
        <f t="shared" ca="1" si="6"/>
        <v/>
      </c>
      <c r="U28" s="483" t="str">
        <f t="shared" ca="1" si="6"/>
        <v/>
      </c>
      <c r="V28" s="483" t="str">
        <f t="shared" ca="1" si="6"/>
        <v/>
      </c>
      <c r="W28" s="483" t="str">
        <f t="shared" ca="1" si="6"/>
        <v/>
      </c>
      <c r="X28" s="483" t="str">
        <f t="shared" ca="1" si="6"/>
        <v/>
      </c>
      <c r="Y28" s="483" t="str">
        <f t="shared" ca="1" si="5"/>
        <v/>
      </c>
      <c r="Z28" s="483" t="str">
        <f t="shared" ca="1" si="5"/>
        <v/>
      </c>
      <c r="AA28" s="483" t="str">
        <f t="shared" ca="1" si="5"/>
        <v/>
      </c>
      <c r="AB28" s="484" t="str">
        <f t="shared" ca="1" si="5"/>
        <v/>
      </c>
      <c r="AC28" s="484" t="str">
        <f t="shared" ca="1" si="5"/>
        <v/>
      </c>
      <c r="AD28" s="484" t="str">
        <f t="shared" ca="1" si="5"/>
        <v/>
      </c>
      <c r="AE28" s="484" t="str">
        <f t="shared" ca="1" si="5"/>
        <v/>
      </c>
      <c r="AF28" s="484" t="str">
        <f t="shared" ca="1" si="2"/>
        <v/>
      </c>
    </row>
    <row r="29" spans="1:32" s="451" customFormat="1" ht="11.1" customHeight="1">
      <c r="A29" s="441"/>
      <c r="B29" s="485" t="s">
        <v>1025</v>
      </c>
      <c r="C29" s="478" t="s">
        <v>991</v>
      </c>
      <c r="D29" s="478"/>
      <c r="E29" s="479">
        <v>0</v>
      </c>
      <c r="F29" s="480">
        <f ca="1">F28+28</f>
        <v>46481</v>
      </c>
      <c r="G29" s="481">
        <v>28</v>
      </c>
      <c r="H29" s="482"/>
      <c r="I29" s="483" t="str">
        <f t="shared" ca="1" si="6"/>
        <v/>
      </c>
      <c r="J29" s="483" t="str">
        <f t="shared" ca="1" si="6"/>
        <v/>
      </c>
      <c r="K29" s="483" t="str">
        <f t="shared" ca="1" si="6"/>
        <v/>
      </c>
      <c r="L29" s="483" t="str">
        <f t="shared" ca="1" si="6"/>
        <v/>
      </c>
      <c r="M29" s="483" t="str">
        <f t="shared" ca="1" si="6"/>
        <v/>
      </c>
      <c r="N29" s="483" t="str">
        <f t="shared" ca="1" si="6"/>
        <v/>
      </c>
      <c r="O29" s="483" t="str">
        <f t="shared" ca="1" si="6"/>
        <v/>
      </c>
      <c r="P29" s="483" t="str">
        <f t="shared" ca="1" si="6"/>
        <v/>
      </c>
      <c r="Q29" s="483" t="str">
        <f t="shared" ca="1" si="6"/>
        <v/>
      </c>
      <c r="R29" s="486" t="str">
        <f t="shared" ca="1" si="6"/>
        <v/>
      </c>
      <c r="S29" s="483" t="str">
        <f t="shared" ca="1" si="6"/>
        <v/>
      </c>
      <c r="T29" s="483" t="str">
        <f t="shared" ca="1" si="6"/>
        <v/>
      </c>
      <c r="U29" s="483" t="str">
        <f t="shared" ca="1" si="6"/>
        <v/>
      </c>
      <c r="V29" s="483" t="str">
        <f t="shared" ca="1" si="6"/>
        <v/>
      </c>
      <c r="W29" s="483" t="str">
        <f t="shared" ca="1" si="6"/>
        <v/>
      </c>
      <c r="X29" s="483" t="str">
        <f t="shared" ca="1" si="6"/>
        <v/>
      </c>
      <c r="Y29" s="483" t="str">
        <f t="shared" ca="1" si="5"/>
        <v/>
      </c>
      <c r="Z29" s="483" t="str">
        <f t="shared" ca="1" si="5"/>
        <v/>
      </c>
      <c r="AA29" s="483" t="str">
        <f t="shared" ca="1" si="5"/>
        <v/>
      </c>
      <c r="AB29" s="484" t="str">
        <f t="shared" ca="1" si="5"/>
        <v/>
      </c>
      <c r="AC29" s="484" t="str">
        <f t="shared" ca="1" si="5"/>
        <v/>
      </c>
      <c r="AD29" s="484" t="str">
        <f t="shared" ca="1" si="5"/>
        <v/>
      </c>
      <c r="AE29" s="484" t="str">
        <f t="shared" ca="1" si="5"/>
        <v/>
      </c>
      <c r="AF29" s="484" t="str">
        <f t="shared" ca="1" si="2"/>
        <v/>
      </c>
    </row>
    <row r="30" spans="1:32" s="451" customFormat="1" ht="11.1" customHeight="1">
      <c r="A30" s="441"/>
      <c r="B30" s="485" t="s">
        <v>1026</v>
      </c>
      <c r="C30" s="478" t="s">
        <v>991</v>
      </c>
      <c r="D30" s="478"/>
      <c r="E30" s="479">
        <v>0</v>
      </c>
      <c r="F30" s="480">
        <f t="shared" ca="1" si="4"/>
        <v>46512</v>
      </c>
      <c r="G30" s="481">
        <v>31</v>
      </c>
      <c r="H30" s="482"/>
      <c r="I30" s="483" t="str">
        <f t="shared" ca="1" si="6"/>
        <v/>
      </c>
      <c r="J30" s="483" t="str">
        <f t="shared" ca="1" si="6"/>
        <v/>
      </c>
      <c r="K30" s="483" t="str">
        <f t="shared" ca="1" si="6"/>
        <v/>
      </c>
      <c r="L30" s="483" t="str">
        <f t="shared" ca="1" si="6"/>
        <v/>
      </c>
      <c r="M30" s="483" t="str">
        <f t="shared" ca="1" si="6"/>
        <v/>
      </c>
      <c r="N30" s="483" t="str">
        <f t="shared" ca="1" si="6"/>
        <v/>
      </c>
      <c r="O30" s="483" t="str">
        <f t="shared" ca="1" si="6"/>
        <v/>
      </c>
      <c r="P30" s="483" t="str">
        <f t="shared" ca="1" si="6"/>
        <v/>
      </c>
      <c r="Q30" s="483" t="str">
        <f t="shared" ca="1" si="6"/>
        <v/>
      </c>
      <c r="R30" s="483" t="str">
        <f t="shared" ca="1" si="6"/>
        <v/>
      </c>
      <c r="S30" s="486" t="str">
        <f t="shared" ca="1" si="6"/>
        <v/>
      </c>
      <c r="T30" s="483" t="str">
        <f t="shared" ca="1" si="6"/>
        <v/>
      </c>
      <c r="U30" s="483" t="str">
        <f t="shared" ca="1" si="6"/>
        <v/>
      </c>
      <c r="V30" s="483" t="str">
        <f t="shared" ca="1" si="6"/>
        <v/>
      </c>
      <c r="W30" s="483" t="str">
        <f t="shared" ca="1" si="6"/>
        <v/>
      </c>
      <c r="X30" s="483" t="str">
        <f t="shared" ca="1" si="6"/>
        <v/>
      </c>
      <c r="Y30" s="483" t="str">
        <f t="shared" ca="1" si="5"/>
        <v/>
      </c>
      <c r="Z30" s="483" t="str">
        <f t="shared" ca="1" si="5"/>
        <v/>
      </c>
      <c r="AA30" s="483" t="str">
        <f t="shared" ca="1" si="5"/>
        <v/>
      </c>
      <c r="AB30" s="484" t="str">
        <f t="shared" ca="1" si="5"/>
        <v/>
      </c>
      <c r="AC30" s="484" t="str">
        <f t="shared" ca="1" si="5"/>
        <v/>
      </c>
      <c r="AD30" s="484" t="str">
        <f t="shared" ca="1" si="5"/>
        <v/>
      </c>
      <c r="AE30" s="484" t="str">
        <f t="shared" ca="1" si="5"/>
        <v/>
      </c>
      <c r="AF30" s="484" t="str">
        <f t="shared" ca="1" si="2"/>
        <v/>
      </c>
    </row>
    <row r="31" spans="1:32" s="451" customFormat="1" ht="11.1" customHeight="1">
      <c r="A31" s="441"/>
      <c r="B31" s="477" t="s">
        <v>46</v>
      </c>
      <c r="C31" s="478"/>
      <c r="D31" s="478"/>
      <c r="E31" s="479"/>
      <c r="F31" s="480"/>
      <c r="G31" s="481"/>
      <c r="H31" s="482"/>
      <c r="I31" s="483" t="str">
        <f t="shared" si="6"/>
        <v/>
      </c>
      <c r="J31" s="483" t="str">
        <f t="shared" si="6"/>
        <v/>
      </c>
      <c r="K31" s="483" t="str">
        <f t="shared" si="6"/>
        <v/>
      </c>
      <c r="L31" s="483" t="str">
        <f t="shared" si="6"/>
        <v/>
      </c>
      <c r="M31" s="483" t="str">
        <f t="shared" si="6"/>
        <v/>
      </c>
      <c r="N31" s="483" t="str">
        <f t="shared" si="6"/>
        <v/>
      </c>
      <c r="O31" s="483" t="str">
        <f t="shared" si="6"/>
        <v/>
      </c>
      <c r="P31" s="483" t="str">
        <f t="shared" si="6"/>
        <v/>
      </c>
      <c r="Q31" s="483" t="str">
        <f t="shared" si="6"/>
        <v/>
      </c>
      <c r="R31" s="483" t="str">
        <f t="shared" si="6"/>
        <v/>
      </c>
      <c r="S31" s="483" t="str">
        <f t="shared" si="6"/>
        <v/>
      </c>
      <c r="T31" s="483" t="str">
        <f t="shared" si="6"/>
        <v/>
      </c>
      <c r="U31" s="483" t="str">
        <f t="shared" si="6"/>
        <v/>
      </c>
      <c r="V31" s="483" t="str">
        <f t="shared" si="6"/>
        <v/>
      </c>
      <c r="W31" s="483" t="str">
        <f t="shared" si="6"/>
        <v/>
      </c>
      <c r="X31" s="483" t="str">
        <f t="shared" si="6"/>
        <v/>
      </c>
      <c r="Y31" s="483" t="str">
        <f t="shared" si="5"/>
        <v/>
      </c>
      <c r="Z31" s="483" t="str">
        <f t="shared" si="5"/>
        <v/>
      </c>
      <c r="AA31" s="483" t="str">
        <f t="shared" si="5"/>
        <v/>
      </c>
      <c r="AB31" s="484" t="str">
        <f t="shared" si="5"/>
        <v/>
      </c>
      <c r="AC31" s="484" t="str">
        <f t="shared" si="5"/>
        <v/>
      </c>
      <c r="AD31" s="484" t="str">
        <f t="shared" si="5"/>
        <v/>
      </c>
      <c r="AE31" s="484" t="str">
        <f t="shared" si="5"/>
        <v/>
      </c>
      <c r="AF31" s="484" t="str">
        <f t="shared" si="2"/>
        <v/>
      </c>
    </row>
    <row r="32" spans="1:32" s="451" customFormat="1" ht="11.1" customHeight="1">
      <c r="A32" s="441"/>
      <c r="B32" s="485" t="s">
        <v>1018</v>
      </c>
      <c r="C32" s="478" t="s">
        <v>991</v>
      </c>
      <c r="D32" s="478"/>
      <c r="E32" s="479">
        <v>0</v>
      </c>
      <c r="F32" s="480">
        <f ca="1">F22+31</f>
        <v>46300</v>
      </c>
      <c r="G32" s="481">
        <v>31</v>
      </c>
      <c r="H32" s="482"/>
      <c r="I32" s="483" t="str">
        <f t="shared" ca="1" si="6"/>
        <v/>
      </c>
      <c r="J32" s="483" t="str">
        <f t="shared" ca="1" si="6"/>
        <v/>
      </c>
      <c r="K32" s="483" t="str">
        <f t="shared" ca="1" si="6"/>
        <v/>
      </c>
      <c r="L32" s="486" t="str">
        <f t="shared" ca="1" si="6"/>
        <v/>
      </c>
      <c r="M32" s="483" t="str">
        <f t="shared" ca="1" si="6"/>
        <v/>
      </c>
      <c r="N32" s="483" t="str">
        <f t="shared" ca="1" si="6"/>
        <v/>
      </c>
      <c r="O32" s="483" t="str">
        <f t="shared" ca="1" si="6"/>
        <v/>
      </c>
      <c r="P32" s="483" t="str">
        <f t="shared" ca="1" si="6"/>
        <v/>
      </c>
      <c r="Q32" s="483" t="str">
        <f t="shared" ca="1" si="6"/>
        <v/>
      </c>
      <c r="R32" s="483" t="str">
        <f t="shared" ca="1" si="6"/>
        <v/>
      </c>
      <c r="S32" s="483" t="str">
        <f t="shared" ca="1" si="6"/>
        <v/>
      </c>
      <c r="T32" s="483" t="str">
        <f t="shared" ca="1" si="6"/>
        <v/>
      </c>
      <c r="U32" s="483" t="str">
        <f t="shared" ca="1" si="6"/>
        <v/>
      </c>
      <c r="V32" s="483" t="str">
        <f t="shared" ca="1" si="6"/>
        <v/>
      </c>
      <c r="W32" s="483" t="str">
        <f t="shared" ca="1" si="6"/>
        <v/>
      </c>
      <c r="X32" s="483" t="str">
        <f t="shared" ca="1" si="6"/>
        <v/>
      </c>
      <c r="Y32" s="483" t="str">
        <f t="shared" ca="1" si="5"/>
        <v/>
      </c>
      <c r="Z32" s="483" t="str">
        <f t="shared" ca="1" si="5"/>
        <v/>
      </c>
      <c r="AA32" s="483" t="str">
        <f t="shared" ca="1" si="5"/>
        <v/>
      </c>
      <c r="AB32" s="484" t="str">
        <f t="shared" ca="1" si="5"/>
        <v/>
      </c>
      <c r="AC32" s="484" t="str">
        <f t="shared" ca="1" si="5"/>
        <v/>
      </c>
      <c r="AD32" s="484" t="str">
        <f t="shared" ca="1" si="5"/>
        <v/>
      </c>
      <c r="AE32" s="484" t="str">
        <f t="shared" ca="1" si="5"/>
        <v/>
      </c>
      <c r="AF32" s="484" t="str">
        <f t="shared" ca="1" si="2"/>
        <v/>
      </c>
    </row>
    <row r="33" spans="1:32" s="451" customFormat="1" ht="11.1" customHeight="1">
      <c r="A33" s="441"/>
      <c r="B33" s="485" t="s">
        <v>1019</v>
      </c>
      <c r="C33" s="478" t="s">
        <v>991</v>
      </c>
      <c r="D33" s="478"/>
      <c r="E33" s="479">
        <v>0</v>
      </c>
      <c r="F33" s="480">
        <f ca="1">F23+30</f>
        <v>46330</v>
      </c>
      <c r="G33" s="481">
        <v>30</v>
      </c>
      <c r="H33" s="482"/>
      <c r="I33" s="483" t="str">
        <f t="shared" ca="1" si="6"/>
        <v/>
      </c>
      <c r="J33" s="483" t="str">
        <f t="shared" ca="1" si="6"/>
        <v/>
      </c>
      <c r="K33" s="483" t="str">
        <f t="shared" ca="1" si="6"/>
        <v/>
      </c>
      <c r="L33" s="483" t="str">
        <f t="shared" ca="1" si="6"/>
        <v/>
      </c>
      <c r="M33" s="486" t="str">
        <f t="shared" ca="1" si="6"/>
        <v/>
      </c>
      <c r="N33" s="483" t="str">
        <f t="shared" ca="1" si="6"/>
        <v/>
      </c>
      <c r="O33" s="483" t="str">
        <f t="shared" ca="1" si="6"/>
        <v/>
      </c>
      <c r="P33" s="483" t="str">
        <f t="shared" ca="1" si="6"/>
        <v/>
      </c>
      <c r="Q33" s="483" t="str">
        <f t="shared" ca="1" si="6"/>
        <v/>
      </c>
      <c r="R33" s="483" t="str">
        <f t="shared" ca="1" si="6"/>
        <v/>
      </c>
      <c r="S33" s="483" t="str">
        <f t="shared" ca="1" si="6"/>
        <v/>
      </c>
      <c r="T33" s="483" t="str">
        <f t="shared" ca="1" si="6"/>
        <v/>
      </c>
      <c r="U33" s="483" t="str">
        <f t="shared" ca="1" si="6"/>
        <v/>
      </c>
      <c r="V33" s="483" t="str">
        <f t="shared" ca="1" si="6"/>
        <v/>
      </c>
      <c r="W33" s="483" t="str">
        <f t="shared" ca="1" si="6"/>
        <v/>
      </c>
      <c r="X33" s="483" t="str">
        <f t="shared" ca="1" si="6"/>
        <v/>
      </c>
      <c r="Y33" s="483" t="str">
        <f t="shared" ca="1" si="5"/>
        <v/>
      </c>
      <c r="Z33" s="483" t="str">
        <f t="shared" ca="1" si="5"/>
        <v/>
      </c>
      <c r="AA33" s="483" t="str">
        <f t="shared" ca="1" si="5"/>
        <v/>
      </c>
      <c r="AB33" s="484" t="str">
        <f t="shared" ca="1" si="5"/>
        <v/>
      </c>
      <c r="AC33" s="484" t="str">
        <f t="shared" ca="1" si="5"/>
        <v/>
      </c>
      <c r="AD33" s="484" t="str">
        <f t="shared" ca="1" si="5"/>
        <v/>
      </c>
      <c r="AE33" s="484" t="str">
        <f t="shared" ca="1" si="5"/>
        <v/>
      </c>
      <c r="AF33" s="484" t="str">
        <f t="shared" ca="1" si="2"/>
        <v/>
      </c>
    </row>
    <row r="34" spans="1:32" s="451" customFormat="1" ht="11.1" customHeight="1">
      <c r="A34" s="441"/>
      <c r="B34" s="485" t="s">
        <v>1020</v>
      </c>
      <c r="C34" s="478" t="s">
        <v>991</v>
      </c>
      <c r="D34" s="478"/>
      <c r="E34" s="479">
        <v>0</v>
      </c>
      <c r="F34" s="480">
        <f t="shared" ref="F34:F39" ca="1" si="7">F24+31</f>
        <v>46361</v>
      </c>
      <c r="G34" s="481">
        <v>31</v>
      </c>
      <c r="H34" s="482"/>
      <c r="I34" s="483" t="str">
        <f t="shared" ca="1" si="6"/>
        <v/>
      </c>
      <c r="J34" s="483" t="str">
        <f t="shared" ca="1" si="6"/>
        <v/>
      </c>
      <c r="K34" s="483" t="str">
        <f t="shared" ca="1" si="6"/>
        <v/>
      </c>
      <c r="L34" s="483" t="str">
        <f t="shared" ca="1" si="6"/>
        <v/>
      </c>
      <c r="M34" s="483" t="str">
        <f t="shared" ca="1" si="6"/>
        <v/>
      </c>
      <c r="N34" s="486" t="str">
        <f t="shared" ca="1" si="6"/>
        <v/>
      </c>
      <c r="O34" s="483" t="str">
        <f t="shared" ca="1" si="6"/>
        <v/>
      </c>
      <c r="P34" s="483" t="str">
        <f t="shared" ca="1" si="6"/>
        <v/>
      </c>
      <c r="Q34" s="483" t="str">
        <f t="shared" ca="1" si="6"/>
        <v/>
      </c>
      <c r="R34" s="483" t="str">
        <f t="shared" ca="1" si="6"/>
        <v/>
      </c>
      <c r="S34" s="483" t="str">
        <f t="shared" ca="1" si="6"/>
        <v/>
      </c>
      <c r="T34" s="483" t="str">
        <f t="shared" ca="1" si="6"/>
        <v/>
      </c>
      <c r="U34" s="483" t="str">
        <f t="shared" ca="1" si="6"/>
        <v/>
      </c>
      <c r="V34" s="483" t="str">
        <f t="shared" ca="1" si="6"/>
        <v/>
      </c>
      <c r="W34" s="483" t="str">
        <f t="shared" ca="1" si="6"/>
        <v/>
      </c>
      <c r="X34" s="483" t="str">
        <f t="shared" ca="1" si="6"/>
        <v/>
      </c>
      <c r="Y34" s="483" t="str">
        <f t="shared" ca="1" si="5"/>
        <v/>
      </c>
      <c r="Z34" s="483" t="str">
        <f t="shared" ca="1" si="5"/>
        <v/>
      </c>
      <c r="AA34" s="483" t="str">
        <f t="shared" ca="1" si="5"/>
        <v/>
      </c>
      <c r="AB34" s="484" t="str">
        <f t="shared" ca="1" si="5"/>
        <v/>
      </c>
      <c r="AC34" s="484" t="str">
        <f t="shared" ca="1" si="5"/>
        <v/>
      </c>
      <c r="AD34" s="484" t="str">
        <f t="shared" ca="1" si="5"/>
        <v/>
      </c>
      <c r="AE34" s="484" t="str">
        <f t="shared" ca="1" si="5"/>
        <v/>
      </c>
      <c r="AF34" s="484" t="str">
        <f t="shared" ca="1" si="2"/>
        <v/>
      </c>
    </row>
    <row r="35" spans="1:32" s="451" customFormat="1" ht="11.1" customHeight="1">
      <c r="A35" s="441"/>
      <c r="B35" s="485" t="s">
        <v>1021</v>
      </c>
      <c r="C35" s="478" t="s">
        <v>991</v>
      </c>
      <c r="D35" s="478"/>
      <c r="E35" s="479">
        <v>0</v>
      </c>
      <c r="F35" s="480">
        <f ca="1">F25+30</f>
        <v>46391</v>
      </c>
      <c r="G35" s="481">
        <v>30</v>
      </c>
      <c r="H35" s="482"/>
      <c r="I35" s="483" t="str">
        <f t="shared" ca="1" si="6"/>
        <v/>
      </c>
      <c r="J35" s="483" t="str">
        <f t="shared" ca="1" si="6"/>
        <v/>
      </c>
      <c r="K35" s="483" t="str">
        <f t="shared" ca="1" si="6"/>
        <v/>
      </c>
      <c r="L35" s="483" t="str">
        <f t="shared" ca="1" si="6"/>
        <v/>
      </c>
      <c r="M35" s="483" t="str">
        <f t="shared" ca="1" si="6"/>
        <v/>
      </c>
      <c r="N35" s="483" t="str">
        <f t="shared" ca="1" si="6"/>
        <v/>
      </c>
      <c r="O35" s="486" t="str">
        <f t="shared" ca="1" si="6"/>
        <v/>
      </c>
      <c r="P35" s="483" t="str">
        <f t="shared" ca="1" si="6"/>
        <v/>
      </c>
      <c r="Q35" s="483" t="str">
        <f t="shared" ca="1" si="6"/>
        <v/>
      </c>
      <c r="R35" s="483" t="str">
        <f t="shared" ca="1" si="6"/>
        <v/>
      </c>
      <c r="S35" s="483" t="str">
        <f t="shared" ca="1" si="6"/>
        <v/>
      </c>
      <c r="T35" s="483" t="str">
        <f t="shared" ca="1" si="6"/>
        <v/>
      </c>
      <c r="U35" s="483" t="str">
        <f t="shared" ca="1" si="6"/>
        <v/>
      </c>
      <c r="V35" s="483" t="str">
        <f t="shared" ca="1" si="6"/>
        <v/>
      </c>
      <c r="W35" s="483" t="str">
        <f t="shared" ca="1" si="6"/>
        <v/>
      </c>
      <c r="X35" s="483" t="str">
        <f t="shared" ca="1" si="6"/>
        <v/>
      </c>
      <c r="Y35" s="483" t="str">
        <f t="shared" ca="1" si="5"/>
        <v/>
      </c>
      <c r="Z35" s="483" t="str">
        <f t="shared" ca="1" si="5"/>
        <v/>
      </c>
      <c r="AA35" s="483" t="str">
        <f t="shared" ca="1" si="5"/>
        <v/>
      </c>
      <c r="AB35" s="484" t="str">
        <f t="shared" ca="1" si="5"/>
        <v/>
      </c>
      <c r="AC35" s="484" t="str">
        <f t="shared" ca="1" si="5"/>
        <v/>
      </c>
      <c r="AD35" s="484" t="str">
        <f t="shared" ca="1" si="5"/>
        <v/>
      </c>
      <c r="AE35" s="484" t="str">
        <f t="shared" ca="1" si="5"/>
        <v/>
      </c>
      <c r="AF35" s="484" t="str">
        <f t="shared" ca="1" si="2"/>
        <v/>
      </c>
    </row>
    <row r="36" spans="1:32" s="451" customFormat="1" ht="11.1" customHeight="1">
      <c r="A36" s="441"/>
      <c r="B36" s="485" t="s">
        <v>1022</v>
      </c>
      <c r="C36" s="478" t="s">
        <v>991</v>
      </c>
      <c r="D36" s="478"/>
      <c r="E36" s="479">
        <v>0</v>
      </c>
      <c r="F36" s="480">
        <f t="shared" ca="1" si="7"/>
        <v>46422</v>
      </c>
      <c r="G36" s="481">
        <v>31</v>
      </c>
      <c r="H36" s="482"/>
      <c r="I36" s="483" t="str">
        <f t="shared" ca="1" si="6"/>
        <v/>
      </c>
      <c r="J36" s="483" t="str">
        <f t="shared" ca="1" si="6"/>
        <v/>
      </c>
      <c r="K36" s="483" t="str">
        <f t="shared" ca="1" si="6"/>
        <v/>
      </c>
      <c r="L36" s="483" t="str">
        <f t="shared" ca="1" si="6"/>
        <v/>
      </c>
      <c r="M36" s="483" t="str">
        <f t="shared" ca="1" si="6"/>
        <v/>
      </c>
      <c r="N36" s="483" t="str">
        <f t="shared" ca="1" si="6"/>
        <v/>
      </c>
      <c r="O36" s="483" t="str">
        <f t="shared" ca="1" si="6"/>
        <v/>
      </c>
      <c r="P36" s="486" t="str">
        <f t="shared" ca="1" si="6"/>
        <v/>
      </c>
      <c r="Q36" s="483" t="str">
        <f t="shared" ca="1" si="6"/>
        <v/>
      </c>
      <c r="R36" s="483" t="str">
        <f t="shared" ca="1" si="6"/>
        <v/>
      </c>
      <c r="S36" s="483" t="str">
        <f t="shared" ca="1" si="6"/>
        <v/>
      </c>
      <c r="T36" s="483" t="str">
        <f t="shared" ca="1" si="6"/>
        <v/>
      </c>
      <c r="U36" s="483" t="str">
        <f t="shared" ca="1" si="6"/>
        <v/>
      </c>
      <c r="V36" s="483" t="str">
        <f t="shared" ca="1" si="6"/>
        <v/>
      </c>
      <c r="W36" s="483" t="str">
        <f t="shared" ca="1" si="6"/>
        <v/>
      </c>
      <c r="X36" s="483" t="str">
        <f t="shared" ca="1" si="6"/>
        <v/>
      </c>
      <c r="Y36" s="483" t="str">
        <f t="shared" ca="1" si="5"/>
        <v/>
      </c>
      <c r="Z36" s="483" t="str">
        <f t="shared" ca="1" si="5"/>
        <v/>
      </c>
      <c r="AA36" s="483" t="str">
        <f t="shared" ca="1" si="5"/>
        <v/>
      </c>
      <c r="AB36" s="484" t="str">
        <f t="shared" ca="1" si="5"/>
        <v/>
      </c>
      <c r="AC36" s="484" t="str">
        <f t="shared" ca="1" si="5"/>
        <v/>
      </c>
      <c r="AD36" s="484" t="str">
        <f t="shared" ca="1" si="5"/>
        <v/>
      </c>
      <c r="AE36" s="484" t="str">
        <f t="shared" ca="1" si="5"/>
        <v/>
      </c>
      <c r="AF36" s="484" t="str">
        <f t="shared" ca="1" si="2"/>
        <v/>
      </c>
    </row>
    <row r="37" spans="1:32" s="451" customFormat="1" ht="11.1" customHeight="1">
      <c r="A37" s="441"/>
      <c r="B37" s="485" t="s">
        <v>1023</v>
      </c>
      <c r="C37" s="478" t="s">
        <v>991</v>
      </c>
      <c r="D37" s="478"/>
      <c r="E37" s="479">
        <v>0</v>
      </c>
      <c r="F37" s="480">
        <f t="shared" ca="1" si="7"/>
        <v>46453</v>
      </c>
      <c r="G37" s="481">
        <v>31</v>
      </c>
      <c r="H37" s="482"/>
      <c r="I37" s="483" t="str">
        <f t="shared" ca="1" si="6"/>
        <v/>
      </c>
      <c r="J37" s="483" t="str">
        <f t="shared" ca="1" si="6"/>
        <v/>
      </c>
      <c r="K37" s="483" t="str">
        <f t="shared" ca="1" si="6"/>
        <v/>
      </c>
      <c r="L37" s="483" t="str">
        <f t="shared" ca="1" si="6"/>
        <v/>
      </c>
      <c r="M37" s="483" t="str">
        <f t="shared" ca="1" si="6"/>
        <v/>
      </c>
      <c r="N37" s="483" t="str">
        <f t="shared" ca="1" si="6"/>
        <v/>
      </c>
      <c r="O37" s="483" t="str">
        <f t="shared" ca="1" si="6"/>
        <v/>
      </c>
      <c r="P37" s="483" t="str">
        <f t="shared" ca="1" si="6"/>
        <v/>
      </c>
      <c r="Q37" s="486" t="str">
        <f t="shared" ca="1" si="6"/>
        <v/>
      </c>
      <c r="R37" s="483" t="str">
        <f t="shared" ca="1" si="6"/>
        <v/>
      </c>
      <c r="S37" s="483" t="str">
        <f t="shared" ca="1" si="6"/>
        <v/>
      </c>
      <c r="T37" s="483" t="str">
        <f t="shared" ca="1" si="6"/>
        <v/>
      </c>
      <c r="U37" s="483" t="str">
        <f t="shared" ca="1" si="6"/>
        <v/>
      </c>
      <c r="V37" s="483" t="str">
        <f t="shared" ca="1" si="6"/>
        <v/>
      </c>
      <c r="W37" s="483" t="str">
        <f t="shared" ca="1" si="6"/>
        <v/>
      </c>
      <c r="X37" s="483" t="str">
        <f t="shared" ca="1" si="6"/>
        <v/>
      </c>
      <c r="Y37" s="483" t="str">
        <f t="shared" ca="1" si="5"/>
        <v/>
      </c>
      <c r="Z37" s="483" t="str">
        <f t="shared" ca="1" si="5"/>
        <v/>
      </c>
      <c r="AA37" s="483" t="str">
        <f t="shared" ca="1" si="5"/>
        <v/>
      </c>
      <c r="AB37" s="484" t="str">
        <f t="shared" ca="1" si="5"/>
        <v/>
      </c>
      <c r="AC37" s="484" t="str">
        <f t="shared" ca="1" si="5"/>
        <v/>
      </c>
      <c r="AD37" s="484" t="str">
        <f t="shared" ca="1" si="5"/>
        <v/>
      </c>
      <c r="AE37" s="484" t="str">
        <f t="shared" ca="1" si="5"/>
        <v/>
      </c>
      <c r="AF37" s="484" t="str">
        <f t="shared" ca="1" si="2"/>
        <v/>
      </c>
    </row>
    <row r="38" spans="1:32" s="451" customFormat="1" ht="11.1" customHeight="1">
      <c r="A38" s="441"/>
      <c r="B38" s="485" t="s">
        <v>1024</v>
      </c>
      <c r="C38" s="478" t="s">
        <v>991</v>
      </c>
      <c r="D38" s="478"/>
      <c r="E38" s="479">
        <v>0</v>
      </c>
      <c r="F38" s="480">
        <f ca="1">F28+28</f>
        <v>46481</v>
      </c>
      <c r="G38" s="481">
        <v>28</v>
      </c>
      <c r="H38" s="482"/>
      <c r="I38" s="483" t="str">
        <f t="shared" ca="1" si="6"/>
        <v/>
      </c>
      <c r="J38" s="483" t="str">
        <f t="shared" ca="1" si="6"/>
        <v/>
      </c>
      <c r="K38" s="483" t="str">
        <f t="shared" ca="1" si="6"/>
        <v/>
      </c>
      <c r="L38" s="483" t="str">
        <f t="shared" ca="1" si="6"/>
        <v/>
      </c>
      <c r="M38" s="483" t="str">
        <f t="shared" ca="1" si="6"/>
        <v/>
      </c>
      <c r="N38" s="483" t="str">
        <f t="shared" ca="1" si="6"/>
        <v/>
      </c>
      <c r="O38" s="483" t="str">
        <f t="shared" ca="1" si="6"/>
        <v/>
      </c>
      <c r="P38" s="483" t="str">
        <f t="shared" ca="1" si="6"/>
        <v/>
      </c>
      <c r="Q38" s="483" t="str">
        <f t="shared" ca="1" si="6"/>
        <v/>
      </c>
      <c r="R38" s="486" t="str">
        <f t="shared" ca="1" si="6"/>
        <v/>
      </c>
      <c r="S38" s="483" t="str">
        <f t="shared" ca="1" si="6"/>
        <v/>
      </c>
      <c r="T38" s="483" t="str">
        <f t="shared" ca="1" si="6"/>
        <v/>
      </c>
      <c r="U38" s="483" t="str">
        <f t="shared" ca="1" si="6"/>
        <v/>
      </c>
      <c r="V38" s="483" t="str">
        <f t="shared" ca="1" si="6"/>
        <v/>
      </c>
      <c r="W38" s="483" t="str">
        <f t="shared" ca="1" si="6"/>
        <v/>
      </c>
      <c r="X38" s="483" t="str">
        <f t="shared" ca="1" si="6"/>
        <v/>
      </c>
      <c r="Y38" s="483" t="str">
        <f t="shared" ca="1" si="5"/>
        <v/>
      </c>
      <c r="Z38" s="483" t="str">
        <f t="shared" ca="1" si="5"/>
        <v/>
      </c>
      <c r="AA38" s="483" t="str">
        <f t="shared" ca="1" si="5"/>
        <v/>
      </c>
      <c r="AB38" s="484" t="str">
        <f t="shared" ca="1" si="5"/>
        <v/>
      </c>
      <c r="AC38" s="484" t="str">
        <f t="shared" ca="1" si="5"/>
        <v/>
      </c>
      <c r="AD38" s="484" t="str">
        <f t="shared" ca="1" si="5"/>
        <v/>
      </c>
      <c r="AE38" s="484" t="str">
        <f t="shared" ca="1" si="5"/>
        <v/>
      </c>
      <c r="AF38" s="484" t="str">
        <f t="shared" ca="1" si="2"/>
        <v/>
      </c>
    </row>
    <row r="39" spans="1:32" s="451" customFormat="1" ht="11.1" customHeight="1">
      <c r="A39" s="441"/>
      <c r="B39" s="485" t="s">
        <v>1025</v>
      </c>
      <c r="C39" s="478" t="s">
        <v>991</v>
      </c>
      <c r="D39" s="478"/>
      <c r="E39" s="479">
        <v>0</v>
      </c>
      <c r="F39" s="480">
        <f t="shared" ca="1" si="7"/>
        <v>46512</v>
      </c>
      <c r="G39" s="481">
        <v>31</v>
      </c>
      <c r="H39" s="482"/>
      <c r="I39" s="483" t="str">
        <f t="shared" ca="1" si="6"/>
        <v/>
      </c>
      <c r="J39" s="483" t="str">
        <f t="shared" ca="1" si="6"/>
        <v/>
      </c>
      <c r="K39" s="483" t="str">
        <f t="shared" ca="1" si="6"/>
        <v/>
      </c>
      <c r="L39" s="483" t="str">
        <f t="shared" ca="1" si="6"/>
        <v/>
      </c>
      <c r="M39" s="483" t="str">
        <f t="shared" ca="1" si="6"/>
        <v/>
      </c>
      <c r="N39" s="483" t="str">
        <f t="shared" ca="1" si="6"/>
        <v/>
      </c>
      <c r="O39" s="483" t="str">
        <f t="shared" ca="1" si="6"/>
        <v/>
      </c>
      <c r="P39" s="483" t="str">
        <f t="shared" ca="1" si="6"/>
        <v/>
      </c>
      <c r="Q39" s="483" t="str">
        <f t="shared" ca="1" si="6"/>
        <v/>
      </c>
      <c r="R39" s="483" t="str">
        <f t="shared" ca="1" si="6"/>
        <v/>
      </c>
      <c r="S39" s="486" t="str">
        <f t="shared" ca="1" si="6"/>
        <v/>
      </c>
      <c r="T39" s="483" t="str">
        <f t="shared" ca="1" si="6"/>
        <v/>
      </c>
      <c r="U39" s="483" t="str">
        <f t="shared" ca="1" si="6"/>
        <v/>
      </c>
      <c r="V39" s="483" t="str">
        <f t="shared" ca="1" si="6"/>
        <v/>
      </c>
      <c r="W39" s="483" t="str">
        <f t="shared" ca="1" si="6"/>
        <v/>
      </c>
      <c r="X39" s="483" t="str">
        <f t="shared" ca="1" si="6"/>
        <v/>
      </c>
      <c r="Y39" s="483" t="str">
        <f t="shared" ca="1" si="5"/>
        <v/>
      </c>
      <c r="Z39" s="483" t="str">
        <f t="shared" ca="1" si="5"/>
        <v/>
      </c>
      <c r="AA39" s="483" t="str">
        <f t="shared" ca="1" si="5"/>
        <v/>
      </c>
      <c r="AB39" s="484" t="str">
        <f t="shared" ca="1" si="5"/>
        <v/>
      </c>
      <c r="AC39" s="484" t="str">
        <f t="shared" ca="1" si="5"/>
        <v/>
      </c>
      <c r="AD39" s="484" t="str">
        <f t="shared" ca="1" si="5"/>
        <v/>
      </c>
      <c r="AE39" s="484" t="str">
        <f t="shared" ca="1" si="5"/>
        <v/>
      </c>
      <c r="AF39" s="484" t="str">
        <f t="shared" ca="1" si="2"/>
        <v/>
      </c>
    </row>
    <row r="40" spans="1:32" s="451" customFormat="1" ht="11.1" customHeight="1">
      <c r="A40" s="441"/>
      <c r="B40" s="485" t="s">
        <v>1026</v>
      </c>
      <c r="C40" s="478" t="s">
        <v>991</v>
      </c>
      <c r="D40" s="478"/>
      <c r="E40" s="479">
        <v>0</v>
      </c>
      <c r="F40" s="480">
        <f ca="1">F30+30</f>
        <v>46542</v>
      </c>
      <c r="G40" s="481">
        <v>30</v>
      </c>
      <c r="H40" s="482"/>
      <c r="I40" s="483" t="str">
        <f t="shared" ca="1" si="6"/>
        <v/>
      </c>
      <c r="J40" s="483" t="str">
        <f t="shared" ca="1" si="6"/>
        <v/>
      </c>
      <c r="K40" s="483" t="str">
        <f t="shared" ca="1" si="6"/>
        <v/>
      </c>
      <c r="L40" s="483" t="str">
        <f t="shared" ca="1" si="6"/>
        <v/>
      </c>
      <c r="M40" s="483" t="str">
        <f t="shared" ca="1" si="6"/>
        <v/>
      </c>
      <c r="N40" s="483" t="str">
        <f t="shared" ca="1" si="6"/>
        <v/>
      </c>
      <c r="O40" s="483" t="str">
        <f t="shared" ca="1" si="6"/>
        <v/>
      </c>
      <c r="P40" s="483" t="str">
        <f t="shared" ca="1" si="6"/>
        <v/>
      </c>
      <c r="Q40" s="483" t="str">
        <f t="shared" ca="1" si="6"/>
        <v/>
      </c>
      <c r="R40" s="483" t="str">
        <f t="shared" ca="1" si="6"/>
        <v/>
      </c>
      <c r="S40" s="483" t="str">
        <f t="shared" ca="1" si="6"/>
        <v/>
      </c>
      <c r="T40" s="486" t="str">
        <f t="shared" ca="1" si="6"/>
        <v/>
      </c>
      <c r="U40" s="483" t="str">
        <f t="shared" ca="1" si="6"/>
        <v/>
      </c>
      <c r="V40" s="483" t="str">
        <f t="shared" ca="1" si="6"/>
        <v/>
      </c>
      <c r="W40" s="483" t="str">
        <f t="shared" ca="1" si="6"/>
        <v/>
      </c>
      <c r="X40" s="483" t="str">
        <f t="shared" ca="1" si="6"/>
        <v/>
      </c>
      <c r="Y40" s="483" t="str">
        <f t="shared" ca="1" si="5"/>
        <v/>
      </c>
      <c r="Z40" s="483" t="str">
        <f t="shared" ca="1" si="5"/>
        <v/>
      </c>
      <c r="AA40" s="483" t="str">
        <f t="shared" ca="1" si="5"/>
        <v/>
      </c>
      <c r="AB40" s="484" t="str">
        <f t="shared" ca="1" si="5"/>
        <v/>
      </c>
      <c r="AC40" s="484" t="str">
        <f t="shared" ca="1" si="5"/>
        <v/>
      </c>
      <c r="AD40" s="484" t="str">
        <f t="shared" ca="1" si="5"/>
        <v/>
      </c>
      <c r="AE40" s="484" t="str">
        <f t="shared" ca="1" si="5"/>
        <v/>
      </c>
      <c r="AF40" s="484" t="str">
        <f t="shared" ca="1" si="2"/>
        <v/>
      </c>
    </row>
    <row r="41" spans="1:32" s="451" customFormat="1" ht="11.1" customHeight="1">
      <c r="A41" s="441"/>
      <c r="B41" s="477" t="s">
        <v>47</v>
      </c>
      <c r="C41" s="478"/>
      <c r="D41" s="478"/>
      <c r="E41" s="479"/>
      <c r="F41" s="480"/>
      <c r="G41" s="481"/>
      <c r="H41" s="482"/>
      <c r="I41" s="483" t="str">
        <f t="shared" si="6"/>
        <v/>
      </c>
      <c r="J41" s="483" t="str">
        <f t="shared" si="6"/>
        <v/>
      </c>
      <c r="K41" s="483" t="str">
        <f t="shared" si="6"/>
        <v/>
      </c>
      <c r="L41" s="483" t="str">
        <f t="shared" si="6"/>
        <v/>
      </c>
      <c r="M41" s="483" t="str">
        <f t="shared" si="6"/>
        <v/>
      </c>
      <c r="N41" s="483" t="str">
        <f t="shared" si="6"/>
        <v/>
      </c>
      <c r="O41" s="483" t="str">
        <f t="shared" si="6"/>
        <v/>
      </c>
      <c r="P41" s="483" t="str">
        <f t="shared" si="6"/>
        <v/>
      </c>
      <c r="Q41" s="483" t="str">
        <f t="shared" si="6"/>
        <v/>
      </c>
      <c r="R41" s="483" t="str">
        <f t="shared" si="6"/>
        <v/>
      </c>
      <c r="S41" s="483" t="str">
        <f t="shared" si="6"/>
        <v/>
      </c>
      <c r="T41" s="483" t="str">
        <f t="shared" si="6"/>
        <v/>
      </c>
      <c r="U41" s="483" t="str">
        <f t="shared" si="6"/>
        <v/>
      </c>
      <c r="V41" s="483" t="str">
        <f t="shared" si="6"/>
        <v/>
      </c>
      <c r="W41" s="483" t="str">
        <f t="shared" si="6"/>
        <v/>
      </c>
      <c r="X41" s="483" t="str">
        <f t="shared" si="6"/>
        <v/>
      </c>
      <c r="Y41" s="483" t="str">
        <f t="shared" si="5"/>
        <v/>
      </c>
      <c r="Z41" s="483" t="str">
        <f t="shared" si="5"/>
        <v/>
      </c>
      <c r="AA41" s="483" t="str">
        <f t="shared" si="5"/>
        <v/>
      </c>
      <c r="AB41" s="484" t="str">
        <f t="shared" si="5"/>
        <v/>
      </c>
      <c r="AC41" s="484" t="str">
        <f t="shared" si="5"/>
        <v/>
      </c>
      <c r="AD41" s="484" t="str">
        <f t="shared" si="5"/>
        <v/>
      </c>
      <c r="AE41" s="484" t="str">
        <f t="shared" si="5"/>
        <v/>
      </c>
      <c r="AF41" s="484" t="str">
        <f t="shared" si="2"/>
        <v/>
      </c>
    </row>
    <row r="42" spans="1:32" s="451" customFormat="1" ht="11.1" customHeight="1">
      <c r="A42" s="441"/>
      <c r="B42" s="485" t="s">
        <v>1018</v>
      </c>
      <c r="C42" s="478" t="s">
        <v>991</v>
      </c>
      <c r="D42" s="478"/>
      <c r="E42" s="479">
        <v>0</v>
      </c>
      <c r="F42" s="480">
        <f ca="1">F32+30</f>
        <v>46330</v>
      </c>
      <c r="G42" s="481">
        <v>30</v>
      </c>
      <c r="H42" s="482"/>
      <c r="I42" s="483" t="str">
        <f t="shared" ca="1" si="6"/>
        <v/>
      </c>
      <c r="J42" s="483" t="str">
        <f t="shared" ca="1" si="6"/>
        <v/>
      </c>
      <c r="K42" s="483" t="str">
        <f t="shared" ca="1" si="6"/>
        <v/>
      </c>
      <c r="L42" s="483" t="str">
        <f t="shared" ca="1" si="6"/>
        <v/>
      </c>
      <c r="M42" s="486" t="str">
        <f t="shared" ca="1" si="6"/>
        <v/>
      </c>
      <c r="N42" s="483" t="str">
        <f t="shared" ca="1" si="6"/>
        <v/>
      </c>
      <c r="O42" s="483" t="str">
        <f t="shared" ca="1" si="6"/>
        <v/>
      </c>
      <c r="P42" s="483" t="str">
        <f t="shared" ca="1" si="6"/>
        <v/>
      </c>
      <c r="Q42" s="483" t="str">
        <f t="shared" ca="1" si="6"/>
        <v/>
      </c>
      <c r="R42" s="483" t="str">
        <f t="shared" ca="1" si="6"/>
        <v/>
      </c>
      <c r="S42" s="483" t="str">
        <f t="shared" ca="1" si="6"/>
        <v/>
      </c>
      <c r="T42" s="483" t="str">
        <f t="shared" ca="1" si="6"/>
        <v/>
      </c>
      <c r="U42" s="483" t="str">
        <f t="shared" ca="1" si="6"/>
        <v/>
      </c>
      <c r="V42" s="483" t="str">
        <f t="shared" ca="1" si="6"/>
        <v/>
      </c>
      <c r="W42" s="483" t="str">
        <f t="shared" ca="1" si="6"/>
        <v/>
      </c>
      <c r="X42" s="483" t="str">
        <f t="shared" ref="X42:AE50" ca="1" si="8">IF(AND($C42="Objetivo",X$8&gt;=$F42,X$8&lt;=$F42+$G42-1),2,IF(AND($C42="Hito",X$8&gt;=$F42,X$8&lt;=$F42+$G42-1),1,""))</f>
        <v/>
      </c>
      <c r="Y42" s="483" t="str">
        <f t="shared" ca="1" si="8"/>
        <v/>
      </c>
      <c r="Z42" s="483" t="str">
        <f t="shared" ca="1" si="8"/>
        <v/>
      </c>
      <c r="AA42" s="483" t="str">
        <f t="shared" ca="1" si="8"/>
        <v/>
      </c>
      <c r="AB42" s="484" t="str">
        <f t="shared" ca="1" si="8"/>
        <v/>
      </c>
      <c r="AC42" s="484" t="str">
        <f t="shared" ca="1" si="8"/>
        <v/>
      </c>
      <c r="AD42" s="484" t="str">
        <f t="shared" ca="1" si="8"/>
        <v/>
      </c>
      <c r="AE42" s="484" t="str">
        <f t="shared" ca="1" si="8"/>
        <v/>
      </c>
      <c r="AF42" s="484" t="str">
        <f t="shared" ca="1" si="2"/>
        <v/>
      </c>
    </row>
    <row r="43" spans="1:32" s="451" customFormat="1" ht="11.1" customHeight="1">
      <c r="A43" s="441"/>
      <c r="B43" s="485" t="s">
        <v>1019</v>
      </c>
      <c r="C43" s="478" t="s">
        <v>991</v>
      </c>
      <c r="D43" s="478"/>
      <c r="E43" s="479">
        <v>0</v>
      </c>
      <c r="F43" s="480">
        <f ca="1">F42+31</f>
        <v>46361</v>
      </c>
      <c r="G43" s="481">
        <v>31</v>
      </c>
      <c r="H43" s="482"/>
      <c r="I43" s="483" t="str">
        <f t="shared" ref="I43:X50" ca="1" si="9">IF(AND($C43="Objetivo",I$8&gt;=$F43,I$8&lt;=$F43+$G43-1),2,IF(AND($C43="Hito",I$8&gt;=$F43,I$8&lt;=$F43+$G43-1),1,""))</f>
        <v/>
      </c>
      <c r="J43" s="483" t="str">
        <f t="shared" ca="1" si="9"/>
        <v/>
      </c>
      <c r="K43" s="483" t="str">
        <f t="shared" ca="1" si="9"/>
        <v/>
      </c>
      <c r="L43" s="483" t="str">
        <f t="shared" ca="1" si="9"/>
        <v/>
      </c>
      <c r="M43" s="483" t="str">
        <f t="shared" ca="1" si="9"/>
        <v/>
      </c>
      <c r="N43" s="486" t="str">
        <f t="shared" ca="1" si="9"/>
        <v/>
      </c>
      <c r="O43" s="483" t="str">
        <f t="shared" ca="1" si="9"/>
        <v/>
      </c>
      <c r="P43" s="483" t="str">
        <f t="shared" ca="1" si="9"/>
        <v/>
      </c>
      <c r="Q43" s="483" t="str">
        <f t="shared" ca="1" si="9"/>
        <v/>
      </c>
      <c r="R43" s="483" t="str">
        <f t="shared" ca="1" si="9"/>
        <v/>
      </c>
      <c r="S43" s="483" t="str">
        <f t="shared" ca="1" si="9"/>
        <v/>
      </c>
      <c r="T43" s="483" t="str">
        <f t="shared" ca="1" si="9"/>
        <v/>
      </c>
      <c r="U43" s="483" t="str">
        <f t="shared" ca="1" si="9"/>
        <v/>
      </c>
      <c r="V43" s="483" t="str">
        <f t="shared" ca="1" si="9"/>
        <v/>
      </c>
      <c r="W43" s="483" t="str">
        <f t="shared" ca="1" si="9"/>
        <v/>
      </c>
      <c r="X43" s="483" t="str">
        <f t="shared" ca="1" si="9"/>
        <v/>
      </c>
      <c r="Y43" s="483" t="str">
        <f t="shared" ca="1" si="8"/>
        <v/>
      </c>
      <c r="Z43" s="483" t="str">
        <f t="shared" ca="1" si="8"/>
        <v/>
      </c>
      <c r="AA43" s="483" t="str">
        <f t="shared" ca="1" si="8"/>
        <v/>
      </c>
      <c r="AB43" s="484" t="str">
        <f t="shared" ca="1" si="8"/>
        <v/>
      </c>
      <c r="AC43" s="484" t="str">
        <f t="shared" ca="1" si="8"/>
        <v/>
      </c>
      <c r="AD43" s="484" t="str">
        <f t="shared" ca="1" si="8"/>
        <v/>
      </c>
      <c r="AE43" s="484" t="str">
        <f t="shared" ca="1" si="8"/>
        <v/>
      </c>
      <c r="AF43" s="484" t="str">
        <f t="shared" ca="1" si="2"/>
        <v/>
      </c>
    </row>
    <row r="44" spans="1:32" s="451" customFormat="1" ht="11.1" customHeight="1">
      <c r="A44" s="441"/>
      <c r="B44" s="485" t="s">
        <v>1020</v>
      </c>
      <c r="C44" s="478" t="s">
        <v>991</v>
      </c>
      <c r="D44" s="478"/>
      <c r="E44" s="479">
        <v>0</v>
      </c>
      <c r="F44" s="480">
        <f ca="1">F43+30</f>
        <v>46391</v>
      </c>
      <c r="G44" s="481">
        <v>30</v>
      </c>
      <c r="H44" s="482"/>
      <c r="I44" s="483" t="str">
        <f t="shared" ca="1" si="9"/>
        <v/>
      </c>
      <c r="J44" s="483" t="str">
        <f t="shared" ca="1" si="9"/>
        <v/>
      </c>
      <c r="K44" s="483" t="str">
        <f t="shared" ca="1" si="9"/>
        <v/>
      </c>
      <c r="L44" s="483" t="str">
        <f t="shared" ca="1" si="9"/>
        <v/>
      </c>
      <c r="M44" s="483" t="str">
        <f t="shared" ca="1" si="9"/>
        <v/>
      </c>
      <c r="N44" s="483" t="str">
        <f t="shared" ca="1" si="9"/>
        <v/>
      </c>
      <c r="O44" s="486" t="str">
        <f t="shared" ca="1" si="9"/>
        <v/>
      </c>
      <c r="P44" s="483" t="str">
        <f t="shared" ca="1" si="9"/>
        <v/>
      </c>
      <c r="Q44" s="483" t="str">
        <f t="shared" ca="1" si="9"/>
        <v/>
      </c>
      <c r="R44" s="483" t="str">
        <f t="shared" ca="1" si="9"/>
        <v/>
      </c>
      <c r="S44" s="483" t="str">
        <f t="shared" ca="1" si="9"/>
        <v/>
      </c>
      <c r="T44" s="483" t="str">
        <f t="shared" ca="1" si="9"/>
        <v/>
      </c>
      <c r="U44" s="483" t="str">
        <f t="shared" ca="1" si="9"/>
        <v/>
      </c>
      <c r="V44" s="483" t="str">
        <f t="shared" ca="1" si="9"/>
        <v/>
      </c>
      <c r="W44" s="483" t="str">
        <f t="shared" ca="1" si="9"/>
        <v/>
      </c>
      <c r="X44" s="483" t="str">
        <f t="shared" ca="1" si="9"/>
        <v/>
      </c>
      <c r="Y44" s="483" t="str">
        <f t="shared" ca="1" si="8"/>
        <v/>
      </c>
      <c r="Z44" s="483" t="str">
        <f t="shared" ca="1" si="8"/>
        <v/>
      </c>
      <c r="AA44" s="483" t="str">
        <f t="shared" ca="1" si="8"/>
        <v/>
      </c>
      <c r="AB44" s="484" t="str">
        <f t="shared" ca="1" si="8"/>
        <v/>
      </c>
      <c r="AC44" s="484" t="str">
        <f t="shared" ca="1" si="8"/>
        <v/>
      </c>
      <c r="AD44" s="484" t="str">
        <f t="shared" ca="1" si="8"/>
        <v/>
      </c>
      <c r="AE44" s="484" t="str">
        <f t="shared" ca="1" si="8"/>
        <v/>
      </c>
      <c r="AF44" s="484" t="str">
        <f t="shared" ca="1" si="2"/>
        <v/>
      </c>
    </row>
    <row r="45" spans="1:32" s="451" customFormat="1" ht="11.1" customHeight="1">
      <c r="A45" s="441"/>
      <c r="B45" s="485" t="s">
        <v>1021</v>
      </c>
      <c r="C45" s="478" t="s">
        <v>991</v>
      </c>
      <c r="D45" s="478"/>
      <c r="E45" s="479">
        <v>0</v>
      </c>
      <c r="F45" s="480">
        <f t="shared" ref="F45:F50" ca="1" si="10">F44+31</f>
        <v>46422</v>
      </c>
      <c r="G45" s="481">
        <v>31</v>
      </c>
      <c r="H45" s="482"/>
      <c r="I45" s="483" t="str">
        <f t="shared" ca="1" si="9"/>
        <v/>
      </c>
      <c r="J45" s="483" t="str">
        <f t="shared" ca="1" si="9"/>
        <v/>
      </c>
      <c r="K45" s="483" t="str">
        <f t="shared" ca="1" si="9"/>
        <v/>
      </c>
      <c r="L45" s="483" t="str">
        <f t="shared" ca="1" si="9"/>
        <v/>
      </c>
      <c r="M45" s="483" t="str">
        <f t="shared" ca="1" si="9"/>
        <v/>
      </c>
      <c r="N45" s="483" t="str">
        <f t="shared" ca="1" si="9"/>
        <v/>
      </c>
      <c r="O45" s="483" t="str">
        <f t="shared" ca="1" si="9"/>
        <v/>
      </c>
      <c r="P45" s="486" t="str">
        <f t="shared" ca="1" si="9"/>
        <v/>
      </c>
      <c r="Q45" s="483" t="str">
        <f t="shared" ca="1" si="9"/>
        <v/>
      </c>
      <c r="R45" s="483" t="str">
        <f t="shared" ca="1" si="9"/>
        <v/>
      </c>
      <c r="S45" s="483" t="str">
        <f t="shared" ca="1" si="9"/>
        <v/>
      </c>
      <c r="T45" s="483" t="str">
        <f t="shared" ca="1" si="9"/>
        <v/>
      </c>
      <c r="U45" s="483" t="str">
        <f t="shared" ca="1" si="9"/>
        <v/>
      </c>
      <c r="V45" s="483" t="str">
        <f t="shared" ca="1" si="9"/>
        <v/>
      </c>
      <c r="W45" s="483" t="str">
        <f t="shared" ca="1" si="9"/>
        <v/>
      </c>
      <c r="X45" s="483" t="str">
        <f t="shared" ca="1" si="9"/>
        <v/>
      </c>
      <c r="Y45" s="483" t="str">
        <f t="shared" ca="1" si="8"/>
        <v/>
      </c>
      <c r="Z45" s="483" t="str">
        <f t="shared" ca="1" si="8"/>
        <v/>
      </c>
      <c r="AA45" s="483" t="str">
        <f t="shared" ca="1" si="8"/>
        <v/>
      </c>
      <c r="AB45" s="484" t="str">
        <f t="shared" ca="1" si="8"/>
        <v/>
      </c>
      <c r="AC45" s="484" t="str">
        <f t="shared" ca="1" si="8"/>
        <v/>
      </c>
      <c r="AD45" s="484" t="str">
        <f t="shared" ca="1" si="8"/>
        <v/>
      </c>
      <c r="AE45" s="484" t="str">
        <f t="shared" ca="1" si="8"/>
        <v/>
      </c>
      <c r="AF45" s="484" t="str">
        <f t="shared" ca="1" si="2"/>
        <v/>
      </c>
    </row>
    <row r="46" spans="1:32" s="451" customFormat="1" ht="11.1" customHeight="1">
      <c r="A46" s="441"/>
      <c r="B46" s="485" t="s">
        <v>1022</v>
      </c>
      <c r="C46" s="478" t="s">
        <v>991</v>
      </c>
      <c r="D46" s="478"/>
      <c r="E46" s="479">
        <v>0</v>
      </c>
      <c r="F46" s="480">
        <f t="shared" ca="1" si="10"/>
        <v>46453</v>
      </c>
      <c r="G46" s="481">
        <v>31</v>
      </c>
      <c r="H46" s="482"/>
      <c r="I46" s="483" t="str">
        <f t="shared" ca="1" si="9"/>
        <v/>
      </c>
      <c r="J46" s="483" t="str">
        <f t="shared" ca="1" si="9"/>
        <v/>
      </c>
      <c r="K46" s="483" t="str">
        <f t="shared" ca="1" si="9"/>
        <v/>
      </c>
      <c r="L46" s="483" t="str">
        <f t="shared" ca="1" si="9"/>
        <v/>
      </c>
      <c r="M46" s="483" t="str">
        <f t="shared" ca="1" si="9"/>
        <v/>
      </c>
      <c r="N46" s="483" t="str">
        <f t="shared" ca="1" si="9"/>
        <v/>
      </c>
      <c r="O46" s="483" t="str">
        <f t="shared" ca="1" si="9"/>
        <v/>
      </c>
      <c r="P46" s="483" t="str">
        <f t="shared" ca="1" si="9"/>
        <v/>
      </c>
      <c r="Q46" s="486" t="str">
        <f t="shared" ca="1" si="9"/>
        <v/>
      </c>
      <c r="R46" s="483" t="str">
        <f t="shared" ca="1" si="9"/>
        <v/>
      </c>
      <c r="S46" s="483" t="str">
        <f t="shared" ca="1" si="9"/>
        <v/>
      </c>
      <c r="T46" s="483" t="str">
        <f t="shared" ca="1" si="9"/>
        <v/>
      </c>
      <c r="U46" s="483" t="str">
        <f t="shared" ca="1" si="9"/>
        <v/>
      </c>
      <c r="V46" s="483" t="str">
        <f t="shared" ca="1" si="9"/>
        <v/>
      </c>
      <c r="W46" s="483" t="str">
        <f t="shared" ca="1" si="9"/>
        <v/>
      </c>
      <c r="X46" s="483" t="str">
        <f t="shared" ca="1" si="9"/>
        <v/>
      </c>
      <c r="Y46" s="483" t="str">
        <f t="shared" ca="1" si="8"/>
        <v/>
      </c>
      <c r="Z46" s="483" t="str">
        <f t="shared" ca="1" si="8"/>
        <v/>
      </c>
      <c r="AA46" s="483" t="str">
        <f t="shared" ca="1" si="8"/>
        <v/>
      </c>
      <c r="AB46" s="484" t="str">
        <f t="shared" ca="1" si="8"/>
        <v/>
      </c>
      <c r="AC46" s="484" t="str">
        <f t="shared" ca="1" si="8"/>
        <v/>
      </c>
      <c r="AD46" s="484" t="str">
        <f t="shared" ca="1" si="8"/>
        <v/>
      </c>
      <c r="AE46" s="484" t="str">
        <f t="shared" ca="1" si="8"/>
        <v/>
      </c>
      <c r="AF46" s="484" t="str">
        <f t="shared" ca="1" si="2"/>
        <v/>
      </c>
    </row>
    <row r="47" spans="1:32" s="451" customFormat="1" ht="11.1" customHeight="1">
      <c r="A47" s="441"/>
      <c r="B47" s="485" t="s">
        <v>1023</v>
      </c>
      <c r="C47" s="478" t="s">
        <v>991</v>
      </c>
      <c r="D47" s="478"/>
      <c r="E47" s="479">
        <v>0</v>
      </c>
      <c r="F47" s="480">
        <f ca="1">F46+28</f>
        <v>46481</v>
      </c>
      <c r="G47" s="481">
        <v>28</v>
      </c>
      <c r="H47" s="482"/>
      <c r="I47" s="483" t="str">
        <f t="shared" ca="1" si="9"/>
        <v/>
      </c>
      <c r="J47" s="483" t="str">
        <f t="shared" ca="1" si="9"/>
        <v/>
      </c>
      <c r="K47" s="483" t="str">
        <f t="shared" ca="1" si="9"/>
        <v/>
      </c>
      <c r="L47" s="483" t="str">
        <f t="shared" ca="1" si="9"/>
        <v/>
      </c>
      <c r="M47" s="483" t="str">
        <f t="shared" ca="1" si="9"/>
        <v/>
      </c>
      <c r="N47" s="483" t="str">
        <f t="shared" ca="1" si="9"/>
        <v/>
      </c>
      <c r="O47" s="483" t="str">
        <f t="shared" ca="1" si="9"/>
        <v/>
      </c>
      <c r="P47" s="483" t="str">
        <f t="shared" ca="1" si="9"/>
        <v/>
      </c>
      <c r="Q47" s="483" t="str">
        <f t="shared" ca="1" si="9"/>
        <v/>
      </c>
      <c r="R47" s="486" t="str">
        <f t="shared" ca="1" si="9"/>
        <v/>
      </c>
      <c r="S47" s="483" t="str">
        <f t="shared" ca="1" si="9"/>
        <v/>
      </c>
      <c r="T47" s="483" t="str">
        <f t="shared" ca="1" si="9"/>
        <v/>
      </c>
      <c r="U47" s="483" t="str">
        <f t="shared" ca="1" si="9"/>
        <v/>
      </c>
      <c r="V47" s="483" t="str">
        <f t="shared" ca="1" si="9"/>
        <v/>
      </c>
      <c r="W47" s="483" t="str">
        <f t="shared" ca="1" si="9"/>
        <v/>
      </c>
      <c r="X47" s="483" t="str">
        <f t="shared" ca="1" si="9"/>
        <v/>
      </c>
      <c r="Y47" s="483" t="str">
        <f t="shared" ca="1" si="8"/>
        <v/>
      </c>
      <c r="Z47" s="483" t="str">
        <f t="shared" ca="1" si="8"/>
        <v/>
      </c>
      <c r="AA47" s="483" t="str">
        <f t="shared" ca="1" si="8"/>
        <v/>
      </c>
      <c r="AB47" s="484" t="str">
        <f t="shared" ca="1" si="8"/>
        <v/>
      </c>
      <c r="AC47" s="484" t="str">
        <f t="shared" ca="1" si="8"/>
        <v/>
      </c>
      <c r="AD47" s="484" t="str">
        <f t="shared" ca="1" si="8"/>
        <v/>
      </c>
      <c r="AE47" s="484" t="str">
        <f t="shared" ca="1" si="8"/>
        <v/>
      </c>
      <c r="AF47" s="484" t="str">
        <f t="shared" ca="1" si="2"/>
        <v/>
      </c>
    </row>
    <row r="48" spans="1:32" s="451" customFormat="1" ht="11.1" customHeight="1">
      <c r="A48" s="444"/>
      <c r="B48" s="485" t="s">
        <v>1024</v>
      </c>
      <c r="C48" s="478" t="s">
        <v>991</v>
      </c>
      <c r="D48" s="478"/>
      <c r="E48" s="479">
        <v>0</v>
      </c>
      <c r="F48" s="480">
        <f t="shared" ca="1" si="10"/>
        <v>46512</v>
      </c>
      <c r="G48" s="481">
        <v>31</v>
      </c>
      <c r="H48" s="482"/>
      <c r="I48" s="483" t="str">
        <f t="shared" ca="1" si="9"/>
        <v/>
      </c>
      <c r="J48" s="483" t="str">
        <f t="shared" ca="1" si="9"/>
        <v/>
      </c>
      <c r="K48" s="483" t="str">
        <f t="shared" ca="1" si="9"/>
        <v/>
      </c>
      <c r="L48" s="483" t="str">
        <f t="shared" ca="1" si="9"/>
        <v/>
      </c>
      <c r="M48" s="483" t="str">
        <f t="shared" ca="1" si="9"/>
        <v/>
      </c>
      <c r="N48" s="483" t="str">
        <f t="shared" ca="1" si="9"/>
        <v/>
      </c>
      <c r="O48" s="483" t="str">
        <f t="shared" ca="1" si="9"/>
        <v/>
      </c>
      <c r="P48" s="483" t="str">
        <f t="shared" ca="1" si="9"/>
        <v/>
      </c>
      <c r="Q48" s="483" t="str">
        <f t="shared" ca="1" si="9"/>
        <v/>
      </c>
      <c r="R48" s="483" t="str">
        <f t="shared" ca="1" si="9"/>
        <v/>
      </c>
      <c r="S48" s="486" t="str">
        <f t="shared" ca="1" si="9"/>
        <v/>
      </c>
      <c r="T48" s="483" t="str">
        <f t="shared" ca="1" si="9"/>
        <v/>
      </c>
      <c r="U48" s="483" t="str">
        <f t="shared" ca="1" si="9"/>
        <v/>
      </c>
      <c r="V48" s="483" t="str">
        <f t="shared" ca="1" si="9"/>
        <v/>
      </c>
      <c r="W48" s="483" t="str">
        <f t="shared" ca="1" si="9"/>
        <v/>
      </c>
      <c r="X48" s="483" t="str">
        <f t="shared" ca="1" si="9"/>
        <v/>
      </c>
      <c r="Y48" s="483" t="str">
        <f t="shared" ca="1" si="8"/>
        <v/>
      </c>
      <c r="Z48" s="483" t="str">
        <f t="shared" ca="1" si="8"/>
        <v/>
      </c>
      <c r="AA48" s="483" t="str">
        <f t="shared" ca="1" si="8"/>
        <v/>
      </c>
      <c r="AB48" s="484" t="str">
        <f t="shared" ca="1" si="8"/>
        <v/>
      </c>
      <c r="AC48" s="484" t="str">
        <f t="shared" ca="1" si="8"/>
        <v/>
      </c>
      <c r="AD48" s="484" t="str">
        <f t="shared" ca="1" si="8"/>
        <v/>
      </c>
      <c r="AE48" s="484" t="str">
        <f t="shared" ca="1" si="8"/>
        <v/>
      </c>
      <c r="AF48" s="484" t="str">
        <f t="shared" ca="1" si="2"/>
        <v/>
      </c>
    </row>
    <row r="49" spans="2:32" ht="11.1" customHeight="1">
      <c r="B49" s="485" t="s">
        <v>1025</v>
      </c>
      <c r="C49" s="478" t="s">
        <v>991</v>
      </c>
      <c r="D49" s="478"/>
      <c r="E49" s="479">
        <v>0</v>
      </c>
      <c r="F49" s="480">
        <f ca="1">F48+30</f>
        <v>46542</v>
      </c>
      <c r="G49" s="481">
        <v>30</v>
      </c>
      <c r="H49" s="487"/>
      <c r="I49" s="483" t="str">
        <f t="shared" ca="1" si="9"/>
        <v/>
      </c>
      <c r="J49" s="483" t="str">
        <f t="shared" ca="1" si="9"/>
        <v/>
      </c>
      <c r="K49" s="483" t="str">
        <f t="shared" ca="1" si="9"/>
        <v/>
      </c>
      <c r="L49" s="483" t="str">
        <f t="shared" ca="1" si="9"/>
        <v/>
      </c>
      <c r="M49" s="483" t="str">
        <f t="shared" ca="1" si="9"/>
        <v/>
      </c>
      <c r="N49" s="483" t="str">
        <f t="shared" ca="1" si="9"/>
        <v/>
      </c>
      <c r="O49" s="483" t="str">
        <f t="shared" ca="1" si="9"/>
        <v/>
      </c>
      <c r="P49" s="483" t="str">
        <f t="shared" ca="1" si="9"/>
        <v/>
      </c>
      <c r="Q49" s="483" t="str">
        <f t="shared" ca="1" si="9"/>
        <v/>
      </c>
      <c r="R49" s="483" t="str">
        <f t="shared" ca="1" si="9"/>
        <v/>
      </c>
      <c r="S49" s="483" t="str">
        <f t="shared" ca="1" si="9"/>
        <v/>
      </c>
      <c r="T49" s="486" t="str">
        <f t="shared" ca="1" si="9"/>
        <v/>
      </c>
      <c r="U49" s="483" t="str">
        <f t="shared" ca="1" si="9"/>
        <v/>
      </c>
      <c r="V49" s="483" t="str">
        <f t="shared" ca="1" si="9"/>
        <v/>
      </c>
      <c r="W49" s="483" t="str">
        <f t="shared" ca="1" si="9"/>
        <v/>
      </c>
      <c r="X49" s="483" t="str">
        <f t="shared" ca="1" si="9"/>
        <v/>
      </c>
      <c r="Y49" s="483" t="str">
        <f t="shared" ca="1" si="8"/>
        <v/>
      </c>
      <c r="Z49" s="483" t="str">
        <f t="shared" ca="1" si="8"/>
        <v/>
      </c>
      <c r="AA49" s="483" t="str">
        <f t="shared" ca="1" si="8"/>
        <v/>
      </c>
      <c r="AB49" s="484" t="str">
        <f t="shared" ca="1" si="8"/>
        <v/>
      </c>
      <c r="AC49" s="484" t="str">
        <f t="shared" ca="1" si="8"/>
        <v/>
      </c>
      <c r="AD49" s="484" t="str">
        <f t="shared" ca="1" si="8"/>
        <v/>
      </c>
      <c r="AE49" s="484" t="str">
        <f t="shared" ca="1" si="8"/>
        <v/>
      </c>
      <c r="AF49" s="484" t="str">
        <f t="shared" ca="1" si="2"/>
        <v/>
      </c>
    </row>
    <row r="50" spans="2:32" ht="11.1" customHeight="1">
      <c r="B50" s="485" t="s">
        <v>1026</v>
      </c>
      <c r="C50" s="478" t="s">
        <v>991</v>
      </c>
      <c r="D50" s="478"/>
      <c r="E50" s="479">
        <v>0</v>
      </c>
      <c r="F50" s="480">
        <f t="shared" ca="1" si="10"/>
        <v>46573</v>
      </c>
      <c r="G50" s="481">
        <v>31</v>
      </c>
      <c r="I50" s="483" t="str">
        <f t="shared" ca="1" si="9"/>
        <v/>
      </c>
      <c r="J50" s="483" t="str">
        <f t="shared" ca="1" si="9"/>
        <v/>
      </c>
      <c r="K50" s="483" t="str">
        <f t="shared" ca="1" si="9"/>
        <v/>
      </c>
      <c r="L50" s="483" t="str">
        <f t="shared" ca="1" si="9"/>
        <v/>
      </c>
      <c r="M50" s="483" t="str">
        <f t="shared" ca="1" si="9"/>
        <v/>
      </c>
      <c r="N50" s="483" t="str">
        <f t="shared" ca="1" si="9"/>
        <v/>
      </c>
      <c r="O50" s="483" t="str">
        <f t="shared" ca="1" si="9"/>
        <v/>
      </c>
      <c r="P50" s="483" t="str">
        <f t="shared" ca="1" si="9"/>
        <v/>
      </c>
      <c r="Q50" s="483" t="str">
        <f t="shared" ca="1" si="9"/>
        <v/>
      </c>
      <c r="R50" s="483" t="str">
        <f t="shared" ca="1" si="9"/>
        <v/>
      </c>
      <c r="S50" s="483" t="str">
        <f t="shared" ca="1" si="9"/>
        <v/>
      </c>
      <c r="T50" s="483" t="str">
        <f t="shared" ca="1" si="9"/>
        <v/>
      </c>
      <c r="U50" s="486" t="str">
        <f t="shared" ca="1" si="9"/>
        <v/>
      </c>
      <c r="V50" s="483" t="str">
        <f t="shared" ca="1" si="9"/>
        <v/>
      </c>
      <c r="W50" s="483" t="str">
        <f t="shared" ca="1" si="9"/>
        <v/>
      </c>
      <c r="X50" s="483" t="str">
        <f t="shared" ca="1" si="9"/>
        <v/>
      </c>
      <c r="Y50" s="483" t="str">
        <f t="shared" ca="1" si="8"/>
        <v/>
      </c>
      <c r="Z50" s="483" t="str">
        <f t="shared" ca="1" si="8"/>
        <v/>
      </c>
      <c r="AA50" s="483" t="str">
        <f t="shared" ca="1" si="8"/>
        <v/>
      </c>
      <c r="AB50" s="484" t="str">
        <f t="shared" ca="1" si="8"/>
        <v/>
      </c>
      <c r="AC50" s="484" t="str">
        <f t="shared" ca="1" si="8"/>
        <v/>
      </c>
      <c r="AD50" s="484" t="str">
        <f t="shared" ca="1" si="8"/>
        <v/>
      </c>
      <c r="AE50" s="484" t="str">
        <f t="shared" ca="1" si="8"/>
        <v/>
      </c>
      <c r="AF50" s="484" t="str">
        <f t="shared" ca="1" si="2"/>
        <v/>
      </c>
    </row>
  </sheetData>
  <mergeCells count="10">
    <mergeCell ref="X4:AA4"/>
    <mergeCell ref="AC4:AF4"/>
    <mergeCell ref="I7:O7"/>
    <mergeCell ref="P7:AA7"/>
    <mergeCell ref="B2:H2"/>
    <mergeCell ref="I2:N2"/>
    <mergeCell ref="O2:T2"/>
    <mergeCell ref="I4:L4"/>
    <mergeCell ref="N4:Q4"/>
    <mergeCell ref="S4:V4"/>
  </mergeCells>
  <conditionalFormatting sqref="E9:E50">
    <cfRule type="dataBar" priority="1">
      <dataBar>
        <cfvo type="num" val="0"/>
        <cfvo type="num" val="1"/>
        <color theme="9" tint="0.59999389629810485"/>
      </dataBar>
      <extLst>
        <ext xmlns:x14="http://schemas.microsoft.com/office/spreadsheetml/2009/9/main" uri="{B025F937-C7B1-47D3-B67F-A62EFF666E3E}">
          <x14:id>{35AEECB4-172D-4072-93B6-395C819DA57C}</x14:id>
        </ext>
      </extLst>
    </cfRule>
  </conditionalFormatting>
  <conditionalFormatting sqref="I8:AD50">
    <cfRule type="expression" dxfId="64" priority="14">
      <formula>AND(TODAY()&gt;=I$8,TODAY()&lt;J$8)</formula>
    </cfRule>
  </conditionalFormatting>
  <conditionalFormatting sqref="I10:AE50">
    <cfRule type="expression" dxfId="63" priority="18" stopIfTrue="1">
      <formula>AND($C10="Riesgo bajo",I$8&gt;=$F10,I$8&lt;=$F10+$G10-1)</formula>
    </cfRule>
    <cfRule type="expression" dxfId="62" priority="19" stopIfTrue="1">
      <formula>AND($C10="Riesgo alto",I$8&gt;=$F10,I$8&lt;=$F10+$G10-1)</formula>
    </cfRule>
    <cfRule type="expression" dxfId="61" priority="20" stopIfTrue="1">
      <formula>AND($C10="Según lo previsto",I$8&gt;=$F10,I$8&lt;=$F10+$G10-1)</formula>
    </cfRule>
    <cfRule type="expression" dxfId="60" priority="21" stopIfTrue="1">
      <formula>AND($C10="Riesgo medio",I$8&gt;=$F10,I$8&lt;=$F10+$G10-1)</formula>
    </cfRule>
    <cfRule type="expression" dxfId="59" priority="22" stopIfTrue="1">
      <formula>AND(LEN($C10)=0,I$8&gt;=$F10,I$8&lt;=$F10+$G10-1)</formula>
    </cfRule>
  </conditionalFormatting>
  <conditionalFormatting sqref="AB6:AE6 I7 P7">
    <cfRule type="expression" dxfId="58" priority="9">
      <formula>I$8&lt;=EOMONTH($I$8,0)</formula>
    </cfRule>
    <cfRule type="expression" dxfId="57" priority="11">
      <formula>AND(I$8&lt;=EOMONTH($I$8,1),I$8&gt;EOMONTH($I$8,0))</formula>
    </cfRule>
  </conditionalFormatting>
  <conditionalFormatting sqref="AB6:AE6 P7">
    <cfRule type="expression" dxfId="56" priority="15">
      <formula>AND(P$8&lt;=EOMONTH($I$8,2),P$8&gt;EOMONTH($I$8,0),P$8&gt;EOMONTH($I$8,1))</formula>
    </cfRule>
  </conditionalFormatting>
  <conditionalFormatting sqref="AE8:AE50">
    <cfRule type="expression" dxfId="55" priority="13">
      <formula>AND(TODAY()&gt;=AE$8,TODAY()&lt;AF$7)</formula>
    </cfRule>
  </conditionalFormatting>
  <conditionalFormatting sqref="AF6">
    <cfRule type="expression" dxfId="54" priority="10">
      <formula>AF$7&lt;=EOMONTH($I$8,0)</formula>
    </cfRule>
    <cfRule type="expression" dxfId="53" priority="12">
      <formula>AND(AF$7&lt;=EOMONTH($I$8,1),AF$7&gt;EOMONTH($I$8,0))</formula>
    </cfRule>
    <cfRule type="expression" dxfId="52" priority="16">
      <formula>AND(AF$7&lt;=EOMONTH($I$8,2),AF$7&gt;EOMONTH($I$8,0),AF$7&gt;EOMONTH($I$8,1))</formula>
    </cfRule>
  </conditionalFormatting>
  <conditionalFormatting sqref="AF7:AF50">
    <cfRule type="expression" dxfId="51" priority="2">
      <formula>AND(TODAY()&gt;=AF$7,TODAY()&lt;#REF!)</formula>
    </cfRule>
  </conditionalFormatting>
  <conditionalFormatting sqref="AF10:AF50">
    <cfRule type="expression" dxfId="50" priority="4" stopIfTrue="1">
      <formula>AND($C10="Riesgo bajo",AF$7&gt;=$F10,AF$7&lt;=$F10+$G10-1)</formula>
    </cfRule>
    <cfRule type="expression" dxfId="49" priority="5" stopIfTrue="1">
      <formula>AND($C10="Riesgo alto",AF$7&gt;=$F10,AF$7&lt;=$F10+$G10-1)</formula>
    </cfRule>
    <cfRule type="expression" dxfId="48" priority="6" stopIfTrue="1">
      <formula>AND($C10="Según lo previsto",AF$7&gt;=$F10,AF$7&lt;=$F10+$G10-1)</formula>
    </cfRule>
    <cfRule type="expression" dxfId="47" priority="7" stopIfTrue="1">
      <formula>AND($C10="Riesgo medio",AF$7&gt;=$F10,AF$7&lt;=$F10+$G10-1)</formula>
    </cfRule>
    <cfRule type="expression" dxfId="46" priority="8" stopIfTrue="1">
      <formula>AND(LEN($C10)=0,AF$7&gt;=$F10,AF$7&lt;=$F10+$G10-1)</formula>
    </cfRule>
  </conditionalFormatting>
  <dataValidations count="13">
    <dataValidation type="list" allowBlank="1" showInputMessage="1" sqref="C11" xr:uid="{24F639C3-F001-4C42-9099-7AC66A9C1D2E}">
      <formula1>"Objetivo,Hito,Según lo previsto, Riesgo bajo, Riesgo medio, Riesgo alto"</formula1>
    </dataValidation>
    <dataValidation type="list" allowBlank="1" showInputMessage="1" showErrorMessage="1" sqref="C10 C12:C50" xr:uid="{BF58BCFD-C3CB-47D5-84BB-5C35D8EC576F}">
      <formula1>"Objetivo,Hito,Según lo previsto, Riesgo bajo, Riesgo medio, Riesgo alto"</formula1>
    </dataValidation>
    <dataValidation type="whole" operator="greaterThanOrEqual" allowBlank="1" showInputMessage="1" promptTitle="Incremento de desplazamiento" prompt="Al cambiar este número, se desplazará la vista del diagrama de Gantt." sqref="C7" xr:uid="{D77D8D9A-04F5-4995-9045-EA3FE7D558C6}">
      <formula1>0</formula1>
    </dataValidation>
    <dataValidation allowBlank="1" showInputMessage="1" showErrorMessage="1" prompt="Esta es una fila vacía" sqref="A47" xr:uid="{CFAECF35-17A8-48A5-9296-199EA468B28A}"/>
    <dataValidation allowBlank="1" showInputMessage="1" showErrorMessage="1" prompt="Esta fila marca el final de los datos del hito de Gantt. NO escriba nada en esta fila. _x000a_Para agregar más elementos, inserte las nuevas filas encima de esta._x000a_" sqref="A48" xr:uid="{F53F675F-E02C-440E-9248-6AF05D16AA2D}"/>
    <dataValidation allowBlank="1" showInputMessage="1" showErrorMessage="1" prompt="Escriba información del proyecto desde la celda B11 hasta la G11. _x000a_Escriba la descripción del hito, seleccione una categoría, asigne a alguien a la tarea y escriba el progreso, fecha de inicio y días para que la tarea empiece el gráfico._x000a_" sqref="A11" xr:uid="{1C6A4DED-B63F-4682-816C-A0FC6A0A6E52}"/>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6B3B1A78-27D5-4F0E-8094-46369BA92C54}"/>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56E420A1-187D-491C-A711-B01A4DE5A049}"/>
    <dataValidation allowBlank="1" showInputMessage="1" showErrorMessage="1" prompt="Las celdas I9 a BL9 contienen el día del mes representado en el bloque de celdas, encima de cada celda de fecha, y se calculan automáticamente._x000a_No modifique estas celdas._x000a_" sqref="A7" xr:uid="{AC32AB27-9934-4385-BD09-EFFFC8516C0C}"/>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ACFE26BC-08CC-4969-A112-7147EF021259}"/>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BC4D6A77-08FD-4BB9-9349-D181C06C306A}"/>
    <dataValidation allowBlank="1" showInputMessage="1" showErrorMessage="1" prompt="Escriba el nombre de la empresa en B4._x000a_Figura una leyenda entre las celdas I4 y AC4. La etiqueta de leyenda está en la celda G4." sqref="A4" xr:uid="{5E34CBAC-781D-48A3-B9E9-70644508868F}"/>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2088D58D-BFA7-48D0-A97F-2B8B42E224BF}"/>
  </dataValidations>
  <pageMargins left="0.5" right="0.5" top="0.5" bottom="0.5" header="0.3" footer="0.3"/>
  <pageSetup paperSize="8" scale="81" fitToHeight="0" orientation="landscape"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35AEECB4-172D-4072-93B6-395C819DA57C}">
            <x14:dataBar minLength="0" maxLength="100" gradient="0">
              <x14:cfvo type="num">
                <xm:f>0</xm:f>
              </x14:cfvo>
              <x14:cfvo type="num">
                <xm:f>1</xm:f>
              </x14:cfvo>
              <x14:negativeFillColor rgb="FFFF0000"/>
              <x14:axisColor rgb="FF000000"/>
            </x14:dataBar>
          </x14:cfRule>
          <xm:sqref>E9:E50</xm:sqref>
        </x14:conditionalFormatting>
        <x14:conditionalFormatting xmlns:xm="http://schemas.microsoft.com/office/excel/2006/main">
          <x14:cfRule type="iconSet" priority="17" id="{79B6DBBB-8FF0-4BD9-9A60-7B3D866BC348}">
            <x14:iconSet iconSet="3Stars" showValue="0" custom="1">
              <x14:cfvo type="percent">
                <xm:f>0</xm:f>
              </x14:cfvo>
              <x14:cfvo type="num">
                <xm:f>1</xm:f>
              </x14:cfvo>
              <x14:cfvo type="num">
                <xm:f>2</xm:f>
              </x14:cfvo>
              <x14:cfIcon iconSet="NoIcons" iconId="0"/>
              <x14:cfIcon iconSet="3Flags" iconId="1"/>
              <x14:cfIcon iconSet="3Signs" iconId="0"/>
            </x14:iconSet>
          </x14:cfRule>
          <xm:sqref>I10:AE50</xm:sqref>
        </x14:conditionalFormatting>
        <x14:conditionalFormatting xmlns:xm="http://schemas.microsoft.com/office/excel/2006/main">
          <x14:cfRule type="iconSet" priority="3" id="{60F2362A-E054-46D8-AFE0-F52627996525}">
            <x14:iconSet iconSet="3Stars" showValue="0" custom="1">
              <x14:cfvo type="percent">
                <xm:f>0</xm:f>
              </x14:cfvo>
              <x14:cfvo type="num">
                <xm:f>1</xm:f>
              </x14:cfvo>
              <x14:cfvo type="num">
                <xm:f>2</xm:f>
              </x14:cfvo>
              <x14:cfIcon iconSet="NoIcons" iconId="0"/>
              <x14:cfIcon iconSet="3Flags" iconId="1"/>
              <x14:cfIcon iconSet="3Signs" iconId="0"/>
            </x14:iconSet>
          </x14:cfRule>
          <xm:sqref>AF10:AF50</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8CDAD-74D4-4CE8-A4E5-549FA1D5695E}">
  <dimension ref="B3:AC202"/>
  <sheetViews>
    <sheetView view="pageLayout" topLeftCell="A16" zoomScale="60" zoomScaleNormal="60" zoomScalePageLayoutView="60" workbookViewId="0">
      <selection activeCell="AJ203" sqref="A1:AJ203"/>
    </sheetView>
  </sheetViews>
  <sheetFormatPr baseColWidth="10" defaultColWidth="10.7109375" defaultRowHeight="15"/>
  <cols>
    <col min="2" max="2" width="9.7109375" style="240" customWidth="1"/>
  </cols>
  <sheetData>
    <row r="3" spans="2:29" ht="45">
      <c r="D3" s="642" t="s">
        <v>796</v>
      </c>
      <c r="E3" s="642"/>
      <c r="F3" s="642"/>
      <c r="G3" s="642"/>
      <c r="H3" s="642"/>
      <c r="I3" s="642"/>
      <c r="J3" s="642"/>
      <c r="K3" s="642"/>
      <c r="L3" s="642"/>
      <c r="M3" s="642"/>
      <c r="N3" s="642"/>
      <c r="O3" s="642"/>
      <c r="P3" s="642"/>
      <c r="Q3" s="642"/>
      <c r="R3" s="642"/>
      <c r="S3" s="642"/>
      <c r="T3" s="642"/>
      <c r="U3" s="642"/>
      <c r="V3" s="642"/>
      <c r="W3" s="642"/>
      <c r="X3" s="642"/>
      <c r="Y3" s="642"/>
      <c r="Z3" s="642"/>
      <c r="AA3" s="642"/>
      <c r="AB3" s="642"/>
      <c r="AC3" s="642"/>
    </row>
    <row r="5" spans="2:29" s="239" customFormat="1" ht="154.5" customHeight="1">
      <c r="B5" s="244" t="s">
        <v>799</v>
      </c>
      <c r="C5" s="245" t="s">
        <v>784</v>
      </c>
      <c r="D5" s="245" t="s">
        <v>694</v>
      </c>
      <c r="E5" s="245" t="s">
        <v>693</v>
      </c>
      <c r="F5" s="245" t="s">
        <v>697</v>
      </c>
      <c r="G5" s="245" t="s">
        <v>785</v>
      </c>
      <c r="H5" s="245" t="s">
        <v>789</v>
      </c>
      <c r="I5" s="245" t="s">
        <v>788</v>
      </c>
      <c r="J5" s="245" t="s">
        <v>786</v>
      </c>
      <c r="K5" s="245" t="s">
        <v>795</v>
      </c>
      <c r="L5" s="245" t="s">
        <v>790</v>
      </c>
      <c r="M5" s="245" t="s">
        <v>806</v>
      </c>
      <c r="N5" s="245" t="s">
        <v>787</v>
      </c>
      <c r="O5" s="245" t="s">
        <v>797</v>
      </c>
      <c r="P5" s="245" t="s">
        <v>791</v>
      </c>
      <c r="Q5" s="245" t="s">
        <v>792</v>
      </c>
      <c r="R5" s="245" t="s">
        <v>803</v>
      </c>
      <c r="S5" s="245" t="s">
        <v>794</v>
      </c>
      <c r="T5" s="245" t="s">
        <v>804</v>
      </c>
      <c r="U5" s="245" t="s">
        <v>793</v>
      </c>
      <c r="V5" s="245" t="s">
        <v>798</v>
      </c>
      <c r="W5" s="238"/>
    </row>
    <row r="6" spans="2:29" ht="15.75">
      <c r="B6" s="242">
        <v>201</v>
      </c>
      <c r="C6" s="247"/>
      <c r="D6" s="248"/>
      <c r="E6" s="248"/>
      <c r="F6" s="248"/>
      <c r="G6" s="248"/>
      <c r="H6" s="248"/>
      <c r="I6" s="248"/>
      <c r="J6" s="248"/>
      <c r="K6" s="248"/>
      <c r="L6" s="248"/>
      <c r="M6" s="248"/>
      <c r="N6" s="248"/>
      <c r="O6" s="248"/>
      <c r="P6" s="248"/>
      <c r="Q6" s="248"/>
      <c r="R6" s="248"/>
      <c r="S6" s="248"/>
      <c r="T6" s="248"/>
      <c r="U6" s="248"/>
      <c r="V6" s="249"/>
    </row>
    <row r="7" spans="2:29" ht="15.75">
      <c r="B7" s="242">
        <v>202</v>
      </c>
      <c r="C7" s="247"/>
      <c r="D7" s="248"/>
      <c r="E7" s="248"/>
      <c r="F7" s="248"/>
      <c r="G7" s="248"/>
      <c r="H7" s="248"/>
      <c r="I7" s="248"/>
      <c r="J7" s="248"/>
      <c r="K7" s="248"/>
      <c r="L7" s="248"/>
      <c r="M7" s="248"/>
      <c r="N7" s="248"/>
      <c r="O7" s="248"/>
      <c r="P7" s="248"/>
      <c r="Q7" s="248"/>
      <c r="R7" s="248"/>
      <c r="S7" s="248"/>
      <c r="T7" s="248"/>
      <c r="U7" s="248"/>
      <c r="V7" s="246"/>
    </row>
    <row r="8" spans="2:29" ht="15.75">
      <c r="B8" s="242">
        <v>203</v>
      </c>
      <c r="C8" s="247"/>
      <c r="D8" s="248"/>
      <c r="E8" s="248"/>
      <c r="F8" s="248"/>
      <c r="G8" s="248"/>
      <c r="H8" s="248"/>
      <c r="I8" s="248"/>
      <c r="J8" s="248"/>
      <c r="K8" s="248"/>
      <c r="L8" s="248"/>
      <c r="M8" s="248"/>
      <c r="N8" s="248"/>
      <c r="O8" s="248"/>
      <c r="P8" s="248"/>
      <c r="Q8" s="248"/>
      <c r="R8" s="248"/>
      <c r="S8" s="248"/>
      <c r="T8" s="248"/>
      <c r="U8" s="248"/>
      <c r="V8" s="246"/>
    </row>
    <row r="9" spans="2:29" ht="15.75">
      <c r="B9" s="242">
        <v>204</v>
      </c>
      <c r="C9" s="247"/>
      <c r="D9" s="248"/>
      <c r="E9" s="248"/>
      <c r="F9" s="248"/>
      <c r="G9" s="248"/>
      <c r="H9" s="248"/>
      <c r="I9" s="248"/>
      <c r="J9" s="248"/>
      <c r="K9" s="248"/>
      <c r="L9" s="248"/>
      <c r="M9" s="248"/>
      <c r="N9" s="248"/>
      <c r="O9" s="248"/>
      <c r="P9" s="248"/>
      <c r="Q9" s="248"/>
      <c r="R9" s="248"/>
      <c r="S9" s="248"/>
      <c r="T9" s="248"/>
      <c r="U9" s="248"/>
      <c r="V9" s="246"/>
    </row>
    <row r="10" spans="2:29" ht="15.75">
      <c r="B10" s="242">
        <v>205</v>
      </c>
      <c r="C10" s="247"/>
      <c r="D10" s="248"/>
      <c r="E10" s="248"/>
      <c r="F10" s="248"/>
      <c r="G10" s="248"/>
      <c r="H10" s="248"/>
      <c r="I10" s="248"/>
      <c r="J10" s="248"/>
      <c r="K10" s="248"/>
      <c r="L10" s="248"/>
      <c r="M10" s="248"/>
      <c r="N10" s="248"/>
      <c r="O10" s="248"/>
      <c r="P10" s="248"/>
      <c r="Q10" s="248"/>
      <c r="R10" s="248"/>
      <c r="S10" s="248"/>
      <c r="T10" s="248"/>
      <c r="U10" s="248"/>
      <c r="V10" s="246"/>
    </row>
    <row r="11" spans="2:29" ht="15.75">
      <c r="B11" s="242">
        <v>206</v>
      </c>
      <c r="C11" s="247"/>
      <c r="D11" s="248"/>
      <c r="E11" s="248"/>
      <c r="F11" s="248"/>
      <c r="G11" s="248"/>
      <c r="H11" s="248"/>
      <c r="I11" s="248"/>
      <c r="J11" s="248"/>
      <c r="K11" s="248"/>
      <c r="L11" s="248"/>
      <c r="M11" s="248"/>
      <c r="N11" s="248"/>
      <c r="O11" s="248"/>
      <c r="P11" s="248"/>
      <c r="Q11" s="248"/>
      <c r="R11" s="248"/>
      <c r="S11" s="248"/>
      <c r="T11" s="248"/>
      <c r="U11" s="248"/>
      <c r="V11" s="246"/>
    </row>
    <row r="12" spans="2:29" ht="15.75">
      <c r="B12" s="242">
        <v>207</v>
      </c>
      <c r="C12" s="247"/>
      <c r="D12" s="248"/>
      <c r="E12" s="248"/>
      <c r="F12" s="248"/>
      <c r="G12" s="248"/>
      <c r="H12" s="248"/>
      <c r="I12" s="248"/>
      <c r="J12" s="248"/>
      <c r="K12" s="248"/>
      <c r="L12" s="248"/>
      <c r="M12" s="248"/>
      <c r="N12" s="248"/>
      <c r="O12" s="248"/>
      <c r="P12" s="248"/>
      <c r="Q12" s="248"/>
      <c r="R12" s="248"/>
      <c r="S12" s="248"/>
      <c r="T12" s="248"/>
      <c r="U12" s="248"/>
      <c r="V12" s="246"/>
    </row>
    <row r="13" spans="2:29" ht="15.75">
      <c r="B13" s="242">
        <v>208</v>
      </c>
      <c r="C13" s="247"/>
      <c r="D13" s="248"/>
      <c r="E13" s="248"/>
      <c r="F13" s="248"/>
      <c r="G13" s="248"/>
      <c r="H13" s="248"/>
      <c r="I13" s="248"/>
      <c r="J13" s="248"/>
      <c r="K13" s="248"/>
      <c r="L13" s="248"/>
      <c r="M13" s="248"/>
      <c r="N13" s="248"/>
      <c r="O13" s="248"/>
      <c r="P13" s="248"/>
      <c r="Q13" s="248"/>
      <c r="R13" s="248"/>
      <c r="S13" s="248"/>
      <c r="T13" s="248"/>
      <c r="U13" s="248"/>
      <c r="V13" s="246"/>
    </row>
    <row r="14" spans="2:29" ht="15.75">
      <c r="B14" s="242">
        <v>209</v>
      </c>
      <c r="C14" s="247"/>
      <c r="D14" s="248"/>
      <c r="E14" s="248"/>
      <c r="F14" s="248"/>
      <c r="G14" s="248"/>
      <c r="H14" s="248"/>
      <c r="I14" s="248"/>
      <c r="J14" s="248"/>
      <c r="K14" s="248"/>
      <c r="L14" s="248"/>
      <c r="M14" s="248"/>
      <c r="N14" s="248"/>
      <c r="O14" s="248"/>
      <c r="P14" s="248"/>
      <c r="Q14" s="248"/>
      <c r="R14" s="248"/>
      <c r="S14" s="248"/>
      <c r="T14" s="248"/>
      <c r="U14" s="248"/>
      <c r="V14" s="246"/>
    </row>
    <row r="15" spans="2:29" ht="15.75">
      <c r="B15" s="242">
        <v>210</v>
      </c>
      <c r="C15" s="247"/>
      <c r="D15" s="248"/>
      <c r="E15" s="248"/>
      <c r="F15" s="248"/>
      <c r="G15" s="248"/>
      <c r="H15" s="248"/>
      <c r="I15" s="248"/>
      <c r="J15" s="248"/>
      <c r="K15" s="248"/>
      <c r="L15" s="248"/>
      <c r="M15" s="248"/>
      <c r="N15" s="248"/>
      <c r="O15" s="248"/>
      <c r="P15" s="248"/>
      <c r="Q15" s="248"/>
      <c r="R15" s="248"/>
      <c r="S15" s="248"/>
      <c r="T15" s="248"/>
      <c r="U15" s="248"/>
      <c r="V15" s="246"/>
    </row>
    <row r="16" spans="2:29" ht="15.75">
      <c r="B16" s="242">
        <v>211</v>
      </c>
      <c r="C16" s="247"/>
      <c r="D16" s="248"/>
      <c r="E16" s="248"/>
      <c r="F16" s="248"/>
      <c r="G16" s="248"/>
      <c r="H16" s="248"/>
      <c r="I16" s="248"/>
      <c r="J16" s="248"/>
      <c r="K16" s="248"/>
      <c r="L16" s="248"/>
      <c r="M16" s="248"/>
      <c r="N16" s="248"/>
      <c r="O16" s="248"/>
      <c r="P16" s="248"/>
      <c r="Q16" s="248"/>
      <c r="R16" s="248"/>
      <c r="S16" s="248"/>
      <c r="T16" s="248"/>
      <c r="U16" s="248"/>
      <c r="V16" s="246"/>
    </row>
    <row r="17" spans="2:22" ht="15.75">
      <c r="B17" s="242">
        <v>212</v>
      </c>
      <c r="C17" s="247"/>
      <c r="D17" s="248"/>
      <c r="E17" s="248"/>
      <c r="F17" s="248"/>
      <c r="G17" s="248"/>
      <c r="H17" s="248"/>
      <c r="I17" s="248"/>
      <c r="J17" s="248"/>
      <c r="K17" s="248"/>
      <c r="L17" s="248"/>
      <c r="M17" s="248"/>
      <c r="N17" s="248"/>
      <c r="O17" s="248"/>
      <c r="P17" s="248"/>
      <c r="Q17" s="248"/>
      <c r="R17" s="248"/>
      <c r="S17" s="248"/>
      <c r="T17" s="248"/>
      <c r="U17" s="248"/>
      <c r="V17" s="246"/>
    </row>
    <row r="18" spans="2:22" ht="15.75">
      <c r="B18" s="242">
        <v>213</v>
      </c>
      <c r="C18" s="247"/>
      <c r="D18" s="248"/>
      <c r="E18" s="248"/>
      <c r="F18" s="248"/>
      <c r="G18" s="248"/>
      <c r="H18" s="248"/>
      <c r="I18" s="248"/>
      <c r="J18" s="248"/>
      <c r="K18" s="248"/>
      <c r="L18" s="248"/>
      <c r="M18" s="248"/>
      <c r="N18" s="248"/>
      <c r="O18" s="248"/>
      <c r="P18" s="248"/>
      <c r="Q18" s="248"/>
      <c r="R18" s="248"/>
      <c r="S18" s="248"/>
      <c r="T18" s="248"/>
      <c r="U18" s="248"/>
      <c r="V18" s="246"/>
    </row>
    <row r="19" spans="2:22" ht="15.75">
      <c r="B19" s="242">
        <v>214</v>
      </c>
      <c r="C19" s="247"/>
      <c r="D19" s="248"/>
      <c r="E19" s="248"/>
      <c r="F19" s="248"/>
      <c r="G19" s="248"/>
      <c r="H19" s="248"/>
      <c r="I19" s="248"/>
      <c r="J19" s="248"/>
      <c r="K19" s="248"/>
      <c r="L19" s="248"/>
      <c r="M19" s="248"/>
      <c r="N19" s="248"/>
      <c r="O19" s="248"/>
      <c r="P19" s="248"/>
      <c r="Q19" s="248"/>
      <c r="R19" s="248"/>
      <c r="S19" s="248"/>
      <c r="T19" s="248"/>
      <c r="U19" s="248"/>
      <c r="V19" s="246"/>
    </row>
    <row r="20" spans="2:22" ht="15.75">
      <c r="B20" s="242">
        <v>215</v>
      </c>
      <c r="C20" s="247"/>
      <c r="D20" s="248"/>
      <c r="E20" s="248"/>
      <c r="F20" s="248"/>
      <c r="G20" s="248"/>
      <c r="H20" s="248"/>
      <c r="I20" s="248"/>
      <c r="J20" s="248"/>
      <c r="K20" s="248"/>
      <c r="L20" s="248"/>
      <c r="M20" s="248"/>
      <c r="N20" s="248"/>
      <c r="O20" s="248"/>
      <c r="P20" s="248"/>
      <c r="Q20" s="248"/>
      <c r="R20" s="248"/>
      <c r="S20" s="248"/>
      <c r="T20" s="248"/>
      <c r="U20" s="248"/>
      <c r="V20" s="246"/>
    </row>
    <row r="21" spans="2:22" ht="15.75">
      <c r="B21" s="242">
        <v>216</v>
      </c>
      <c r="C21" s="247"/>
      <c r="D21" s="248"/>
      <c r="E21" s="248"/>
      <c r="F21" s="248"/>
      <c r="G21" s="248"/>
      <c r="H21" s="248"/>
      <c r="I21" s="248"/>
      <c r="J21" s="248"/>
      <c r="K21" s="248"/>
      <c r="L21" s="248"/>
      <c r="M21" s="248"/>
      <c r="N21" s="248"/>
      <c r="O21" s="248"/>
      <c r="P21" s="248"/>
      <c r="Q21" s="248"/>
      <c r="R21" s="248"/>
      <c r="S21" s="248"/>
      <c r="T21" s="248"/>
      <c r="U21" s="248"/>
      <c r="V21" s="246"/>
    </row>
    <row r="22" spans="2:22" ht="15.75">
      <c r="B22" s="242">
        <v>217</v>
      </c>
      <c r="C22" s="247"/>
      <c r="D22" s="248"/>
      <c r="E22" s="248"/>
      <c r="F22" s="248"/>
      <c r="G22" s="248"/>
      <c r="H22" s="248"/>
      <c r="I22" s="248"/>
      <c r="J22" s="248"/>
      <c r="K22" s="248"/>
      <c r="L22" s="248"/>
      <c r="M22" s="248"/>
      <c r="N22" s="248"/>
      <c r="O22" s="248"/>
      <c r="P22" s="248"/>
      <c r="Q22" s="248"/>
      <c r="R22" s="248"/>
      <c r="S22" s="248"/>
      <c r="T22" s="248"/>
      <c r="U22" s="248"/>
      <c r="V22" s="250"/>
    </row>
    <row r="23" spans="2:22" ht="15.75">
      <c r="B23" s="243" t="s">
        <v>517</v>
      </c>
      <c r="C23" s="251"/>
      <c r="D23" s="251"/>
      <c r="E23" s="251"/>
      <c r="F23" s="251"/>
      <c r="G23" s="251"/>
      <c r="H23" s="251"/>
      <c r="I23" s="251"/>
      <c r="J23" s="251"/>
      <c r="K23" s="251"/>
      <c r="L23" s="251"/>
      <c r="M23" s="251"/>
      <c r="N23" s="251"/>
      <c r="O23" s="251"/>
      <c r="P23" s="251"/>
      <c r="Q23" s="251"/>
      <c r="R23" s="251"/>
      <c r="S23" s="251"/>
      <c r="T23" s="251"/>
      <c r="U23" s="251"/>
      <c r="V23" s="251"/>
    </row>
    <row r="24" spans="2:22" ht="15.75">
      <c r="B24" s="242">
        <v>301</v>
      </c>
      <c r="C24" s="247"/>
      <c r="D24" s="248"/>
      <c r="E24" s="248"/>
      <c r="F24" s="248"/>
      <c r="G24" s="248"/>
      <c r="H24" s="248"/>
      <c r="I24" s="248"/>
      <c r="J24" s="248"/>
      <c r="K24" s="248"/>
      <c r="L24" s="248"/>
      <c r="M24" s="248"/>
      <c r="N24" s="248"/>
      <c r="O24" s="248"/>
      <c r="P24" s="248"/>
      <c r="Q24" s="248"/>
      <c r="R24" s="248"/>
      <c r="S24" s="248"/>
      <c r="T24" s="248"/>
      <c r="U24" s="248"/>
      <c r="V24" s="249"/>
    </row>
    <row r="25" spans="2:22" ht="15.75">
      <c r="B25" s="242">
        <v>302</v>
      </c>
      <c r="C25" s="247"/>
      <c r="D25" s="248"/>
      <c r="E25" s="248"/>
      <c r="F25" s="248"/>
      <c r="G25" s="248"/>
      <c r="H25" s="248"/>
      <c r="I25" s="248"/>
      <c r="J25" s="248"/>
      <c r="K25" s="248"/>
      <c r="L25" s="248"/>
      <c r="M25" s="248"/>
      <c r="N25" s="248"/>
      <c r="O25" s="248"/>
      <c r="P25" s="248"/>
      <c r="Q25" s="248"/>
      <c r="R25" s="248"/>
      <c r="S25" s="248"/>
      <c r="T25" s="248"/>
      <c r="U25" s="248"/>
      <c r="V25" s="246"/>
    </row>
    <row r="26" spans="2:22" ht="15.75">
      <c r="B26" s="242">
        <v>303</v>
      </c>
      <c r="C26" s="247"/>
      <c r="D26" s="248"/>
      <c r="E26" s="248"/>
      <c r="F26" s="248"/>
      <c r="G26" s="248"/>
      <c r="H26" s="248"/>
      <c r="I26" s="248"/>
      <c r="J26" s="248"/>
      <c r="K26" s="248"/>
      <c r="L26" s="248"/>
      <c r="M26" s="248"/>
      <c r="N26" s="248"/>
      <c r="O26" s="248"/>
      <c r="P26" s="248"/>
      <c r="Q26" s="248"/>
      <c r="R26" s="248"/>
      <c r="S26" s="248"/>
      <c r="T26" s="248"/>
      <c r="U26" s="248"/>
      <c r="V26" s="246"/>
    </row>
    <row r="27" spans="2:22" ht="15.75">
      <c r="B27" s="242">
        <v>304</v>
      </c>
      <c r="C27" s="247"/>
      <c r="D27" s="248"/>
      <c r="E27" s="248"/>
      <c r="F27" s="248"/>
      <c r="G27" s="248"/>
      <c r="H27" s="248"/>
      <c r="I27" s="248"/>
      <c r="J27" s="248"/>
      <c r="K27" s="248"/>
      <c r="L27" s="248"/>
      <c r="M27" s="248"/>
      <c r="N27" s="248"/>
      <c r="O27" s="248"/>
      <c r="P27" s="248"/>
      <c r="Q27" s="248"/>
      <c r="R27" s="248"/>
      <c r="S27" s="248"/>
      <c r="T27" s="248"/>
      <c r="U27" s="248"/>
      <c r="V27" s="246"/>
    </row>
    <row r="28" spans="2:22" ht="15.75">
      <c r="B28" s="242">
        <v>305</v>
      </c>
      <c r="C28" s="247"/>
      <c r="D28" s="248"/>
      <c r="E28" s="248"/>
      <c r="F28" s="248"/>
      <c r="G28" s="248"/>
      <c r="H28" s="248"/>
      <c r="I28" s="248"/>
      <c r="J28" s="248"/>
      <c r="K28" s="248"/>
      <c r="L28" s="248"/>
      <c r="M28" s="248"/>
      <c r="N28" s="248"/>
      <c r="O28" s="248"/>
      <c r="P28" s="248"/>
      <c r="Q28" s="248"/>
      <c r="R28" s="248"/>
      <c r="S28" s="248"/>
      <c r="T28" s="248"/>
      <c r="U28" s="248"/>
      <c r="V28" s="246"/>
    </row>
    <row r="29" spans="2:22" ht="15.75">
      <c r="B29" s="242">
        <v>306</v>
      </c>
      <c r="C29" s="247"/>
      <c r="D29" s="248"/>
      <c r="E29" s="248"/>
      <c r="F29" s="248"/>
      <c r="G29" s="248"/>
      <c r="H29" s="248"/>
      <c r="I29" s="248"/>
      <c r="J29" s="248"/>
      <c r="K29" s="248"/>
      <c r="L29" s="248"/>
      <c r="M29" s="248"/>
      <c r="N29" s="248"/>
      <c r="O29" s="248"/>
      <c r="P29" s="248"/>
      <c r="Q29" s="248"/>
      <c r="R29" s="248"/>
      <c r="S29" s="248"/>
      <c r="T29" s="248"/>
      <c r="U29" s="248"/>
      <c r="V29" s="246"/>
    </row>
    <row r="30" spans="2:22" ht="15.75">
      <c r="B30" s="242">
        <v>307</v>
      </c>
      <c r="C30" s="247"/>
      <c r="D30" s="248"/>
      <c r="E30" s="248"/>
      <c r="F30" s="248"/>
      <c r="G30" s="248"/>
      <c r="H30" s="248"/>
      <c r="I30" s="248"/>
      <c r="J30" s="248"/>
      <c r="K30" s="248"/>
      <c r="L30" s="248"/>
      <c r="M30" s="248"/>
      <c r="N30" s="248"/>
      <c r="O30" s="248"/>
      <c r="P30" s="248"/>
      <c r="Q30" s="248"/>
      <c r="R30" s="248"/>
      <c r="S30" s="248"/>
      <c r="T30" s="248"/>
      <c r="U30" s="248"/>
      <c r="V30" s="246"/>
    </row>
    <row r="31" spans="2:22" ht="15.75">
      <c r="B31" s="242">
        <v>308</v>
      </c>
      <c r="C31" s="247"/>
      <c r="D31" s="248"/>
      <c r="E31" s="248"/>
      <c r="F31" s="248"/>
      <c r="G31" s="248"/>
      <c r="H31" s="248"/>
      <c r="I31" s="248"/>
      <c r="J31" s="248"/>
      <c r="K31" s="248"/>
      <c r="L31" s="248"/>
      <c r="M31" s="248"/>
      <c r="N31" s="248"/>
      <c r="O31" s="248"/>
      <c r="P31" s="248"/>
      <c r="Q31" s="248"/>
      <c r="R31" s="248"/>
      <c r="S31" s="248"/>
      <c r="T31" s="248"/>
      <c r="U31" s="248"/>
      <c r="V31" s="246"/>
    </row>
    <row r="32" spans="2:22" ht="15.75">
      <c r="B32" s="242">
        <v>309</v>
      </c>
      <c r="C32" s="247"/>
      <c r="D32" s="248"/>
      <c r="E32" s="248"/>
      <c r="F32" s="248"/>
      <c r="G32" s="248"/>
      <c r="H32" s="248"/>
      <c r="I32" s="248"/>
      <c r="J32" s="248"/>
      <c r="K32" s="248"/>
      <c r="L32" s="248"/>
      <c r="M32" s="248"/>
      <c r="N32" s="248"/>
      <c r="O32" s="248"/>
      <c r="P32" s="248"/>
      <c r="Q32" s="248"/>
      <c r="R32" s="248"/>
      <c r="S32" s="248"/>
      <c r="T32" s="248"/>
      <c r="U32" s="248"/>
      <c r="V32" s="246"/>
    </row>
    <row r="33" spans="2:22" ht="15.75">
      <c r="B33" s="242">
        <v>310</v>
      </c>
      <c r="C33" s="247"/>
      <c r="D33" s="248"/>
      <c r="E33" s="248"/>
      <c r="F33" s="248"/>
      <c r="G33" s="248"/>
      <c r="H33" s="248"/>
      <c r="I33" s="248"/>
      <c r="J33" s="248"/>
      <c r="K33" s="248"/>
      <c r="L33" s="248"/>
      <c r="M33" s="248"/>
      <c r="N33" s="248"/>
      <c r="O33" s="248"/>
      <c r="P33" s="248"/>
      <c r="Q33" s="248"/>
      <c r="R33" s="248"/>
      <c r="S33" s="248"/>
      <c r="T33" s="248"/>
      <c r="U33" s="248"/>
      <c r="V33" s="246"/>
    </row>
    <row r="34" spans="2:22" ht="15.75">
      <c r="B34" s="242">
        <v>311</v>
      </c>
      <c r="C34" s="247"/>
      <c r="D34" s="248"/>
      <c r="E34" s="248"/>
      <c r="F34" s="248"/>
      <c r="G34" s="248"/>
      <c r="H34" s="248"/>
      <c r="I34" s="248"/>
      <c r="J34" s="248"/>
      <c r="K34" s="248"/>
      <c r="L34" s="248"/>
      <c r="M34" s="248"/>
      <c r="N34" s="248"/>
      <c r="O34" s="248"/>
      <c r="P34" s="248"/>
      <c r="Q34" s="248"/>
      <c r="R34" s="248"/>
      <c r="S34" s="248"/>
      <c r="T34" s="248"/>
      <c r="U34" s="248"/>
      <c r="V34" s="246"/>
    </row>
    <row r="35" spans="2:22" ht="15.75">
      <c r="B35" s="242">
        <v>312</v>
      </c>
      <c r="C35" s="247"/>
      <c r="D35" s="248"/>
      <c r="E35" s="248"/>
      <c r="F35" s="248"/>
      <c r="G35" s="248"/>
      <c r="H35" s="248"/>
      <c r="I35" s="248"/>
      <c r="J35" s="248"/>
      <c r="K35" s="248"/>
      <c r="L35" s="248"/>
      <c r="M35" s="248"/>
      <c r="N35" s="248"/>
      <c r="O35" s="248"/>
      <c r="P35" s="248"/>
      <c r="Q35" s="248"/>
      <c r="R35" s="248"/>
      <c r="S35" s="248"/>
      <c r="T35" s="248"/>
      <c r="U35" s="248"/>
      <c r="V35" s="246"/>
    </row>
    <row r="36" spans="2:22" ht="15.75">
      <c r="B36" s="242">
        <v>313</v>
      </c>
      <c r="C36" s="247"/>
      <c r="D36" s="248"/>
      <c r="E36" s="248"/>
      <c r="F36" s="248"/>
      <c r="G36" s="248"/>
      <c r="H36" s="248"/>
      <c r="I36" s="248"/>
      <c r="J36" s="248"/>
      <c r="K36" s="248"/>
      <c r="L36" s="248"/>
      <c r="M36" s="248"/>
      <c r="N36" s="248"/>
      <c r="O36" s="248"/>
      <c r="P36" s="248"/>
      <c r="Q36" s="248"/>
      <c r="R36" s="248"/>
      <c r="S36" s="248"/>
      <c r="T36" s="248"/>
      <c r="U36" s="248"/>
      <c r="V36" s="246"/>
    </row>
    <row r="37" spans="2:22" ht="15.75">
      <c r="B37" s="242">
        <v>314</v>
      </c>
      <c r="C37" s="247"/>
      <c r="D37" s="248"/>
      <c r="E37" s="248"/>
      <c r="F37" s="248"/>
      <c r="G37" s="248"/>
      <c r="H37" s="248"/>
      <c r="I37" s="248"/>
      <c r="J37" s="248"/>
      <c r="K37" s="248"/>
      <c r="L37" s="248"/>
      <c r="M37" s="248"/>
      <c r="N37" s="248"/>
      <c r="O37" s="248"/>
      <c r="P37" s="248"/>
      <c r="Q37" s="248"/>
      <c r="R37" s="248"/>
      <c r="S37" s="248"/>
      <c r="T37" s="248"/>
      <c r="U37" s="248"/>
      <c r="V37" s="246"/>
    </row>
    <row r="38" spans="2:22" ht="15.75">
      <c r="B38" s="242">
        <v>315</v>
      </c>
      <c r="C38" s="247"/>
      <c r="D38" s="248"/>
      <c r="E38" s="248"/>
      <c r="F38" s="248"/>
      <c r="G38" s="248"/>
      <c r="H38" s="248"/>
      <c r="I38" s="248"/>
      <c r="J38" s="248"/>
      <c r="K38" s="248"/>
      <c r="L38" s="248"/>
      <c r="M38" s="248"/>
      <c r="N38" s="248"/>
      <c r="O38" s="248"/>
      <c r="P38" s="248"/>
      <c r="Q38" s="248"/>
      <c r="R38" s="248"/>
      <c r="S38" s="248"/>
      <c r="T38" s="248"/>
      <c r="U38" s="248"/>
      <c r="V38" s="246"/>
    </row>
    <row r="39" spans="2:22" ht="15.75">
      <c r="B39" s="242">
        <v>316</v>
      </c>
      <c r="C39" s="247"/>
      <c r="D39" s="248"/>
      <c r="E39" s="248"/>
      <c r="F39" s="248"/>
      <c r="G39" s="248"/>
      <c r="H39" s="248"/>
      <c r="I39" s="248"/>
      <c r="J39" s="248"/>
      <c r="K39" s="248"/>
      <c r="L39" s="248"/>
      <c r="M39" s="248"/>
      <c r="N39" s="248"/>
      <c r="O39" s="248"/>
      <c r="P39" s="248"/>
      <c r="Q39" s="248"/>
      <c r="R39" s="248"/>
      <c r="S39" s="248"/>
      <c r="T39" s="248"/>
      <c r="U39" s="248"/>
      <c r="V39" s="246"/>
    </row>
    <row r="40" spans="2:22" ht="15.75">
      <c r="B40" s="242">
        <v>317</v>
      </c>
      <c r="C40" s="247"/>
      <c r="D40" s="248"/>
      <c r="E40" s="248"/>
      <c r="F40" s="248"/>
      <c r="G40" s="248"/>
      <c r="H40" s="248"/>
      <c r="I40" s="248"/>
      <c r="J40" s="248"/>
      <c r="K40" s="248"/>
      <c r="L40" s="248"/>
      <c r="M40" s="248"/>
      <c r="N40" s="248"/>
      <c r="O40" s="248"/>
      <c r="P40" s="248"/>
      <c r="Q40" s="248"/>
      <c r="R40" s="248"/>
      <c r="S40" s="248"/>
      <c r="T40" s="248"/>
      <c r="U40" s="248"/>
      <c r="V40" s="250"/>
    </row>
    <row r="41" spans="2:22" ht="15.75">
      <c r="B41" s="243" t="s">
        <v>518</v>
      </c>
      <c r="C41" s="251"/>
      <c r="D41" s="251"/>
      <c r="E41" s="251"/>
      <c r="F41" s="251"/>
      <c r="G41" s="251"/>
      <c r="H41" s="251"/>
      <c r="I41" s="251"/>
      <c r="J41" s="251"/>
      <c r="K41" s="251"/>
      <c r="L41" s="251"/>
      <c r="M41" s="251"/>
      <c r="N41" s="251"/>
      <c r="O41" s="251"/>
      <c r="P41" s="251"/>
      <c r="Q41" s="251"/>
      <c r="R41" s="251"/>
      <c r="S41" s="251"/>
      <c r="T41" s="251"/>
      <c r="U41" s="251"/>
      <c r="V41" s="251"/>
    </row>
    <row r="42" spans="2:22" ht="15.75">
      <c r="B42" s="242">
        <v>401</v>
      </c>
      <c r="C42" s="247"/>
      <c r="D42" s="248"/>
      <c r="E42" s="248"/>
      <c r="F42" s="248"/>
      <c r="G42" s="248"/>
      <c r="H42" s="248"/>
      <c r="I42" s="248"/>
      <c r="J42" s="248"/>
      <c r="K42" s="248"/>
      <c r="L42" s="248"/>
      <c r="M42" s="248"/>
      <c r="N42" s="248"/>
      <c r="O42" s="248"/>
      <c r="P42" s="248"/>
      <c r="Q42" s="248"/>
      <c r="R42" s="248"/>
      <c r="S42" s="248"/>
      <c r="T42" s="248"/>
      <c r="U42" s="248"/>
      <c r="V42" s="249"/>
    </row>
    <row r="43" spans="2:22" ht="15.75">
      <c r="B43" s="242">
        <v>402</v>
      </c>
      <c r="C43" s="247"/>
      <c r="D43" s="248"/>
      <c r="E43" s="248"/>
      <c r="F43" s="248"/>
      <c r="G43" s="248"/>
      <c r="H43" s="248"/>
      <c r="I43" s="248"/>
      <c r="J43" s="248"/>
      <c r="K43" s="248"/>
      <c r="L43" s="248"/>
      <c r="M43" s="248"/>
      <c r="N43" s="248"/>
      <c r="O43" s="248"/>
      <c r="P43" s="248"/>
      <c r="Q43" s="248"/>
      <c r="R43" s="248"/>
      <c r="S43" s="248"/>
      <c r="T43" s="248"/>
      <c r="U43" s="248"/>
      <c r="V43" s="246"/>
    </row>
    <row r="44" spans="2:22" ht="15.75">
      <c r="B44" s="242">
        <v>403</v>
      </c>
      <c r="C44" s="247"/>
      <c r="D44" s="248"/>
      <c r="E44" s="248"/>
      <c r="F44" s="248"/>
      <c r="G44" s="248"/>
      <c r="H44" s="248"/>
      <c r="I44" s="248"/>
      <c r="J44" s="248"/>
      <c r="K44" s="248"/>
      <c r="L44" s="248"/>
      <c r="M44" s="248"/>
      <c r="N44" s="248"/>
      <c r="O44" s="248"/>
      <c r="P44" s="248"/>
      <c r="Q44" s="248"/>
      <c r="R44" s="248"/>
      <c r="S44" s="248"/>
      <c r="T44" s="248"/>
      <c r="U44" s="248"/>
      <c r="V44" s="246"/>
    </row>
    <row r="45" spans="2:22" ht="15.75">
      <c r="B45" s="242">
        <v>404</v>
      </c>
      <c r="C45" s="247"/>
      <c r="D45" s="248"/>
      <c r="E45" s="248"/>
      <c r="F45" s="248"/>
      <c r="G45" s="248"/>
      <c r="H45" s="248"/>
      <c r="I45" s="248"/>
      <c r="J45" s="248"/>
      <c r="K45" s="248"/>
      <c r="L45" s="248"/>
      <c r="M45" s="248"/>
      <c r="N45" s="248"/>
      <c r="O45" s="248"/>
      <c r="P45" s="248"/>
      <c r="Q45" s="248"/>
      <c r="R45" s="248"/>
      <c r="S45" s="248"/>
      <c r="T45" s="248"/>
      <c r="U45" s="248"/>
      <c r="V45" s="246"/>
    </row>
    <row r="46" spans="2:22" ht="15.75">
      <c r="B46" s="242">
        <v>405</v>
      </c>
      <c r="C46" s="247"/>
      <c r="D46" s="248"/>
      <c r="E46" s="248"/>
      <c r="F46" s="248"/>
      <c r="G46" s="248"/>
      <c r="H46" s="248"/>
      <c r="I46" s="248"/>
      <c r="J46" s="248"/>
      <c r="K46" s="248"/>
      <c r="L46" s="248"/>
      <c r="M46" s="248"/>
      <c r="N46" s="248"/>
      <c r="O46" s="248"/>
      <c r="P46" s="248"/>
      <c r="Q46" s="248"/>
      <c r="R46" s="248"/>
      <c r="S46" s="248"/>
      <c r="T46" s="248"/>
      <c r="U46" s="248"/>
      <c r="V46" s="246"/>
    </row>
    <row r="47" spans="2:22" ht="15.75">
      <c r="B47" s="242">
        <v>406</v>
      </c>
      <c r="C47" s="247"/>
      <c r="D47" s="248"/>
      <c r="E47" s="248"/>
      <c r="F47" s="248"/>
      <c r="G47" s="248"/>
      <c r="H47" s="248"/>
      <c r="I47" s="248"/>
      <c r="J47" s="248"/>
      <c r="K47" s="248"/>
      <c r="L47" s="248"/>
      <c r="M47" s="248"/>
      <c r="N47" s="248"/>
      <c r="O47" s="248"/>
      <c r="P47" s="248"/>
      <c r="Q47" s="248"/>
      <c r="R47" s="248"/>
      <c r="S47" s="248"/>
      <c r="T47" s="248"/>
      <c r="U47" s="248"/>
      <c r="V47" s="246"/>
    </row>
    <row r="48" spans="2:22" ht="15.75">
      <c r="B48" s="242">
        <v>407</v>
      </c>
      <c r="C48" s="247"/>
      <c r="D48" s="248"/>
      <c r="E48" s="248"/>
      <c r="F48" s="248"/>
      <c r="G48" s="248"/>
      <c r="H48" s="248"/>
      <c r="I48" s="248"/>
      <c r="J48" s="248"/>
      <c r="K48" s="248"/>
      <c r="L48" s="248"/>
      <c r="M48" s="248"/>
      <c r="N48" s="248"/>
      <c r="O48" s="248"/>
      <c r="P48" s="248"/>
      <c r="Q48" s="248"/>
      <c r="R48" s="248"/>
      <c r="S48" s="248"/>
      <c r="T48" s="248"/>
      <c r="U48" s="248"/>
      <c r="V48" s="246"/>
    </row>
    <row r="49" spans="2:22" ht="15.75">
      <c r="B49" s="242">
        <v>408</v>
      </c>
      <c r="C49" s="247"/>
      <c r="D49" s="248"/>
      <c r="E49" s="248"/>
      <c r="F49" s="248"/>
      <c r="G49" s="248"/>
      <c r="H49" s="248"/>
      <c r="I49" s="248"/>
      <c r="J49" s="248"/>
      <c r="K49" s="248"/>
      <c r="L49" s="248"/>
      <c r="M49" s="248"/>
      <c r="N49" s="248"/>
      <c r="O49" s="248"/>
      <c r="P49" s="248"/>
      <c r="Q49" s="248"/>
      <c r="R49" s="248"/>
      <c r="S49" s="248"/>
      <c r="T49" s="248"/>
      <c r="U49" s="248"/>
      <c r="V49" s="246"/>
    </row>
    <row r="50" spans="2:22" ht="15.75">
      <c r="B50" s="242">
        <v>409</v>
      </c>
      <c r="C50" s="247"/>
      <c r="D50" s="248"/>
      <c r="E50" s="248"/>
      <c r="F50" s="248"/>
      <c r="G50" s="248"/>
      <c r="H50" s="248"/>
      <c r="I50" s="248"/>
      <c r="J50" s="248"/>
      <c r="K50" s="248"/>
      <c r="L50" s="248"/>
      <c r="M50" s="248"/>
      <c r="N50" s="248"/>
      <c r="O50" s="248"/>
      <c r="P50" s="248"/>
      <c r="Q50" s="248"/>
      <c r="R50" s="248"/>
      <c r="S50" s="248"/>
      <c r="T50" s="248"/>
      <c r="U50" s="248"/>
      <c r="V50" s="246"/>
    </row>
    <row r="51" spans="2:22" ht="15.75">
      <c r="B51" s="242">
        <v>410</v>
      </c>
      <c r="C51" s="247"/>
      <c r="D51" s="248"/>
      <c r="E51" s="248"/>
      <c r="F51" s="248"/>
      <c r="G51" s="248"/>
      <c r="H51" s="248"/>
      <c r="I51" s="248"/>
      <c r="J51" s="248"/>
      <c r="K51" s="248"/>
      <c r="L51" s="248"/>
      <c r="M51" s="248"/>
      <c r="N51" s="248"/>
      <c r="O51" s="248"/>
      <c r="P51" s="248"/>
      <c r="Q51" s="248"/>
      <c r="R51" s="248"/>
      <c r="S51" s="248"/>
      <c r="T51" s="248"/>
      <c r="U51" s="248"/>
      <c r="V51" s="246"/>
    </row>
    <row r="52" spans="2:22" ht="15.75">
      <c r="B52" s="242">
        <v>411</v>
      </c>
      <c r="C52" s="247"/>
      <c r="D52" s="248"/>
      <c r="E52" s="248"/>
      <c r="F52" s="248"/>
      <c r="G52" s="248"/>
      <c r="H52" s="248"/>
      <c r="I52" s="248"/>
      <c r="J52" s="248"/>
      <c r="K52" s="248"/>
      <c r="L52" s="248"/>
      <c r="M52" s="248"/>
      <c r="N52" s="248"/>
      <c r="O52" s="248"/>
      <c r="P52" s="248"/>
      <c r="Q52" s="248"/>
      <c r="R52" s="248"/>
      <c r="S52" s="248"/>
      <c r="T52" s="248"/>
      <c r="U52" s="248"/>
      <c r="V52" s="246"/>
    </row>
    <row r="53" spans="2:22" ht="15.75">
      <c r="B53" s="242">
        <v>412</v>
      </c>
      <c r="C53" s="247"/>
      <c r="D53" s="248"/>
      <c r="E53" s="248"/>
      <c r="F53" s="248"/>
      <c r="G53" s="248"/>
      <c r="H53" s="248"/>
      <c r="I53" s="248"/>
      <c r="J53" s="248"/>
      <c r="K53" s="248"/>
      <c r="L53" s="248"/>
      <c r="M53" s="248"/>
      <c r="N53" s="248"/>
      <c r="O53" s="248"/>
      <c r="P53" s="248"/>
      <c r="Q53" s="248"/>
      <c r="R53" s="248"/>
      <c r="S53" s="248"/>
      <c r="T53" s="248"/>
      <c r="U53" s="248"/>
      <c r="V53" s="246"/>
    </row>
    <row r="54" spans="2:22" ht="15.75">
      <c r="B54" s="242">
        <v>413</v>
      </c>
      <c r="C54" s="247"/>
      <c r="D54" s="248"/>
      <c r="E54" s="248"/>
      <c r="F54" s="248"/>
      <c r="G54" s="248"/>
      <c r="H54" s="248"/>
      <c r="I54" s="248"/>
      <c r="J54" s="248"/>
      <c r="K54" s="248"/>
      <c r="L54" s="248"/>
      <c r="M54" s="248"/>
      <c r="N54" s="248"/>
      <c r="O54" s="248"/>
      <c r="P54" s="248"/>
      <c r="Q54" s="248"/>
      <c r="R54" s="248"/>
      <c r="S54" s="248"/>
      <c r="T54" s="248"/>
      <c r="U54" s="248"/>
      <c r="V54" s="246"/>
    </row>
    <row r="55" spans="2:22" ht="15.75">
      <c r="B55" s="242">
        <v>414</v>
      </c>
      <c r="C55" s="247"/>
      <c r="D55" s="248"/>
      <c r="E55" s="248"/>
      <c r="F55" s="248"/>
      <c r="G55" s="248"/>
      <c r="H55" s="248"/>
      <c r="I55" s="248"/>
      <c r="J55" s="248"/>
      <c r="K55" s="248"/>
      <c r="L55" s="248"/>
      <c r="M55" s="248"/>
      <c r="N55" s="248"/>
      <c r="O55" s="248"/>
      <c r="P55" s="248"/>
      <c r="Q55" s="248"/>
      <c r="R55" s="248"/>
      <c r="S55" s="248"/>
      <c r="T55" s="248"/>
      <c r="U55" s="248"/>
      <c r="V55" s="246"/>
    </row>
    <row r="56" spans="2:22" ht="15.75">
      <c r="B56" s="242">
        <v>415</v>
      </c>
      <c r="C56" s="247"/>
      <c r="D56" s="248"/>
      <c r="E56" s="248"/>
      <c r="F56" s="248"/>
      <c r="G56" s="248"/>
      <c r="H56" s="248"/>
      <c r="I56" s="248"/>
      <c r="J56" s="248"/>
      <c r="K56" s="248"/>
      <c r="L56" s="248"/>
      <c r="M56" s="248"/>
      <c r="N56" s="248"/>
      <c r="O56" s="248"/>
      <c r="P56" s="248"/>
      <c r="Q56" s="248"/>
      <c r="R56" s="248"/>
      <c r="S56" s="248"/>
      <c r="T56" s="248"/>
      <c r="U56" s="248"/>
      <c r="V56" s="246"/>
    </row>
    <row r="57" spans="2:22" ht="15.75">
      <c r="B57" s="242">
        <v>416</v>
      </c>
      <c r="C57" s="247"/>
      <c r="D57" s="248"/>
      <c r="E57" s="248"/>
      <c r="F57" s="248"/>
      <c r="G57" s="248"/>
      <c r="H57" s="248"/>
      <c r="I57" s="248"/>
      <c r="J57" s="248"/>
      <c r="K57" s="248"/>
      <c r="L57" s="248"/>
      <c r="M57" s="248"/>
      <c r="N57" s="248"/>
      <c r="O57" s="248"/>
      <c r="P57" s="248"/>
      <c r="Q57" s="248"/>
      <c r="R57" s="248"/>
      <c r="S57" s="248"/>
      <c r="T57" s="248"/>
      <c r="U57" s="248"/>
      <c r="V57" s="246"/>
    </row>
    <row r="58" spans="2:22" ht="15.75">
      <c r="B58" s="242">
        <v>417</v>
      </c>
      <c r="C58" s="247"/>
      <c r="D58" s="248"/>
      <c r="E58" s="248"/>
      <c r="F58" s="248"/>
      <c r="G58" s="248"/>
      <c r="H58" s="248"/>
      <c r="I58" s="248"/>
      <c r="J58" s="248"/>
      <c r="K58" s="248"/>
      <c r="L58" s="248"/>
      <c r="M58" s="248"/>
      <c r="N58" s="248"/>
      <c r="O58" s="248"/>
      <c r="P58" s="248"/>
      <c r="Q58" s="248"/>
      <c r="R58" s="248"/>
      <c r="S58" s="248"/>
      <c r="T58" s="248"/>
      <c r="U58" s="248"/>
      <c r="V58" s="250"/>
    </row>
    <row r="59" spans="2:22" ht="15.75">
      <c r="B59" s="243" t="s">
        <v>519</v>
      </c>
      <c r="C59" s="251"/>
      <c r="D59" s="251"/>
      <c r="E59" s="251"/>
      <c r="F59" s="251"/>
      <c r="G59" s="251"/>
      <c r="H59" s="251"/>
      <c r="I59" s="251"/>
      <c r="J59" s="251"/>
      <c r="K59" s="251"/>
      <c r="L59" s="251"/>
      <c r="M59" s="251"/>
      <c r="N59" s="251"/>
      <c r="O59" s="251"/>
      <c r="P59" s="251"/>
      <c r="Q59" s="251"/>
      <c r="R59" s="251"/>
      <c r="S59" s="251"/>
      <c r="T59" s="251"/>
      <c r="U59" s="251"/>
      <c r="V59" s="251"/>
    </row>
    <row r="60" spans="2:22" ht="15.75">
      <c r="B60" s="242">
        <v>501</v>
      </c>
      <c r="C60" s="247"/>
      <c r="D60" s="248"/>
      <c r="E60" s="248"/>
      <c r="F60" s="248"/>
      <c r="G60" s="248"/>
      <c r="H60" s="248"/>
      <c r="I60" s="248"/>
      <c r="J60" s="248"/>
      <c r="K60" s="248"/>
      <c r="L60" s="248"/>
      <c r="M60" s="248"/>
      <c r="N60" s="248"/>
      <c r="O60" s="248"/>
      <c r="P60" s="248"/>
      <c r="Q60" s="248"/>
      <c r="R60" s="248"/>
      <c r="S60" s="248"/>
      <c r="T60" s="248"/>
      <c r="U60" s="248"/>
      <c r="V60" s="249"/>
    </row>
    <row r="61" spans="2:22" ht="15.75">
      <c r="B61" s="242">
        <v>502</v>
      </c>
      <c r="C61" s="247"/>
      <c r="D61" s="248"/>
      <c r="E61" s="248"/>
      <c r="F61" s="248"/>
      <c r="G61" s="248"/>
      <c r="H61" s="248"/>
      <c r="I61" s="248"/>
      <c r="J61" s="248"/>
      <c r="K61" s="248"/>
      <c r="L61" s="248"/>
      <c r="M61" s="248"/>
      <c r="N61" s="248"/>
      <c r="O61" s="248"/>
      <c r="P61" s="248"/>
      <c r="Q61" s="248"/>
      <c r="R61" s="248"/>
      <c r="S61" s="248"/>
      <c r="T61" s="248"/>
      <c r="U61" s="248"/>
      <c r="V61" s="246"/>
    </row>
    <row r="62" spans="2:22" ht="15.75">
      <c r="B62" s="242">
        <v>503</v>
      </c>
      <c r="C62" s="247"/>
      <c r="D62" s="248"/>
      <c r="E62" s="248"/>
      <c r="F62" s="248"/>
      <c r="G62" s="248"/>
      <c r="H62" s="248"/>
      <c r="I62" s="248"/>
      <c r="J62" s="248"/>
      <c r="K62" s="248"/>
      <c r="L62" s="248"/>
      <c r="M62" s="248"/>
      <c r="N62" s="248"/>
      <c r="O62" s="248"/>
      <c r="P62" s="248"/>
      <c r="Q62" s="248"/>
      <c r="R62" s="248"/>
      <c r="S62" s="248"/>
      <c r="T62" s="248"/>
      <c r="U62" s="248"/>
      <c r="V62" s="246"/>
    </row>
    <row r="63" spans="2:22" ht="15.75">
      <c r="B63" s="242">
        <v>504</v>
      </c>
      <c r="C63" s="247"/>
      <c r="D63" s="248"/>
      <c r="E63" s="248"/>
      <c r="F63" s="248"/>
      <c r="G63" s="248"/>
      <c r="H63" s="248"/>
      <c r="I63" s="248"/>
      <c r="J63" s="248"/>
      <c r="K63" s="248"/>
      <c r="L63" s="248"/>
      <c r="M63" s="248"/>
      <c r="N63" s="248"/>
      <c r="O63" s="248"/>
      <c r="P63" s="248"/>
      <c r="Q63" s="248"/>
      <c r="R63" s="248"/>
      <c r="S63" s="248"/>
      <c r="T63" s="248"/>
      <c r="U63" s="248"/>
      <c r="V63" s="246"/>
    </row>
    <row r="64" spans="2:22" ht="15.75">
      <c r="B64" s="242">
        <v>505</v>
      </c>
      <c r="C64" s="247"/>
      <c r="D64" s="248"/>
      <c r="E64" s="248"/>
      <c r="F64" s="248"/>
      <c r="G64" s="248"/>
      <c r="H64" s="248"/>
      <c r="I64" s="248"/>
      <c r="J64" s="248"/>
      <c r="K64" s="248"/>
      <c r="L64" s="248"/>
      <c r="M64" s="248"/>
      <c r="N64" s="248"/>
      <c r="O64" s="248"/>
      <c r="P64" s="248"/>
      <c r="Q64" s="248"/>
      <c r="R64" s="248"/>
      <c r="S64" s="248"/>
      <c r="T64" s="248"/>
      <c r="U64" s="248"/>
      <c r="V64" s="246"/>
    </row>
    <row r="65" spans="2:22" ht="15.75">
      <c r="B65" s="242">
        <v>506</v>
      </c>
      <c r="C65" s="247"/>
      <c r="D65" s="248"/>
      <c r="E65" s="248"/>
      <c r="F65" s="248"/>
      <c r="G65" s="248"/>
      <c r="H65" s="248"/>
      <c r="I65" s="248"/>
      <c r="J65" s="248"/>
      <c r="K65" s="248"/>
      <c r="L65" s="248"/>
      <c r="M65" s="248"/>
      <c r="N65" s="248"/>
      <c r="O65" s="248"/>
      <c r="P65" s="248"/>
      <c r="Q65" s="248"/>
      <c r="R65" s="248"/>
      <c r="S65" s="248"/>
      <c r="T65" s="248"/>
      <c r="U65" s="248"/>
      <c r="V65" s="246"/>
    </row>
    <row r="66" spans="2:22" ht="15.75">
      <c r="B66" s="242">
        <v>507</v>
      </c>
      <c r="C66" s="247"/>
      <c r="D66" s="248"/>
      <c r="E66" s="248"/>
      <c r="F66" s="248"/>
      <c r="G66" s="248"/>
      <c r="H66" s="248"/>
      <c r="I66" s="248"/>
      <c r="J66" s="248"/>
      <c r="K66" s="248"/>
      <c r="L66" s="248"/>
      <c r="M66" s="248"/>
      <c r="N66" s="248"/>
      <c r="O66" s="248"/>
      <c r="P66" s="248"/>
      <c r="Q66" s="248"/>
      <c r="R66" s="248"/>
      <c r="S66" s="248"/>
      <c r="T66" s="248"/>
      <c r="U66" s="248"/>
      <c r="V66" s="246"/>
    </row>
    <row r="67" spans="2:22" ht="15.75">
      <c r="B67" s="242">
        <v>508</v>
      </c>
      <c r="C67" s="247"/>
      <c r="D67" s="248"/>
      <c r="E67" s="248"/>
      <c r="F67" s="248"/>
      <c r="G67" s="248"/>
      <c r="H67" s="248"/>
      <c r="I67" s="248"/>
      <c r="J67" s="248"/>
      <c r="K67" s="248"/>
      <c r="L67" s="248"/>
      <c r="M67" s="248"/>
      <c r="N67" s="248"/>
      <c r="O67" s="248"/>
      <c r="P67" s="248"/>
      <c r="Q67" s="248"/>
      <c r="R67" s="248"/>
      <c r="S67" s="248"/>
      <c r="T67" s="248"/>
      <c r="U67" s="248"/>
      <c r="V67" s="246"/>
    </row>
    <row r="68" spans="2:22" ht="15.75">
      <c r="B68" s="242">
        <v>509</v>
      </c>
      <c r="C68" s="247"/>
      <c r="D68" s="248"/>
      <c r="E68" s="248"/>
      <c r="F68" s="248"/>
      <c r="G68" s="248"/>
      <c r="H68" s="248"/>
      <c r="I68" s="248"/>
      <c r="J68" s="248"/>
      <c r="K68" s="248"/>
      <c r="L68" s="248"/>
      <c r="M68" s="248"/>
      <c r="N68" s="248"/>
      <c r="O68" s="248"/>
      <c r="P68" s="248"/>
      <c r="Q68" s="248"/>
      <c r="R68" s="248"/>
      <c r="S68" s="248"/>
      <c r="T68" s="248"/>
      <c r="U68" s="248"/>
      <c r="V68" s="246"/>
    </row>
    <row r="69" spans="2:22" ht="15.75">
      <c r="B69" s="242">
        <v>510</v>
      </c>
      <c r="C69" s="247"/>
      <c r="D69" s="248"/>
      <c r="E69" s="248"/>
      <c r="F69" s="248"/>
      <c r="G69" s="248"/>
      <c r="H69" s="248"/>
      <c r="I69" s="248"/>
      <c r="J69" s="248"/>
      <c r="K69" s="248"/>
      <c r="L69" s="248"/>
      <c r="M69" s="248"/>
      <c r="N69" s="248"/>
      <c r="O69" s="248"/>
      <c r="P69" s="248"/>
      <c r="Q69" s="248"/>
      <c r="R69" s="248"/>
      <c r="S69" s="248"/>
      <c r="T69" s="248"/>
      <c r="U69" s="248"/>
      <c r="V69" s="246"/>
    </row>
    <row r="70" spans="2:22" ht="15.75">
      <c r="B70" s="242">
        <v>511</v>
      </c>
      <c r="C70" s="247"/>
      <c r="D70" s="248"/>
      <c r="E70" s="248"/>
      <c r="F70" s="248"/>
      <c r="G70" s="248"/>
      <c r="H70" s="248"/>
      <c r="I70" s="248"/>
      <c r="J70" s="248"/>
      <c r="K70" s="248"/>
      <c r="L70" s="248"/>
      <c r="M70" s="248"/>
      <c r="N70" s="248"/>
      <c r="O70" s="248"/>
      <c r="P70" s="248"/>
      <c r="Q70" s="248"/>
      <c r="R70" s="248"/>
      <c r="S70" s="248"/>
      <c r="T70" s="248"/>
      <c r="U70" s="248"/>
      <c r="V70" s="246"/>
    </row>
    <row r="71" spans="2:22" ht="15.75">
      <c r="B71" s="242">
        <v>512</v>
      </c>
      <c r="C71" s="247"/>
      <c r="D71" s="248"/>
      <c r="E71" s="248"/>
      <c r="F71" s="248"/>
      <c r="G71" s="248"/>
      <c r="H71" s="248"/>
      <c r="I71" s="248"/>
      <c r="J71" s="248"/>
      <c r="K71" s="248"/>
      <c r="L71" s="248"/>
      <c r="M71" s="248"/>
      <c r="N71" s="248"/>
      <c r="O71" s="248"/>
      <c r="P71" s="248"/>
      <c r="Q71" s="248"/>
      <c r="R71" s="248"/>
      <c r="S71" s="248"/>
      <c r="T71" s="248"/>
      <c r="U71" s="248"/>
      <c r="V71" s="246"/>
    </row>
    <row r="72" spans="2:22" ht="15.75">
      <c r="B72" s="242">
        <v>513</v>
      </c>
      <c r="C72" s="247"/>
      <c r="D72" s="248"/>
      <c r="E72" s="248"/>
      <c r="F72" s="248"/>
      <c r="G72" s="248"/>
      <c r="H72" s="248"/>
      <c r="I72" s="248"/>
      <c r="J72" s="248"/>
      <c r="K72" s="248"/>
      <c r="L72" s="248"/>
      <c r="M72" s="248"/>
      <c r="N72" s="248"/>
      <c r="O72" s="248"/>
      <c r="P72" s="248"/>
      <c r="Q72" s="248"/>
      <c r="R72" s="248"/>
      <c r="S72" s="248"/>
      <c r="T72" s="248"/>
      <c r="U72" s="248"/>
      <c r="V72" s="246"/>
    </row>
    <row r="73" spans="2:22" ht="15.75">
      <c r="B73" s="242">
        <v>514</v>
      </c>
      <c r="C73" s="247"/>
      <c r="D73" s="248"/>
      <c r="E73" s="248"/>
      <c r="F73" s="248"/>
      <c r="G73" s="248"/>
      <c r="H73" s="248"/>
      <c r="I73" s="248"/>
      <c r="J73" s="248"/>
      <c r="K73" s="248"/>
      <c r="L73" s="248"/>
      <c r="M73" s="248"/>
      <c r="N73" s="248"/>
      <c r="O73" s="248"/>
      <c r="P73" s="248"/>
      <c r="Q73" s="248"/>
      <c r="R73" s="248"/>
      <c r="S73" s="248"/>
      <c r="T73" s="248"/>
      <c r="U73" s="248"/>
      <c r="V73" s="246"/>
    </row>
    <row r="74" spans="2:22" ht="15.75">
      <c r="B74" s="242">
        <v>515</v>
      </c>
      <c r="C74" s="247"/>
      <c r="D74" s="248"/>
      <c r="E74" s="248"/>
      <c r="F74" s="248"/>
      <c r="G74" s="248"/>
      <c r="H74" s="248"/>
      <c r="I74" s="248"/>
      <c r="J74" s="248"/>
      <c r="K74" s="248"/>
      <c r="L74" s="248"/>
      <c r="M74" s="248"/>
      <c r="N74" s="248"/>
      <c r="O74" s="248"/>
      <c r="P74" s="248"/>
      <c r="Q74" s="248"/>
      <c r="R74" s="248"/>
      <c r="S74" s="248"/>
      <c r="T74" s="248"/>
      <c r="U74" s="248"/>
      <c r="V74" s="246"/>
    </row>
    <row r="75" spans="2:22" ht="15.75">
      <c r="B75" s="242">
        <v>516</v>
      </c>
      <c r="C75" s="247"/>
      <c r="D75" s="248"/>
      <c r="E75" s="248"/>
      <c r="F75" s="248"/>
      <c r="G75" s="248"/>
      <c r="H75" s="248"/>
      <c r="I75" s="248"/>
      <c r="J75" s="248"/>
      <c r="K75" s="248"/>
      <c r="L75" s="248"/>
      <c r="M75" s="248"/>
      <c r="N75" s="248"/>
      <c r="O75" s="248"/>
      <c r="P75" s="248"/>
      <c r="Q75" s="248"/>
      <c r="R75" s="248"/>
      <c r="S75" s="248"/>
      <c r="T75" s="248"/>
      <c r="U75" s="248"/>
      <c r="V75" s="246"/>
    </row>
    <row r="76" spans="2:22" ht="15.75">
      <c r="B76" s="242">
        <v>517</v>
      </c>
      <c r="C76" s="247"/>
      <c r="D76" s="248"/>
      <c r="E76" s="248"/>
      <c r="F76" s="248"/>
      <c r="G76" s="248"/>
      <c r="H76" s="248"/>
      <c r="I76" s="248"/>
      <c r="J76" s="248"/>
      <c r="K76" s="248"/>
      <c r="L76" s="248"/>
      <c r="M76" s="248"/>
      <c r="N76" s="248"/>
      <c r="O76" s="248"/>
      <c r="P76" s="248"/>
      <c r="Q76" s="248"/>
      <c r="R76" s="248"/>
      <c r="S76" s="248"/>
      <c r="T76" s="248"/>
      <c r="U76" s="248"/>
      <c r="V76" s="250"/>
    </row>
    <row r="77" spans="2:22" ht="15.75">
      <c r="B77" s="243" t="s">
        <v>520</v>
      </c>
      <c r="C77" s="251"/>
      <c r="D77" s="251"/>
      <c r="E77" s="251"/>
      <c r="F77" s="251"/>
      <c r="G77" s="251"/>
      <c r="H77" s="251"/>
      <c r="I77" s="251"/>
      <c r="J77" s="251"/>
      <c r="K77" s="251"/>
      <c r="L77" s="251"/>
      <c r="M77" s="251"/>
      <c r="N77" s="251"/>
      <c r="O77" s="251"/>
      <c r="P77" s="251"/>
      <c r="Q77" s="251"/>
      <c r="R77" s="251"/>
      <c r="S77" s="251"/>
      <c r="T77" s="251"/>
      <c r="U77" s="251"/>
      <c r="V77" s="251"/>
    </row>
    <row r="78" spans="2:22" ht="15.75">
      <c r="B78" s="242">
        <v>601</v>
      </c>
      <c r="C78" s="247"/>
      <c r="D78" s="248"/>
      <c r="E78" s="248"/>
      <c r="F78" s="248"/>
      <c r="G78" s="248"/>
      <c r="H78" s="248"/>
      <c r="I78" s="248"/>
      <c r="J78" s="248"/>
      <c r="K78" s="248"/>
      <c r="L78" s="248"/>
      <c r="M78" s="248"/>
      <c r="N78" s="248"/>
      <c r="O78" s="248"/>
      <c r="P78" s="248"/>
      <c r="Q78" s="248"/>
      <c r="R78" s="248"/>
      <c r="S78" s="248"/>
      <c r="T78" s="248"/>
      <c r="U78" s="248"/>
      <c r="V78" s="249"/>
    </row>
    <row r="79" spans="2:22" ht="15.75">
      <c r="B79" s="242">
        <v>602</v>
      </c>
      <c r="C79" s="247"/>
      <c r="D79" s="248"/>
      <c r="E79" s="248"/>
      <c r="F79" s="248"/>
      <c r="G79" s="248"/>
      <c r="H79" s="248"/>
      <c r="I79" s="248"/>
      <c r="J79" s="248"/>
      <c r="K79" s="248"/>
      <c r="L79" s="248"/>
      <c r="M79" s="248"/>
      <c r="N79" s="248"/>
      <c r="O79" s="248"/>
      <c r="P79" s="248"/>
      <c r="Q79" s="248"/>
      <c r="R79" s="248"/>
      <c r="S79" s="248"/>
      <c r="T79" s="248"/>
      <c r="U79" s="248"/>
      <c r="V79" s="246"/>
    </row>
    <row r="80" spans="2:22" ht="15.75">
      <c r="B80" s="242">
        <v>603</v>
      </c>
      <c r="C80" s="247"/>
      <c r="D80" s="248"/>
      <c r="E80" s="248"/>
      <c r="F80" s="248"/>
      <c r="G80" s="248"/>
      <c r="H80" s="248"/>
      <c r="I80" s="248"/>
      <c r="J80" s="248"/>
      <c r="K80" s="248"/>
      <c r="L80" s="248"/>
      <c r="M80" s="248"/>
      <c r="N80" s="248"/>
      <c r="O80" s="248"/>
      <c r="P80" s="248"/>
      <c r="Q80" s="248"/>
      <c r="R80" s="248"/>
      <c r="S80" s="248"/>
      <c r="T80" s="248"/>
      <c r="U80" s="248"/>
      <c r="V80" s="246"/>
    </row>
    <row r="81" spans="2:22" ht="15.75">
      <c r="B81" s="242">
        <v>604</v>
      </c>
      <c r="C81" s="247"/>
      <c r="D81" s="248"/>
      <c r="E81" s="248"/>
      <c r="F81" s="248"/>
      <c r="G81" s="248"/>
      <c r="H81" s="248"/>
      <c r="I81" s="248"/>
      <c r="J81" s="248"/>
      <c r="K81" s="248"/>
      <c r="L81" s="248"/>
      <c r="M81" s="248"/>
      <c r="N81" s="248"/>
      <c r="O81" s="248"/>
      <c r="P81" s="248"/>
      <c r="Q81" s="248"/>
      <c r="R81" s="248"/>
      <c r="S81" s="248"/>
      <c r="T81" s="248"/>
      <c r="U81" s="248"/>
      <c r="V81" s="246"/>
    </row>
    <row r="82" spans="2:22" ht="15.75">
      <c r="B82" s="242">
        <v>605</v>
      </c>
      <c r="C82" s="247"/>
      <c r="D82" s="248"/>
      <c r="E82" s="248"/>
      <c r="F82" s="248"/>
      <c r="G82" s="248"/>
      <c r="H82" s="248"/>
      <c r="I82" s="248"/>
      <c r="J82" s="248"/>
      <c r="K82" s="248"/>
      <c r="L82" s="248"/>
      <c r="M82" s="248"/>
      <c r="N82" s="248"/>
      <c r="O82" s="248"/>
      <c r="P82" s="248"/>
      <c r="Q82" s="248"/>
      <c r="R82" s="248"/>
      <c r="S82" s="248"/>
      <c r="T82" s="248"/>
      <c r="U82" s="248"/>
      <c r="V82" s="246"/>
    </row>
    <row r="83" spans="2:22" ht="15.75">
      <c r="B83" s="242">
        <v>606</v>
      </c>
      <c r="C83" s="247"/>
      <c r="D83" s="248"/>
      <c r="E83" s="248"/>
      <c r="F83" s="248"/>
      <c r="G83" s="248"/>
      <c r="H83" s="248"/>
      <c r="I83" s="248"/>
      <c r="J83" s="248"/>
      <c r="K83" s="248"/>
      <c r="L83" s="248"/>
      <c r="M83" s="248"/>
      <c r="N83" s="248"/>
      <c r="O83" s="248"/>
      <c r="P83" s="248"/>
      <c r="Q83" s="248"/>
      <c r="R83" s="248"/>
      <c r="S83" s="248"/>
      <c r="T83" s="248"/>
      <c r="U83" s="248"/>
      <c r="V83" s="246"/>
    </row>
    <row r="84" spans="2:22" ht="15.75">
      <c r="B84" s="242">
        <v>607</v>
      </c>
      <c r="C84" s="247"/>
      <c r="D84" s="248"/>
      <c r="E84" s="248"/>
      <c r="F84" s="248"/>
      <c r="G84" s="248"/>
      <c r="H84" s="248"/>
      <c r="I84" s="248"/>
      <c r="J84" s="248"/>
      <c r="K84" s="248"/>
      <c r="L84" s="248"/>
      <c r="M84" s="248"/>
      <c r="N84" s="248"/>
      <c r="O84" s="248"/>
      <c r="P84" s="248"/>
      <c r="Q84" s="248"/>
      <c r="R84" s="248"/>
      <c r="S84" s="248"/>
      <c r="T84" s="248"/>
      <c r="U84" s="248"/>
      <c r="V84" s="246"/>
    </row>
    <row r="85" spans="2:22" ht="15.75">
      <c r="B85" s="242">
        <v>608</v>
      </c>
      <c r="C85" s="247"/>
      <c r="D85" s="248"/>
      <c r="E85" s="248"/>
      <c r="F85" s="248"/>
      <c r="G85" s="248"/>
      <c r="H85" s="248"/>
      <c r="I85" s="248"/>
      <c r="J85" s="248"/>
      <c r="K85" s="248"/>
      <c r="L85" s="248"/>
      <c r="M85" s="248"/>
      <c r="N85" s="248"/>
      <c r="O85" s="248"/>
      <c r="P85" s="248"/>
      <c r="Q85" s="248"/>
      <c r="R85" s="248"/>
      <c r="S85" s="248"/>
      <c r="T85" s="248"/>
      <c r="U85" s="248"/>
      <c r="V85" s="246"/>
    </row>
    <row r="86" spans="2:22" ht="15.75">
      <c r="B86" s="242">
        <v>609</v>
      </c>
      <c r="C86" s="247"/>
      <c r="D86" s="248"/>
      <c r="E86" s="248"/>
      <c r="F86" s="248"/>
      <c r="G86" s="248"/>
      <c r="H86" s="248"/>
      <c r="I86" s="248"/>
      <c r="J86" s="248"/>
      <c r="K86" s="248"/>
      <c r="L86" s="248"/>
      <c r="M86" s="248"/>
      <c r="N86" s="248"/>
      <c r="O86" s="248"/>
      <c r="P86" s="248"/>
      <c r="Q86" s="248"/>
      <c r="R86" s="248"/>
      <c r="S86" s="248"/>
      <c r="T86" s="248"/>
      <c r="U86" s="248"/>
      <c r="V86" s="246"/>
    </row>
    <row r="87" spans="2:22" ht="15.75">
      <c r="B87" s="242">
        <v>610</v>
      </c>
      <c r="C87" s="247"/>
      <c r="D87" s="248"/>
      <c r="E87" s="248"/>
      <c r="F87" s="248"/>
      <c r="G87" s="248"/>
      <c r="H87" s="248"/>
      <c r="I87" s="248"/>
      <c r="J87" s="248"/>
      <c r="K87" s="248"/>
      <c r="L87" s="248"/>
      <c r="M87" s="248"/>
      <c r="N87" s="248"/>
      <c r="O87" s="248"/>
      <c r="P87" s="248"/>
      <c r="Q87" s="248"/>
      <c r="R87" s="248"/>
      <c r="S87" s="248"/>
      <c r="T87" s="248"/>
      <c r="U87" s="248"/>
      <c r="V87" s="246"/>
    </row>
    <row r="88" spans="2:22" ht="15.75">
      <c r="B88" s="242">
        <v>611</v>
      </c>
      <c r="C88" s="247"/>
      <c r="D88" s="248"/>
      <c r="E88" s="248"/>
      <c r="F88" s="248"/>
      <c r="G88" s="248"/>
      <c r="H88" s="248"/>
      <c r="I88" s="248"/>
      <c r="J88" s="248"/>
      <c r="K88" s="248"/>
      <c r="L88" s="248"/>
      <c r="M88" s="248"/>
      <c r="N88" s="248"/>
      <c r="O88" s="248"/>
      <c r="P88" s="248"/>
      <c r="Q88" s="248"/>
      <c r="R88" s="248"/>
      <c r="S88" s="248"/>
      <c r="T88" s="248"/>
      <c r="U88" s="248"/>
      <c r="V88" s="246"/>
    </row>
    <row r="89" spans="2:22" ht="15.75">
      <c r="B89" s="242">
        <v>612</v>
      </c>
      <c r="C89" s="247"/>
      <c r="D89" s="248"/>
      <c r="E89" s="248"/>
      <c r="F89" s="248"/>
      <c r="G89" s="248"/>
      <c r="H89" s="248"/>
      <c r="I89" s="248"/>
      <c r="J89" s="248"/>
      <c r="K89" s="248"/>
      <c r="L89" s="248"/>
      <c r="M89" s="248"/>
      <c r="N89" s="248"/>
      <c r="O89" s="248"/>
      <c r="P89" s="248"/>
      <c r="Q89" s="248"/>
      <c r="R89" s="248"/>
      <c r="S89" s="248"/>
      <c r="T89" s="248"/>
      <c r="U89" s="248"/>
      <c r="V89" s="246"/>
    </row>
    <row r="90" spans="2:22" ht="15.75">
      <c r="B90" s="242">
        <v>613</v>
      </c>
      <c r="C90" s="247"/>
      <c r="D90" s="248"/>
      <c r="E90" s="248"/>
      <c r="F90" s="248"/>
      <c r="G90" s="248"/>
      <c r="H90" s="248"/>
      <c r="I90" s="248"/>
      <c r="J90" s="248"/>
      <c r="K90" s="248"/>
      <c r="L90" s="248"/>
      <c r="M90" s="248"/>
      <c r="N90" s="248"/>
      <c r="O90" s="248"/>
      <c r="P90" s="248"/>
      <c r="Q90" s="248"/>
      <c r="R90" s="248"/>
      <c r="S90" s="248"/>
      <c r="T90" s="248"/>
      <c r="U90" s="248"/>
      <c r="V90" s="246"/>
    </row>
    <row r="91" spans="2:22" ht="15.75">
      <c r="B91" s="242">
        <v>614</v>
      </c>
      <c r="C91" s="247"/>
      <c r="D91" s="248"/>
      <c r="E91" s="248"/>
      <c r="F91" s="248"/>
      <c r="G91" s="248"/>
      <c r="H91" s="248"/>
      <c r="I91" s="248"/>
      <c r="J91" s="248"/>
      <c r="K91" s="248"/>
      <c r="L91" s="248"/>
      <c r="M91" s="248"/>
      <c r="N91" s="248"/>
      <c r="O91" s="248"/>
      <c r="P91" s="248"/>
      <c r="Q91" s="248"/>
      <c r="R91" s="248"/>
      <c r="S91" s="248"/>
      <c r="T91" s="248"/>
      <c r="U91" s="248"/>
      <c r="V91" s="246"/>
    </row>
    <row r="92" spans="2:22" ht="15.75">
      <c r="B92" s="242">
        <v>615</v>
      </c>
      <c r="C92" s="247"/>
      <c r="D92" s="248"/>
      <c r="E92" s="248"/>
      <c r="F92" s="248"/>
      <c r="G92" s="248"/>
      <c r="H92" s="248"/>
      <c r="I92" s="248"/>
      <c r="J92" s="248"/>
      <c r="K92" s="248"/>
      <c r="L92" s="248"/>
      <c r="M92" s="248"/>
      <c r="N92" s="248"/>
      <c r="O92" s="248"/>
      <c r="P92" s="248"/>
      <c r="Q92" s="248"/>
      <c r="R92" s="248"/>
      <c r="S92" s="248"/>
      <c r="T92" s="248"/>
      <c r="U92" s="248"/>
      <c r="V92" s="246"/>
    </row>
    <row r="93" spans="2:22" ht="15.75">
      <c r="B93" s="242">
        <v>616</v>
      </c>
      <c r="C93" s="247"/>
      <c r="D93" s="248"/>
      <c r="E93" s="248"/>
      <c r="F93" s="248"/>
      <c r="G93" s="248"/>
      <c r="H93" s="248"/>
      <c r="I93" s="248"/>
      <c r="J93" s="248"/>
      <c r="K93" s="248"/>
      <c r="L93" s="248"/>
      <c r="M93" s="248"/>
      <c r="N93" s="248"/>
      <c r="O93" s="248"/>
      <c r="P93" s="248"/>
      <c r="Q93" s="248"/>
      <c r="R93" s="248"/>
      <c r="S93" s="248"/>
      <c r="T93" s="248"/>
      <c r="U93" s="248"/>
      <c r="V93" s="246"/>
    </row>
    <row r="94" spans="2:22" ht="15.75">
      <c r="B94" s="242">
        <v>617</v>
      </c>
      <c r="C94" s="247"/>
      <c r="D94" s="248"/>
      <c r="E94" s="248"/>
      <c r="F94" s="248"/>
      <c r="G94" s="248"/>
      <c r="H94" s="248"/>
      <c r="I94" s="248"/>
      <c r="J94" s="248"/>
      <c r="K94" s="248"/>
      <c r="L94" s="248"/>
      <c r="M94" s="248"/>
      <c r="N94" s="248"/>
      <c r="O94" s="248"/>
      <c r="P94" s="248"/>
      <c r="Q94" s="248"/>
      <c r="R94" s="248"/>
      <c r="S94" s="248"/>
      <c r="T94" s="248"/>
      <c r="U94" s="248"/>
      <c r="V94" s="250"/>
    </row>
    <row r="95" spans="2:22" ht="15.75">
      <c r="B95" s="243" t="s">
        <v>521</v>
      </c>
      <c r="C95" s="251"/>
      <c r="D95" s="251"/>
      <c r="E95" s="251"/>
      <c r="F95" s="251"/>
      <c r="G95" s="251"/>
      <c r="H95" s="251"/>
      <c r="I95" s="251"/>
      <c r="J95" s="251"/>
      <c r="K95" s="251"/>
      <c r="L95" s="251"/>
      <c r="M95" s="251"/>
      <c r="N95" s="251"/>
      <c r="O95" s="251"/>
      <c r="P95" s="251"/>
      <c r="Q95" s="251"/>
      <c r="R95" s="251"/>
      <c r="S95" s="251"/>
      <c r="T95" s="251"/>
      <c r="U95" s="251"/>
      <c r="V95" s="251"/>
    </row>
    <row r="96" spans="2:22" ht="15.75">
      <c r="B96" s="242">
        <v>701</v>
      </c>
      <c r="C96" s="247"/>
      <c r="D96" s="248"/>
      <c r="E96" s="248"/>
      <c r="F96" s="248"/>
      <c r="G96" s="248"/>
      <c r="H96" s="248"/>
      <c r="I96" s="248"/>
      <c r="J96" s="248"/>
      <c r="K96" s="248"/>
      <c r="L96" s="248"/>
      <c r="M96" s="248"/>
      <c r="N96" s="248"/>
      <c r="O96" s="248"/>
      <c r="P96" s="248"/>
      <c r="Q96" s="248"/>
      <c r="R96" s="248"/>
      <c r="S96" s="248"/>
      <c r="T96" s="248"/>
      <c r="U96" s="248"/>
      <c r="V96" s="249"/>
    </row>
    <row r="97" spans="2:22" ht="15.75">
      <c r="B97" s="242">
        <v>702</v>
      </c>
      <c r="C97" s="247"/>
      <c r="D97" s="248"/>
      <c r="E97" s="248"/>
      <c r="F97" s="248"/>
      <c r="G97" s="248"/>
      <c r="H97" s="248"/>
      <c r="I97" s="248"/>
      <c r="J97" s="248"/>
      <c r="K97" s="248"/>
      <c r="L97" s="248"/>
      <c r="M97" s="248"/>
      <c r="N97" s="248"/>
      <c r="O97" s="248"/>
      <c r="P97" s="248"/>
      <c r="Q97" s="248"/>
      <c r="R97" s="248"/>
      <c r="S97" s="248"/>
      <c r="T97" s="248"/>
      <c r="U97" s="248"/>
      <c r="V97" s="246"/>
    </row>
    <row r="98" spans="2:22" ht="15.75">
      <c r="B98" s="242">
        <v>703</v>
      </c>
      <c r="C98" s="247"/>
      <c r="D98" s="248"/>
      <c r="E98" s="248"/>
      <c r="F98" s="248"/>
      <c r="G98" s="248"/>
      <c r="H98" s="248"/>
      <c r="I98" s="248"/>
      <c r="J98" s="248"/>
      <c r="K98" s="248"/>
      <c r="L98" s="248"/>
      <c r="M98" s="248"/>
      <c r="N98" s="248"/>
      <c r="O98" s="248"/>
      <c r="P98" s="248"/>
      <c r="Q98" s="248"/>
      <c r="R98" s="248"/>
      <c r="S98" s="248"/>
      <c r="T98" s="248"/>
      <c r="U98" s="248"/>
      <c r="V98" s="246"/>
    </row>
    <row r="99" spans="2:22" ht="15.75">
      <c r="B99" s="242">
        <v>704</v>
      </c>
      <c r="C99" s="247"/>
      <c r="D99" s="248"/>
      <c r="E99" s="248"/>
      <c r="F99" s="248"/>
      <c r="G99" s="248"/>
      <c r="H99" s="248"/>
      <c r="I99" s="248"/>
      <c r="J99" s="248"/>
      <c r="K99" s="248"/>
      <c r="L99" s="248"/>
      <c r="M99" s="248"/>
      <c r="N99" s="248"/>
      <c r="O99" s="248"/>
      <c r="P99" s="248"/>
      <c r="Q99" s="248"/>
      <c r="R99" s="248"/>
      <c r="S99" s="248"/>
      <c r="T99" s="248"/>
      <c r="U99" s="248"/>
      <c r="V99" s="246"/>
    </row>
    <row r="100" spans="2:22" ht="15.75">
      <c r="B100" s="242">
        <v>705</v>
      </c>
      <c r="C100" s="247"/>
      <c r="D100" s="248"/>
      <c r="E100" s="248"/>
      <c r="F100" s="248"/>
      <c r="G100" s="248"/>
      <c r="H100" s="248"/>
      <c r="I100" s="248"/>
      <c r="J100" s="248"/>
      <c r="K100" s="248"/>
      <c r="L100" s="248"/>
      <c r="M100" s="248"/>
      <c r="N100" s="248"/>
      <c r="O100" s="248"/>
      <c r="P100" s="248"/>
      <c r="Q100" s="248"/>
      <c r="R100" s="248"/>
      <c r="S100" s="248"/>
      <c r="T100" s="248"/>
      <c r="U100" s="248"/>
      <c r="V100" s="246"/>
    </row>
    <row r="101" spans="2:22" ht="15.75">
      <c r="B101" s="242">
        <v>706</v>
      </c>
      <c r="C101" s="247"/>
      <c r="D101" s="248"/>
      <c r="E101" s="248"/>
      <c r="F101" s="248"/>
      <c r="G101" s="248"/>
      <c r="H101" s="248"/>
      <c r="I101" s="248"/>
      <c r="J101" s="248"/>
      <c r="K101" s="248"/>
      <c r="L101" s="248"/>
      <c r="M101" s="248"/>
      <c r="N101" s="248"/>
      <c r="O101" s="248"/>
      <c r="P101" s="248"/>
      <c r="Q101" s="248"/>
      <c r="R101" s="248"/>
      <c r="S101" s="248"/>
      <c r="T101" s="248"/>
      <c r="U101" s="248"/>
      <c r="V101" s="246"/>
    </row>
    <row r="102" spans="2:22" ht="15.75">
      <c r="B102" s="242">
        <v>707</v>
      </c>
      <c r="C102" s="247"/>
      <c r="D102" s="248"/>
      <c r="E102" s="248"/>
      <c r="F102" s="248"/>
      <c r="G102" s="248"/>
      <c r="H102" s="248"/>
      <c r="I102" s="248"/>
      <c r="J102" s="248"/>
      <c r="K102" s="248"/>
      <c r="L102" s="248"/>
      <c r="M102" s="248"/>
      <c r="N102" s="248"/>
      <c r="O102" s="248"/>
      <c r="P102" s="248"/>
      <c r="Q102" s="248"/>
      <c r="R102" s="248"/>
      <c r="S102" s="248"/>
      <c r="T102" s="248"/>
      <c r="U102" s="248"/>
      <c r="V102" s="246"/>
    </row>
    <row r="103" spans="2:22" ht="15.75">
      <c r="B103" s="242">
        <v>708</v>
      </c>
      <c r="C103" s="247"/>
      <c r="D103" s="248"/>
      <c r="E103" s="248"/>
      <c r="F103" s="248"/>
      <c r="G103" s="248"/>
      <c r="H103" s="248"/>
      <c r="I103" s="248"/>
      <c r="J103" s="248"/>
      <c r="K103" s="248"/>
      <c r="L103" s="248"/>
      <c r="M103" s="248"/>
      <c r="N103" s="248"/>
      <c r="O103" s="248"/>
      <c r="P103" s="248"/>
      <c r="Q103" s="248"/>
      <c r="R103" s="248"/>
      <c r="S103" s="248"/>
      <c r="T103" s="248"/>
      <c r="U103" s="248"/>
      <c r="V103" s="246"/>
    </row>
    <row r="104" spans="2:22" ht="15.75">
      <c r="B104" s="242">
        <v>709</v>
      </c>
      <c r="C104" s="247"/>
      <c r="D104" s="248"/>
      <c r="E104" s="248"/>
      <c r="F104" s="248"/>
      <c r="G104" s="248"/>
      <c r="H104" s="248"/>
      <c r="I104" s="248"/>
      <c r="J104" s="248"/>
      <c r="K104" s="248"/>
      <c r="L104" s="248"/>
      <c r="M104" s="248"/>
      <c r="N104" s="248"/>
      <c r="O104" s="248"/>
      <c r="P104" s="248"/>
      <c r="Q104" s="248"/>
      <c r="R104" s="248"/>
      <c r="S104" s="248"/>
      <c r="T104" s="248"/>
      <c r="U104" s="248"/>
      <c r="V104" s="246"/>
    </row>
    <row r="105" spans="2:22" ht="15.75">
      <c r="B105" s="242">
        <v>710</v>
      </c>
      <c r="C105" s="247"/>
      <c r="D105" s="248"/>
      <c r="E105" s="248"/>
      <c r="F105" s="248"/>
      <c r="G105" s="248"/>
      <c r="H105" s="248"/>
      <c r="I105" s="248"/>
      <c r="J105" s="248"/>
      <c r="K105" s="248"/>
      <c r="L105" s="248"/>
      <c r="M105" s="248"/>
      <c r="N105" s="248"/>
      <c r="O105" s="248"/>
      <c r="P105" s="248"/>
      <c r="Q105" s="248"/>
      <c r="R105" s="248"/>
      <c r="S105" s="248"/>
      <c r="T105" s="248"/>
      <c r="U105" s="248"/>
      <c r="V105" s="246"/>
    </row>
    <row r="106" spans="2:22" ht="15.75">
      <c r="B106" s="242">
        <v>711</v>
      </c>
      <c r="C106" s="247"/>
      <c r="D106" s="248"/>
      <c r="E106" s="248"/>
      <c r="F106" s="248"/>
      <c r="G106" s="248"/>
      <c r="H106" s="248"/>
      <c r="I106" s="248"/>
      <c r="J106" s="248"/>
      <c r="K106" s="248"/>
      <c r="L106" s="248"/>
      <c r="M106" s="248"/>
      <c r="N106" s="248"/>
      <c r="O106" s="248"/>
      <c r="P106" s="248"/>
      <c r="Q106" s="248"/>
      <c r="R106" s="248"/>
      <c r="S106" s="248"/>
      <c r="T106" s="248"/>
      <c r="U106" s="248"/>
      <c r="V106" s="246"/>
    </row>
    <row r="107" spans="2:22" ht="15.75">
      <c r="B107" s="242">
        <v>712</v>
      </c>
      <c r="C107" s="247"/>
      <c r="D107" s="248"/>
      <c r="E107" s="248"/>
      <c r="F107" s="248"/>
      <c r="G107" s="248"/>
      <c r="H107" s="248"/>
      <c r="I107" s="248"/>
      <c r="J107" s="248"/>
      <c r="K107" s="248"/>
      <c r="L107" s="248"/>
      <c r="M107" s="248"/>
      <c r="N107" s="248"/>
      <c r="O107" s="248"/>
      <c r="P107" s="248"/>
      <c r="Q107" s="248"/>
      <c r="R107" s="248"/>
      <c r="S107" s="248"/>
      <c r="T107" s="248"/>
      <c r="U107" s="248"/>
      <c r="V107" s="246"/>
    </row>
    <row r="108" spans="2:22" ht="15.75">
      <c r="B108" s="242">
        <v>713</v>
      </c>
      <c r="C108" s="247"/>
      <c r="D108" s="248"/>
      <c r="E108" s="248"/>
      <c r="F108" s="248"/>
      <c r="G108" s="248"/>
      <c r="H108" s="248"/>
      <c r="I108" s="248"/>
      <c r="J108" s="248"/>
      <c r="K108" s="248"/>
      <c r="L108" s="248"/>
      <c r="M108" s="248"/>
      <c r="N108" s="248"/>
      <c r="O108" s="248"/>
      <c r="P108" s="248"/>
      <c r="Q108" s="248"/>
      <c r="R108" s="248"/>
      <c r="S108" s="248"/>
      <c r="T108" s="248"/>
      <c r="U108" s="248"/>
      <c r="V108" s="246"/>
    </row>
    <row r="109" spans="2:22" ht="15.75">
      <c r="B109" s="242">
        <v>714</v>
      </c>
      <c r="C109" s="247"/>
      <c r="D109" s="248"/>
      <c r="E109" s="248"/>
      <c r="F109" s="248"/>
      <c r="G109" s="248"/>
      <c r="H109" s="248"/>
      <c r="I109" s="248"/>
      <c r="J109" s="248"/>
      <c r="K109" s="248"/>
      <c r="L109" s="248"/>
      <c r="M109" s="248"/>
      <c r="N109" s="248"/>
      <c r="O109" s="248"/>
      <c r="P109" s="248"/>
      <c r="Q109" s="248"/>
      <c r="R109" s="248"/>
      <c r="S109" s="248"/>
      <c r="T109" s="248"/>
      <c r="U109" s="248"/>
      <c r="V109" s="246"/>
    </row>
    <row r="110" spans="2:22" ht="15.75">
      <c r="B110" s="242">
        <v>715</v>
      </c>
      <c r="C110" s="247"/>
      <c r="D110" s="248"/>
      <c r="E110" s="248"/>
      <c r="F110" s="248"/>
      <c r="G110" s="248"/>
      <c r="H110" s="248"/>
      <c r="I110" s="248"/>
      <c r="J110" s="248"/>
      <c r="K110" s="248"/>
      <c r="L110" s="248"/>
      <c r="M110" s="248"/>
      <c r="N110" s="248"/>
      <c r="O110" s="248"/>
      <c r="P110" s="248"/>
      <c r="Q110" s="248"/>
      <c r="R110" s="248"/>
      <c r="S110" s="248"/>
      <c r="T110" s="248"/>
      <c r="U110" s="248"/>
      <c r="V110" s="246"/>
    </row>
    <row r="111" spans="2:22" ht="15.75">
      <c r="B111" s="242">
        <v>716</v>
      </c>
      <c r="C111" s="247"/>
      <c r="D111" s="248"/>
      <c r="E111" s="248"/>
      <c r="F111" s="248"/>
      <c r="G111" s="248"/>
      <c r="H111" s="248"/>
      <c r="I111" s="248"/>
      <c r="J111" s="248"/>
      <c r="K111" s="248"/>
      <c r="L111" s="248"/>
      <c r="M111" s="248"/>
      <c r="N111" s="248"/>
      <c r="O111" s="248"/>
      <c r="P111" s="248"/>
      <c r="Q111" s="248"/>
      <c r="R111" s="248"/>
      <c r="S111" s="248"/>
      <c r="T111" s="248"/>
      <c r="U111" s="248"/>
      <c r="V111" s="246"/>
    </row>
    <row r="112" spans="2:22" ht="15.75">
      <c r="B112" s="242">
        <v>717</v>
      </c>
      <c r="C112" s="247"/>
      <c r="D112" s="248"/>
      <c r="E112" s="248"/>
      <c r="F112" s="248"/>
      <c r="G112" s="248"/>
      <c r="H112" s="248"/>
      <c r="I112" s="248"/>
      <c r="J112" s="248"/>
      <c r="K112" s="248"/>
      <c r="L112" s="248"/>
      <c r="M112" s="248"/>
      <c r="N112" s="248"/>
      <c r="O112" s="248"/>
      <c r="P112" s="248"/>
      <c r="Q112" s="248"/>
      <c r="R112" s="248"/>
      <c r="S112" s="248"/>
      <c r="T112" s="248"/>
      <c r="U112" s="248"/>
      <c r="V112" s="250"/>
    </row>
    <row r="113" spans="2:22" ht="15.75">
      <c r="B113" s="243" t="s">
        <v>522</v>
      </c>
      <c r="C113" s="251"/>
      <c r="D113" s="251"/>
      <c r="E113" s="251"/>
      <c r="F113" s="251"/>
      <c r="G113" s="251"/>
      <c r="H113" s="251"/>
      <c r="I113" s="251"/>
      <c r="J113" s="251"/>
      <c r="K113" s="251"/>
      <c r="L113" s="251"/>
      <c r="M113" s="251"/>
      <c r="N113" s="251"/>
      <c r="O113" s="251"/>
      <c r="P113" s="251"/>
      <c r="Q113" s="251"/>
      <c r="R113" s="251"/>
      <c r="S113" s="251"/>
      <c r="T113" s="251"/>
      <c r="U113" s="251"/>
      <c r="V113" s="251"/>
    </row>
    <row r="114" spans="2:22" ht="15.75">
      <c r="B114" s="242">
        <v>801</v>
      </c>
      <c r="C114" s="247"/>
      <c r="D114" s="248"/>
      <c r="E114" s="248"/>
      <c r="F114" s="248"/>
      <c r="G114" s="248"/>
      <c r="H114" s="248"/>
      <c r="I114" s="248"/>
      <c r="J114" s="248"/>
      <c r="K114" s="248"/>
      <c r="L114" s="248"/>
      <c r="M114" s="248"/>
      <c r="N114" s="248"/>
      <c r="O114" s="248"/>
      <c r="P114" s="248"/>
      <c r="Q114" s="248"/>
      <c r="R114" s="248"/>
      <c r="S114" s="248"/>
      <c r="T114" s="248"/>
      <c r="U114" s="248"/>
      <c r="V114" s="249"/>
    </row>
    <row r="115" spans="2:22" ht="15.75">
      <c r="B115" s="242">
        <v>802</v>
      </c>
      <c r="C115" s="247"/>
      <c r="D115" s="248"/>
      <c r="E115" s="248"/>
      <c r="F115" s="248"/>
      <c r="G115" s="248"/>
      <c r="H115" s="248"/>
      <c r="I115" s="248"/>
      <c r="J115" s="248"/>
      <c r="K115" s="248"/>
      <c r="L115" s="248"/>
      <c r="M115" s="248"/>
      <c r="N115" s="248"/>
      <c r="O115" s="248"/>
      <c r="P115" s="248"/>
      <c r="Q115" s="248"/>
      <c r="R115" s="248"/>
      <c r="S115" s="248"/>
      <c r="T115" s="248"/>
      <c r="U115" s="248"/>
      <c r="V115" s="246"/>
    </row>
    <row r="116" spans="2:22" ht="15.75">
      <c r="B116" s="242">
        <v>803</v>
      </c>
      <c r="C116" s="247"/>
      <c r="D116" s="248"/>
      <c r="E116" s="248"/>
      <c r="F116" s="248"/>
      <c r="G116" s="248"/>
      <c r="H116" s="248"/>
      <c r="I116" s="248"/>
      <c r="J116" s="248"/>
      <c r="K116" s="248"/>
      <c r="L116" s="248"/>
      <c r="M116" s="248"/>
      <c r="N116" s="248"/>
      <c r="O116" s="248"/>
      <c r="P116" s="248"/>
      <c r="Q116" s="248"/>
      <c r="R116" s="248"/>
      <c r="S116" s="248"/>
      <c r="T116" s="248"/>
      <c r="U116" s="248"/>
      <c r="V116" s="246"/>
    </row>
    <row r="117" spans="2:22" ht="15.75">
      <c r="B117" s="242">
        <v>804</v>
      </c>
      <c r="C117" s="247"/>
      <c r="D117" s="248"/>
      <c r="E117" s="248"/>
      <c r="F117" s="248"/>
      <c r="G117" s="248"/>
      <c r="H117" s="248"/>
      <c r="I117" s="248"/>
      <c r="J117" s="248"/>
      <c r="K117" s="248"/>
      <c r="L117" s="248"/>
      <c r="M117" s="248"/>
      <c r="N117" s="248"/>
      <c r="O117" s="248"/>
      <c r="P117" s="248"/>
      <c r="Q117" s="248"/>
      <c r="R117" s="248"/>
      <c r="S117" s="248"/>
      <c r="T117" s="248"/>
      <c r="U117" s="248"/>
      <c r="V117" s="246"/>
    </row>
    <row r="118" spans="2:22" ht="15.75">
      <c r="B118" s="242">
        <v>805</v>
      </c>
      <c r="C118" s="247"/>
      <c r="D118" s="248"/>
      <c r="E118" s="248"/>
      <c r="F118" s="248"/>
      <c r="G118" s="248"/>
      <c r="H118" s="248"/>
      <c r="I118" s="248"/>
      <c r="J118" s="248"/>
      <c r="K118" s="248"/>
      <c r="L118" s="248"/>
      <c r="M118" s="248"/>
      <c r="N118" s="248"/>
      <c r="O118" s="248"/>
      <c r="P118" s="248"/>
      <c r="Q118" s="248"/>
      <c r="R118" s="248"/>
      <c r="S118" s="248"/>
      <c r="T118" s="248"/>
      <c r="U118" s="248"/>
      <c r="V118" s="246"/>
    </row>
    <row r="119" spans="2:22" ht="15.75">
      <c r="B119" s="242">
        <v>806</v>
      </c>
      <c r="C119" s="247"/>
      <c r="D119" s="248"/>
      <c r="E119" s="248"/>
      <c r="F119" s="248"/>
      <c r="G119" s="248"/>
      <c r="H119" s="248"/>
      <c r="I119" s="248"/>
      <c r="J119" s="248"/>
      <c r="K119" s="248"/>
      <c r="L119" s="248"/>
      <c r="M119" s="248"/>
      <c r="N119" s="248"/>
      <c r="O119" s="248"/>
      <c r="P119" s="248"/>
      <c r="Q119" s="248"/>
      <c r="R119" s="248"/>
      <c r="S119" s="248"/>
      <c r="T119" s="248"/>
      <c r="U119" s="248"/>
      <c r="V119" s="246"/>
    </row>
    <row r="120" spans="2:22" ht="15.75">
      <c r="B120" s="242">
        <v>807</v>
      </c>
      <c r="C120" s="247"/>
      <c r="D120" s="248"/>
      <c r="E120" s="248"/>
      <c r="F120" s="248"/>
      <c r="G120" s="248"/>
      <c r="H120" s="248"/>
      <c r="I120" s="248"/>
      <c r="J120" s="248"/>
      <c r="K120" s="248"/>
      <c r="L120" s="248"/>
      <c r="M120" s="248"/>
      <c r="N120" s="248"/>
      <c r="O120" s="248"/>
      <c r="P120" s="248"/>
      <c r="Q120" s="248"/>
      <c r="R120" s="248"/>
      <c r="S120" s="248"/>
      <c r="T120" s="248"/>
      <c r="U120" s="248"/>
      <c r="V120" s="246"/>
    </row>
    <row r="121" spans="2:22" ht="15.75">
      <c r="B121" s="242">
        <v>808</v>
      </c>
      <c r="C121" s="247"/>
      <c r="D121" s="248"/>
      <c r="E121" s="248"/>
      <c r="F121" s="248"/>
      <c r="G121" s="248"/>
      <c r="H121" s="248"/>
      <c r="I121" s="248"/>
      <c r="J121" s="248"/>
      <c r="K121" s="248"/>
      <c r="L121" s="248"/>
      <c r="M121" s="248"/>
      <c r="N121" s="248"/>
      <c r="O121" s="248"/>
      <c r="P121" s="248"/>
      <c r="Q121" s="248"/>
      <c r="R121" s="248"/>
      <c r="S121" s="248"/>
      <c r="T121" s="248"/>
      <c r="U121" s="248"/>
      <c r="V121" s="246"/>
    </row>
    <row r="122" spans="2:22" ht="15.75">
      <c r="B122" s="242">
        <v>809</v>
      </c>
      <c r="C122" s="247"/>
      <c r="D122" s="248"/>
      <c r="E122" s="248"/>
      <c r="F122" s="248"/>
      <c r="G122" s="248"/>
      <c r="H122" s="248"/>
      <c r="I122" s="248"/>
      <c r="J122" s="248"/>
      <c r="K122" s="248"/>
      <c r="L122" s="248"/>
      <c r="M122" s="248"/>
      <c r="N122" s="248"/>
      <c r="O122" s="248"/>
      <c r="P122" s="248"/>
      <c r="Q122" s="248"/>
      <c r="R122" s="248"/>
      <c r="S122" s="248"/>
      <c r="T122" s="248"/>
      <c r="U122" s="248"/>
      <c r="V122" s="246"/>
    </row>
    <row r="123" spans="2:22" ht="15.75">
      <c r="B123" s="242">
        <v>810</v>
      </c>
      <c r="C123" s="247"/>
      <c r="D123" s="248"/>
      <c r="E123" s="248"/>
      <c r="F123" s="248"/>
      <c r="G123" s="248"/>
      <c r="H123" s="248"/>
      <c r="I123" s="248"/>
      <c r="J123" s="248"/>
      <c r="K123" s="248"/>
      <c r="L123" s="248"/>
      <c r="M123" s="248"/>
      <c r="N123" s="248"/>
      <c r="O123" s="248"/>
      <c r="P123" s="248"/>
      <c r="Q123" s="248"/>
      <c r="R123" s="248"/>
      <c r="S123" s="248"/>
      <c r="T123" s="248"/>
      <c r="U123" s="248"/>
      <c r="V123" s="246"/>
    </row>
    <row r="124" spans="2:22" ht="15.75">
      <c r="B124" s="242">
        <v>811</v>
      </c>
      <c r="C124" s="247"/>
      <c r="D124" s="248"/>
      <c r="E124" s="248"/>
      <c r="F124" s="248"/>
      <c r="G124" s="248"/>
      <c r="H124" s="248"/>
      <c r="I124" s="248"/>
      <c r="J124" s="248"/>
      <c r="K124" s="248"/>
      <c r="L124" s="248"/>
      <c r="M124" s="248"/>
      <c r="N124" s="248"/>
      <c r="O124" s="248"/>
      <c r="P124" s="248"/>
      <c r="Q124" s="248"/>
      <c r="R124" s="248"/>
      <c r="S124" s="248"/>
      <c r="T124" s="248"/>
      <c r="U124" s="248"/>
      <c r="V124" s="246"/>
    </row>
    <row r="125" spans="2:22" ht="15.75">
      <c r="B125" s="242">
        <v>812</v>
      </c>
      <c r="C125" s="247"/>
      <c r="D125" s="248"/>
      <c r="E125" s="248"/>
      <c r="F125" s="248"/>
      <c r="G125" s="248"/>
      <c r="H125" s="248"/>
      <c r="I125" s="248"/>
      <c r="J125" s="248"/>
      <c r="K125" s="248"/>
      <c r="L125" s="248"/>
      <c r="M125" s="248"/>
      <c r="N125" s="248"/>
      <c r="O125" s="248"/>
      <c r="P125" s="248"/>
      <c r="Q125" s="248"/>
      <c r="R125" s="248"/>
      <c r="S125" s="248"/>
      <c r="T125" s="248"/>
      <c r="U125" s="248"/>
      <c r="V125" s="246"/>
    </row>
    <row r="126" spans="2:22" ht="15.75">
      <c r="B126" s="242">
        <v>813</v>
      </c>
      <c r="C126" s="247"/>
      <c r="D126" s="248"/>
      <c r="E126" s="248"/>
      <c r="F126" s="248"/>
      <c r="G126" s="248"/>
      <c r="H126" s="248"/>
      <c r="I126" s="248"/>
      <c r="J126" s="248"/>
      <c r="K126" s="248"/>
      <c r="L126" s="248"/>
      <c r="M126" s="248"/>
      <c r="N126" s="248"/>
      <c r="O126" s="248"/>
      <c r="P126" s="248"/>
      <c r="Q126" s="248"/>
      <c r="R126" s="248"/>
      <c r="S126" s="248"/>
      <c r="T126" s="248"/>
      <c r="U126" s="248"/>
      <c r="V126" s="246"/>
    </row>
    <row r="127" spans="2:22" ht="15.75">
      <c r="B127" s="242">
        <v>814</v>
      </c>
      <c r="C127" s="247"/>
      <c r="D127" s="248"/>
      <c r="E127" s="248"/>
      <c r="F127" s="248"/>
      <c r="G127" s="248"/>
      <c r="H127" s="248"/>
      <c r="I127" s="248"/>
      <c r="J127" s="248"/>
      <c r="K127" s="248"/>
      <c r="L127" s="248"/>
      <c r="M127" s="248"/>
      <c r="N127" s="248"/>
      <c r="O127" s="248"/>
      <c r="P127" s="248"/>
      <c r="Q127" s="248"/>
      <c r="R127" s="248"/>
      <c r="S127" s="248"/>
      <c r="T127" s="248"/>
      <c r="U127" s="248"/>
      <c r="V127" s="246"/>
    </row>
    <row r="128" spans="2:22" ht="15.75">
      <c r="B128" s="242">
        <v>815</v>
      </c>
      <c r="C128" s="247"/>
      <c r="D128" s="248"/>
      <c r="E128" s="248"/>
      <c r="F128" s="248"/>
      <c r="G128" s="248"/>
      <c r="H128" s="248"/>
      <c r="I128" s="248"/>
      <c r="J128" s="248"/>
      <c r="K128" s="248"/>
      <c r="L128" s="248"/>
      <c r="M128" s="248"/>
      <c r="N128" s="248"/>
      <c r="O128" s="248"/>
      <c r="P128" s="248"/>
      <c r="Q128" s="248"/>
      <c r="R128" s="248"/>
      <c r="S128" s="248"/>
      <c r="T128" s="248"/>
      <c r="U128" s="248"/>
      <c r="V128" s="246"/>
    </row>
    <row r="129" spans="2:22" ht="15.75">
      <c r="B129" s="242">
        <v>816</v>
      </c>
      <c r="C129" s="247"/>
      <c r="D129" s="248"/>
      <c r="E129" s="248"/>
      <c r="F129" s="248"/>
      <c r="G129" s="248"/>
      <c r="H129" s="248"/>
      <c r="I129" s="248"/>
      <c r="J129" s="248"/>
      <c r="K129" s="248"/>
      <c r="L129" s="248"/>
      <c r="M129" s="248"/>
      <c r="N129" s="248"/>
      <c r="O129" s="248"/>
      <c r="P129" s="248"/>
      <c r="Q129" s="248"/>
      <c r="R129" s="248"/>
      <c r="S129" s="248"/>
      <c r="T129" s="248"/>
      <c r="U129" s="248"/>
      <c r="V129" s="246"/>
    </row>
    <row r="130" spans="2:22" ht="15.75">
      <c r="B130" s="242">
        <v>817</v>
      </c>
      <c r="C130" s="247"/>
      <c r="D130" s="248"/>
      <c r="E130" s="248"/>
      <c r="F130" s="248"/>
      <c r="G130" s="248"/>
      <c r="H130" s="248"/>
      <c r="I130" s="248"/>
      <c r="J130" s="248"/>
      <c r="K130" s="248"/>
      <c r="L130" s="248"/>
      <c r="M130" s="248"/>
      <c r="N130" s="248"/>
      <c r="O130" s="248"/>
      <c r="P130" s="248"/>
      <c r="Q130" s="248"/>
      <c r="R130" s="248"/>
      <c r="S130" s="248"/>
      <c r="T130" s="248"/>
      <c r="U130" s="248"/>
      <c r="V130" s="250"/>
    </row>
    <row r="131" spans="2:22" ht="15.75">
      <c r="B131" s="243" t="s">
        <v>523</v>
      </c>
      <c r="C131" s="251"/>
      <c r="D131" s="251"/>
      <c r="E131" s="251"/>
      <c r="F131" s="251"/>
      <c r="G131" s="251"/>
      <c r="H131" s="251"/>
      <c r="I131" s="251"/>
      <c r="J131" s="251"/>
      <c r="K131" s="251"/>
      <c r="L131" s="251"/>
      <c r="M131" s="251"/>
      <c r="N131" s="251"/>
      <c r="O131" s="251"/>
      <c r="P131" s="251"/>
      <c r="Q131" s="251"/>
      <c r="R131" s="251"/>
      <c r="S131" s="251"/>
      <c r="T131" s="251"/>
      <c r="U131" s="251"/>
      <c r="V131" s="251"/>
    </row>
    <row r="132" spans="2:22" ht="15.75">
      <c r="B132" s="242">
        <v>901</v>
      </c>
      <c r="C132" s="247"/>
      <c r="D132" s="248"/>
      <c r="E132" s="248"/>
      <c r="F132" s="248"/>
      <c r="G132" s="248"/>
      <c r="H132" s="248"/>
      <c r="I132" s="248"/>
      <c r="J132" s="248"/>
      <c r="K132" s="248"/>
      <c r="L132" s="248"/>
      <c r="M132" s="248"/>
      <c r="N132" s="248"/>
      <c r="O132" s="248"/>
      <c r="P132" s="248"/>
      <c r="Q132" s="248"/>
      <c r="R132" s="248"/>
      <c r="S132" s="248"/>
      <c r="T132" s="248"/>
      <c r="U132" s="248"/>
      <c r="V132" s="249"/>
    </row>
    <row r="133" spans="2:22" ht="15.75">
      <c r="B133" s="242">
        <v>902</v>
      </c>
      <c r="C133" s="247"/>
      <c r="D133" s="248"/>
      <c r="E133" s="248"/>
      <c r="F133" s="248"/>
      <c r="G133" s="248"/>
      <c r="H133" s="248"/>
      <c r="I133" s="248"/>
      <c r="J133" s="248"/>
      <c r="K133" s="248"/>
      <c r="L133" s="248"/>
      <c r="M133" s="248"/>
      <c r="N133" s="248"/>
      <c r="O133" s="248"/>
      <c r="P133" s="248"/>
      <c r="Q133" s="248"/>
      <c r="R133" s="248"/>
      <c r="S133" s="248"/>
      <c r="T133" s="248"/>
      <c r="U133" s="248"/>
      <c r="V133" s="246"/>
    </row>
    <row r="134" spans="2:22" ht="15.75">
      <c r="B134" s="242">
        <v>903</v>
      </c>
      <c r="C134" s="247"/>
      <c r="D134" s="248"/>
      <c r="E134" s="248"/>
      <c r="F134" s="248"/>
      <c r="G134" s="248"/>
      <c r="H134" s="248"/>
      <c r="I134" s="248"/>
      <c r="J134" s="248"/>
      <c r="K134" s="248"/>
      <c r="L134" s="248"/>
      <c r="M134" s="248"/>
      <c r="N134" s="248"/>
      <c r="O134" s="248"/>
      <c r="P134" s="248"/>
      <c r="Q134" s="248"/>
      <c r="R134" s="248"/>
      <c r="S134" s="248"/>
      <c r="T134" s="248"/>
      <c r="U134" s="248"/>
      <c r="V134" s="246"/>
    </row>
    <row r="135" spans="2:22" ht="15.75">
      <c r="B135" s="242">
        <v>904</v>
      </c>
      <c r="C135" s="247"/>
      <c r="D135" s="248"/>
      <c r="E135" s="248"/>
      <c r="F135" s="248"/>
      <c r="G135" s="248"/>
      <c r="H135" s="248"/>
      <c r="I135" s="248"/>
      <c r="J135" s="248"/>
      <c r="K135" s="248"/>
      <c r="L135" s="248"/>
      <c r="M135" s="248"/>
      <c r="N135" s="248"/>
      <c r="O135" s="248"/>
      <c r="P135" s="248"/>
      <c r="Q135" s="248"/>
      <c r="R135" s="248"/>
      <c r="S135" s="248"/>
      <c r="T135" s="248"/>
      <c r="U135" s="248"/>
      <c r="V135" s="246"/>
    </row>
    <row r="136" spans="2:22" ht="15.75">
      <c r="B136" s="242">
        <v>905</v>
      </c>
      <c r="C136" s="247"/>
      <c r="D136" s="248"/>
      <c r="E136" s="248"/>
      <c r="F136" s="248"/>
      <c r="G136" s="248"/>
      <c r="H136" s="248"/>
      <c r="I136" s="248"/>
      <c r="J136" s="248"/>
      <c r="K136" s="248"/>
      <c r="L136" s="248"/>
      <c r="M136" s="248"/>
      <c r="N136" s="248"/>
      <c r="O136" s="248"/>
      <c r="P136" s="248"/>
      <c r="Q136" s="248"/>
      <c r="R136" s="248"/>
      <c r="S136" s="248"/>
      <c r="T136" s="248"/>
      <c r="U136" s="248"/>
      <c r="V136" s="246"/>
    </row>
    <row r="137" spans="2:22" ht="15.75">
      <c r="B137" s="242">
        <v>906</v>
      </c>
      <c r="C137" s="247"/>
      <c r="D137" s="248"/>
      <c r="E137" s="248"/>
      <c r="F137" s="248"/>
      <c r="G137" s="248"/>
      <c r="H137" s="248"/>
      <c r="I137" s="248"/>
      <c r="J137" s="248"/>
      <c r="K137" s="248"/>
      <c r="L137" s="248"/>
      <c r="M137" s="248"/>
      <c r="N137" s="248"/>
      <c r="O137" s="248"/>
      <c r="P137" s="248"/>
      <c r="Q137" s="248"/>
      <c r="R137" s="248"/>
      <c r="S137" s="248"/>
      <c r="T137" s="248"/>
      <c r="U137" s="248"/>
      <c r="V137" s="246"/>
    </row>
    <row r="138" spans="2:22" ht="15.75">
      <c r="B138" s="242">
        <v>907</v>
      </c>
      <c r="C138" s="247"/>
      <c r="D138" s="248"/>
      <c r="E138" s="248"/>
      <c r="F138" s="248"/>
      <c r="G138" s="248"/>
      <c r="H138" s="248"/>
      <c r="I138" s="248"/>
      <c r="J138" s="248"/>
      <c r="K138" s="248"/>
      <c r="L138" s="248"/>
      <c r="M138" s="248"/>
      <c r="N138" s="248"/>
      <c r="O138" s="248"/>
      <c r="P138" s="248"/>
      <c r="Q138" s="248"/>
      <c r="R138" s="248"/>
      <c r="S138" s="248"/>
      <c r="T138" s="248"/>
      <c r="U138" s="248"/>
      <c r="V138" s="246"/>
    </row>
    <row r="139" spans="2:22" ht="15.75">
      <c r="B139" s="242">
        <v>908</v>
      </c>
      <c r="C139" s="247"/>
      <c r="D139" s="248"/>
      <c r="E139" s="248"/>
      <c r="F139" s="248"/>
      <c r="G139" s="248"/>
      <c r="H139" s="248"/>
      <c r="I139" s="248"/>
      <c r="J139" s="248"/>
      <c r="K139" s="248"/>
      <c r="L139" s="248"/>
      <c r="M139" s="248"/>
      <c r="N139" s="248"/>
      <c r="O139" s="248"/>
      <c r="P139" s="248"/>
      <c r="Q139" s="248"/>
      <c r="R139" s="248"/>
      <c r="S139" s="248"/>
      <c r="T139" s="248"/>
      <c r="U139" s="248"/>
      <c r="V139" s="246"/>
    </row>
    <row r="140" spans="2:22" ht="15.75">
      <c r="B140" s="242">
        <v>909</v>
      </c>
      <c r="C140" s="247"/>
      <c r="D140" s="248"/>
      <c r="E140" s="248"/>
      <c r="F140" s="248"/>
      <c r="G140" s="248"/>
      <c r="H140" s="248"/>
      <c r="I140" s="248"/>
      <c r="J140" s="248"/>
      <c r="K140" s="248"/>
      <c r="L140" s="248"/>
      <c r="M140" s="248"/>
      <c r="N140" s="248"/>
      <c r="O140" s="248"/>
      <c r="P140" s="248"/>
      <c r="Q140" s="248"/>
      <c r="R140" s="248"/>
      <c r="S140" s="248"/>
      <c r="T140" s="248"/>
      <c r="U140" s="248"/>
      <c r="V140" s="246"/>
    </row>
    <row r="141" spans="2:22" ht="15.75">
      <c r="B141" s="242">
        <v>910</v>
      </c>
      <c r="C141" s="247"/>
      <c r="D141" s="248"/>
      <c r="E141" s="248"/>
      <c r="F141" s="248"/>
      <c r="G141" s="248"/>
      <c r="H141" s="248"/>
      <c r="I141" s="248"/>
      <c r="J141" s="248"/>
      <c r="K141" s="248"/>
      <c r="L141" s="248"/>
      <c r="M141" s="248"/>
      <c r="N141" s="248"/>
      <c r="O141" s="248"/>
      <c r="P141" s="248"/>
      <c r="Q141" s="248"/>
      <c r="R141" s="248"/>
      <c r="S141" s="248"/>
      <c r="T141" s="248"/>
      <c r="U141" s="248"/>
      <c r="V141" s="246"/>
    </row>
    <row r="142" spans="2:22" ht="15.75">
      <c r="B142" s="242">
        <v>911</v>
      </c>
      <c r="C142" s="247"/>
      <c r="D142" s="248"/>
      <c r="E142" s="248"/>
      <c r="F142" s="248"/>
      <c r="G142" s="248"/>
      <c r="H142" s="248"/>
      <c r="I142" s="248"/>
      <c r="J142" s="248"/>
      <c r="K142" s="248"/>
      <c r="L142" s="248"/>
      <c r="M142" s="248"/>
      <c r="N142" s="248"/>
      <c r="O142" s="248"/>
      <c r="P142" s="248"/>
      <c r="Q142" s="248"/>
      <c r="R142" s="248"/>
      <c r="S142" s="248"/>
      <c r="T142" s="248"/>
      <c r="U142" s="248"/>
      <c r="V142" s="246"/>
    </row>
    <row r="143" spans="2:22" ht="15.75">
      <c r="B143" s="242">
        <v>912</v>
      </c>
      <c r="C143" s="247"/>
      <c r="D143" s="248"/>
      <c r="E143" s="248"/>
      <c r="F143" s="248"/>
      <c r="G143" s="248"/>
      <c r="H143" s="248"/>
      <c r="I143" s="248"/>
      <c r="J143" s="248"/>
      <c r="K143" s="248"/>
      <c r="L143" s="248"/>
      <c r="M143" s="248"/>
      <c r="N143" s="248"/>
      <c r="O143" s="248"/>
      <c r="P143" s="248"/>
      <c r="Q143" s="248"/>
      <c r="R143" s="248"/>
      <c r="S143" s="248"/>
      <c r="T143" s="248"/>
      <c r="U143" s="248"/>
      <c r="V143" s="246"/>
    </row>
    <row r="144" spans="2:22" ht="15.75">
      <c r="B144" s="242">
        <v>913</v>
      </c>
      <c r="C144" s="247"/>
      <c r="D144" s="248"/>
      <c r="E144" s="248"/>
      <c r="F144" s="248"/>
      <c r="G144" s="248"/>
      <c r="H144" s="248"/>
      <c r="I144" s="248"/>
      <c r="J144" s="248"/>
      <c r="K144" s="248"/>
      <c r="L144" s="248"/>
      <c r="M144" s="248"/>
      <c r="N144" s="248"/>
      <c r="O144" s="248"/>
      <c r="P144" s="248"/>
      <c r="Q144" s="248"/>
      <c r="R144" s="248"/>
      <c r="S144" s="248"/>
      <c r="T144" s="248"/>
      <c r="U144" s="248"/>
      <c r="V144" s="246"/>
    </row>
    <row r="145" spans="2:22" ht="15.75">
      <c r="B145" s="242">
        <v>914</v>
      </c>
      <c r="C145" s="247"/>
      <c r="D145" s="248"/>
      <c r="E145" s="248"/>
      <c r="F145" s="248"/>
      <c r="G145" s="248"/>
      <c r="H145" s="248"/>
      <c r="I145" s="248"/>
      <c r="J145" s="248"/>
      <c r="K145" s="248"/>
      <c r="L145" s="248"/>
      <c r="M145" s="248"/>
      <c r="N145" s="248"/>
      <c r="O145" s="248"/>
      <c r="P145" s="248"/>
      <c r="Q145" s="248"/>
      <c r="R145" s="248"/>
      <c r="S145" s="248"/>
      <c r="T145" s="248"/>
      <c r="U145" s="248"/>
      <c r="V145" s="246"/>
    </row>
    <row r="146" spans="2:22" ht="15.75">
      <c r="B146" s="242">
        <v>915</v>
      </c>
      <c r="C146" s="247"/>
      <c r="D146" s="248"/>
      <c r="E146" s="248"/>
      <c r="F146" s="248"/>
      <c r="G146" s="248"/>
      <c r="H146" s="248"/>
      <c r="I146" s="248"/>
      <c r="J146" s="248"/>
      <c r="K146" s="248"/>
      <c r="L146" s="248"/>
      <c r="M146" s="248"/>
      <c r="N146" s="248"/>
      <c r="O146" s="248"/>
      <c r="P146" s="248"/>
      <c r="Q146" s="248"/>
      <c r="R146" s="248"/>
      <c r="S146" s="248"/>
      <c r="T146" s="248"/>
      <c r="U146" s="248"/>
      <c r="V146" s="246"/>
    </row>
    <row r="147" spans="2:22" ht="15.75">
      <c r="B147" s="242">
        <v>916</v>
      </c>
      <c r="C147" s="247"/>
      <c r="D147" s="248"/>
      <c r="E147" s="248"/>
      <c r="F147" s="248"/>
      <c r="G147" s="248"/>
      <c r="H147" s="248"/>
      <c r="I147" s="248"/>
      <c r="J147" s="248"/>
      <c r="K147" s="248"/>
      <c r="L147" s="248"/>
      <c r="M147" s="248"/>
      <c r="N147" s="248"/>
      <c r="O147" s="248"/>
      <c r="P147" s="248"/>
      <c r="Q147" s="248"/>
      <c r="R147" s="248"/>
      <c r="S147" s="248"/>
      <c r="T147" s="248"/>
      <c r="U147" s="248"/>
      <c r="V147" s="246"/>
    </row>
    <row r="148" spans="2:22" ht="15.75">
      <c r="B148" s="242">
        <v>917</v>
      </c>
      <c r="C148" s="247"/>
      <c r="D148" s="248"/>
      <c r="E148" s="248"/>
      <c r="F148" s="248"/>
      <c r="G148" s="248"/>
      <c r="H148" s="248"/>
      <c r="I148" s="248"/>
      <c r="J148" s="248"/>
      <c r="K148" s="248"/>
      <c r="L148" s="248"/>
      <c r="M148" s="248"/>
      <c r="N148" s="248"/>
      <c r="O148" s="248"/>
      <c r="P148" s="248"/>
      <c r="Q148" s="248"/>
      <c r="R148" s="248"/>
      <c r="S148" s="248"/>
      <c r="T148" s="248"/>
      <c r="U148" s="248"/>
      <c r="V148" s="250"/>
    </row>
    <row r="149" spans="2:22" ht="15.75">
      <c r="B149" s="243" t="s">
        <v>524</v>
      </c>
      <c r="C149" s="251"/>
      <c r="D149" s="251"/>
      <c r="E149" s="251"/>
      <c r="F149" s="251"/>
      <c r="G149" s="251"/>
      <c r="H149" s="251"/>
      <c r="I149" s="251"/>
      <c r="J149" s="251"/>
      <c r="K149" s="251"/>
      <c r="L149" s="251"/>
      <c r="M149" s="251"/>
      <c r="N149" s="251"/>
      <c r="O149" s="251"/>
      <c r="P149" s="251"/>
      <c r="Q149" s="251"/>
      <c r="R149" s="251"/>
      <c r="S149" s="251"/>
      <c r="T149" s="251"/>
      <c r="U149" s="251"/>
      <c r="V149" s="251"/>
    </row>
    <row r="150" spans="2:22" ht="15.75">
      <c r="B150" s="242">
        <v>1001</v>
      </c>
      <c r="C150" s="247"/>
      <c r="D150" s="248"/>
      <c r="E150" s="248"/>
      <c r="F150" s="248"/>
      <c r="G150" s="248"/>
      <c r="H150" s="248"/>
      <c r="I150" s="248"/>
      <c r="J150" s="248"/>
      <c r="K150" s="248"/>
      <c r="L150" s="248"/>
      <c r="M150" s="248"/>
      <c r="N150" s="248"/>
      <c r="O150" s="248"/>
      <c r="P150" s="248"/>
      <c r="Q150" s="248"/>
      <c r="R150" s="248"/>
      <c r="S150" s="248"/>
      <c r="T150" s="248"/>
      <c r="U150" s="248"/>
      <c r="V150" s="249"/>
    </row>
    <row r="151" spans="2:22" ht="15.75">
      <c r="B151" s="242">
        <v>1002</v>
      </c>
      <c r="C151" s="247"/>
      <c r="D151" s="248"/>
      <c r="E151" s="248"/>
      <c r="F151" s="248"/>
      <c r="G151" s="248"/>
      <c r="H151" s="248"/>
      <c r="I151" s="248"/>
      <c r="J151" s="248"/>
      <c r="K151" s="248"/>
      <c r="L151" s="248"/>
      <c r="M151" s="248"/>
      <c r="N151" s="248"/>
      <c r="O151" s="248"/>
      <c r="P151" s="248"/>
      <c r="Q151" s="248"/>
      <c r="R151" s="248"/>
      <c r="S151" s="248"/>
      <c r="T151" s="248"/>
      <c r="U151" s="248"/>
      <c r="V151" s="246"/>
    </row>
    <row r="152" spans="2:22" ht="15.75">
      <c r="B152" s="242">
        <v>1003</v>
      </c>
      <c r="C152" s="247"/>
      <c r="D152" s="248"/>
      <c r="E152" s="248"/>
      <c r="F152" s="248"/>
      <c r="G152" s="248"/>
      <c r="H152" s="248"/>
      <c r="I152" s="248"/>
      <c r="J152" s="248"/>
      <c r="K152" s="248"/>
      <c r="L152" s="248"/>
      <c r="M152" s="248"/>
      <c r="N152" s="248"/>
      <c r="O152" s="248"/>
      <c r="P152" s="248"/>
      <c r="Q152" s="248"/>
      <c r="R152" s="248"/>
      <c r="S152" s="248"/>
      <c r="T152" s="248"/>
      <c r="U152" s="248"/>
      <c r="V152" s="246"/>
    </row>
    <row r="153" spans="2:22" ht="15.75">
      <c r="B153" s="242">
        <v>1004</v>
      </c>
      <c r="C153" s="247"/>
      <c r="D153" s="248"/>
      <c r="E153" s="248"/>
      <c r="F153" s="248"/>
      <c r="G153" s="248"/>
      <c r="H153" s="248"/>
      <c r="I153" s="248"/>
      <c r="J153" s="248"/>
      <c r="K153" s="248"/>
      <c r="L153" s="248"/>
      <c r="M153" s="248"/>
      <c r="N153" s="248"/>
      <c r="O153" s="248"/>
      <c r="P153" s="248"/>
      <c r="Q153" s="248"/>
      <c r="R153" s="248"/>
      <c r="S153" s="248"/>
      <c r="T153" s="248"/>
      <c r="U153" s="248"/>
      <c r="V153" s="246"/>
    </row>
    <row r="154" spans="2:22" ht="15.75">
      <c r="B154" s="242">
        <v>1005</v>
      </c>
      <c r="C154" s="247"/>
      <c r="D154" s="248"/>
      <c r="E154" s="248"/>
      <c r="F154" s="248"/>
      <c r="G154" s="248"/>
      <c r="H154" s="248"/>
      <c r="I154" s="248"/>
      <c r="J154" s="248"/>
      <c r="K154" s="248"/>
      <c r="L154" s="248"/>
      <c r="M154" s="248"/>
      <c r="N154" s="248"/>
      <c r="O154" s="248"/>
      <c r="P154" s="248"/>
      <c r="Q154" s="248"/>
      <c r="R154" s="248"/>
      <c r="S154" s="248"/>
      <c r="T154" s="248"/>
      <c r="U154" s="248"/>
      <c r="V154" s="246"/>
    </row>
    <row r="155" spans="2:22" ht="15.75">
      <c r="B155" s="242">
        <v>1006</v>
      </c>
      <c r="C155" s="247"/>
      <c r="D155" s="248"/>
      <c r="E155" s="248"/>
      <c r="F155" s="248"/>
      <c r="G155" s="248"/>
      <c r="H155" s="248"/>
      <c r="I155" s="248"/>
      <c r="J155" s="248"/>
      <c r="K155" s="248"/>
      <c r="L155" s="248"/>
      <c r="M155" s="248"/>
      <c r="N155" s="248"/>
      <c r="O155" s="248"/>
      <c r="P155" s="248"/>
      <c r="Q155" s="248"/>
      <c r="R155" s="248"/>
      <c r="S155" s="248"/>
      <c r="T155" s="248"/>
      <c r="U155" s="248"/>
      <c r="V155" s="246"/>
    </row>
    <row r="156" spans="2:22" ht="15.75">
      <c r="B156" s="242">
        <v>1007</v>
      </c>
      <c r="C156" s="247"/>
      <c r="D156" s="248"/>
      <c r="E156" s="248"/>
      <c r="F156" s="248"/>
      <c r="G156" s="248"/>
      <c r="H156" s="248"/>
      <c r="I156" s="248"/>
      <c r="J156" s="248"/>
      <c r="K156" s="248"/>
      <c r="L156" s="248"/>
      <c r="M156" s="248"/>
      <c r="N156" s="248"/>
      <c r="O156" s="248"/>
      <c r="P156" s="248"/>
      <c r="Q156" s="248"/>
      <c r="R156" s="248"/>
      <c r="S156" s="248"/>
      <c r="T156" s="248"/>
      <c r="U156" s="248"/>
      <c r="V156" s="246"/>
    </row>
    <row r="157" spans="2:22" ht="15.75">
      <c r="B157" s="242">
        <v>1008</v>
      </c>
      <c r="C157" s="247"/>
      <c r="D157" s="248"/>
      <c r="E157" s="248"/>
      <c r="F157" s="248"/>
      <c r="G157" s="248"/>
      <c r="H157" s="248"/>
      <c r="I157" s="248"/>
      <c r="J157" s="248"/>
      <c r="K157" s="248"/>
      <c r="L157" s="248"/>
      <c r="M157" s="248"/>
      <c r="N157" s="248"/>
      <c r="O157" s="248"/>
      <c r="P157" s="248"/>
      <c r="Q157" s="248"/>
      <c r="R157" s="248"/>
      <c r="S157" s="248"/>
      <c r="T157" s="248"/>
      <c r="U157" s="248"/>
      <c r="V157" s="246"/>
    </row>
    <row r="158" spans="2:22" ht="15.75">
      <c r="B158" s="242">
        <v>1009</v>
      </c>
      <c r="C158" s="247"/>
      <c r="D158" s="248"/>
      <c r="E158" s="248"/>
      <c r="F158" s="248"/>
      <c r="G158" s="248"/>
      <c r="H158" s="248"/>
      <c r="I158" s="248"/>
      <c r="J158" s="248"/>
      <c r="K158" s="248"/>
      <c r="L158" s="248"/>
      <c r="M158" s="248"/>
      <c r="N158" s="248"/>
      <c r="O158" s="248"/>
      <c r="P158" s="248"/>
      <c r="Q158" s="248"/>
      <c r="R158" s="248"/>
      <c r="S158" s="248"/>
      <c r="T158" s="248"/>
      <c r="U158" s="248"/>
      <c r="V158" s="246"/>
    </row>
    <row r="159" spans="2:22" ht="15.75">
      <c r="B159" s="242">
        <v>1010</v>
      </c>
      <c r="C159" s="247"/>
      <c r="D159" s="248"/>
      <c r="E159" s="248"/>
      <c r="F159" s="248"/>
      <c r="G159" s="248"/>
      <c r="H159" s="248"/>
      <c r="I159" s="248"/>
      <c r="J159" s="248"/>
      <c r="K159" s="248"/>
      <c r="L159" s="248"/>
      <c r="M159" s="248"/>
      <c r="N159" s="248"/>
      <c r="O159" s="248"/>
      <c r="P159" s="248"/>
      <c r="Q159" s="248"/>
      <c r="R159" s="248"/>
      <c r="S159" s="248"/>
      <c r="T159" s="248"/>
      <c r="U159" s="248"/>
      <c r="V159" s="246"/>
    </row>
    <row r="160" spans="2:22" ht="15.75">
      <c r="B160" s="242">
        <v>1011</v>
      </c>
      <c r="C160" s="247"/>
      <c r="D160" s="248"/>
      <c r="E160" s="248"/>
      <c r="F160" s="248"/>
      <c r="G160" s="248"/>
      <c r="H160" s="248"/>
      <c r="I160" s="248"/>
      <c r="J160" s="248"/>
      <c r="K160" s="248"/>
      <c r="L160" s="248"/>
      <c r="M160" s="248"/>
      <c r="N160" s="248"/>
      <c r="O160" s="248"/>
      <c r="P160" s="248"/>
      <c r="Q160" s="248"/>
      <c r="R160" s="248"/>
      <c r="S160" s="248"/>
      <c r="T160" s="248"/>
      <c r="U160" s="248"/>
      <c r="V160" s="246"/>
    </row>
    <row r="161" spans="2:22" ht="15.75">
      <c r="B161" s="242">
        <v>1012</v>
      </c>
      <c r="C161" s="247"/>
      <c r="D161" s="248"/>
      <c r="E161" s="248"/>
      <c r="F161" s="248"/>
      <c r="G161" s="248"/>
      <c r="H161" s="248"/>
      <c r="I161" s="248"/>
      <c r="J161" s="248"/>
      <c r="K161" s="248"/>
      <c r="L161" s="248"/>
      <c r="M161" s="248"/>
      <c r="N161" s="248"/>
      <c r="O161" s="248"/>
      <c r="P161" s="248"/>
      <c r="Q161" s="248"/>
      <c r="R161" s="248"/>
      <c r="S161" s="248"/>
      <c r="T161" s="248"/>
      <c r="U161" s="248"/>
      <c r="V161" s="246"/>
    </row>
    <row r="162" spans="2:22" ht="15.75">
      <c r="B162" s="242">
        <v>1013</v>
      </c>
      <c r="C162" s="247"/>
      <c r="D162" s="248"/>
      <c r="E162" s="248"/>
      <c r="F162" s="248"/>
      <c r="G162" s="248"/>
      <c r="H162" s="248"/>
      <c r="I162" s="248"/>
      <c r="J162" s="248"/>
      <c r="K162" s="248"/>
      <c r="L162" s="248"/>
      <c r="M162" s="248"/>
      <c r="N162" s="248"/>
      <c r="O162" s="248"/>
      <c r="P162" s="248"/>
      <c r="Q162" s="248"/>
      <c r="R162" s="248"/>
      <c r="S162" s="248"/>
      <c r="T162" s="248"/>
      <c r="U162" s="248"/>
      <c r="V162" s="246"/>
    </row>
    <row r="163" spans="2:22" ht="15.75">
      <c r="B163" s="242">
        <v>1014</v>
      </c>
      <c r="C163" s="247"/>
      <c r="D163" s="248"/>
      <c r="E163" s="248"/>
      <c r="F163" s="248"/>
      <c r="G163" s="248"/>
      <c r="H163" s="248"/>
      <c r="I163" s="248"/>
      <c r="J163" s="248"/>
      <c r="K163" s="248"/>
      <c r="L163" s="248"/>
      <c r="M163" s="248"/>
      <c r="N163" s="248"/>
      <c r="O163" s="248"/>
      <c r="P163" s="248"/>
      <c r="Q163" s="248"/>
      <c r="R163" s="248"/>
      <c r="S163" s="248"/>
      <c r="T163" s="248"/>
      <c r="U163" s="248"/>
      <c r="V163" s="246"/>
    </row>
    <row r="164" spans="2:22" ht="15.75">
      <c r="B164" s="242">
        <v>1015</v>
      </c>
      <c r="C164" s="247"/>
      <c r="D164" s="248"/>
      <c r="E164" s="248"/>
      <c r="F164" s="248"/>
      <c r="G164" s="248"/>
      <c r="H164" s="248"/>
      <c r="I164" s="248"/>
      <c r="J164" s="248"/>
      <c r="K164" s="248"/>
      <c r="L164" s="248"/>
      <c r="M164" s="248"/>
      <c r="N164" s="248"/>
      <c r="O164" s="248"/>
      <c r="P164" s="248"/>
      <c r="Q164" s="248"/>
      <c r="R164" s="248"/>
      <c r="S164" s="248"/>
      <c r="T164" s="248"/>
      <c r="U164" s="248"/>
      <c r="V164" s="246"/>
    </row>
    <row r="165" spans="2:22" ht="15.75">
      <c r="B165" s="242">
        <v>1016</v>
      </c>
      <c r="C165" s="247"/>
      <c r="D165" s="248"/>
      <c r="E165" s="248"/>
      <c r="F165" s="248"/>
      <c r="G165" s="248"/>
      <c r="H165" s="248"/>
      <c r="I165" s="248"/>
      <c r="J165" s="248"/>
      <c r="K165" s="248"/>
      <c r="L165" s="248"/>
      <c r="M165" s="248"/>
      <c r="N165" s="248"/>
      <c r="O165" s="248"/>
      <c r="P165" s="248"/>
      <c r="Q165" s="248"/>
      <c r="R165" s="248"/>
      <c r="S165" s="248"/>
      <c r="T165" s="248"/>
      <c r="U165" s="248"/>
      <c r="V165" s="246"/>
    </row>
    <row r="166" spans="2:22" ht="15.75">
      <c r="B166" s="242">
        <v>1017</v>
      </c>
      <c r="C166" s="247"/>
      <c r="D166" s="248"/>
      <c r="E166" s="248"/>
      <c r="F166" s="248"/>
      <c r="G166" s="248"/>
      <c r="H166" s="248"/>
      <c r="I166" s="248"/>
      <c r="J166" s="248"/>
      <c r="K166" s="248"/>
      <c r="L166" s="248"/>
      <c r="M166" s="248"/>
      <c r="N166" s="248"/>
      <c r="O166" s="248"/>
      <c r="P166" s="248"/>
      <c r="Q166" s="248"/>
      <c r="R166" s="248"/>
      <c r="S166" s="248"/>
      <c r="T166" s="248"/>
      <c r="U166" s="248"/>
      <c r="V166" s="250"/>
    </row>
    <row r="167" spans="2:22" ht="15.75">
      <c r="B167" s="243" t="s">
        <v>525</v>
      </c>
      <c r="C167" s="251"/>
      <c r="D167" s="251"/>
      <c r="E167" s="251"/>
      <c r="F167" s="251"/>
      <c r="G167" s="251"/>
      <c r="H167" s="251"/>
      <c r="I167" s="251"/>
      <c r="J167" s="251"/>
      <c r="K167" s="251"/>
      <c r="L167" s="251"/>
      <c r="M167" s="251"/>
      <c r="N167" s="251"/>
      <c r="O167" s="251"/>
      <c r="P167" s="251"/>
      <c r="Q167" s="251"/>
      <c r="R167" s="251"/>
      <c r="S167" s="251"/>
      <c r="T167" s="251"/>
      <c r="U167" s="251"/>
      <c r="V167" s="251"/>
    </row>
    <row r="168" spans="2:22" ht="15.75">
      <c r="B168" s="242">
        <v>1101</v>
      </c>
      <c r="C168" s="247"/>
      <c r="D168" s="248"/>
      <c r="E168" s="248"/>
      <c r="F168" s="248"/>
      <c r="G168" s="248"/>
      <c r="H168" s="248"/>
      <c r="I168" s="248"/>
      <c r="J168" s="248"/>
      <c r="K168" s="248"/>
      <c r="L168" s="248"/>
      <c r="M168" s="248"/>
      <c r="N168" s="248"/>
      <c r="O168" s="248"/>
      <c r="P168" s="248"/>
      <c r="Q168" s="248"/>
      <c r="R168" s="248"/>
      <c r="S168" s="248"/>
      <c r="T168" s="248"/>
      <c r="U168" s="248"/>
      <c r="V168" s="249"/>
    </row>
    <row r="169" spans="2:22" ht="15.75">
      <c r="B169" s="242">
        <v>1102</v>
      </c>
      <c r="C169" s="247"/>
      <c r="D169" s="248"/>
      <c r="E169" s="248"/>
      <c r="F169" s="248"/>
      <c r="G169" s="248"/>
      <c r="H169" s="248"/>
      <c r="I169" s="248"/>
      <c r="J169" s="248"/>
      <c r="K169" s="248"/>
      <c r="L169" s="248"/>
      <c r="M169" s="248"/>
      <c r="N169" s="248"/>
      <c r="O169" s="248"/>
      <c r="P169" s="248"/>
      <c r="Q169" s="248"/>
      <c r="R169" s="248"/>
      <c r="S169" s="248"/>
      <c r="T169" s="248"/>
      <c r="U169" s="248"/>
      <c r="V169" s="246"/>
    </row>
    <row r="170" spans="2:22" ht="15.75">
      <c r="B170" s="242">
        <v>1103</v>
      </c>
      <c r="C170" s="247"/>
      <c r="D170" s="248"/>
      <c r="E170" s="248"/>
      <c r="F170" s="248"/>
      <c r="G170" s="248"/>
      <c r="H170" s="248"/>
      <c r="I170" s="248"/>
      <c r="J170" s="248"/>
      <c r="K170" s="248"/>
      <c r="L170" s="248"/>
      <c r="M170" s="248"/>
      <c r="N170" s="248"/>
      <c r="O170" s="248"/>
      <c r="P170" s="248"/>
      <c r="Q170" s="248"/>
      <c r="R170" s="248"/>
      <c r="S170" s="248"/>
      <c r="T170" s="248"/>
      <c r="U170" s="248"/>
      <c r="V170" s="246"/>
    </row>
    <row r="171" spans="2:22" ht="15.75">
      <c r="B171" s="242">
        <v>1104</v>
      </c>
      <c r="C171" s="247"/>
      <c r="D171" s="248"/>
      <c r="E171" s="248"/>
      <c r="F171" s="248"/>
      <c r="G171" s="248"/>
      <c r="H171" s="248"/>
      <c r="I171" s="248"/>
      <c r="J171" s="248"/>
      <c r="K171" s="248"/>
      <c r="L171" s="248"/>
      <c r="M171" s="248"/>
      <c r="N171" s="248"/>
      <c r="O171" s="248"/>
      <c r="P171" s="248"/>
      <c r="Q171" s="248"/>
      <c r="R171" s="248"/>
      <c r="S171" s="248"/>
      <c r="T171" s="248"/>
      <c r="U171" s="248"/>
      <c r="V171" s="246"/>
    </row>
    <row r="172" spans="2:22" ht="15.75">
      <c r="B172" s="242">
        <v>1105</v>
      </c>
      <c r="C172" s="247"/>
      <c r="D172" s="248"/>
      <c r="E172" s="248"/>
      <c r="F172" s="248"/>
      <c r="G172" s="248"/>
      <c r="H172" s="248"/>
      <c r="I172" s="248"/>
      <c r="J172" s="248"/>
      <c r="K172" s="248"/>
      <c r="L172" s="248"/>
      <c r="M172" s="248"/>
      <c r="N172" s="248"/>
      <c r="O172" s="248"/>
      <c r="P172" s="248"/>
      <c r="Q172" s="248"/>
      <c r="R172" s="248"/>
      <c r="S172" s="248"/>
      <c r="T172" s="248"/>
      <c r="U172" s="248"/>
      <c r="V172" s="246"/>
    </row>
    <row r="173" spans="2:22" ht="15.75">
      <c r="B173" s="242">
        <v>1106</v>
      </c>
      <c r="C173" s="247"/>
      <c r="D173" s="248"/>
      <c r="E173" s="248"/>
      <c r="F173" s="248"/>
      <c r="G173" s="248"/>
      <c r="H173" s="248"/>
      <c r="I173" s="248"/>
      <c r="J173" s="248"/>
      <c r="K173" s="248"/>
      <c r="L173" s="248"/>
      <c r="M173" s="248"/>
      <c r="N173" s="248"/>
      <c r="O173" s="248"/>
      <c r="P173" s="248"/>
      <c r="Q173" s="248"/>
      <c r="R173" s="248"/>
      <c r="S173" s="248"/>
      <c r="T173" s="248"/>
      <c r="U173" s="248"/>
      <c r="V173" s="246"/>
    </row>
    <row r="174" spans="2:22" ht="15.75">
      <c r="B174" s="242">
        <v>1107</v>
      </c>
      <c r="C174" s="247"/>
      <c r="D174" s="248"/>
      <c r="E174" s="248"/>
      <c r="F174" s="248"/>
      <c r="G174" s="248"/>
      <c r="H174" s="248"/>
      <c r="I174" s="248"/>
      <c r="J174" s="248"/>
      <c r="K174" s="248"/>
      <c r="L174" s="248"/>
      <c r="M174" s="248"/>
      <c r="N174" s="248"/>
      <c r="O174" s="248"/>
      <c r="P174" s="248"/>
      <c r="Q174" s="248"/>
      <c r="R174" s="248"/>
      <c r="S174" s="248"/>
      <c r="T174" s="248"/>
      <c r="U174" s="248"/>
      <c r="V174" s="246"/>
    </row>
    <row r="175" spans="2:22" ht="15.75">
      <c r="B175" s="242">
        <v>1108</v>
      </c>
      <c r="C175" s="247"/>
      <c r="D175" s="248"/>
      <c r="E175" s="248"/>
      <c r="F175" s="248"/>
      <c r="G175" s="248"/>
      <c r="H175" s="248"/>
      <c r="I175" s="248"/>
      <c r="J175" s="248"/>
      <c r="K175" s="248"/>
      <c r="L175" s="248"/>
      <c r="M175" s="248"/>
      <c r="N175" s="248"/>
      <c r="O175" s="248"/>
      <c r="P175" s="248"/>
      <c r="Q175" s="248"/>
      <c r="R175" s="248"/>
      <c r="S175" s="248"/>
      <c r="T175" s="248"/>
      <c r="U175" s="248"/>
      <c r="V175" s="246"/>
    </row>
    <row r="176" spans="2:22" ht="15.75">
      <c r="B176" s="242">
        <v>1109</v>
      </c>
      <c r="C176" s="247"/>
      <c r="D176" s="248"/>
      <c r="E176" s="248"/>
      <c r="F176" s="248"/>
      <c r="G176" s="248"/>
      <c r="H176" s="248"/>
      <c r="I176" s="248"/>
      <c r="J176" s="248"/>
      <c r="K176" s="248"/>
      <c r="L176" s="248"/>
      <c r="M176" s="248"/>
      <c r="N176" s="248"/>
      <c r="O176" s="248"/>
      <c r="P176" s="248"/>
      <c r="Q176" s="248"/>
      <c r="R176" s="248"/>
      <c r="S176" s="248"/>
      <c r="T176" s="248"/>
      <c r="U176" s="248"/>
      <c r="V176" s="246"/>
    </row>
    <row r="177" spans="2:22" ht="15.75">
      <c r="B177" s="242">
        <v>1110</v>
      </c>
      <c r="C177" s="247"/>
      <c r="D177" s="248"/>
      <c r="E177" s="248"/>
      <c r="F177" s="248"/>
      <c r="G177" s="248"/>
      <c r="H177" s="248"/>
      <c r="I177" s="248"/>
      <c r="J177" s="248"/>
      <c r="K177" s="248"/>
      <c r="L177" s="248"/>
      <c r="M177" s="248"/>
      <c r="N177" s="248"/>
      <c r="O177" s="248"/>
      <c r="P177" s="248"/>
      <c r="Q177" s="248"/>
      <c r="R177" s="248"/>
      <c r="S177" s="248"/>
      <c r="T177" s="248"/>
      <c r="U177" s="248"/>
      <c r="V177" s="246"/>
    </row>
    <row r="178" spans="2:22" ht="15.75">
      <c r="B178" s="242">
        <v>1111</v>
      </c>
      <c r="C178" s="247"/>
      <c r="D178" s="248"/>
      <c r="E178" s="248"/>
      <c r="F178" s="248"/>
      <c r="G178" s="248"/>
      <c r="H178" s="248"/>
      <c r="I178" s="248"/>
      <c r="J178" s="248"/>
      <c r="K178" s="248"/>
      <c r="L178" s="248"/>
      <c r="M178" s="248"/>
      <c r="N178" s="248"/>
      <c r="O178" s="248"/>
      <c r="P178" s="248"/>
      <c r="Q178" s="248"/>
      <c r="R178" s="248"/>
      <c r="S178" s="248"/>
      <c r="T178" s="248"/>
      <c r="U178" s="248"/>
      <c r="V178" s="246"/>
    </row>
    <row r="179" spans="2:22" ht="15.75">
      <c r="B179" s="242">
        <v>1112</v>
      </c>
      <c r="C179" s="247"/>
      <c r="D179" s="248"/>
      <c r="E179" s="248"/>
      <c r="F179" s="248"/>
      <c r="G179" s="248"/>
      <c r="H179" s="248"/>
      <c r="I179" s="248"/>
      <c r="J179" s="248"/>
      <c r="K179" s="248"/>
      <c r="L179" s="248"/>
      <c r="M179" s="248"/>
      <c r="N179" s="248"/>
      <c r="O179" s="248"/>
      <c r="P179" s="248"/>
      <c r="Q179" s="248"/>
      <c r="R179" s="248"/>
      <c r="S179" s="248"/>
      <c r="T179" s="248"/>
      <c r="U179" s="248"/>
      <c r="V179" s="246"/>
    </row>
    <row r="180" spans="2:22" ht="15.75">
      <c r="B180" s="242">
        <v>1113</v>
      </c>
      <c r="C180" s="247"/>
      <c r="D180" s="248"/>
      <c r="E180" s="248"/>
      <c r="F180" s="248"/>
      <c r="G180" s="248"/>
      <c r="H180" s="248"/>
      <c r="I180" s="248"/>
      <c r="J180" s="248"/>
      <c r="K180" s="248"/>
      <c r="L180" s="248"/>
      <c r="M180" s="248"/>
      <c r="N180" s="248"/>
      <c r="O180" s="248"/>
      <c r="P180" s="248"/>
      <c r="Q180" s="248"/>
      <c r="R180" s="248"/>
      <c r="S180" s="248"/>
      <c r="T180" s="248"/>
      <c r="U180" s="248"/>
      <c r="V180" s="246"/>
    </row>
    <row r="181" spans="2:22" ht="15.75">
      <c r="B181" s="242">
        <v>1114</v>
      </c>
      <c r="C181" s="247"/>
      <c r="D181" s="248"/>
      <c r="E181" s="248"/>
      <c r="F181" s="248"/>
      <c r="G181" s="248"/>
      <c r="H181" s="248"/>
      <c r="I181" s="248"/>
      <c r="J181" s="248"/>
      <c r="K181" s="248"/>
      <c r="L181" s="248"/>
      <c r="M181" s="248"/>
      <c r="N181" s="248"/>
      <c r="O181" s="248"/>
      <c r="P181" s="248"/>
      <c r="Q181" s="248"/>
      <c r="R181" s="248"/>
      <c r="S181" s="248"/>
      <c r="T181" s="248"/>
      <c r="U181" s="248"/>
      <c r="V181" s="246"/>
    </row>
    <row r="182" spans="2:22" ht="15.75">
      <c r="B182" s="242">
        <v>1115</v>
      </c>
      <c r="C182" s="247"/>
      <c r="D182" s="248"/>
      <c r="E182" s="248"/>
      <c r="F182" s="248"/>
      <c r="G182" s="248"/>
      <c r="H182" s="248"/>
      <c r="I182" s="248"/>
      <c r="J182" s="248"/>
      <c r="K182" s="248"/>
      <c r="L182" s="248"/>
      <c r="M182" s="248"/>
      <c r="N182" s="248"/>
      <c r="O182" s="248"/>
      <c r="P182" s="248"/>
      <c r="Q182" s="248"/>
      <c r="R182" s="248"/>
      <c r="S182" s="248"/>
      <c r="T182" s="248"/>
      <c r="U182" s="248"/>
      <c r="V182" s="246"/>
    </row>
    <row r="183" spans="2:22" ht="15.75">
      <c r="B183" s="242">
        <v>1116</v>
      </c>
      <c r="C183" s="247"/>
      <c r="D183" s="248"/>
      <c r="E183" s="248"/>
      <c r="F183" s="248"/>
      <c r="G183" s="248"/>
      <c r="H183" s="248"/>
      <c r="I183" s="248"/>
      <c r="J183" s="248"/>
      <c r="K183" s="248"/>
      <c r="L183" s="248"/>
      <c r="M183" s="248"/>
      <c r="N183" s="248"/>
      <c r="O183" s="248"/>
      <c r="P183" s="248"/>
      <c r="Q183" s="248"/>
      <c r="R183" s="248"/>
      <c r="S183" s="248"/>
      <c r="T183" s="248"/>
      <c r="U183" s="248"/>
      <c r="V183" s="246"/>
    </row>
    <row r="184" spans="2:22" ht="15.75">
      <c r="B184" s="242">
        <v>1117</v>
      </c>
      <c r="C184" s="247"/>
      <c r="D184" s="248"/>
      <c r="E184" s="248"/>
      <c r="F184" s="248"/>
      <c r="G184" s="248"/>
      <c r="H184" s="248"/>
      <c r="I184" s="248"/>
      <c r="J184" s="248"/>
      <c r="K184" s="248"/>
      <c r="L184" s="248"/>
      <c r="M184" s="248"/>
      <c r="N184" s="248"/>
      <c r="O184" s="248"/>
      <c r="P184" s="248"/>
      <c r="Q184" s="248"/>
      <c r="R184" s="248"/>
      <c r="S184" s="248"/>
      <c r="T184" s="248"/>
      <c r="U184" s="248"/>
      <c r="V184" s="250"/>
    </row>
    <row r="185" spans="2:22" ht="15.75">
      <c r="B185" s="243" t="s">
        <v>526</v>
      </c>
      <c r="C185" s="251"/>
      <c r="D185" s="251"/>
      <c r="E185" s="251"/>
      <c r="F185" s="251"/>
      <c r="G185" s="251"/>
      <c r="H185" s="251"/>
      <c r="I185" s="251"/>
      <c r="J185" s="251"/>
      <c r="K185" s="251"/>
      <c r="L185" s="251"/>
      <c r="M185" s="251"/>
      <c r="N185" s="251"/>
      <c r="O185" s="251"/>
      <c r="P185" s="251"/>
      <c r="Q185" s="251"/>
      <c r="R185" s="251"/>
      <c r="S185" s="251"/>
      <c r="T185" s="251"/>
      <c r="U185" s="251"/>
      <c r="V185" s="251"/>
    </row>
    <row r="186" spans="2:22" ht="15.75">
      <c r="B186" s="242">
        <v>1201</v>
      </c>
      <c r="C186" s="247"/>
      <c r="D186" s="248"/>
      <c r="E186" s="248"/>
      <c r="F186" s="248"/>
      <c r="G186" s="248"/>
      <c r="H186" s="248"/>
      <c r="I186" s="248"/>
      <c r="J186" s="248"/>
      <c r="K186" s="248"/>
      <c r="L186" s="248"/>
      <c r="M186" s="248"/>
      <c r="N186" s="248"/>
      <c r="O186" s="248"/>
      <c r="P186" s="248"/>
      <c r="Q186" s="248"/>
      <c r="R186" s="248"/>
      <c r="S186" s="248"/>
      <c r="T186" s="248"/>
      <c r="U186" s="248"/>
      <c r="V186" s="249"/>
    </row>
    <row r="187" spans="2:22" ht="15.75">
      <c r="B187" s="242">
        <v>1202</v>
      </c>
      <c r="C187" s="247"/>
      <c r="D187" s="248"/>
      <c r="E187" s="248"/>
      <c r="F187" s="248"/>
      <c r="G187" s="248"/>
      <c r="H187" s="248"/>
      <c r="I187" s="248"/>
      <c r="J187" s="248"/>
      <c r="K187" s="248"/>
      <c r="L187" s="248"/>
      <c r="M187" s="248"/>
      <c r="N187" s="248"/>
      <c r="O187" s="248"/>
      <c r="P187" s="248"/>
      <c r="Q187" s="248"/>
      <c r="R187" s="248"/>
      <c r="S187" s="248"/>
      <c r="T187" s="248"/>
      <c r="U187" s="248"/>
      <c r="V187" s="246"/>
    </row>
    <row r="188" spans="2:22" ht="15.75">
      <c r="B188" s="242">
        <v>1203</v>
      </c>
      <c r="C188" s="247"/>
      <c r="D188" s="248"/>
      <c r="E188" s="248"/>
      <c r="F188" s="248"/>
      <c r="G188" s="248"/>
      <c r="H188" s="248"/>
      <c r="I188" s="248"/>
      <c r="J188" s="248"/>
      <c r="K188" s="248"/>
      <c r="L188" s="248"/>
      <c r="M188" s="248"/>
      <c r="N188" s="248"/>
      <c r="O188" s="248"/>
      <c r="P188" s="248"/>
      <c r="Q188" s="248"/>
      <c r="R188" s="248"/>
      <c r="S188" s="248"/>
      <c r="T188" s="248"/>
      <c r="U188" s="248"/>
      <c r="V188" s="246"/>
    </row>
    <row r="189" spans="2:22" ht="15.75">
      <c r="B189" s="242">
        <v>1204</v>
      </c>
      <c r="C189" s="247"/>
      <c r="D189" s="248"/>
      <c r="E189" s="248"/>
      <c r="F189" s="248"/>
      <c r="G189" s="248"/>
      <c r="H189" s="248"/>
      <c r="I189" s="248"/>
      <c r="J189" s="248"/>
      <c r="K189" s="248"/>
      <c r="L189" s="248"/>
      <c r="M189" s="248"/>
      <c r="N189" s="248"/>
      <c r="O189" s="248"/>
      <c r="P189" s="248"/>
      <c r="Q189" s="248"/>
      <c r="R189" s="248"/>
      <c r="S189" s="248"/>
      <c r="T189" s="248"/>
      <c r="U189" s="248"/>
      <c r="V189" s="246"/>
    </row>
    <row r="190" spans="2:22" ht="15.75">
      <c r="B190" s="242">
        <v>1205</v>
      </c>
      <c r="C190" s="247"/>
      <c r="D190" s="248"/>
      <c r="E190" s="248"/>
      <c r="F190" s="248"/>
      <c r="G190" s="248"/>
      <c r="H190" s="248"/>
      <c r="I190" s="248"/>
      <c r="J190" s="248"/>
      <c r="K190" s="248"/>
      <c r="L190" s="248"/>
      <c r="M190" s="248"/>
      <c r="N190" s="248"/>
      <c r="O190" s="248"/>
      <c r="P190" s="248"/>
      <c r="Q190" s="248"/>
      <c r="R190" s="248"/>
      <c r="S190" s="248"/>
      <c r="T190" s="248"/>
      <c r="U190" s="248"/>
      <c r="V190" s="246"/>
    </row>
    <row r="191" spans="2:22" ht="15.75">
      <c r="B191" s="242">
        <v>1206</v>
      </c>
      <c r="C191" s="247"/>
      <c r="D191" s="248"/>
      <c r="E191" s="248"/>
      <c r="F191" s="248"/>
      <c r="G191" s="248"/>
      <c r="H191" s="248"/>
      <c r="I191" s="248"/>
      <c r="J191" s="248"/>
      <c r="K191" s="248"/>
      <c r="L191" s="248"/>
      <c r="M191" s="248"/>
      <c r="N191" s="248"/>
      <c r="O191" s="248"/>
      <c r="P191" s="248"/>
      <c r="Q191" s="248"/>
      <c r="R191" s="248"/>
      <c r="S191" s="248"/>
      <c r="T191" s="248"/>
      <c r="U191" s="248"/>
      <c r="V191" s="246"/>
    </row>
    <row r="192" spans="2:22" ht="15.75">
      <c r="B192" s="242">
        <v>1207</v>
      </c>
      <c r="C192" s="247"/>
      <c r="D192" s="248"/>
      <c r="E192" s="248"/>
      <c r="F192" s="248"/>
      <c r="G192" s="248"/>
      <c r="H192" s="248"/>
      <c r="I192" s="248"/>
      <c r="J192" s="248"/>
      <c r="K192" s="248"/>
      <c r="L192" s="248"/>
      <c r="M192" s="248"/>
      <c r="N192" s="248"/>
      <c r="O192" s="248"/>
      <c r="P192" s="248"/>
      <c r="Q192" s="248"/>
      <c r="R192" s="248"/>
      <c r="S192" s="248"/>
      <c r="T192" s="248"/>
      <c r="U192" s="248"/>
      <c r="V192" s="246"/>
    </row>
    <row r="193" spans="2:22" ht="15.75">
      <c r="B193" s="242">
        <v>1208</v>
      </c>
      <c r="C193" s="247"/>
      <c r="D193" s="248"/>
      <c r="E193" s="248"/>
      <c r="F193" s="248"/>
      <c r="G193" s="248"/>
      <c r="H193" s="248"/>
      <c r="I193" s="248"/>
      <c r="J193" s="248"/>
      <c r="K193" s="248"/>
      <c r="L193" s="248"/>
      <c r="M193" s="248"/>
      <c r="N193" s="248"/>
      <c r="O193" s="248"/>
      <c r="P193" s="248"/>
      <c r="Q193" s="248"/>
      <c r="R193" s="248"/>
      <c r="S193" s="248"/>
      <c r="T193" s="248"/>
      <c r="U193" s="248"/>
      <c r="V193" s="246"/>
    </row>
    <row r="194" spans="2:22" ht="15.75">
      <c r="B194" s="242">
        <v>1209</v>
      </c>
      <c r="C194" s="247"/>
      <c r="D194" s="248"/>
      <c r="E194" s="248"/>
      <c r="F194" s="248"/>
      <c r="G194" s="248"/>
      <c r="H194" s="248"/>
      <c r="I194" s="248"/>
      <c r="J194" s="248"/>
      <c r="K194" s="248"/>
      <c r="L194" s="248"/>
      <c r="M194" s="248"/>
      <c r="N194" s="248"/>
      <c r="O194" s="248"/>
      <c r="P194" s="248"/>
      <c r="Q194" s="248"/>
      <c r="R194" s="248"/>
      <c r="S194" s="248"/>
      <c r="T194" s="248"/>
      <c r="U194" s="248"/>
      <c r="V194" s="246"/>
    </row>
    <row r="195" spans="2:22" ht="15.75">
      <c r="B195" s="242">
        <v>1210</v>
      </c>
      <c r="C195" s="247"/>
      <c r="D195" s="248"/>
      <c r="E195" s="248"/>
      <c r="F195" s="248"/>
      <c r="G195" s="248"/>
      <c r="H195" s="248"/>
      <c r="I195" s="248"/>
      <c r="J195" s="248"/>
      <c r="K195" s="248"/>
      <c r="L195" s="248"/>
      <c r="M195" s="248"/>
      <c r="N195" s="248"/>
      <c r="O195" s="248"/>
      <c r="P195" s="248"/>
      <c r="Q195" s="248"/>
      <c r="R195" s="248"/>
      <c r="S195" s="248"/>
      <c r="T195" s="248"/>
      <c r="U195" s="248"/>
      <c r="V195" s="246"/>
    </row>
    <row r="196" spans="2:22" ht="15.75">
      <c r="B196" s="242">
        <v>1211</v>
      </c>
      <c r="C196" s="247"/>
      <c r="D196" s="248"/>
      <c r="E196" s="248"/>
      <c r="F196" s="248"/>
      <c r="G196" s="248"/>
      <c r="H196" s="248"/>
      <c r="I196" s="248"/>
      <c r="J196" s="248"/>
      <c r="K196" s="248"/>
      <c r="L196" s="248"/>
      <c r="M196" s="248"/>
      <c r="N196" s="248"/>
      <c r="O196" s="248"/>
      <c r="P196" s="248"/>
      <c r="Q196" s="248"/>
      <c r="R196" s="248"/>
      <c r="S196" s="248"/>
      <c r="T196" s="248"/>
      <c r="U196" s="248"/>
      <c r="V196" s="246"/>
    </row>
    <row r="197" spans="2:22" ht="15.75">
      <c r="B197" s="242">
        <v>1212</v>
      </c>
      <c r="C197" s="247"/>
      <c r="D197" s="248"/>
      <c r="E197" s="248"/>
      <c r="F197" s="248"/>
      <c r="G197" s="248"/>
      <c r="H197" s="248"/>
      <c r="I197" s="248"/>
      <c r="J197" s="248"/>
      <c r="K197" s="248"/>
      <c r="L197" s="248"/>
      <c r="M197" s="248"/>
      <c r="N197" s="248"/>
      <c r="O197" s="248"/>
      <c r="P197" s="248"/>
      <c r="Q197" s="248"/>
      <c r="R197" s="248"/>
      <c r="S197" s="248"/>
      <c r="T197" s="248"/>
      <c r="U197" s="248"/>
      <c r="V197" s="246"/>
    </row>
    <row r="198" spans="2:22" ht="15.75">
      <c r="B198" s="242">
        <v>1213</v>
      </c>
      <c r="C198" s="247"/>
      <c r="D198" s="248"/>
      <c r="E198" s="248"/>
      <c r="F198" s="248"/>
      <c r="G198" s="248"/>
      <c r="H198" s="248"/>
      <c r="I198" s="248"/>
      <c r="J198" s="248"/>
      <c r="K198" s="248"/>
      <c r="L198" s="248"/>
      <c r="M198" s="248"/>
      <c r="N198" s="248"/>
      <c r="O198" s="248"/>
      <c r="P198" s="248"/>
      <c r="Q198" s="248"/>
      <c r="R198" s="248"/>
      <c r="S198" s="248"/>
      <c r="T198" s="248"/>
      <c r="U198" s="248"/>
      <c r="V198" s="246"/>
    </row>
    <row r="199" spans="2:22" ht="15.75">
      <c r="B199" s="242">
        <v>1214</v>
      </c>
      <c r="C199" s="247"/>
      <c r="D199" s="248"/>
      <c r="E199" s="248"/>
      <c r="F199" s="248"/>
      <c r="G199" s="248"/>
      <c r="H199" s="248"/>
      <c r="I199" s="248"/>
      <c r="J199" s="248"/>
      <c r="K199" s="248"/>
      <c r="L199" s="248"/>
      <c r="M199" s="248"/>
      <c r="N199" s="248"/>
      <c r="O199" s="248"/>
      <c r="P199" s="248"/>
      <c r="Q199" s="248"/>
      <c r="R199" s="248"/>
      <c r="S199" s="248"/>
      <c r="T199" s="248"/>
      <c r="U199" s="248"/>
      <c r="V199" s="246"/>
    </row>
    <row r="200" spans="2:22" ht="15.75">
      <c r="B200" s="242">
        <v>1215</v>
      </c>
      <c r="C200" s="247"/>
      <c r="D200" s="248"/>
      <c r="E200" s="248"/>
      <c r="F200" s="248"/>
      <c r="G200" s="248"/>
      <c r="H200" s="248"/>
      <c r="I200" s="248"/>
      <c r="J200" s="248"/>
      <c r="K200" s="248"/>
      <c r="L200" s="248"/>
      <c r="M200" s="248"/>
      <c r="N200" s="248"/>
      <c r="O200" s="248"/>
      <c r="P200" s="248"/>
      <c r="Q200" s="248"/>
      <c r="R200" s="248"/>
      <c r="S200" s="248"/>
      <c r="T200" s="248"/>
      <c r="U200" s="248"/>
      <c r="V200" s="246"/>
    </row>
    <row r="201" spans="2:22" ht="15.75">
      <c r="B201" s="242">
        <v>1216</v>
      </c>
      <c r="C201" s="247"/>
      <c r="D201" s="248"/>
      <c r="E201" s="248"/>
      <c r="F201" s="248"/>
      <c r="G201" s="248"/>
      <c r="H201" s="248"/>
      <c r="I201" s="248"/>
      <c r="J201" s="248"/>
      <c r="K201" s="248"/>
      <c r="L201" s="248"/>
      <c r="M201" s="248"/>
      <c r="N201" s="248"/>
      <c r="O201" s="248"/>
      <c r="P201" s="248"/>
      <c r="Q201" s="248"/>
      <c r="R201" s="248"/>
      <c r="S201" s="248"/>
      <c r="T201" s="248"/>
      <c r="U201" s="248"/>
      <c r="V201" s="250"/>
    </row>
    <row r="202" spans="2:22" ht="15.75">
      <c r="B202" s="243" t="s">
        <v>527</v>
      </c>
      <c r="C202" s="251"/>
      <c r="D202" s="251"/>
      <c r="E202" s="251"/>
      <c r="F202" s="251"/>
      <c r="G202" s="251"/>
      <c r="H202" s="251"/>
      <c r="I202" s="251"/>
      <c r="J202" s="251"/>
      <c r="K202" s="251"/>
      <c r="L202" s="251"/>
      <c r="M202" s="251"/>
      <c r="N202" s="251"/>
      <c r="O202" s="251"/>
      <c r="P202" s="251"/>
      <c r="Q202" s="251"/>
      <c r="R202" s="251"/>
      <c r="S202" s="251"/>
      <c r="T202" s="251"/>
      <c r="U202" s="251"/>
      <c r="V202" s="251"/>
    </row>
  </sheetData>
  <mergeCells count="1">
    <mergeCell ref="D3:AC3"/>
  </mergeCells>
  <conditionalFormatting sqref="C6:U6 C7:C202 D149:V149 D7:U22 D23:V23 D24:U40 D41:V41 D42:U58 D59:V59 D60:U76 D77:V77 D78:U94 D95:V95 D96:U112 D113:V113 D114:U130 D131:V131 D132:U148 D150:U166 D167:V167 D168:U184 D185:V185 D186:U201 D202:V202">
    <cfRule type="dataBar" priority="18">
      <dataBar>
        <cfvo type="min"/>
        <cfvo type="max"/>
        <color rgb="FF638EC6"/>
      </dataBar>
      <extLst>
        <ext xmlns:x14="http://schemas.microsoft.com/office/spreadsheetml/2009/9/main" uri="{B025F937-C7B1-47D3-B67F-A62EFF666E3E}">
          <x14:id>{89CEE39F-CCD2-4953-9845-856AC112C525}</x14:id>
        </ext>
      </extLst>
    </cfRule>
  </conditionalFormatting>
  <conditionalFormatting sqref="C23:V23">
    <cfRule type="dataBar" priority="17">
      <dataBar>
        <cfvo type="min"/>
        <cfvo type="max"/>
        <color rgb="FF63C384"/>
      </dataBar>
      <extLst>
        <ext xmlns:x14="http://schemas.microsoft.com/office/spreadsheetml/2009/9/main" uri="{B025F937-C7B1-47D3-B67F-A62EFF666E3E}">
          <x14:id>{3AF9B56D-70DC-4F30-BD74-804FB6F84D5C}</x14:id>
        </ext>
      </extLst>
    </cfRule>
  </conditionalFormatting>
  <conditionalFormatting sqref="C41:V41">
    <cfRule type="dataBar" priority="16">
      <dataBar>
        <cfvo type="min"/>
        <cfvo type="max"/>
        <color rgb="FF63C384"/>
      </dataBar>
      <extLst>
        <ext xmlns:x14="http://schemas.microsoft.com/office/spreadsheetml/2009/9/main" uri="{B025F937-C7B1-47D3-B67F-A62EFF666E3E}">
          <x14:id>{7308AE18-1153-4EA0-80B1-C3941717DEF6}</x14:id>
        </ext>
      </extLst>
    </cfRule>
  </conditionalFormatting>
  <conditionalFormatting sqref="C59:V59">
    <cfRule type="dataBar" priority="15">
      <dataBar>
        <cfvo type="min"/>
        <cfvo type="max"/>
        <color rgb="FF63C384"/>
      </dataBar>
      <extLst>
        <ext xmlns:x14="http://schemas.microsoft.com/office/spreadsheetml/2009/9/main" uri="{B025F937-C7B1-47D3-B67F-A62EFF666E3E}">
          <x14:id>{1BFAADC5-63D4-4C67-A7DD-DB92E39C18C3}</x14:id>
        </ext>
      </extLst>
    </cfRule>
  </conditionalFormatting>
  <conditionalFormatting sqref="C77:V77">
    <cfRule type="dataBar" priority="14">
      <dataBar>
        <cfvo type="min"/>
        <cfvo type="max"/>
        <color rgb="FF63C384"/>
      </dataBar>
      <extLst>
        <ext xmlns:x14="http://schemas.microsoft.com/office/spreadsheetml/2009/9/main" uri="{B025F937-C7B1-47D3-B67F-A62EFF666E3E}">
          <x14:id>{8097C407-D534-44B8-980F-1F876BFF7389}</x14:id>
        </ext>
      </extLst>
    </cfRule>
  </conditionalFormatting>
  <conditionalFormatting sqref="C95:V95">
    <cfRule type="dataBar" priority="13">
      <dataBar>
        <cfvo type="min"/>
        <cfvo type="max"/>
        <color rgb="FF63C384"/>
      </dataBar>
      <extLst>
        <ext xmlns:x14="http://schemas.microsoft.com/office/spreadsheetml/2009/9/main" uri="{B025F937-C7B1-47D3-B67F-A62EFF666E3E}">
          <x14:id>{533ADF6C-84C3-4FA8-B2D5-4165E33C3FE6}</x14:id>
        </ext>
      </extLst>
    </cfRule>
  </conditionalFormatting>
  <conditionalFormatting sqref="C113:V113">
    <cfRule type="dataBar" priority="12">
      <dataBar>
        <cfvo type="min"/>
        <cfvo type="max"/>
        <color rgb="FF63C384"/>
      </dataBar>
      <extLst>
        <ext xmlns:x14="http://schemas.microsoft.com/office/spreadsheetml/2009/9/main" uri="{B025F937-C7B1-47D3-B67F-A62EFF666E3E}">
          <x14:id>{36737082-5D3C-45B0-ABC9-16AB5F57DE0E}</x14:id>
        </ext>
      </extLst>
    </cfRule>
  </conditionalFormatting>
  <conditionalFormatting sqref="C131:V131">
    <cfRule type="dataBar" priority="11">
      <dataBar>
        <cfvo type="min"/>
        <cfvo type="max"/>
        <color rgb="FF63C384"/>
      </dataBar>
      <extLst>
        <ext xmlns:x14="http://schemas.microsoft.com/office/spreadsheetml/2009/9/main" uri="{B025F937-C7B1-47D3-B67F-A62EFF666E3E}">
          <x14:id>{5F37B0CC-9828-4D75-91E7-82B364DC247D}</x14:id>
        </ext>
      </extLst>
    </cfRule>
  </conditionalFormatting>
  <conditionalFormatting sqref="C149:V149">
    <cfRule type="dataBar" priority="10">
      <dataBar>
        <cfvo type="min"/>
        <cfvo type="max"/>
        <color rgb="FF63C384"/>
      </dataBar>
      <extLst>
        <ext xmlns:x14="http://schemas.microsoft.com/office/spreadsheetml/2009/9/main" uri="{B025F937-C7B1-47D3-B67F-A62EFF666E3E}">
          <x14:id>{1F6637F9-36F7-4761-BCB3-1EDCC688D948}</x14:id>
        </ext>
      </extLst>
    </cfRule>
  </conditionalFormatting>
  <conditionalFormatting sqref="C167:V167">
    <cfRule type="dataBar" priority="9">
      <dataBar>
        <cfvo type="min"/>
        <cfvo type="max"/>
        <color rgb="FF63C384"/>
      </dataBar>
      <extLst>
        <ext xmlns:x14="http://schemas.microsoft.com/office/spreadsheetml/2009/9/main" uri="{B025F937-C7B1-47D3-B67F-A62EFF666E3E}">
          <x14:id>{E4E76B31-740C-4B2F-A723-1B35760205FF}</x14:id>
        </ext>
      </extLst>
    </cfRule>
  </conditionalFormatting>
  <conditionalFormatting sqref="C185:V185">
    <cfRule type="dataBar" priority="8">
      <dataBar>
        <cfvo type="min"/>
        <cfvo type="max"/>
        <color rgb="FF63C384"/>
      </dataBar>
      <extLst>
        <ext xmlns:x14="http://schemas.microsoft.com/office/spreadsheetml/2009/9/main" uri="{B025F937-C7B1-47D3-B67F-A62EFF666E3E}">
          <x14:id>{4C0EF4FA-2C7B-4957-A443-9F449076F2A3}</x14:id>
        </ext>
      </extLst>
    </cfRule>
  </conditionalFormatting>
  <conditionalFormatting sqref="C202:V202">
    <cfRule type="dataBar" priority="7">
      <dataBar>
        <cfvo type="min"/>
        <cfvo type="max"/>
        <color rgb="FF63C384"/>
      </dataBar>
      <extLst>
        <ext xmlns:x14="http://schemas.microsoft.com/office/spreadsheetml/2009/9/main" uri="{B025F937-C7B1-47D3-B67F-A62EFF666E3E}">
          <x14:id>{20DCFE29-CEDA-4CA7-AB3F-C6578F1EDAF6}</x14:id>
        </ext>
      </extLst>
    </cfRule>
  </conditionalFormatting>
  <conditionalFormatting sqref="V113">
    <cfRule type="dataBar" priority="6">
      <dataBar>
        <cfvo type="min"/>
        <cfvo type="max"/>
        <color rgb="FF63C384"/>
      </dataBar>
      <extLst>
        <ext xmlns:x14="http://schemas.microsoft.com/office/spreadsheetml/2009/9/main" uri="{B025F937-C7B1-47D3-B67F-A62EFF666E3E}">
          <x14:id>{5270A2B4-B0BC-43DA-83AB-16987154351A}</x14:id>
        </ext>
      </extLst>
    </cfRule>
  </conditionalFormatting>
  <conditionalFormatting sqref="V131">
    <cfRule type="dataBar" priority="5">
      <dataBar>
        <cfvo type="min"/>
        <cfvo type="max"/>
        <color rgb="FF63C384"/>
      </dataBar>
      <extLst>
        <ext xmlns:x14="http://schemas.microsoft.com/office/spreadsheetml/2009/9/main" uri="{B025F937-C7B1-47D3-B67F-A62EFF666E3E}">
          <x14:id>{9887A63F-F34A-49E3-8F6A-C6E1B24F3D54}</x14:id>
        </ext>
      </extLst>
    </cfRule>
  </conditionalFormatting>
  <conditionalFormatting sqref="V149">
    <cfRule type="dataBar" priority="4">
      <dataBar>
        <cfvo type="min"/>
        <cfvo type="max"/>
        <color rgb="FF63C384"/>
      </dataBar>
      <extLst>
        <ext xmlns:x14="http://schemas.microsoft.com/office/spreadsheetml/2009/9/main" uri="{B025F937-C7B1-47D3-B67F-A62EFF666E3E}">
          <x14:id>{60D210A2-CF21-4866-92CB-276BD3D1CC62}</x14:id>
        </ext>
      </extLst>
    </cfRule>
  </conditionalFormatting>
  <conditionalFormatting sqref="V167">
    <cfRule type="dataBar" priority="3">
      <dataBar>
        <cfvo type="min"/>
        <cfvo type="max"/>
        <color rgb="FF63C384"/>
      </dataBar>
      <extLst>
        <ext xmlns:x14="http://schemas.microsoft.com/office/spreadsheetml/2009/9/main" uri="{B025F937-C7B1-47D3-B67F-A62EFF666E3E}">
          <x14:id>{389516FF-2BE1-4561-B4F0-75B453FF8158}</x14:id>
        </ext>
      </extLst>
    </cfRule>
  </conditionalFormatting>
  <conditionalFormatting sqref="V185">
    <cfRule type="dataBar" priority="2">
      <dataBar>
        <cfvo type="min"/>
        <cfvo type="max"/>
        <color rgb="FF63C384"/>
      </dataBar>
      <extLst>
        <ext xmlns:x14="http://schemas.microsoft.com/office/spreadsheetml/2009/9/main" uri="{B025F937-C7B1-47D3-B67F-A62EFF666E3E}">
          <x14:id>{74B5E9EB-746F-472B-80C2-A0962724CA6F}</x14:id>
        </ext>
      </extLst>
    </cfRule>
  </conditionalFormatting>
  <conditionalFormatting sqref="V202">
    <cfRule type="dataBar" priority="1">
      <dataBar>
        <cfvo type="min"/>
        <cfvo type="max"/>
        <color rgb="FF63C384"/>
      </dataBar>
      <extLst>
        <ext xmlns:x14="http://schemas.microsoft.com/office/spreadsheetml/2009/9/main" uri="{B025F937-C7B1-47D3-B67F-A62EFF666E3E}">
          <x14:id>{6FA6B0E3-1901-40E9-BB58-D888367E7C8D}</x14:id>
        </ext>
      </extLst>
    </cfRule>
  </conditionalFormatting>
  <pageMargins left="0.7" right="0.7" top="0.75" bottom="0.75" header="0.3" footer="0.3"/>
  <pageSetup paperSize="139" orientation="portrait" r:id="rId1"/>
  <drawing r:id="rId2"/>
  <extLst>
    <ext xmlns:x14="http://schemas.microsoft.com/office/spreadsheetml/2009/9/main" uri="{78C0D931-6437-407d-A8EE-F0AAD7539E65}">
      <x14:conditionalFormattings>
        <x14:conditionalFormatting xmlns:xm="http://schemas.microsoft.com/office/excel/2006/main">
          <x14:cfRule type="dataBar" id="{89CEE39F-CCD2-4953-9845-856AC112C525}">
            <x14:dataBar minLength="0" maxLength="100" border="1" negativeBarBorderColorSameAsPositive="0">
              <x14:cfvo type="autoMin"/>
              <x14:cfvo type="autoMax"/>
              <x14:borderColor rgb="FF638EC6"/>
              <x14:negativeFillColor rgb="FFFF0000"/>
              <x14:negativeBorderColor rgb="FFFF0000"/>
              <x14:axisColor rgb="FF000000"/>
            </x14:dataBar>
          </x14:cfRule>
          <xm:sqref>C6:U6 C7:C202 D149:V149 D7:U22 D23:V23 D24:U40 D41:V41 D42:U58 D59:V59 D60:U76 D77:V77 D78:U94 D95:V95 D96:U112 D113:V113 D114:U130 D131:V131 D132:U148 D150:U166 D167:V167 D168:U184 D185:V185 D186:U201 D202:V202</xm:sqref>
        </x14:conditionalFormatting>
        <x14:conditionalFormatting xmlns:xm="http://schemas.microsoft.com/office/excel/2006/main">
          <x14:cfRule type="dataBar" id="{3AF9B56D-70DC-4F30-BD74-804FB6F84D5C}">
            <x14:dataBar minLength="0" maxLength="100" border="1" negativeBarBorderColorSameAsPositive="0">
              <x14:cfvo type="autoMin"/>
              <x14:cfvo type="autoMax"/>
              <x14:borderColor rgb="FF63C384"/>
              <x14:negativeFillColor rgb="FFFF0000"/>
              <x14:negativeBorderColor rgb="FFFF0000"/>
              <x14:axisColor rgb="FF000000"/>
            </x14:dataBar>
          </x14:cfRule>
          <xm:sqref>C23:V23</xm:sqref>
        </x14:conditionalFormatting>
        <x14:conditionalFormatting xmlns:xm="http://schemas.microsoft.com/office/excel/2006/main">
          <x14:cfRule type="dataBar" id="{7308AE18-1153-4EA0-80B1-C3941717DEF6}">
            <x14:dataBar minLength="0" maxLength="100" border="1" negativeBarBorderColorSameAsPositive="0">
              <x14:cfvo type="autoMin"/>
              <x14:cfvo type="autoMax"/>
              <x14:borderColor rgb="FF63C384"/>
              <x14:negativeFillColor rgb="FFFF0000"/>
              <x14:negativeBorderColor rgb="FFFF0000"/>
              <x14:axisColor rgb="FF000000"/>
            </x14:dataBar>
          </x14:cfRule>
          <xm:sqref>C41:V41</xm:sqref>
        </x14:conditionalFormatting>
        <x14:conditionalFormatting xmlns:xm="http://schemas.microsoft.com/office/excel/2006/main">
          <x14:cfRule type="dataBar" id="{1BFAADC5-63D4-4C67-A7DD-DB92E39C18C3}">
            <x14:dataBar minLength="0" maxLength="100" border="1" negativeBarBorderColorSameAsPositive="0">
              <x14:cfvo type="autoMin"/>
              <x14:cfvo type="autoMax"/>
              <x14:borderColor rgb="FF63C384"/>
              <x14:negativeFillColor rgb="FFFF0000"/>
              <x14:negativeBorderColor rgb="FFFF0000"/>
              <x14:axisColor rgb="FF000000"/>
            </x14:dataBar>
          </x14:cfRule>
          <xm:sqref>C59:V59</xm:sqref>
        </x14:conditionalFormatting>
        <x14:conditionalFormatting xmlns:xm="http://schemas.microsoft.com/office/excel/2006/main">
          <x14:cfRule type="dataBar" id="{8097C407-D534-44B8-980F-1F876BFF7389}">
            <x14:dataBar minLength="0" maxLength="100" border="1" negativeBarBorderColorSameAsPositive="0">
              <x14:cfvo type="autoMin"/>
              <x14:cfvo type="autoMax"/>
              <x14:borderColor rgb="FF63C384"/>
              <x14:negativeFillColor rgb="FFFF0000"/>
              <x14:negativeBorderColor rgb="FFFF0000"/>
              <x14:axisColor rgb="FF000000"/>
            </x14:dataBar>
          </x14:cfRule>
          <xm:sqref>C77:V77</xm:sqref>
        </x14:conditionalFormatting>
        <x14:conditionalFormatting xmlns:xm="http://schemas.microsoft.com/office/excel/2006/main">
          <x14:cfRule type="dataBar" id="{533ADF6C-84C3-4FA8-B2D5-4165E33C3FE6}">
            <x14:dataBar minLength="0" maxLength="100" border="1" negativeBarBorderColorSameAsPositive="0">
              <x14:cfvo type="autoMin"/>
              <x14:cfvo type="autoMax"/>
              <x14:borderColor rgb="FF63C384"/>
              <x14:negativeFillColor rgb="FFFF0000"/>
              <x14:negativeBorderColor rgb="FFFF0000"/>
              <x14:axisColor rgb="FF000000"/>
            </x14:dataBar>
          </x14:cfRule>
          <xm:sqref>C95:V95</xm:sqref>
        </x14:conditionalFormatting>
        <x14:conditionalFormatting xmlns:xm="http://schemas.microsoft.com/office/excel/2006/main">
          <x14:cfRule type="dataBar" id="{36737082-5D3C-45B0-ABC9-16AB5F57DE0E}">
            <x14:dataBar minLength="0" maxLength="100" border="1" negativeBarBorderColorSameAsPositive="0">
              <x14:cfvo type="autoMin"/>
              <x14:cfvo type="autoMax"/>
              <x14:borderColor rgb="FF63C384"/>
              <x14:negativeFillColor rgb="FFFF0000"/>
              <x14:negativeBorderColor rgb="FFFF0000"/>
              <x14:axisColor rgb="FF000000"/>
            </x14:dataBar>
          </x14:cfRule>
          <xm:sqref>C113:V113</xm:sqref>
        </x14:conditionalFormatting>
        <x14:conditionalFormatting xmlns:xm="http://schemas.microsoft.com/office/excel/2006/main">
          <x14:cfRule type="dataBar" id="{5F37B0CC-9828-4D75-91E7-82B364DC247D}">
            <x14:dataBar minLength="0" maxLength="100" border="1" negativeBarBorderColorSameAsPositive="0">
              <x14:cfvo type="autoMin"/>
              <x14:cfvo type="autoMax"/>
              <x14:borderColor rgb="FF63C384"/>
              <x14:negativeFillColor rgb="FFFF0000"/>
              <x14:negativeBorderColor rgb="FFFF0000"/>
              <x14:axisColor rgb="FF000000"/>
            </x14:dataBar>
          </x14:cfRule>
          <xm:sqref>C131:V131</xm:sqref>
        </x14:conditionalFormatting>
        <x14:conditionalFormatting xmlns:xm="http://schemas.microsoft.com/office/excel/2006/main">
          <x14:cfRule type="dataBar" id="{1F6637F9-36F7-4761-BCB3-1EDCC688D948}">
            <x14:dataBar minLength="0" maxLength="100" border="1" negativeBarBorderColorSameAsPositive="0">
              <x14:cfvo type="autoMin"/>
              <x14:cfvo type="autoMax"/>
              <x14:borderColor rgb="FF63C384"/>
              <x14:negativeFillColor rgb="FFFF0000"/>
              <x14:negativeBorderColor rgb="FFFF0000"/>
              <x14:axisColor rgb="FF000000"/>
            </x14:dataBar>
          </x14:cfRule>
          <xm:sqref>C149:V149</xm:sqref>
        </x14:conditionalFormatting>
        <x14:conditionalFormatting xmlns:xm="http://schemas.microsoft.com/office/excel/2006/main">
          <x14:cfRule type="dataBar" id="{E4E76B31-740C-4B2F-A723-1B35760205FF}">
            <x14:dataBar minLength="0" maxLength="100" border="1" negativeBarBorderColorSameAsPositive="0">
              <x14:cfvo type="autoMin"/>
              <x14:cfvo type="autoMax"/>
              <x14:borderColor rgb="FF63C384"/>
              <x14:negativeFillColor rgb="FFFF0000"/>
              <x14:negativeBorderColor rgb="FFFF0000"/>
              <x14:axisColor rgb="FF000000"/>
            </x14:dataBar>
          </x14:cfRule>
          <xm:sqref>C167:V167</xm:sqref>
        </x14:conditionalFormatting>
        <x14:conditionalFormatting xmlns:xm="http://schemas.microsoft.com/office/excel/2006/main">
          <x14:cfRule type="dataBar" id="{4C0EF4FA-2C7B-4957-A443-9F449076F2A3}">
            <x14:dataBar minLength="0" maxLength="100" border="1" negativeBarBorderColorSameAsPositive="0">
              <x14:cfvo type="autoMin"/>
              <x14:cfvo type="autoMax"/>
              <x14:borderColor rgb="FF63C384"/>
              <x14:negativeFillColor rgb="FFFF0000"/>
              <x14:negativeBorderColor rgb="FFFF0000"/>
              <x14:axisColor rgb="FF000000"/>
            </x14:dataBar>
          </x14:cfRule>
          <xm:sqref>C185:V185</xm:sqref>
        </x14:conditionalFormatting>
        <x14:conditionalFormatting xmlns:xm="http://schemas.microsoft.com/office/excel/2006/main">
          <x14:cfRule type="dataBar" id="{20DCFE29-CEDA-4CA7-AB3F-C6578F1EDAF6}">
            <x14:dataBar minLength="0" maxLength="100" border="1" negativeBarBorderColorSameAsPositive="0">
              <x14:cfvo type="autoMin"/>
              <x14:cfvo type="autoMax"/>
              <x14:borderColor rgb="FF63C384"/>
              <x14:negativeFillColor rgb="FFFF0000"/>
              <x14:negativeBorderColor rgb="FFFF0000"/>
              <x14:axisColor rgb="FF000000"/>
            </x14:dataBar>
          </x14:cfRule>
          <xm:sqref>C202:V202</xm:sqref>
        </x14:conditionalFormatting>
        <x14:conditionalFormatting xmlns:xm="http://schemas.microsoft.com/office/excel/2006/main">
          <x14:cfRule type="dataBar" id="{5270A2B4-B0BC-43DA-83AB-16987154351A}">
            <x14:dataBar minLength="0" maxLength="100" border="1" negativeBarBorderColorSameAsPositive="0">
              <x14:cfvo type="autoMin"/>
              <x14:cfvo type="autoMax"/>
              <x14:borderColor rgb="FF63C384"/>
              <x14:negativeFillColor rgb="FFFF0000"/>
              <x14:negativeBorderColor rgb="FFFF0000"/>
              <x14:axisColor rgb="FF000000"/>
            </x14:dataBar>
          </x14:cfRule>
          <xm:sqref>V113</xm:sqref>
        </x14:conditionalFormatting>
        <x14:conditionalFormatting xmlns:xm="http://schemas.microsoft.com/office/excel/2006/main">
          <x14:cfRule type="dataBar" id="{9887A63F-F34A-49E3-8F6A-C6E1B24F3D54}">
            <x14:dataBar minLength="0" maxLength="100" border="1" negativeBarBorderColorSameAsPositive="0">
              <x14:cfvo type="autoMin"/>
              <x14:cfvo type="autoMax"/>
              <x14:borderColor rgb="FF63C384"/>
              <x14:negativeFillColor rgb="FFFF0000"/>
              <x14:negativeBorderColor rgb="FFFF0000"/>
              <x14:axisColor rgb="FF000000"/>
            </x14:dataBar>
          </x14:cfRule>
          <xm:sqref>V131</xm:sqref>
        </x14:conditionalFormatting>
        <x14:conditionalFormatting xmlns:xm="http://schemas.microsoft.com/office/excel/2006/main">
          <x14:cfRule type="dataBar" id="{60D210A2-CF21-4866-92CB-276BD3D1CC62}">
            <x14:dataBar minLength="0" maxLength="100" border="1" negativeBarBorderColorSameAsPositive="0">
              <x14:cfvo type="autoMin"/>
              <x14:cfvo type="autoMax"/>
              <x14:borderColor rgb="FF63C384"/>
              <x14:negativeFillColor rgb="FFFF0000"/>
              <x14:negativeBorderColor rgb="FFFF0000"/>
              <x14:axisColor rgb="FF000000"/>
            </x14:dataBar>
          </x14:cfRule>
          <xm:sqref>V149</xm:sqref>
        </x14:conditionalFormatting>
        <x14:conditionalFormatting xmlns:xm="http://schemas.microsoft.com/office/excel/2006/main">
          <x14:cfRule type="dataBar" id="{389516FF-2BE1-4561-B4F0-75B453FF8158}">
            <x14:dataBar minLength="0" maxLength="100" border="1" negativeBarBorderColorSameAsPositive="0">
              <x14:cfvo type="autoMin"/>
              <x14:cfvo type="autoMax"/>
              <x14:borderColor rgb="FF63C384"/>
              <x14:negativeFillColor rgb="FFFF0000"/>
              <x14:negativeBorderColor rgb="FFFF0000"/>
              <x14:axisColor rgb="FF000000"/>
            </x14:dataBar>
          </x14:cfRule>
          <xm:sqref>V167</xm:sqref>
        </x14:conditionalFormatting>
        <x14:conditionalFormatting xmlns:xm="http://schemas.microsoft.com/office/excel/2006/main">
          <x14:cfRule type="dataBar" id="{74B5E9EB-746F-472B-80C2-A0962724CA6F}">
            <x14:dataBar minLength="0" maxLength="100" border="1" negativeBarBorderColorSameAsPositive="0">
              <x14:cfvo type="autoMin"/>
              <x14:cfvo type="autoMax"/>
              <x14:borderColor rgb="FF63C384"/>
              <x14:negativeFillColor rgb="FFFF0000"/>
              <x14:negativeBorderColor rgb="FFFF0000"/>
              <x14:axisColor rgb="FF000000"/>
            </x14:dataBar>
          </x14:cfRule>
          <xm:sqref>V185</xm:sqref>
        </x14:conditionalFormatting>
        <x14:conditionalFormatting xmlns:xm="http://schemas.microsoft.com/office/excel/2006/main">
          <x14:cfRule type="dataBar" id="{6FA6B0E3-1901-40E9-BB58-D888367E7C8D}">
            <x14:dataBar minLength="0" maxLength="100" border="1" negativeBarBorderColorSameAsPositive="0">
              <x14:cfvo type="autoMin"/>
              <x14:cfvo type="autoMax"/>
              <x14:borderColor rgb="FF63C384"/>
              <x14:negativeFillColor rgb="FFFF0000"/>
              <x14:negativeBorderColor rgb="FFFF0000"/>
              <x14:axisColor rgb="FF000000"/>
            </x14:dataBar>
          </x14:cfRule>
          <xm:sqref>V202</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6BF8C-41F6-4ED7-8D47-073AA3E1F950}">
  <dimension ref="A3:B78"/>
  <sheetViews>
    <sheetView workbookViewId="0">
      <selection activeCell="B5" sqref="B5"/>
    </sheetView>
  </sheetViews>
  <sheetFormatPr baseColWidth="10" defaultColWidth="10.7109375" defaultRowHeight="12.75"/>
  <cols>
    <col min="1" max="1" width="17.85546875" bestFit="1" customWidth="1"/>
    <col min="2" max="2" width="23.140625" bestFit="1" customWidth="1"/>
    <col min="3" max="197" width="23" bestFit="1" customWidth="1"/>
    <col min="198" max="198" width="13.140625" bestFit="1" customWidth="1"/>
  </cols>
  <sheetData>
    <row r="3" spans="1:2">
      <c r="A3" s="241" t="s">
        <v>800</v>
      </c>
      <c r="B3" t="s">
        <v>802</v>
      </c>
    </row>
    <row r="4" spans="1:2">
      <c r="A4" s="237" t="s">
        <v>517</v>
      </c>
      <c r="B4" s="252">
        <v>1</v>
      </c>
    </row>
    <row r="5" spans="1:2">
      <c r="A5" s="237" t="s">
        <v>518</v>
      </c>
      <c r="B5" s="252">
        <v>0</v>
      </c>
    </row>
    <row r="6" spans="1:2">
      <c r="A6" s="237" t="s">
        <v>519</v>
      </c>
      <c r="B6" s="252">
        <v>0</v>
      </c>
    </row>
    <row r="7" spans="1:2">
      <c r="A7" s="237" t="s">
        <v>520</v>
      </c>
      <c r="B7" s="252">
        <v>0</v>
      </c>
    </row>
    <row r="8" spans="1:2">
      <c r="A8" s="237" t="s">
        <v>521</v>
      </c>
      <c r="B8" s="252">
        <v>0</v>
      </c>
    </row>
    <row r="9" spans="1:2">
      <c r="A9" s="237" t="s">
        <v>522</v>
      </c>
      <c r="B9" s="252">
        <v>0</v>
      </c>
    </row>
    <row r="10" spans="1:2">
      <c r="A10" s="237" t="s">
        <v>523</v>
      </c>
      <c r="B10" s="252">
        <v>0</v>
      </c>
    </row>
    <row r="11" spans="1:2">
      <c r="A11" s="237" t="s">
        <v>524</v>
      </c>
      <c r="B11" s="252">
        <v>0</v>
      </c>
    </row>
    <row r="12" spans="1:2">
      <c r="A12" s="237" t="s">
        <v>525</v>
      </c>
      <c r="B12" s="252">
        <v>0</v>
      </c>
    </row>
    <row r="13" spans="1:2">
      <c r="A13" s="237" t="s">
        <v>526</v>
      </c>
      <c r="B13" s="252">
        <v>0</v>
      </c>
    </row>
    <row r="14" spans="1:2">
      <c r="A14" s="237" t="s">
        <v>527</v>
      </c>
      <c r="B14" s="252">
        <v>0</v>
      </c>
    </row>
    <row r="15" spans="1:2">
      <c r="A15" s="237" t="s">
        <v>801</v>
      </c>
      <c r="B15" s="252">
        <v>1</v>
      </c>
    </row>
    <row r="18" spans="1:2">
      <c r="A18" s="241" t="s">
        <v>800</v>
      </c>
      <c r="B18" t="s">
        <v>802</v>
      </c>
    </row>
    <row r="19" spans="1:2">
      <c r="A19" s="237">
        <v>201</v>
      </c>
      <c r="B19" s="252">
        <v>5.0483803113167865E-2</v>
      </c>
    </row>
    <row r="20" spans="1:2">
      <c r="A20" s="237">
        <v>202</v>
      </c>
      <c r="B20" s="252">
        <v>5.0483803113167865E-2</v>
      </c>
    </row>
    <row r="21" spans="1:2">
      <c r="A21" s="237">
        <v>203</v>
      </c>
      <c r="B21" s="252">
        <v>5.0483803113167865E-2</v>
      </c>
    </row>
    <row r="22" spans="1:2">
      <c r="A22" s="237">
        <v>204</v>
      </c>
      <c r="B22" s="252">
        <v>5.0483803113167865E-2</v>
      </c>
    </row>
    <row r="23" spans="1:2">
      <c r="A23" s="237">
        <v>205</v>
      </c>
      <c r="B23" s="252">
        <v>5.0483803113167865E-2</v>
      </c>
    </row>
    <row r="24" spans="1:2">
      <c r="A24" s="237">
        <v>206</v>
      </c>
      <c r="B24" s="252">
        <v>5.0483803113167865E-2</v>
      </c>
    </row>
    <row r="25" spans="1:2">
      <c r="A25" s="237">
        <v>207</v>
      </c>
      <c r="B25" s="252">
        <v>5.0483803113167865E-2</v>
      </c>
    </row>
    <row r="26" spans="1:2">
      <c r="A26" s="237">
        <v>208</v>
      </c>
      <c r="B26" s="252">
        <v>5.0483803113167865E-2</v>
      </c>
    </row>
    <row r="27" spans="1:2">
      <c r="A27" s="237">
        <v>209</v>
      </c>
      <c r="B27" s="252">
        <v>5.0483803113167865E-2</v>
      </c>
    </row>
    <row r="28" spans="1:2">
      <c r="A28" s="237">
        <v>210</v>
      </c>
      <c r="B28" s="252">
        <v>5.0483803113167865E-2</v>
      </c>
    </row>
    <row r="29" spans="1:2">
      <c r="A29" s="237">
        <v>211</v>
      </c>
      <c r="B29" s="252">
        <v>8.166222596176323E-2</v>
      </c>
    </row>
    <row r="30" spans="1:2">
      <c r="A30" s="237">
        <v>212</v>
      </c>
      <c r="B30" s="252">
        <v>8.2410134156032364E-2</v>
      </c>
    </row>
    <row r="31" spans="1:2">
      <c r="A31" s="237">
        <v>213</v>
      </c>
      <c r="B31" s="252">
        <v>9.0029448885149341E-2</v>
      </c>
    </row>
    <row r="32" spans="1:2">
      <c r="A32" s="237">
        <v>214</v>
      </c>
      <c r="B32" s="252">
        <v>8.9889216098723898E-2</v>
      </c>
    </row>
    <row r="33" spans="1:2">
      <c r="A33" s="237">
        <v>215</v>
      </c>
      <c r="B33" s="252">
        <v>5.5812648997335582E-2</v>
      </c>
    </row>
    <row r="34" spans="1:2">
      <c r="A34" s="237">
        <v>216</v>
      </c>
      <c r="B34" s="252">
        <v>4.7679147384658539E-2</v>
      </c>
    </row>
    <row r="35" spans="1:2">
      <c r="A35" s="237">
        <v>217</v>
      </c>
      <c r="B35" s="252">
        <v>4.7679147384658539E-2</v>
      </c>
    </row>
    <row r="36" spans="1:2">
      <c r="A36" s="237" t="s">
        <v>801</v>
      </c>
      <c r="B36" s="252">
        <v>1</v>
      </c>
    </row>
    <row r="39" spans="1:2">
      <c r="A39" s="241" t="s">
        <v>800</v>
      </c>
      <c r="B39" t="s">
        <v>802</v>
      </c>
    </row>
    <row r="40" spans="1:2">
      <c r="A40" s="237">
        <v>301</v>
      </c>
      <c r="B40">
        <v>0</v>
      </c>
    </row>
    <row r="41" spans="1:2">
      <c r="A41" s="237">
        <v>302</v>
      </c>
      <c r="B41">
        <v>0</v>
      </c>
    </row>
    <row r="42" spans="1:2">
      <c r="A42" s="237">
        <v>303</v>
      </c>
      <c r="B42">
        <v>0</v>
      </c>
    </row>
    <row r="43" spans="1:2">
      <c r="A43" s="237">
        <v>304</v>
      </c>
      <c r="B43">
        <v>0</v>
      </c>
    </row>
    <row r="44" spans="1:2">
      <c r="A44" s="237">
        <v>305</v>
      </c>
      <c r="B44">
        <v>0</v>
      </c>
    </row>
    <row r="45" spans="1:2">
      <c r="A45" s="237">
        <v>306</v>
      </c>
      <c r="B45">
        <v>0</v>
      </c>
    </row>
    <row r="46" spans="1:2">
      <c r="A46" s="237">
        <v>307</v>
      </c>
      <c r="B46">
        <v>0</v>
      </c>
    </row>
    <row r="47" spans="1:2">
      <c r="A47" s="237">
        <v>308</v>
      </c>
      <c r="B47">
        <v>0</v>
      </c>
    </row>
    <row r="48" spans="1:2">
      <c r="A48" s="237">
        <v>309</v>
      </c>
      <c r="B48">
        <v>0</v>
      </c>
    </row>
    <row r="49" spans="1:2">
      <c r="A49" s="237">
        <v>310</v>
      </c>
      <c r="B49">
        <v>0</v>
      </c>
    </row>
    <row r="50" spans="1:2">
      <c r="A50" s="237">
        <v>311</v>
      </c>
      <c r="B50">
        <v>0</v>
      </c>
    </row>
    <row r="51" spans="1:2">
      <c r="A51" s="237">
        <v>312</v>
      </c>
      <c r="B51">
        <v>0</v>
      </c>
    </row>
    <row r="52" spans="1:2">
      <c r="A52" s="237">
        <v>313</v>
      </c>
      <c r="B52">
        <v>0</v>
      </c>
    </row>
    <row r="53" spans="1:2">
      <c r="A53" s="237">
        <v>314</v>
      </c>
      <c r="B53">
        <v>0</v>
      </c>
    </row>
    <row r="54" spans="1:2">
      <c r="A54" s="237">
        <v>315</v>
      </c>
      <c r="B54">
        <v>0</v>
      </c>
    </row>
    <row r="55" spans="1:2">
      <c r="A55" s="237">
        <v>316</v>
      </c>
      <c r="B55">
        <v>0</v>
      </c>
    </row>
    <row r="56" spans="1:2">
      <c r="A56" s="237">
        <v>317</v>
      </c>
      <c r="B56">
        <v>0</v>
      </c>
    </row>
    <row r="57" spans="1:2">
      <c r="A57" s="237" t="s">
        <v>801</v>
      </c>
      <c r="B57">
        <v>0</v>
      </c>
    </row>
    <row r="60" spans="1:2">
      <c r="A60" s="241" t="s">
        <v>800</v>
      </c>
      <c r="B60" t="s">
        <v>802</v>
      </c>
    </row>
    <row r="61" spans="1:2">
      <c r="A61" s="237">
        <v>401</v>
      </c>
      <c r="B61">
        <v>0</v>
      </c>
    </row>
    <row r="62" spans="1:2">
      <c r="A62" s="237">
        <v>402</v>
      </c>
      <c r="B62">
        <v>0</v>
      </c>
    </row>
    <row r="63" spans="1:2">
      <c r="A63" s="237">
        <v>403</v>
      </c>
      <c r="B63">
        <v>0</v>
      </c>
    </row>
    <row r="64" spans="1:2">
      <c r="A64" s="237">
        <v>404</v>
      </c>
      <c r="B64">
        <v>0</v>
      </c>
    </row>
    <row r="65" spans="1:2">
      <c r="A65" s="237">
        <v>405</v>
      </c>
      <c r="B65">
        <v>0</v>
      </c>
    </row>
    <row r="66" spans="1:2">
      <c r="A66" s="237">
        <v>406</v>
      </c>
      <c r="B66">
        <v>0</v>
      </c>
    </row>
    <row r="67" spans="1:2">
      <c r="A67" s="237">
        <v>407</v>
      </c>
      <c r="B67">
        <v>0</v>
      </c>
    </row>
    <row r="68" spans="1:2">
      <c r="A68" s="237">
        <v>408</v>
      </c>
      <c r="B68">
        <v>0</v>
      </c>
    </row>
    <row r="69" spans="1:2">
      <c r="A69" s="237">
        <v>409</v>
      </c>
      <c r="B69">
        <v>0</v>
      </c>
    </row>
    <row r="70" spans="1:2">
      <c r="A70" s="237">
        <v>410</v>
      </c>
      <c r="B70">
        <v>0</v>
      </c>
    </row>
    <row r="71" spans="1:2">
      <c r="A71" s="237">
        <v>411</v>
      </c>
      <c r="B71">
        <v>0</v>
      </c>
    </row>
    <row r="72" spans="1:2">
      <c r="A72" s="237">
        <v>412</v>
      </c>
      <c r="B72">
        <v>0</v>
      </c>
    </row>
    <row r="73" spans="1:2">
      <c r="A73" s="237">
        <v>413</v>
      </c>
      <c r="B73">
        <v>0</v>
      </c>
    </row>
    <row r="74" spans="1:2">
      <c r="A74" s="237">
        <v>414</v>
      </c>
      <c r="B74">
        <v>0</v>
      </c>
    </row>
    <row r="75" spans="1:2">
      <c r="A75" s="237">
        <v>415</v>
      </c>
      <c r="B75">
        <v>0</v>
      </c>
    </row>
    <row r="76" spans="1:2">
      <c r="A76" s="237">
        <v>416</v>
      </c>
      <c r="B76">
        <v>0</v>
      </c>
    </row>
    <row r="77" spans="1:2">
      <c r="A77" s="237">
        <v>417</v>
      </c>
      <c r="B77">
        <v>0</v>
      </c>
    </row>
    <row r="78" spans="1:2">
      <c r="A78" s="237" t="s">
        <v>801</v>
      </c>
      <c r="B78">
        <v>0</v>
      </c>
    </row>
  </sheetData>
  <pageMargins left="0.7" right="0.7" top="0.75" bottom="0.75" header="0.3" footer="0.3"/>
  <drawing r:id="rId5"/>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0">
    <tabColor rgb="FFFF9900"/>
    <pageSetUpPr fitToPage="1"/>
  </sheetPr>
  <dimension ref="A1:AD114"/>
  <sheetViews>
    <sheetView view="pageBreakPreview" zoomScale="55" zoomScaleNormal="25" zoomScaleSheetLayoutView="55" zoomScalePageLayoutView="10" workbookViewId="0">
      <selection activeCell="V66" sqref="V66"/>
    </sheetView>
  </sheetViews>
  <sheetFormatPr baseColWidth="10" defaultColWidth="9.140625" defaultRowHeight="28.5"/>
  <cols>
    <col min="1" max="1" width="17.5703125" style="6" customWidth="1"/>
    <col min="2" max="2" width="75.28515625" style="37" customWidth="1"/>
    <col min="3" max="5" width="11.28515625" style="1" customWidth="1"/>
    <col min="6" max="6" width="11.5703125" style="1" customWidth="1"/>
    <col min="7" max="8" width="11.28515625" style="1" customWidth="1"/>
    <col min="9" max="9" width="12.28515625" style="1" bestFit="1" customWidth="1"/>
    <col min="10" max="19" width="12.28515625" style="1" customWidth="1"/>
    <col min="20" max="20" width="13.42578125" style="1" bestFit="1" customWidth="1"/>
    <col min="21" max="21" width="12.85546875" style="1" bestFit="1" customWidth="1"/>
    <col min="22" max="22" width="15.5703125" style="1" customWidth="1"/>
    <col min="23" max="23" width="20" style="1" bestFit="1" customWidth="1"/>
    <col min="24" max="24" width="40.5703125" style="1" bestFit="1" customWidth="1"/>
    <col min="25" max="25" width="22.28515625" style="1" customWidth="1"/>
    <col min="26" max="26" width="1.42578125" style="1" customWidth="1"/>
    <col min="27" max="30" width="9.140625" style="1"/>
  </cols>
  <sheetData>
    <row r="1" spans="1:30" s="4" customFormat="1" ht="12.75">
      <c r="A1" s="646" t="s">
        <v>167</v>
      </c>
      <c r="B1" s="646"/>
      <c r="C1" s="646"/>
      <c r="D1" s="646"/>
      <c r="E1" s="646"/>
      <c r="F1" s="646"/>
      <c r="G1" s="646"/>
      <c r="H1" s="646"/>
      <c r="I1" s="646"/>
      <c r="J1" s="646"/>
      <c r="K1" s="646"/>
      <c r="L1" s="646"/>
      <c r="M1" s="646"/>
      <c r="N1" s="646"/>
      <c r="O1" s="646"/>
      <c r="P1" s="646"/>
      <c r="Q1" s="646"/>
      <c r="R1" s="646"/>
      <c r="S1" s="646"/>
      <c r="T1" s="646"/>
      <c r="U1" s="646"/>
      <c r="V1" s="646"/>
      <c r="W1" s="646"/>
      <c r="X1" s="646"/>
      <c r="Y1" s="646"/>
      <c r="Z1" s="5"/>
      <c r="AA1" s="5"/>
      <c r="AB1" s="5"/>
      <c r="AC1" s="5"/>
      <c r="AD1" s="5"/>
    </row>
    <row r="2" spans="1:30" s="4" customFormat="1" ht="31.5" customHeight="1">
      <c r="A2" s="646"/>
      <c r="B2" s="646"/>
      <c r="C2" s="646"/>
      <c r="D2" s="646"/>
      <c r="E2" s="646"/>
      <c r="F2" s="646"/>
      <c r="G2" s="646"/>
      <c r="H2" s="646"/>
      <c r="I2" s="646"/>
      <c r="J2" s="646"/>
      <c r="K2" s="646"/>
      <c r="L2" s="646"/>
      <c r="M2" s="646"/>
      <c r="N2" s="646"/>
      <c r="O2" s="646"/>
      <c r="P2" s="646"/>
      <c r="Q2" s="646"/>
      <c r="R2" s="646"/>
      <c r="S2" s="646"/>
      <c r="T2" s="646"/>
      <c r="U2" s="646"/>
      <c r="V2" s="646"/>
      <c r="W2" s="646"/>
      <c r="X2" s="646"/>
      <c r="Y2" s="646"/>
      <c r="Z2" s="5"/>
      <c r="AA2" s="5"/>
      <c r="AB2" s="5"/>
      <c r="AC2" s="5"/>
      <c r="AD2" s="5"/>
    </row>
    <row r="3" spans="1:30" s="4" customFormat="1" ht="31.5" customHeight="1">
      <c r="A3" s="646"/>
      <c r="B3" s="646"/>
      <c r="C3" s="646"/>
      <c r="D3" s="646"/>
      <c r="E3" s="646"/>
      <c r="F3" s="646"/>
      <c r="G3" s="646"/>
      <c r="H3" s="646"/>
      <c r="I3" s="646"/>
      <c r="J3" s="646"/>
      <c r="K3" s="646"/>
      <c r="L3" s="646"/>
      <c r="M3" s="646"/>
      <c r="N3" s="646"/>
      <c r="O3" s="646"/>
      <c r="P3" s="646"/>
      <c r="Q3" s="646"/>
      <c r="R3" s="646"/>
      <c r="S3" s="646"/>
      <c r="T3" s="646"/>
      <c r="U3" s="646"/>
      <c r="V3" s="646"/>
      <c r="W3" s="646"/>
      <c r="X3" s="646"/>
      <c r="Y3" s="646"/>
      <c r="Z3" s="5"/>
      <c r="AA3" s="5"/>
      <c r="AB3" s="5"/>
      <c r="AC3" s="5"/>
      <c r="AD3" s="5"/>
    </row>
    <row r="4" spans="1:30" s="4" customFormat="1" ht="29.25" customHeight="1" thickBot="1">
      <c r="A4" s="646"/>
      <c r="B4" s="646"/>
      <c r="C4" s="646"/>
      <c r="D4" s="646"/>
      <c r="E4" s="646"/>
      <c r="F4" s="646"/>
      <c r="G4" s="646"/>
      <c r="H4" s="646"/>
      <c r="I4" s="646"/>
      <c r="J4" s="646"/>
      <c r="K4" s="646"/>
      <c r="L4" s="646"/>
      <c r="M4" s="646"/>
      <c r="N4" s="646"/>
      <c r="O4" s="646"/>
      <c r="P4" s="646"/>
      <c r="Q4" s="646"/>
      <c r="R4" s="646"/>
      <c r="S4" s="646"/>
      <c r="T4" s="646"/>
      <c r="U4" s="646"/>
      <c r="V4" s="646"/>
      <c r="W4" s="646"/>
      <c r="X4" s="646"/>
      <c r="Y4" s="646"/>
      <c r="Z4" s="5"/>
      <c r="AA4" s="5"/>
      <c r="AB4" s="5"/>
      <c r="AC4" s="5"/>
      <c r="AD4" s="5"/>
    </row>
    <row r="5" spans="1:30" ht="29.25" customHeight="1">
      <c r="B5" s="589" t="s">
        <v>38</v>
      </c>
      <c r="C5" s="9" t="s">
        <v>39</v>
      </c>
      <c r="D5" s="9" t="s">
        <v>39</v>
      </c>
      <c r="E5" s="9" t="s">
        <v>39</v>
      </c>
      <c r="F5" s="9" t="s">
        <v>39</v>
      </c>
      <c r="G5" s="9" t="s">
        <v>39</v>
      </c>
      <c r="H5" s="9" t="s">
        <v>39</v>
      </c>
      <c r="I5" s="9" t="s">
        <v>39</v>
      </c>
      <c r="J5" s="9" t="s">
        <v>39</v>
      </c>
      <c r="K5" s="9" t="s">
        <v>39</v>
      </c>
      <c r="L5" s="9" t="s">
        <v>39</v>
      </c>
      <c r="M5" s="9" t="s">
        <v>39</v>
      </c>
      <c r="N5" s="9" t="s">
        <v>39</v>
      </c>
      <c r="O5" s="9" t="s">
        <v>39</v>
      </c>
      <c r="P5" s="9" t="s">
        <v>39</v>
      </c>
      <c r="Q5" s="9" t="s">
        <v>39</v>
      </c>
      <c r="R5" s="9" t="s">
        <v>39</v>
      </c>
      <c r="S5" s="9" t="s">
        <v>39</v>
      </c>
      <c r="T5" s="9" t="s">
        <v>39</v>
      </c>
      <c r="U5" s="647">
        <v>144</v>
      </c>
      <c r="V5" s="576" t="s">
        <v>40</v>
      </c>
      <c r="W5" s="649" t="s">
        <v>41</v>
      </c>
      <c r="X5" s="576" t="s">
        <v>42</v>
      </c>
      <c r="Y5" s="574" t="s">
        <v>43</v>
      </c>
    </row>
    <row r="6" spans="1:30" ht="75" customHeight="1" thickBot="1">
      <c r="B6" s="590"/>
      <c r="C6" s="11">
        <v>1</v>
      </c>
      <c r="D6" s="11">
        <v>2</v>
      </c>
      <c r="E6" s="11">
        <v>3</v>
      </c>
      <c r="F6" s="11">
        <v>4</v>
      </c>
      <c r="G6" s="11">
        <v>5</v>
      </c>
      <c r="H6" s="11">
        <v>6</v>
      </c>
      <c r="I6" s="11">
        <v>7</v>
      </c>
      <c r="J6" s="11">
        <v>8</v>
      </c>
      <c r="K6" s="11">
        <v>9</v>
      </c>
      <c r="L6" s="11">
        <v>10</v>
      </c>
      <c r="M6" s="11">
        <v>11</v>
      </c>
      <c r="N6" s="11">
        <v>12</v>
      </c>
      <c r="O6" s="11">
        <v>13</v>
      </c>
      <c r="P6" s="11">
        <v>14</v>
      </c>
      <c r="Q6" s="11">
        <v>15</v>
      </c>
      <c r="R6" s="11">
        <v>16</v>
      </c>
      <c r="S6" s="11">
        <v>17</v>
      </c>
      <c r="T6" s="11">
        <v>18</v>
      </c>
      <c r="U6" s="648"/>
      <c r="V6" s="577"/>
      <c r="W6" s="650"/>
      <c r="X6" s="577"/>
      <c r="Y6" s="575"/>
    </row>
    <row r="7" spans="1:30" ht="29.25" customHeight="1" thickBot="1">
      <c r="B7" s="12">
        <f>0%/100</f>
        <v>0</v>
      </c>
      <c r="C7" s="12">
        <f>555.555%/100</f>
        <v>5.5555499999999994E-2</v>
      </c>
      <c r="D7" s="12">
        <f>(555.555%/100)*2</f>
        <v>0.11111099999999999</v>
      </c>
      <c r="E7" s="12">
        <f>(555.555%/100)*3</f>
        <v>0.1666665</v>
      </c>
      <c r="F7" s="12">
        <f>(555.555%/100)*4</f>
        <v>0.22222199999999998</v>
      </c>
      <c r="G7" s="12">
        <f>(555.555%/100)*5</f>
        <v>0.27777749999999996</v>
      </c>
      <c r="H7" s="12">
        <f>(555.555%/100)*6</f>
        <v>0.33333299999999999</v>
      </c>
      <c r="I7" s="12">
        <f>(555.555%/100)*7</f>
        <v>0.38888849999999997</v>
      </c>
      <c r="J7" s="12">
        <f>(555.555%/100)*8</f>
        <v>0.44444399999999995</v>
      </c>
      <c r="K7" s="12">
        <f>(555.555%/100)*9</f>
        <v>0.49999949999999993</v>
      </c>
      <c r="L7" s="12">
        <f>(555.555%/100)*10</f>
        <v>0.55555499999999991</v>
      </c>
      <c r="M7" s="12">
        <f>(555.555%/100)*11</f>
        <v>0.61111049999999989</v>
      </c>
      <c r="N7" s="12">
        <f>(555.555%/100)*12</f>
        <v>0.66666599999999998</v>
      </c>
      <c r="O7" s="12">
        <f>(555.555%/100)*13</f>
        <v>0.72222149999999996</v>
      </c>
      <c r="P7" s="12">
        <f>(555.555%/100)*14</f>
        <v>0.77777699999999994</v>
      </c>
      <c r="Q7" s="12">
        <f>(555.555%/100)*15</f>
        <v>0.83333249999999992</v>
      </c>
      <c r="R7" s="12">
        <f>(555.555%/100)*16</f>
        <v>0.8888879999999999</v>
      </c>
      <c r="S7" s="12">
        <f>(555.555%/100)*17</f>
        <v>0.94444349999999988</v>
      </c>
      <c r="T7" s="12">
        <f>(555.555%/100)*18</f>
        <v>0.99999899999999986</v>
      </c>
      <c r="U7" s="12">
        <f>(526.32%/100)*19</f>
        <v>1.000008</v>
      </c>
      <c r="V7" s="14"/>
      <c r="W7" s="14"/>
      <c r="X7" s="14"/>
      <c r="Y7" s="15"/>
    </row>
    <row r="8" spans="1:30" ht="29.25" customHeight="1" thickBot="1">
      <c r="A8" s="53">
        <v>1</v>
      </c>
      <c r="B8" s="73" t="s">
        <v>73</v>
      </c>
      <c r="C8" s="99">
        <v>0</v>
      </c>
      <c r="D8" s="99">
        <v>0</v>
      </c>
      <c r="E8" s="99" t="e">
        <f>#REF!*8/100</f>
        <v>#REF!</v>
      </c>
      <c r="F8" s="99" t="e">
        <f>#REF!*8/100</f>
        <v>#REF!</v>
      </c>
      <c r="G8" s="99" t="e">
        <f>#REF!*8/100</f>
        <v>#REF!</v>
      </c>
      <c r="H8" s="99" t="e">
        <f>#REF!*8/100</f>
        <v>#REF!</v>
      </c>
      <c r="I8" s="99" t="e">
        <f>#REF!*8/100</f>
        <v>#REF!</v>
      </c>
      <c r="J8" s="99" t="e">
        <f>#REF!*8/100</f>
        <v>#REF!</v>
      </c>
      <c r="K8" s="99" t="e">
        <f>#REF!*8/100</f>
        <v>#REF!</v>
      </c>
      <c r="L8" s="99" t="e">
        <f>#REF!*8/100</f>
        <v>#REF!</v>
      </c>
      <c r="M8" s="99" t="e">
        <f>#REF!*8/100</f>
        <v>#REF!</v>
      </c>
      <c r="N8" s="99" t="e">
        <f>#REF!*8/100</f>
        <v>#REF!</v>
      </c>
      <c r="O8" s="99" t="e">
        <f>#REF!*8/100</f>
        <v>#REF!</v>
      </c>
      <c r="P8" s="99" t="e">
        <f>#REF!*8/100</f>
        <v>#REF!</v>
      </c>
      <c r="Q8" s="99" t="e">
        <f>#REF!*8/100</f>
        <v>#REF!</v>
      </c>
      <c r="R8" s="99" t="e">
        <f>#REF!*8/100</f>
        <v>#REF!</v>
      </c>
      <c r="S8" s="99" t="e">
        <f>#REF!*8/100</f>
        <v>#REF!</v>
      </c>
      <c r="T8" s="99" t="e">
        <f>#REF!*8/100</f>
        <v>#REF!</v>
      </c>
      <c r="U8" s="17" t="e">
        <f>SUM(C8:T8)</f>
        <v>#REF!</v>
      </c>
      <c r="V8" s="18" t="e">
        <f>IF($U$5&gt;0,U8/$U$5,0)</f>
        <v>#REF!</v>
      </c>
      <c r="W8" s="19" t="e">
        <f t="shared" ref="W8:W39" si="0">AVERAGE(C8:T8)/100*18</f>
        <v>#REF!</v>
      </c>
      <c r="X8" s="20"/>
      <c r="Y8" s="21"/>
    </row>
    <row r="9" spans="1:30" ht="29.25" thickBot="1">
      <c r="A9" s="53">
        <v>2</v>
      </c>
      <c r="B9" s="73" t="s">
        <v>74</v>
      </c>
      <c r="C9" s="99" t="e">
        <f>#REF!*8/100</f>
        <v>#REF!</v>
      </c>
      <c r="D9" s="99" t="e">
        <f>#REF!*8/100</f>
        <v>#REF!</v>
      </c>
      <c r="E9" s="99" t="e">
        <f>#REF!*8/100</f>
        <v>#REF!</v>
      </c>
      <c r="F9" s="99" t="e">
        <f>#REF!*8/100</f>
        <v>#REF!</v>
      </c>
      <c r="G9" s="99" t="e">
        <f>#REF!*8/100</f>
        <v>#REF!</v>
      </c>
      <c r="H9" s="99" t="e">
        <f>#REF!*8/100</f>
        <v>#REF!</v>
      </c>
      <c r="I9" s="99" t="e">
        <f>#REF!*8/100</f>
        <v>#REF!</v>
      </c>
      <c r="J9" s="99" t="e">
        <f>#REF!*8/100</f>
        <v>#REF!</v>
      </c>
      <c r="K9" s="99" t="e">
        <f>#REF!*8/100</f>
        <v>#REF!</v>
      </c>
      <c r="L9" s="99" t="e">
        <f>#REF!*8/100</f>
        <v>#REF!</v>
      </c>
      <c r="M9" s="99" t="e">
        <f>#REF!*8/100</f>
        <v>#REF!</v>
      </c>
      <c r="N9" s="99" t="e">
        <f>#REF!*8/100</f>
        <v>#REF!</v>
      </c>
      <c r="O9" s="99" t="e">
        <f>#REF!*8/100</f>
        <v>#REF!</v>
      </c>
      <c r="P9" s="99" t="e">
        <f>#REF!*8/100</f>
        <v>#REF!</v>
      </c>
      <c r="Q9" s="99" t="e">
        <f>#REF!*8/100</f>
        <v>#REF!</v>
      </c>
      <c r="R9" s="99" t="e">
        <f>#REF!*8/100</f>
        <v>#REF!</v>
      </c>
      <c r="S9" s="99" t="e">
        <f>#REF!*8/100</f>
        <v>#REF!</v>
      </c>
      <c r="T9" s="99" t="e">
        <f>#REF!*8/100</f>
        <v>#REF!</v>
      </c>
      <c r="U9" s="17" t="e">
        <f t="shared" ref="U9:U56" si="1">SUM(C9:T9)</f>
        <v>#REF!</v>
      </c>
      <c r="V9" s="18" t="e">
        <f>IF($U$5&gt;0,U9/$U$5,0)</f>
        <v>#REF!</v>
      </c>
      <c r="W9" s="19" t="e">
        <f t="shared" si="0"/>
        <v>#REF!</v>
      </c>
      <c r="X9" s="20"/>
      <c r="Y9" s="21"/>
    </row>
    <row r="10" spans="1:30" ht="29.25" thickBot="1">
      <c r="A10" s="53">
        <v>3</v>
      </c>
      <c r="B10" s="73" t="s">
        <v>75</v>
      </c>
      <c r="C10" s="99" t="e">
        <f>#REF!*8/100</f>
        <v>#REF!</v>
      </c>
      <c r="D10" s="99" t="e">
        <f>#REF!*8/100</f>
        <v>#REF!</v>
      </c>
      <c r="E10" s="99" t="e">
        <f>#REF!*8/100</f>
        <v>#REF!</v>
      </c>
      <c r="F10" s="99" t="e">
        <f>#REF!*8/100</f>
        <v>#REF!</v>
      </c>
      <c r="G10" s="99" t="e">
        <f>#REF!*8/100</f>
        <v>#REF!</v>
      </c>
      <c r="H10" s="99" t="e">
        <f>#REF!*8/100</f>
        <v>#REF!</v>
      </c>
      <c r="I10" s="99" t="e">
        <f>#REF!*8/100</f>
        <v>#REF!</v>
      </c>
      <c r="J10" s="99" t="e">
        <f>#REF!*8/100</f>
        <v>#REF!</v>
      </c>
      <c r="K10" s="99" t="e">
        <f>#REF!*8/100</f>
        <v>#REF!</v>
      </c>
      <c r="L10" s="99" t="e">
        <f>#REF!*8/100</f>
        <v>#REF!</v>
      </c>
      <c r="M10" s="99" t="e">
        <f>#REF!*8/100</f>
        <v>#REF!</v>
      </c>
      <c r="N10" s="99" t="e">
        <f>#REF!*8/100</f>
        <v>#REF!</v>
      </c>
      <c r="O10" s="99" t="e">
        <f>#REF!*8/100</f>
        <v>#REF!</v>
      </c>
      <c r="P10" s="99" t="e">
        <f>#REF!*8/100</f>
        <v>#REF!</v>
      </c>
      <c r="Q10" s="99" t="e">
        <f>#REF!*8/100</f>
        <v>#REF!</v>
      </c>
      <c r="R10" s="99" t="e">
        <f>#REF!*8/100</f>
        <v>#REF!</v>
      </c>
      <c r="S10" s="99" t="e">
        <f>#REF!*8/100</f>
        <v>#REF!</v>
      </c>
      <c r="T10" s="99" t="e">
        <f>#REF!*8/100</f>
        <v>#REF!</v>
      </c>
      <c r="U10" s="17" t="e">
        <f t="shared" si="1"/>
        <v>#REF!</v>
      </c>
      <c r="V10" s="18" t="e">
        <f>IF($U$5&gt;0,U10/$U$5,0)</f>
        <v>#REF!</v>
      </c>
      <c r="W10" s="19" t="e">
        <f t="shared" si="0"/>
        <v>#REF!</v>
      </c>
      <c r="X10" s="20"/>
      <c r="Y10" s="21"/>
    </row>
    <row r="11" spans="1:30" ht="29.25" thickBot="1">
      <c r="A11" s="53">
        <v>4</v>
      </c>
      <c r="B11" s="73" t="s">
        <v>76</v>
      </c>
      <c r="C11" s="99" t="e">
        <f>#REF!*8/100</f>
        <v>#REF!</v>
      </c>
      <c r="D11" s="99" t="e">
        <f>#REF!*8/100</f>
        <v>#REF!</v>
      </c>
      <c r="E11" s="99" t="e">
        <f>#REF!*8/100</f>
        <v>#REF!</v>
      </c>
      <c r="F11" s="99" t="e">
        <f>#REF!*8/100</f>
        <v>#REF!</v>
      </c>
      <c r="G11" s="99" t="e">
        <f>#REF!*8/100</f>
        <v>#REF!</v>
      </c>
      <c r="H11" s="99" t="e">
        <f>#REF!*8/100</f>
        <v>#REF!</v>
      </c>
      <c r="I11" s="99" t="e">
        <f>#REF!*8/100</f>
        <v>#REF!</v>
      </c>
      <c r="J11" s="99" t="e">
        <f>#REF!*8/100</f>
        <v>#REF!</v>
      </c>
      <c r="K11" s="99" t="e">
        <f>#REF!*8/100</f>
        <v>#REF!</v>
      </c>
      <c r="L11" s="99" t="e">
        <f>#REF!*8/100</f>
        <v>#REF!</v>
      </c>
      <c r="M11" s="99" t="e">
        <f>#REF!*8/100</f>
        <v>#REF!</v>
      </c>
      <c r="N11" s="99" t="e">
        <f>#REF!*8/100</f>
        <v>#REF!</v>
      </c>
      <c r="O11" s="99" t="e">
        <f>#REF!*8/100</f>
        <v>#REF!</v>
      </c>
      <c r="P11" s="99" t="e">
        <f>#REF!*8/100</f>
        <v>#REF!</v>
      </c>
      <c r="Q11" s="99" t="e">
        <f>#REF!*8/100</f>
        <v>#REF!</v>
      </c>
      <c r="R11" s="99" t="e">
        <f>#REF!*8/100</f>
        <v>#REF!</v>
      </c>
      <c r="S11" s="99" t="e">
        <f>#REF!*8/100</f>
        <v>#REF!</v>
      </c>
      <c r="T11" s="99" t="e">
        <f>#REF!*8/100</f>
        <v>#REF!</v>
      </c>
      <c r="U11" s="17" t="e">
        <f t="shared" si="1"/>
        <v>#REF!</v>
      </c>
      <c r="V11" s="18" t="e">
        <f>IF($U$5&gt;0,U11/$U$5,0)</f>
        <v>#REF!</v>
      </c>
      <c r="W11" s="19" t="e">
        <f t="shared" si="0"/>
        <v>#REF!</v>
      </c>
      <c r="X11" s="20"/>
      <c r="Y11" s="21"/>
    </row>
    <row r="12" spans="1:30" ht="29.25" customHeight="1" thickBot="1">
      <c r="A12" s="53">
        <v>5</v>
      </c>
      <c r="B12" s="71" t="s">
        <v>77</v>
      </c>
      <c r="C12" s="99" t="e">
        <f>#REF!*8/100</f>
        <v>#REF!</v>
      </c>
      <c r="D12" s="99" t="e">
        <f>#REF!*8/100</f>
        <v>#REF!</v>
      </c>
      <c r="E12" s="99" t="e">
        <f>#REF!*8/100</f>
        <v>#REF!</v>
      </c>
      <c r="F12" s="99" t="e">
        <f>#REF!*8/100</f>
        <v>#REF!</v>
      </c>
      <c r="G12" s="99" t="e">
        <f>#REF!*8/100</f>
        <v>#REF!</v>
      </c>
      <c r="H12" s="99" t="e">
        <f>#REF!*8/100</f>
        <v>#REF!</v>
      </c>
      <c r="I12" s="99" t="e">
        <f>#REF!*8/100</f>
        <v>#REF!</v>
      </c>
      <c r="J12" s="99" t="e">
        <f>#REF!*8/100</f>
        <v>#REF!</v>
      </c>
      <c r="K12" s="99" t="e">
        <f>#REF!*8/100</f>
        <v>#REF!</v>
      </c>
      <c r="L12" s="99" t="e">
        <f>#REF!*8/100</f>
        <v>#REF!</v>
      </c>
      <c r="M12" s="99" t="e">
        <f>#REF!*8/100</f>
        <v>#REF!</v>
      </c>
      <c r="N12" s="99" t="e">
        <f>#REF!*8/100</f>
        <v>#REF!</v>
      </c>
      <c r="O12" s="99" t="e">
        <f>#REF!*8/100</f>
        <v>#REF!</v>
      </c>
      <c r="P12" s="99" t="e">
        <f>#REF!*8/100</f>
        <v>#REF!</v>
      </c>
      <c r="Q12" s="99" t="e">
        <f>#REF!*8/100</f>
        <v>#REF!</v>
      </c>
      <c r="R12" s="99" t="e">
        <f>#REF!*8/100</f>
        <v>#REF!</v>
      </c>
      <c r="S12" s="99" t="e">
        <f>#REF!*8/100</f>
        <v>#REF!</v>
      </c>
      <c r="T12" s="99" t="e">
        <f>#REF!*8/100</f>
        <v>#REF!</v>
      </c>
      <c r="U12" s="17" t="e">
        <f t="shared" si="1"/>
        <v>#REF!</v>
      </c>
      <c r="V12" s="18" t="e">
        <f>IF($U$5&gt;0,U12/$U$5,0)</f>
        <v>#REF!</v>
      </c>
      <c r="W12" s="19" t="e">
        <f t="shared" si="0"/>
        <v>#REF!</v>
      </c>
      <c r="X12" s="22"/>
      <c r="Y12" s="23"/>
    </row>
    <row r="13" spans="1:30" ht="29.25" customHeight="1" thickBot="1">
      <c r="A13" s="53">
        <v>6</v>
      </c>
      <c r="B13" s="71" t="s">
        <v>78</v>
      </c>
      <c r="C13" s="99" t="e">
        <f>#REF!*8/100</f>
        <v>#REF!</v>
      </c>
      <c r="D13" s="99" t="e">
        <f>#REF!*8/100</f>
        <v>#REF!</v>
      </c>
      <c r="E13" s="99" t="e">
        <f>#REF!*8/100</f>
        <v>#REF!</v>
      </c>
      <c r="F13" s="99" t="e">
        <f>#REF!*8/100</f>
        <v>#REF!</v>
      </c>
      <c r="G13" s="99" t="e">
        <f>#REF!*8/100</f>
        <v>#REF!</v>
      </c>
      <c r="H13" s="99" t="e">
        <f>#REF!*8/100</f>
        <v>#REF!</v>
      </c>
      <c r="I13" s="99" t="e">
        <f>#REF!*8/100</f>
        <v>#REF!</v>
      </c>
      <c r="J13" s="99" t="e">
        <f>#REF!*8/100</f>
        <v>#REF!</v>
      </c>
      <c r="K13" s="99" t="e">
        <f>#REF!*8/100</f>
        <v>#REF!</v>
      </c>
      <c r="L13" s="99" t="e">
        <f>#REF!*8/100</f>
        <v>#REF!</v>
      </c>
      <c r="M13" s="99" t="e">
        <f>#REF!*8/100</f>
        <v>#REF!</v>
      </c>
      <c r="N13" s="99" t="e">
        <f>#REF!*8/100</f>
        <v>#REF!</v>
      </c>
      <c r="O13" s="99" t="e">
        <f>#REF!*8/100</f>
        <v>#REF!</v>
      </c>
      <c r="P13" s="99" t="e">
        <f>#REF!*8/100</f>
        <v>#REF!</v>
      </c>
      <c r="Q13" s="99" t="e">
        <f>#REF!*8/100</f>
        <v>#REF!</v>
      </c>
      <c r="R13" s="99" t="e">
        <f>#REF!*8/100</f>
        <v>#REF!</v>
      </c>
      <c r="S13" s="99" t="e">
        <f>#REF!*8/100</f>
        <v>#REF!</v>
      </c>
      <c r="T13" s="99" t="e">
        <f>#REF!*8/100</f>
        <v>#REF!</v>
      </c>
      <c r="U13" s="17" t="e">
        <f t="shared" si="1"/>
        <v>#REF!</v>
      </c>
      <c r="V13" s="18" t="e">
        <f t="shared" ref="V13:V56" si="2">IF($U$5&gt;0,U13/$U$5,0)</f>
        <v>#REF!</v>
      </c>
      <c r="W13" s="19" t="e">
        <f t="shared" si="0"/>
        <v>#REF!</v>
      </c>
      <c r="X13" s="22"/>
      <c r="Y13" s="23"/>
    </row>
    <row r="14" spans="1:30" ht="29.25" customHeight="1" thickBot="1">
      <c r="A14" s="53">
        <v>7</v>
      </c>
      <c r="B14" s="71" t="s">
        <v>79</v>
      </c>
      <c r="C14" s="99" t="e">
        <f>#REF!*8/100</f>
        <v>#REF!</v>
      </c>
      <c r="D14" s="99" t="e">
        <f>#REF!*8/100</f>
        <v>#REF!</v>
      </c>
      <c r="E14" s="99" t="e">
        <f>#REF!*8/100</f>
        <v>#REF!</v>
      </c>
      <c r="F14" s="99" t="e">
        <f>#REF!*8/100</f>
        <v>#REF!</v>
      </c>
      <c r="G14" s="99" t="e">
        <f>#REF!*8/100</f>
        <v>#REF!</v>
      </c>
      <c r="H14" s="99" t="e">
        <f>#REF!*8/100</f>
        <v>#REF!</v>
      </c>
      <c r="I14" s="99" t="e">
        <f>#REF!*8/100</f>
        <v>#REF!</v>
      </c>
      <c r="J14" s="99" t="e">
        <f>#REF!*8/100</f>
        <v>#REF!</v>
      </c>
      <c r="K14" s="99" t="e">
        <f>#REF!*8/100</f>
        <v>#REF!</v>
      </c>
      <c r="L14" s="99" t="e">
        <f>#REF!*8/100</f>
        <v>#REF!</v>
      </c>
      <c r="M14" s="99" t="e">
        <f>#REF!*8/100</f>
        <v>#REF!</v>
      </c>
      <c r="N14" s="99" t="e">
        <f>#REF!*8/100</f>
        <v>#REF!</v>
      </c>
      <c r="O14" s="99" t="e">
        <f>#REF!*8/100</f>
        <v>#REF!</v>
      </c>
      <c r="P14" s="99" t="e">
        <f>#REF!*8/100</f>
        <v>#REF!</v>
      </c>
      <c r="Q14" s="99" t="e">
        <f>#REF!*8/100</f>
        <v>#REF!</v>
      </c>
      <c r="R14" s="99" t="e">
        <f>#REF!*8/100</f>
        <v>#REF!</v>
      </c>
      <c r="S14" s="99" t="e">
        <f>#REF!*8/100</f>
        <v>#REF!</v>
      </c>
      <c r="T14" s="99" t="e">
        <f>#REF!*8/100</f>
        <v>#REF!</v>
      </c>
      <c r="U14" s="17" t="e">
        <f t="shared" si="1"/>
        <v>#REF!</v>
      </c>
      <c r="V14" s="18" t="e">
        <f t="shared" si="2"/>
        <v>#REF!</v>
      </c>
      <c r="W14" s="19" t="e">
        <f t="shared" si="0"/>
        <v>#REF!</v>
      </c>
      <c r="X14" s="22"/>
      <c r="Y14" s="23"/>
    </row>
    <row r="15" spans="1:30" ht="29.25" customHeight="1" thickBot="1">
      <c r="A15" s="53">
        <v>8</v>
      </c>
      <c r="B15" s="71" t="s">
        <v>80</v>
      </c>
      <c r="C15" s="99" t="e">
        <f>#REF!*8/100</f>
        <v>#REF!</v>
      </c>
      <c r="D15" s="99" t="e">
        <f>#REF!*8/100</f>
        <v>#REF!</v>
      </c>
      <c r="E15" s="99" t="e">
        <f>#REF!*8/100</f>
        <v>#REF!</v>
      </c>
      <c r="F15" s="99" t="e">
        <f>#REF!*8/100</f>
        <v>#REF!</v>
      </c>
      <c r="G15" s="99" t="e">
        <f>#REF!*8/100</f>
        <v>#REF!</v>
      </c>
      <c r="H15" s="99" t="e">
        <f>#REF!*8/100</f>
        <v>#REF!</v>
      </c>
      <c r="I15" s="99" t="e">
        <f>#REF!*8/100</f>
        <v>#REF!</v>
      </c>
      <c r="J15" s="99" t="e">
        <f>#REF!*8/100</f>
        <v>#REF!</v>
      </c>
      <c r="K15" s="99" t="e">
        <f>#REF!*8/100</f>
        <v>#REF!</v>
      </c>
      <c r="L15" s="99" t="e">
        <f>#REF!*8/100</f>
        <v>#REF!</v>
      </c>
      <c r="M15" s="99" t="e">
        <f>#REF!*8/100</f>
        <v>#REF!</v>
      </c>
      <c r="N15" s="99" t="e">
        <f>#REF!*8/100</f>
        <v>#REF!</v>
      </c>
      <c r="O15" s="99" t="e">
        <f>#REF!*8/100</f>
        <v>#REF!</v>
      </c>
      <c r="P15" s="99" t="e">
        <f>#REF!*8/100</f>
        <v>#REF!</v>
      </c>
      <c r="Q15" s="99" t="e">
        <f>#REF!*8/100</f>
        <v>#REF!</v>
      </c>
      <c r="R15" s="99" t="e">
        <f>#REF!*8/100</f>
        <v>#REF!</v>
      </c>
      <c r="S15" s="99" t="e">
        <f>#REF!*8/100</f>
        <v>#REF!</v>
      </c>
      <c r="T15" s="99" t="e">
        <f>#REF!*8/100*8/100</f>
        <v>#REF!</v>
      </c>
      <c r="U15" s="17" t="e">
        <f t="shared" si="1"/>
        <v>#REF!</v>
      </c>
      <c r="V15" s="18" t="e">
        <f t="shared" si="2"/>
        <v>#REF!</v>
      </c>
      <c r="W15" s="19" t="e">
        <f t="shared" si="0"/>
        <v>#REF!</v>
      </c>
      <c r="X15" s="22"/>
      <c r="Y15" s="23"/>
    </row>
    <row r="16" spans="1:30" ht="29.25" thickBot="1">
      <c r="A16" s="53">
        <v>9</v>
      </c>
      <c r="B16" s="71" t="s">
        <v>81</v>
      </c>
      <c r="C16" s="99" t="e">
        <f>#REF!*8/100</f>
        <v>#REF!</v>
      </c>
      <c r="D16" s="99" t="e">
        <f>#REF!*8/100</f>
        <v>#REF!</v>
      </c>
      <c r="E16" s="99" t="e">
        <f>#REF!*8/100</f>
        <v>#REF!</v>
      </c>
      <c r="F16" s="99" t="e">
        <f>#REF!*8/100</f>
        <v>#REF!</v>
      </c>
      <c r="G16" s="99" t="e">
        <f>#REF!*8/100</f>
        <v>#REF!</v>
      </c>
      <c r="H16" s="99" t="e">
        <f>#REF!*8/100</f>
        <v>#REF!</v>
      </c>
      <c r="I16" s="99" t="e">
        <f>#REF!*8/100</f>
        <v>#REF!</v>
      </c>
      <c r="J16" s="99" t="e">
        <f>#REF!*8/100</f>
        <v>#REF!</v>
      </c>
      <c r="K16" s="99" t="e">
        <f>#REF!*8/100</f>
        <v>#REF!</v>
      </c>
      <c r="L16" s="99" t="e">
        <f>#REF!*8/100</f>
        <v>#REF!</v>
      </c>
      <c r="M16" s="99" t="e">
        <f>#REF!*8/100</f>
        <v>#REF!</v>
      </c>
      <c r="N16" s="99" t="e">
        <f>#REF!*8/100</f>
        <v>#REF!</v>
      </c>
      <c r="O16" s="99" t="e">
        <f>#REF!*8/100</f>
        <v>#REF!</v>
      </c>
      <c r="P16" s="99" t="e">
        <f>#REF!*8/100</f>
        <v>#REF!</v>
      </c>
      <c r="Q16" s="99" t="e">
        <f>#REF!*8/100</f>
        <v>#REF!</v>
      </c>
      <c r="R16" s="99" t="e">
        <f>#REF!*8/100</f>
        <v>#REF!</v>
      </c>
      <c r="S16" s="99" t="e">
        <f>#REF!*8/100</f>
        <v>#REF!</v>
      </c>
      <c r="T16" s="99" t="e">
        <f>#REF!*8/100</f>
        <v>#REF!</v>
      </c>
      <c r="U16" s="17" t="e">
        <f t="shared" si="1"/>
        <v>#REF!</v>
      </c>
      <c r="V16" s="18" t="e">
        <f t="shared" si="2"/>
        <v>#REF!</v>
      </c>
      <c r="W16" s="19" t="e">
        <f t="shared" si="0"/>
        <v>#REF!</v>
      </c>
      <c r="X16" s="22"/>
      <c r="Y16" s="23"/>
    </row>
    <row r="17" spans="1:25" ht="29.25" thickBot="1">
      <c r="A17" s="53">
        <v>10</v>
      </c>
      <c r="B17" s="71" t="s">
        <v>82</v>
      </c>
      <c r="C17" s="99" t="e">
        <f>#REF!*8/100</f>
        <v>#REF!</v>
      </c>
      <c r="D17" s="99" t="e">
        <f>#REF!*8/100</f>
        <v>#REF!</v>
      </c>
      <c r="E17" s="99" t="e">
        <f>#REF!*8/100</f>
        <v>#REF!</v>
      </c>
      <c r="F17" s="99" t="e">
        <f>#REF!*8/100</f>
        <v>#REF!</v>
      </c>
      <c r="G17" s="99" t="e">
        <f>#REF!*8/100</f>
        <v>#REF!</v>
      </c>
      <c r="H17" s="99" t="e">
        <f>#REF!*8/100</f>
        <v>#REF!</v>
      </c>
      <c r="I17" s="99" t="e">
        <f>#REF!*8/100</f>
        <v>#REF!</v>
      </c>
      <c r="J17" s="99" t="e">
        <f>#REF!*8/100</f>
        <v>#REF!</v>
      </c>
      <c r="K17" s="99" t="e">
        <f>#REF!*8/100</f>
        <v>#REF!</v>
      </c>
      <c r="L17" s="99" t="e">
        <f>#REF!*8/100</f>
        <v>#REF!</v>
      </c>
      <c r="M17" s="99" t="e">
        <f>#REF!*8/100</f>
        <v>#REF!</v>
      </c>
      <c r="N17" s="99" t="e">
        <f>#REF!*8/100</f>
        <v>#REF!</v>
      </c>
      <c r="O17" s="99" t="e">
        <f>#REF!*8/100</f>
        <v>#REF!</v>
      </c>
      <c r="P17" s="99" t="e">
        <f>#REF!*8/100</f>
        <v>#REF!</v>
      </c>
      <c r="Q17" s="99" t="e">
        <f>#REF!*8/100</f>
        <v>#REF!</v>
      </c>
      <c r="R17" s="99" t="e">
        <f>#REF!*8/100</f>
        <v>#REF!</v>
      </c>
      <c r="S17" s="99" t="e">
        <f>#REF!*8/100</f>
        <v>#REF!</v>
      </c>
      <c r="T17" s="99" t="e">
        <f>#REF!*8/100</f>
        <v>#REF!</v>
      </c>
      <c r="U17" s="17" t="e">
        <f t="shared" si="1"/>
        <v>#REF!</v>
      </c>
      <c r="V17" s="18" t="e">
        <f t="shared" si="2"/>
        <v>#REF!</v>
      </c>
      <c r="W17" s="19" t="e">
        <f t="shared" si="0"/>
        <v>#REF!</v>
      </c>
      <c r="X17" s="22"/>
      <c r="Y17" s="23"/>
    </row>
    <row r="18" spans="1:25" ht="29.25" thickBot="1">
      <c r="A18" s="53">
        <v>11</v>
      </c>
      <c r="B18" s="71" t="s">
        <v>83</v>
      </c>
      <c r="C18" s="99" t="e">
        <f>#REF!*8/100</f>
        <v>#REF!</v>
      </c>
      <c r="D18" s="99" t="e">
        <f>#REF!*8/100</f>
        <v>#REF!</v>
      </c>
      <c r="E18" s="99" t="e">
        <f>#REF!*8/100</f>
        <v>#REF!</v>
      </c>
      <c r="F18" s="99" t="e">
        <f>#REF!*8/100</f>
        <v>#REF!</v>
      </c>
      <c r="G18" s="99" t="e">
        <f>#REF!*8/100</f>
        <v>#REF!</v>
      </c>
      <c r="H18" s="99" t="e">
        <f>#REF!*8/100</f>
        <v>#REF!</v>
      </c>
      <c r="I18" s="99" t="e">
        <f>#REF!*8/100</f>
        <v>#REF!</v>
      </c>
      <c r="J18" s="99" t="e">
        <f>#REF!*8/100</f>
        <v>#REF!</v>
      </c>
      <c r="K18" s="99" t="e">
        <f>#REF!*8/100</f>
        <v>#REF!</v>
      </c>
      <c r="L18" s="99" t="e">
        <f>#REF!*8/100</f>
        <v>#REF!</v>
      </c>
      <c r="M18" s="99" t="e">
        <f>#REF!*8/100</f>
        <v>#REF!</v>
      </c>
      <c r="N18" s="99" t="e">
        <f>#REF!*8/100</f>
        <v>#REF!</v>
      </c>
      <c r="O18" s="99" t="e">
        <f>#REF!*8/100</f>
        <v>#REF!</v>
      </c>
      <c r="P18" s="99" t="e">
        <f>#REF!*8/100</f>
        <v>#REF!</v>
      </c>
      <c r="Q18" s="99" t="e">
        <f>#REF!*8/100</f>
        <v>#REF!</v>
      </c>
      <c r="R18" s="99" t="e">
        <f>#REF!*8/100</f>
        <v>#REF!</v>
      </c>
      <c r="S18" s="99" t="e">
        <f>#REF!*8/100</f>
        <v>#REF!</v>
      </c>
      <c r="T18" s="99" t="e">
        <f>#REF!*8/100</f>
        <v>#REF!</v>
      </c>
      <c r="U18" s="17" t="e">
        <f t="shared" si="1"/>
        <v>#REF!</v>
      </c>
      <c r="V18" s="18" t="e">
        <f t="shared" si="2"/>
        <v>#REF!</v>
      </c>
      <c r="W18" s="19" t="e">
        <f t="shared" si="0"/>
        <v>#REF!</v>
      </c>
      <c r="X18" s="22"/>
      <c r="Y18" s="23"/>
    </row>
    <row r="19" spans="1:25" ht="29.25" customHeight="1" thickBot="1">
      <c r="A19" s="53">
        <v>12</v>
      </c>
      <c r="B19" s="71" t="s">
        <v>84</v>
      </c>
      <c r="C19" s="99" t="e">
        <f>#REF!*8/100</f>
        <v>#REF!</v>
      </c>
      <c r="D19" s="99" t="e">
        <f>#REF!*8/100</f>
        <v>#REF!</v>
      </c>
      <c r="E19" s="99" t="e">
        <f>#REF!*8/100</f>
        <v>#REF!</v>
      </c>
      <c r="F19" s="99" t="e">
        <f>#REF!*8/100</f>
        <v>#REF!</v>
      </c>
      <c r="G19" s="99" t="e">
        <f>#REF!*8/100</f>
        <v>#REF!</v>
      </c>
      <c r="H19" s="99" t="e">
        <f>#REF!*8/100</f>
        <v>#REF!</v>
      </c>
      <c r="I19" s="99" t="e">
        <f>#REF!*8/100</f>
        <v>#REF!</v>
      </c>
      <c r="J19" s="99" t="e">
        <f>#REF!*8/100</f>
        <v>#REF!</v>
      </c>
      <c r="K19" s="99" t="e">
        <f>#REF!*8/100</f>
        <v>#REF!</v>
      </c>
      <c r="L19" s="99" t="e">
        <f>#REF!*8/100</f>
        <v>#REF!</v>
      </c>
      <c r="M19" s="99" t="e">
        <f>#REF!*8/100</f>
        <v>#REF!</v>
      </c>
      <c r="N19" s="99" t="e">
        <f>#REF!*8/100</f>
        <v>#REF!</v>
      </c>
      <c r="O19" s="99" t="e">
        <f>#REF!*8/100</f>
        <v>#REF!</v>
      </c>
      <c r="P19" s="99" t="e">
        <f>#REF!*8/100</f>
        <v>#REF!</v>
      </c>
      <c r="Q19" s="99" t="e">
        <f>#REF!*8/100</f>
        <v>#REF!</v>
      </c>
      <c r="R19" s="99" t="e">
        <f>#REF!*8/100</f>
        <v>#REF!</v>
      </c>
      <c r="S19" s="99" t="e">
        <f>#REF!*8/100</f>
        <v>#REF!</v>
      </c>
      <c r="T19" s="99" t="e">
        <f>#REF!*8/100</f>
        <v>#REF!</v>
      </c>
      <c r="U19" s="17" t="e">
        <f t="shared" si="1"/>
        <v>#REF!</v>
      </c>
      <c r="V19" s="18" t="e">
        <f t="shared" si="2"/>
        <v>#REF!</v>
      </c>
      <c r="W19" s="19" t="e">
        <f t="shared" si="0"/>
        <v>#REF!</v>
      </c>
      <c r="X19" s="22"/>
      <c r="Y19" s="23"/>
    </row>
    <row r="20" spans="1:25" s="1" customFormat="1" ht="29.25" customHeight="1" thickBot="1">
      <c r="A20" s="53">
        <v>13</v>
      </c>
      <c r="B20" s="63" t="s">
        <v>85</v>
      </c>
      <c r="C20" s="100" t="e">
        <f>#REF!*8/100</f>
        <v>#REF!</v>
      </c>
      <c r="D20" s="100" t="e">
        <f>#REF!*8/100</f>
        <v>#REF!</v>
      </c>
      <c r="E20" s="100" t="e">
        <f>#REF!*8/100</f>
        <v>#REF!</v>
      </c>
      <c r="F20" s="100" t="e">
        <f>#REF!*8/100</f>
        <v>#REF!</v>
      </c>
      <c r="G20" s="100" t="e">
        <f>#REF!*8/100</f>
        <v>#REF!</v>
      </c>
      <c r="H20" s="100" t="e">
        <f>#REF!*8/100</f>
        <v>#REF!</v>
      </c>
      <c r="I20" s="100" t="e">
        <f>#REF!*8/100</f>
        <v>#REF!</v>
      </c>
      <c r="J20" s="100" t="e">
        <f>#REF!*8/100</f>
        <v>#REF!</v>
      </c>
      <c r="K20" s="100" t="e">
        <f>#REF!*8/100</f>
        <v>#REF!</v>
      </c>
      <c r="L20" s="100" t="e">
        <f>#REF!*8/100</f>
        <v>#REF!</v>
      </c>
      <c r="M20" s="100" t="e">
        <f>#REF!*8/100</f>
        <v>#REF!</v>
      </c>
      <c r="N20" s="100" t="e">
        <f>#REF!*8/100</f>
        <v>#REF!</v>
      </c>
      <c r="O20" s="100" t="e">
        <f>#REF!*8/100</f>
        <v>#REF!</v>
      </c>
      <c r="P20" s="100" t="e">
        <f>#REF!*8/100</f>
        <v>#REF!</v>
      </c>
      <c r="Q20" s="100" t="e">
        <f>#REF!*8/100</f>
        <v>#REF!</v>
      </c>
      <c r="R20" s="100" t="e">
        <f>#REF!*8/100</f>
        <v>#REF!</v>
      </c>
      <c r="S20" s="100" t="e">
        <f>#REF!*8/100</f>
        <v>#REF!</v>
      </c>
      <c r="T20" s="100" t="e">
        <f>#REF!*8/100</f>
        <v>#REF!</v>
      </c>
      <c r="U20" s="17" t="e">
        <f t="shared" si="1"/>
        <v>#REF!</v>
      </c>
      <c r="V20" s="18" t="e">
        <f t="shared" si="2"/>
        <v>#REF!</v>
      </c>
      <c r="W20" s="19" t="e">
        <f t="shared" si="0"/>
        <v>#REF!</v>
      </c>
      <c r="X20" s="25"/>
      <c r="Y20" s="23"/>
    </row>
    <row r="21" spans="1:25" s="1" customFormat="1" ht="29.25" customHeight="1" thickBot="1">
      <c r="A21" s="53">
        <v>14</v>
      </c>
      <c r="B21" s="72" t="s">
        <v>86</v>
      </c>
      <c r="C21" s="101" t="e">
        <f>#REF!*8/100</f>
        <v>#REF!</v>
      </c>
      <c r="D21" s="101" t="e">
        <f>#REF!*8/100</f>
        <v>#REF!</v>
      </c>
      <c r="E21" s="101" t="e">
        <f>#REF!*8/100</f>
        <v>#REF!</v>
      </c>
      <c r="F21" s="101" t="e">
        <f>#REF!*8/100</f>
        <v>#REF!</v>
      </c>
      <c r="G21" s="101" t="e">
        <f>#REF!*8/100</f>
        <v>#REF!</v>
      </c>
      <c r="H21" s="101" t="e">
        <f>#REF!*8/100</f>
        <v>#REF!</v>
      </c>
      <c r="I21" s="101" t="e">
        <f>#REF!*8/100</f>
        <v>#REF!</v>
      </c>
      <c r="J21" s="101" t="e">
        <f>#REF!*8/100</f>
        <v>#REF!</v>
      </c>
      <c r="K21" s="101" t="e">
        <f>#REF!*8/100</f>
        <v>#REF!</v>
      </c>
      <c r="L21" s="101" t="e">
        <f>#REF!*8/100</f>
        <v>#REF!</v>
      </c>
      <c r="M21" s="101" t="e">
        <f>#REF!*8/100</f>
        <v>#REF!</v>
      </c>
      <c r="N21" s="101" t="e">
        <f>#REF!*8/100</f>
        <v>#REF!</v>
      </c>
      <c r="O21" s="101" t="e">
        <f>#REF!*8/100</f>
        <v>#REF!</v>
      </c>
      <c r="P21" s="101" t="e">
        <f>#REF!*8/100</f>
        <v>#REF!</v>
      </c>
      <c r="Q21" s="101" t="e">
        <f>#REF!*8/100</f>
        <v>#REF!</v>
      </c>
      <c r="R21" s="101" t="e">
        <f>#REF!*8/100</f>
        <v>#REF!</v>
      </c>
      <c r="S21" s="101" t="e">
        <f>#REF!*8/100</f>
        <v>#REF!</v>
      </c>
      <c r="T21" s="101" t="e">
        <f>#REF!*8/100</f>
        <v>#REF!</v>
      </c>
      <c r="U21" s="17" t="e">
        <f t="shared" si="1"/>
        <v>#REF!</v>
      </c>
      <c r="V21" s="18" t="e">
        <f t="shared" si="2"/>
        <v>#REF!</v>
      </c>
      <c r="W21" s="19" t="e">
        <f t="shared" si="0"/>
        <v>#REF!</v>
      </c>
      <c r="X21" s="27"/>
      <c r="Y21" s="28"/>
    </row>
    <row r="22" spans="1:25" s="1" customFormat="1" ht="29.25" customHeight="1" thickBot="1">
      <c r="A22" s="53">
        <v>15</v>
      </c>
      <c r="B22" s="63" t="s">
        <v>87</v>
      </c>
      <c r="C22" s="102" t="e">
        <f>#REF!*8/100</f>
        <v>#REF!</v>
      </c>
      <c r="D22" s="102" t="e">
        <f>#REF!*8/100</f>
        <v>#REF!</v>
      </c>
      <c r="E22" s="102" t="e">
        <f>#REF!*8/100</f>
        <v>#REF!</v>
      </c>
      <c r="F22" s="102" t="e">
        <f>#REF!*8/100</f>
        <v>#REF!</v>
      </c>
      <c r="G22" s="102" t="e">
        <f>#REF!*8/100</f>
        <v>#REF!</v>
      </c>
      <c r="H22" s="102" t="e">
        <f>#REF!*8/100</f>
        <v>#REF!</v>
      </c>
      <c r="I22" s="102" t="e">
        <f>#REF!*8/100</f>
        <v>#REF!</v>
      </c>
      <c r="J22" s="102" t="e">
        <f>#REF!*8/100</f>
        <v>#REF!</v>
      </c>
      <c r="K22" s="102" t="e">
        <f>#REF!*8/100</f>
        <v>#REF!</v>
      </c>
      <c r="L22" s="102" t="e">
        <f>#REF!*8/100</f>
        <v>#REF!</v>
      </c>
      <c r="M22" s="102" t="e">
        <f>#REF!*8/100</f>
        <v>#REF!</v>
      </c>
      <c r="N22" s="102" t="e">
        <f>#REF!*8/100</f>
        <v>#REF!</v>
      </c>
      <c r="O22" s="102" t="e">
        <f>#REF!*8/100</f>
        <v>#REF!</v>
      </c>
      <c r="P22" s="102" t="e">
        <f>#REF!*8/100</f>
        <v>#REF!</v>
      </c>
      <c r="Q22" s="102" t="e">
        <f>#REF!*8/100</f>
        <v>#REF!</v>
      </c>
      <c r="R22" s="102" t="e">
        <f>#REF!*8/100</f>
        <v>#REF!</v>
      </c>
      <c r="S22" s="102" t="e">
        <f>#REF!*8/100</f>
        <v>#REF!</v>
      </c>
      <c r="T22" s="102" t="e">
        <f>#REF!*8/100</f>
        <v>#REF!</v>
      </c>
      <c r="U22" s="17" t="e">
        <f t="shared" si="1"/>
        <v>#REF!</v>
      </c>
      <c r="V22" s="18" t="e">
        <f t="shared" si="2"/>
        <v>#REF!</v>
      </c>
      <c r="W22" s="19" t="e">
        <f t="shared" si="0"/>
        <v>#REF!</v>
      </c>
      <c r="X22" s="30"/>
      <c r="Y22" s="23"/>
    </row>
    <row r="23" spans="1:25" s="1" customFormat="1" ht="29.25" thickBot="1">
      <c r="A23" s="53">
        <v>16</v>
      </c>
      <c r="B23" s="65" t="s">
        <v>88</v>
      </c>
      <c r="C23" s="101" t="e">
        <f>#REF!*8/100</f>
        <v>#REF!</v>
      </c>
      <c r="D23" s="101" t="e">
        <f>#REF!*8/100</f>
        <v>#REF!</v>
      </c>
      <c r="E23" s="101" t="e">
        <f>#REF!*8/100</f>
        <v>#REF!</v>
      </c>
      <c r="F23" s="101" t="e">
        <f>#REF!*8/100</f>
        <v>#REF!</v>
      </c>
      <c r="G23" s="101" t="e">
        <f>#REF!*8/100</f>
        <v>#REF!</v>
      </c>
      <c r="H23" s="101" t="e">
        <f>#REF!*8/100</f>
        <v>#REF!</v>
      </c>
      <c r="I23" s="101" t="e">
        <f>#REF!*8/100</f>
        <v>#REF!</v>
      </c>
      <c r="J23" s="101" t="e">
        <f>#REF!*8/100</f>
        <v>#REF!</v>
      </c>
      <c r="K23" s="101" t="e">
        <f>#REF!*8/100</f>
        <v>#REF!</v>
      </c>
      <c r="L23" s="101" t="e">
        <f>#REF!*8/100</f>
        <v>#REF!</v>
      </c>
      <c r="M23" s="101" t="e">
        <f>#REF!*8/100</f>
        <v>#REF!</v>
      </c>
      <c r="N23" s="101" t="e">
        <f>#REF!*8/100</f>
        <v>#REF!</v>
      </c>
      <c r="O23" s="101" t="e">
        <f>#REF!*8/100</f>
        <v>#REF!</v>
      </c>
      <c r="P23" s="101" t="e">
        <f>#REF!*8/100</f>
        <v>#REF!</v>
      </c>
      <c r="Q23" s="101" t="e">
        <f>#REF!*8/100</f>
        <v>#REF!</v>
      </c>
      <c r="R23" s="101" t="e">
        <f>#REF!*8/100</f>
        <v>#REF!</v>
      </c>
      <c r="S23" s="101" t="e">
        <f>#REF!*8/100</f>
        <v>#REF!</v>
      </c>
      <c r="T23" s="101" t="e">
        <f>#REF!*8/100</f>
        <v>#REF!</v>
      </c>
      <c r="U23" s="17" t="e">
        <f t="shared" si="1"/>
        <v>#REF!</v>
      </c>
      <c r="V23" s="18" t="e">
        <f t="shared" si="2"/>
        <v>#REF!</v>
      </c>
      <c r="W23" s="19" t="e">
        <f t="shared" si="0"/>
        <v>#REF!</v>
      </c>
      <c r="X23" s="30"/>
      <c r="Y23" s="23"/>
    </row>
    <row r="24" spans="1:25" s="1" customFormat="1" ht="36.75" thickBot="1">
      <c r="A24" s="53">
        <v>17</v>
      </c>
      <c r="B24" s="66" t="s">
        <v>89</v>
      </c>
      <c r="C24" s="103" t="e">
        <f>#REF!*8/100</f>
        <v>#REF!</v>
      </c>
      <c r="D24" s="103" t="e">
        <f>#REF!*8/100</f>
        <v>#REF!</v>
      </c>
      <c r="E24" s="103" t="e">
        <f>#REF!*8/100</f>
        <v>#REF!</v>
      </c>
      <c r="F24" s="103" t="e">
        <f>#REF!*8/100</f>
        <v>#REF!</v>
      </c>
      <c r="G24" s="103" t="e">
        <f>#REF!*8/100</f>
        <v>#REF!</v>
      </c>
      <c r="H24" s="103" t="e">
        <f>#REF!*8/100</f>
        <v>#REF!</v>
      </c>
      <c r="I24" s="103" t="e">
        <f>#REF!*8/100</f>
        <v>#REF!</v>
      </c>
      <c r="J24" s="103" t="e">
        <f>#REF!*8/100</f>
        <v>#REF!</v>
      </c>
      <c r="K24" s="103" t="e">
        <f>#REF!*8/100</f>
        <v>#REF!</v>
      </c>
      <c r="L24" s="103" t="e">
        <f>#REF!*8/100</f>
        <v>#REF!</v>
      </c>
      <c r="M24" s="103" t="e">
        <f>#REF!*8/100</f>
        <v>#REF!</v>
      </c>
      <c r="N24" s="103" t="e">
        <f>#REF!*8/100</f>
        <v>#REF!</v>
      </c>
      <c r="O24" s="103" t="e">
        <f>#REF!*8/100</f>
        <v>#REF!</v>
      </c>
      <c r="P24" s="103" t="e">
        <f>#REF!*8/100</f>
        <v>#REF!</v>
      </c>
      <c r="Q24" s="103" t="e">
        <f>#REF!*8/100</f>
        <v>#REF!</v>
      </c>
      <c r="R24" s="103" t="e">
        <f>#REF!*8/100</f>
        <v>#REF!</v>
      </c>
      <c r="S24" s="103" t="e">
        <f>#REF!*8/100</f>
        <v>#REF!</v>
      </c>
      <c r="T24" s="103" t="e">
        <f>#REF!*8/100</f>
        <v>#REF!</v>
      </c>
      <c r="U24" s="17" t="e">
        <f t="shared" si="1"/>
        <v>#REF!</v>
      </c>
      <c r="V24" s="18" t="e">
        <f t="shared" si="2"/>
        <v>#REF!</v>
      </c>
      <c r="W24" s="19" t="e">
        <f t="shared" si="0"/>
        <v>#REF!</v>
      </c>
      <c r="X24" s="30"/>
      <c r="Y24" s="23"/>
    </row>
    <row r="25" spans="1:25" s="1" customFormat="1" ht="29.25" thickBot="1">
      <c r="A25" s="53">
        <v>18</v>
      </c>
      <c r="B25" s="71" t="s">
        <v>90</v>
      </c>
      <c r="C25" s="103" t="e">
        <f>#REF!*8/100</f>
        <v>#REF!</v>
      </c>
      <c r="D25" s="103" t="e">
        <f>#REF!*8/100</f>
        <v>#REF!</v>
      </c>
      <c r="E25" s="103" t="e">
        <f>#REF!*8/100</f>
        <v>#REF!</v>
      </c>
      <c r="F25" s="103" t="e">
        <f>#REF!*8/100</f>
        <v>#REF!</v>
      </c>
      <c r="G25" s="103" t="e">
        <f>#REF!*8/100</f>
        <v>#REF!</v>
      </c>
      <c r="H25" s="103" t="e">
        <f>#REF!*8/100</f>
        <v>#REF!</v>
      </c>
      <c r="I25" s="103" t="e">
        <f>#REF!*8/100</f>
        <v>#REF!</v>
      </c>
      <c r="J25" s="103" t="e">
        <f>#REF!*8/100</f>
        <v>#REF!</v>
      </c>
      <c r="K25" s="103" t="e">
        <f>#REF!*8/100</f>
        <v>#REF!</v>
      </c>
      <c r="L25" s="103" t="e">
        <f>#REF!*8/100</f>
        <v>#REF!</v>
      </c>
      <c r="M25" s="103" t="e">
        <f>#REF!*8/100</f>
        <v>#REF!</v>
      </c>
      <c r="N25" s="103" t="e">
        <f>#REF!*8/100</f>
        <v>#REF!</v>
      </c>
      <c r="O25" s="103" t="e">
        <f>#REF!*8/100</f>
        <v>#REF!</v>
      </c>
      <c r="P25" s="103" t="e">
        <f>#REF!*8/100</f>
        <v>#REF!</v>
      </c>
      <c r="Q25" s="103" t="e">
        <f>#REF!*8/100</f>
        <v>#REF!</v>
      </c>
      <c r="R25" s="103" t="e">
        <f>#REF!*8/100</f>
        <v>#REF!</v>
      </c>
      <c r="S25" s="103" t="e">
        <f>#REF!*8/100</f>
        <v>#REF!</v>
      </c>
      <c r="T25" s="103" t="e">
        <f>#REF!*8/100</f>
        <v>#REF!</v>
      </c>
      <c r="U25" s="17" t="e">
        <f t="shared" si="1"/>
        <v>#REF!</v>
      </c>
      <c r="V25" s="18" t="e">
        <f t="shared" si="2"/>
        <v>#REF!</v>
      </c>
      <c r="W25" s="19" t="e">
        <f t="shared" si="0"/>
        <v>#REF!</v>
      </c>
      <c r="X25" s="30"/>
      <c r="Y25" s="23"/>
    </row>
    <row r="26" spans="1:25" s="1" customFormat="1" ht="29.25" customHeight="1" thickBot="1">
      <c r="A26" s="53">
        <v>19</v>
      </c>
      <c r="B26" s="67" t="s">
        <v>91</v>
      </c>
      <c r="C26" s="103" t="e">
        <f>#REF!*8/100</f>
        <v>#REF!</v>
      </c>
      <c r="D26" s="103" t="e">
        <f>#REF!*8/100</f>
        <v>#REF!</v>
      </c>
      <c r="E26" s="103" t="e">
        <f>#REF!*8/100</f>
        <v>#REF!</v>
      </c>
      <c r="F26" s="103" t="e">
        <f>#REF!*8/100</f>
        <v>#REF!</v>
      </c>
      <c r="G26" s="103" t="e">
        <f>#REF!*8/100</f>
        <v>#REF!</v>
      </c>
      <c r="H26" s="103" t="e">
        <f>#REF!*8/100</f>
        <v>#REF!</v>
      </c>
      <c r="I26" s="103" t="e">
        <f>#REF!*8/100</f>
        <v>#REF!</v>
      </c>
      <c r="J26" s="103" t="e">
        <f>#REF!*8/100</f>
        <v>#REF!</v>
      </c>
      <c r="K26" s="103" t="e">
        <f>#REF!*8/100</f>
        <v>#REF!</v>
      </c>
      <c r="L26" s="103" t="e">
        <f>#REF!*8/100</f>
        <v>#REF!</v>
      </c>
      <c r="M26" s="103" t="e">
        <f>#REF!*8/100</f>
        <v>#REF!</v>
      </c>
      <c r="N26" s="103" t="e">
        <f>#REF!*8/100</f>
        <v>#REF!</v>
      </c>
      <c r="O26" s="103" t="e">
        <f>#REF!*8/100</f>
        <v>#REF!</v>
      </c>
      <c r="P26" s="103" t="e">
        <f>#REF!*8/100</f>
        <v>#REF!</v>
      </c>
      <c r="Q26" s="103" t="e">
        <f>#REF!*8/100</f>
        <v>#REF!</v>
      </c>
      <c r="R26" s="103" t="e">
        <f>#REF!*8/100</f>
        <v>#REF!</v>
      </c>
      <c r="S26" s="103" t="e">
        <f>#REF!*8/100</f>
        <v>#REF!</v>
      </c>
      <c r="T26" s="103" t="e">
        <f>#REF!*8/100</f>
        <v>#REF!</v>
      </c>
      <c r="U26" s="17" t="e">
        <f t="shared" si="1"/>
        <v>#REF!</v>
      </c>
      <c r="V26" s="18" t="e">
        <f t="shared" si="2"/>
        <v>#REF!</v>
      </c>
      <c r="W26" s="19" t="e">
        <f t="shared" si="0"/>
        <v>#REF!</v>
      </c>
      <c r="X26" s="30"/>
      <c r="Y26" s="23"/>
    </row>
    <row r="27" spans="1:25" s="1" customFormat="1" ht="29.25" customHeight="1" thickBot="1">
      <c r="A27" s="53">
        <v>20</v>
      </c>
      <c r="B27" s="67" t="s">
        <v>92</v>
      </c>
      <c r="C27" s="103" t="e">
        <f>#REF!*8/100</f>
        <v>#REF!</v>
      </c>
      <c r="D27" s="103" t="e">
        <f>#REF!*8/100</f>
        <v>#REF!</v>
      </c>
      <c r="E27" s="103" t="e">
        <f>#REF!*8/100</f>
        <v>#REF!</v>
      </c>
      <c r="F27" s="103" t="e">
        <f>#REF!*8/100</f>
        <v>#REF!</v>
      </c>
      <c r="G27" s="103" t="e">
        <f>#REF!*8/100</f>
        <v>#REF!</v>
      </c>
      <c r="H27" s="103" t="e">
        <f>#REF!*8/100</f>
        <v>#REF!</v>
      </c>
      <c r="I27" s="103" t="e">
        <f>#REF!*8/100</f>
        <v>#REF!</v>
      </c>
      <c r="J27" s="103" t="e">
        <f>#REF!*8/100</f>
        <v>#REF!</v>
      </c>
      <c r="K27" s="103" t="e">
        <f>#REF!*8/100</f>
        <v>#REF!</v>
      </c>
      <c r="L27" s="103" t="e">
        <f>#REF!*8/100</f>
        <v>#REF!</v>
      </c>
      <c r="M27" s="103" t="e">
        <f>#REF!*8/100</f>
        <v>#REF!</v>
      </c>
      <c r="N27" s="103" t="e">
        <f>#REF!*8/100</f>
        <v>#REF!</v>
      </c>
      <c r="O27" s="103" t="e">
        <f>#REF!*8/100</f>
        <v>#REF!</v>
      </c>
      <c r="P27" s="103" t="e">
        <f>#REF!*8/100</f>
        <v>#REF!</v>
      </c>
      <c r="Q27" s="103" t="e">
        <f>#REF!*8/100</f>
        <v>#REF!</v>
      </c>
      <c r="R27" s="103" t="e">
        <f>#REF!*8/100</f>
        <v>#REF!</v>
      </c>
      <c r="S27" s="103" t="e">
        <f>#REF!*8/100</f>
        <v>#REF!</v>
      </c>
      <c r="T27" s="103" t="e">
        <f>#REF!*8/100</f>
        <v>#REF!</v>
      </c>
      <c r="U27" s="17" t="e">
        <f t="shared" si="1"/>
        <v>#REF!</v>
      </c>
      <c r="V27" s="18" t="e">
        <f t="shared" si="2"/>
        <v>#REF!</v>
      </c>
      <c r="W27" s="19" t="e">
        <f t="shared" si="0"/>
        <v>#REF!</v>
      </c>
      <c r="X27" s="30"/>
      <c r="Y27" s="23"/>
    </row>
    <row r="28" spans="1:25" s="1" customFormat="1" ht="29.25" customHeight="1" thickBot="1">
      <c r="A28" s="53">
        <v>21</v>
      </c>
      <c r="B28" s="67" t="s">
        <v>93</v>
      </c>
      <c r="C28" s="103" t="e">
        <f>#REF!*8/100</f>
        <v>#REF!</v>
      </c>
      <c r="D28" s="103" t="e">
        <f>#REF!*8/100</f>
        <v>#REF!</v>
      </c>
      <c r="E28" s="103" t="e">
        <f>#REF!*8/100</f>
        <v>#REF!</v>
      </c>
      <c r="F28" s="103" t="e">
        <f>#REF!*8/100</f>
        <v>#REF!</v>
      </c>
      <c r="G28" s="103" t="e">
        <f>#REF!*8/100</f>
        <v>#REF!</v>
      </c>
      <c r="H28" s="103" t="e">
        <f>#REF!*8/100</f>
        <v>#REF!</v>
      </c>
      <c r="I28" s="103" t="e">
        <f>#REF!*8/100</f>
        <v>#REF!</v>
      </c>
      <c r="J28" s="103" t="e">
        <f>#REF!*8/100</f>
        <v>#REF!</v>
      </c>
      <c r="K28" s="103" t="e">
        <f>#REF!*8/100</f>
        <v>#REF!</v>
      </c>
      <c r="L28" s="103" t="e">
        <f>#REF!*8/100</f>
        <v>#REF!</v>
      </c>
      <c r="M28" s="103" t="e">
        <f>#REF!*8/100</f>
        <v>#REF!</v>
      </c>
      <c r="N28" s="103" t="e">
        <f>#REF!*8/100</f>
        <v>#REF!</v>
      </c>
      <c r="O28" s="103" t="e">
        <f>#REF!*8/100</f>
        <v>#REF!</v>
      </c>
      <c r="P28" s="103" t="e">
        <f>#REF!*8/100</f>
        <v>#REF!</v>
      </c>
      <c r="Q28" s="103" t="e">
        <f>#REF!*8/100</f>
        <v>#REF!</v>
      </c>
      <c r="R28" s="103" t="e">
        <f>#REF!*8/100</f>
        <v>#REF!</v>
      </c>
      <c r="S28" s="103" t="e">
        <f>#REF!*8/100</f>
        <v>#REF!</v>
      </c>
      <c r="T28" s="103" t="e">
        <f>#REF!*8/100</f>
        <v>#REF!</v>
      </c>
      <c r="U28" s="17" t="e">
        <f t="shared" si="1"/>
        <v>#REF!</v>
      </c>
      <c r="V28" s="18" t="e">
        <f t="shared" si="2"/>
        <v>#REF!</v>
      </c>
      <c r="W28" s="19" t="e">
        <f t="shared" si="0"/>
        <v>#REF!</v>
      </c>
      <c r="X28" s="30"/>
      <c r="Y28" s="23"/>
    </row>
    <row r="29" spans="1:25" s="1" customFormat="1" ht="29.25" customHeight="1" thickBot="1">
      <c r="A29" s="53">
        <v>22</v>
      </c>
      <c r="B29" s="67" t="s">
        <v>94</v>
      </c>
      <c r="C29" s="103" t="e">
        <f>#REF!*8/100</f>
        <v>#REF!</v>
      </c>
      <c r="D29" s="103" t="e">
        <f>#REF!*8/100</f>
        <v>#REF!</v>
      </c>
      <c r="E29" s="103" t="e">
        <f>#REF!*8/100</f>
        <v>#REF!</v>
      </c>
      <c r="F29" s="103" t="e">
        <f>#REF!*8/100</f>
        <v>#REF!</v>
      </c>
      <c r="G29" s="103" t="e">
        <f>#REF!*8/100</f>
        <v>#REF!</v>
      </c>
      <c r="H29" s="103" t="e">
        <f>#REF!*8/100</f>
        <v>#REF!</v>
      </c>
      <c r="I29" s="103" t="e">
        <f>#REF!*8/100</f>
        <v>#REF!</v>
      </c>
      <c r="J29" s="103" t="e">
        <f>#REF!*8/100</f>
        <v>#REF!</v>
      </c>
      <c r="K29" s="103" t="e">
        <f>#REF!*8/100</f>
        <v>#REF!</v>
      </c>
      <c r="L29" s="103" t="e">
        <f>#REF!*8/100</f>
        <v>#REF!</v>
      </c>
      <c r="M29" s="103" t="e">
        <f>#REF!*8/100</f>
        <v>#REF!</v>
      </c>
      <c r="N29" s="103" t="e">
        <f>#REF!*8/100</f>
        <v>#REF!</v>
      </c>
      <c r="O29" s="103" t="e">
        <f>#REF!*8/100</f>
        <v>#REF!</v>
      </c>
      <c r="P29" s="103" t="e">
        <f>#REF!*8/100</f>
        <v>#REF!</v>
      </c>
      <c r="Q29" s="103" t="e">
        <f>#REF!*8/100</f>
        <v>#REF!</v>
      </c>
      <c r="R29" s="103" t="e">
        <f>#REF!*8/100</f>
        <v>#REF!</v>
      </c>
      <c r="S29" s="103" t="e">
        <f>#REF!*8/100</f>
        <v>#REF!</v>
      </c>
      <c r="T29" s="103" t="e">
        <f>#REF!*8/100*8/100</f>
        <v>#REF!</v>
      </c>
      <c r="U29" s="17" t="e">
        <f t="shared" si="1"/>
        <v>#REF!</v>
      </c>
      <c r="V29" s="18" t="e">
        <f t="shared" si="2"/>
        <v>#REF!</v>
      </c>
      <c r="W29" s="19" t="e">
        <f t="shared" si="0"/>
        <v>#REF!</v>
      </c>
      <c r="X29" s="30"/>
      <c r="Y29" s="23"/>
    </row>
    <row r="30" spans="1:25" s="1" customFormat="1" ht="29.25" thickBot="1">
      <c r="A30" s="75">
        <v>23</v>
      </c>
      <c r="B30" s="67" t="s">
        <v>95</v>
      </c>
      <c r="C30" s="103" t="e">
        <f>AVERAGE(#REF!+#REF!+#REF!+#REF!+#REF!)/5*8/100</f>
        <v>#REF!</v>
      </c>
      <c r="D30" s="103" t="e">
        <f>AVERAGE(#REF!+#REF!+#REF!+#REF!+#REF!)/5*8/100</f>
        <v>#REF!</v>
      </c>
      <c r="E30" s="103" t="e">
        <f>AVERAGE(#REF!+#REF!+#REF!+#REF!+#REF!)/5*8/100</f>
        <v>#REF!</v>
      </c>
      <c r="F30" s="103" t="e">
        <f>AVERAGE(#REF!+#REF!+#REF!+#REF!+#REF!)/5*8/100</f>
        <v>#REF!</v>
      </c>
      <c r="G30" s="103" t="e">
        <f>AVERAGE(#REF!+#REF!+#REF!+#REF!+#REF!)/5*8/100</f>
        <v>#REF!</v>
      </c>
      <c r="H30" s="103" t="e">
        <f>AVERAGE(#REF!+#REF!+#REF!+#REF!+#REF!)/5*8/100</f>
        <v>#REF!</v>
      </c>
      <c r="I30" s="103" t="e">
        <f>AVERAGE(#REF!+#REF!+#REF!+#REF!+#REF!)/5*8/100</f>
        <v>#REF!</v>
      </c>
      <c r="J30" s="103" t="e">
        <f>AVERAGE(#REF!+#REF!+#REF!+#REF!+#REF!)/5*8/100</f>
        <v>#REF!</v>
      </c>
      <c r="K30" s="103" t="e">
        <f>AVERAGE(#REF!+#REF!+#REF!+#REF!+#REF!)/5*8/100</f>
        <v>#REF!</v>
      </c>
      <c r="L30" s="103" t="e">
        <f>AVERAGE(#REF!+#REF!+#REF!+#REF!+#REF!)/5*8/100</f>
        <v>#REF!</v>
      </c>
      <c r="M30" s="103" t="e">
        <f>AVERAGE(#REF!+#REF!+#REF!+#REF!+#REF!)/5*8/100</f>
        <v>#REF!</v>
      </c>
      <c r="N30" s="103" t="e">
        <f>AVERAGE(#REF!+#REF!+#REF!+#REF!+#REF!)/5*8/100</f>
        <v>#REF!</v>
      </c>
      <c r="O30" s="103" t="e">
        <f>AVERAGE(#REF!+#REF!+#REF!+#REF!+#REF!)/5*8/100</f>
        <v>#REF!</v>
      </c>
      <c r="P30" s="103" t="e">
        <f>AVERAGE(#REF!+#REF!+#REF!+#REF!+#REF!)/5*8/100</f>
        <v>#REF!</v>
      </c>
      <c r="Q30" s="103" t="e">
        <f>AVERAGE(#REF!+#REF!+#REF!+#REF!+#REF!)/5*8/100</f>
        <v>#REF!</v>
      </c>
      <c r="R30" s="103" t="e">
        <f>AVERAGE(#REF!+#REF!+#REF!+#REF!+#REF!)/5*8/100</f>
        <v>#REF!</v>
      </c>
      <c r="S30" s="103" t="e">
        <f>AVERAGE(#REF!+#REF!+#REF!+#REF!+#REF!)/5*8/100</f>
        <v>#REF!</v>
      </c>
      <c r="T30" s="103" t="e">
        <f>AVERAGE(#REF!+#REF!+#REF!+#REF!+#REF!)/5*8/100</f>
        <v>#REF!</v>
      </c>
      <c r="U30" s="17" t="e">
        <f t="shared" si="1"/>
        <v>#REF!</v>
      </c>
      <c r="V30" s="18" t="e">
        <f t="shared" si="2"/>
        <v>#REF!</v>
      </c>
      <c r="W30" s="19" t="e">
        <f t="shared" si="0"/>
        <v>#REF!</v>
      </c>
      <c r="X30" s="30"/>
      <c r="Y30" s="23"/>
    </row>
    <row r="31" spans="1:25" s="1" customFormat="1" ht="29.25" thickBot="1">
      <c r="A31" s="53">
        <v>24</v>
      </c>
      <c r="B31" s="66" t="s">
        <v>96</v>
      </c>
      <c r="C31" s="103" t="e">
        <f>#REF!*8/100</f>
        <v>#REF!</v>
      </c>
      <c r="D31" s="103" t="e">
        <f>#REF!*8/100</f>
        <v>#REF!</v>
      </c>
      <c r="E31" s="103" t="e">
        <f>#REF!*8/100</f>
        <v>#REF!</v>
      </c>
      <c r="F31" s="103" t="e">
        <f>#REF!*8/100</f>
        <v>#REF!</v>
      </c>
      <c r="G31" s="103" t="e">
        <f>#REF!*8/100</f>
        <v>#REF!</v>
      </c>
      <c r="H31" s="103" t="e">
        <f>#REF!*8/100</f>
        <v>#REF!</v>
      </c>
      <c r="I31" s="103" t="e">
        <f>#REF!*8/100</f>
        <v>#REF!</v>
      </c>
      <c r="J31" s="103" t="e">
        <f>#REF!*8/100</f>
        <v>#REF!</v>
      </c>
      <c r="K31" s="103" t="e">
        <f>#REF!*8/100</f>
        <v>#REF!</v>
      </c>
      <c r="L31" s="103" t="e">
        <f>#REF!*8/100</f>
        <v>#REF!</v>
      </c>
      <c r="M31" s="103" t="e">
        <f>#REF!*8/100</f>
        <v>#REF!</v>
      </c>
      <c r="N31" s="103" t="e">
        <f>#REF!*8/100</f>
        <v>#REF!</v>
      </c>
      <c r="O31" s="103" t="e">
        <f>#REF!*8/100</f>
        <v>#REF!</v>
      </c>
      <c r="P31" s="103" t="e">
        <f>#REF!*8/100</f>
        <v>#REF!</v>
      </c>
      <c r="Q31" s="103" t="e">
        <f>#REF!*8/100</f>
        <v>#REF!</v>
      </c>
      <c r="R31" s="103" t="e">
        <f>#REF!*8/100</f>
        <v>#REF!</v>
      </c>
      <c r="S31" s="103" t="e">
        <f>#REF!*8/100</f>
        <v>#REF!</v>
      </c>
      <c r="T31" s="103" t="e">
        <f>#REF!*8/100</f>
        <v>#REF!</v>
      </c>
      <c r="U31" s="17" t="e">
        <f t="shared" si="1"/>
        <v>#REF!</v>
      </c>
      <c r="V31" s="18" t="e">
        <f t="shared" si="2"/>
        <v>#REF!</v>
      </c>
      <c r="W31" s="19" t="e">
        <f t="shared" si="0"/>
        <v>#REF!</v>
      </c>
      <c r="X31" s="30"/>
      <c r="Y31" s="23"/>
    </row>
    <row r="32" spans="1:25" s="1" customFormat="1" ht="29.25" thickBot="1">
      <c r="A32" s="53">
        <v>25</v>
      </c>
      <c r="B32" s="66" t="s">
        <v>97</v>
      </c>
      <c r="C32" s="103" t="e">
        <f>#REF!*8/100</f>
        <v>#REF!</v>
      </c>
      <c r="D32" s="103" t="e">
        <f>#REF!*8/100</f>
        <v>#REF!</v>
      </c>
      <c r="E32" s="103" t="e">
        <f>#REF!*8/100</f>
        <v>#REF!</v>
      </c>
      <c r="F32" s="103" t="e">
        <f>#REF!*8/100</f>
        <v>#REF!</v>
      </c>
      <c r="G32" s="103" t="e">
        <f>#REF!*8/100</f>
        <v>#REF!</v>
      </c>
      <c r="H32" s="103" t="e">
        <f>#REF!*8/100</f>
        <v>#REF!</v>
      </c>
      <c r="I32" s="103" t="e">
        <f>#REF!*8/100</f>
        <v>#REF!</v>
      </c>
      <c r="J32" s="103" t="e">
        <f>#REF!*8/100</f>
        <v>#REF!</v>
      </c>
      <c r="K32" s="103" t="e">
        <f>#REF!*8/100</f>
        <v>#REF!</v>
      </c>
      <c r="L32" s="103" t="e">
        <f>#REF!*8/100</f>
        <v>#REF!</v>
      </c>
      <c r="M32" s="103" t="e">
        <f>#REF!*8/100</f>
        <v>#REF!</v>
      </c>
      <c r="N32" s="103" t="e">
        <f>#REF!*8/100</f>
        <v>#REF!</v>
      </c>
      <c r="O32" s="103" t="e">
        <f>#REF!*8/100</f>
        <v>#REF!</v>
      </c>
      <c r="P32" s="103" t="e">
        <f>#REF!*8/100</f>
        <v>#REF!</v>
      </c>
      <c r="Q32" s="103" t="e">
        <f>#REF!*8/100</f>
        <v>#REF!</v>
      </c>
      <c r="R32" s="103" t="e">
        <f>#REF!*8/100</f>
        <v>#REF!</v>
      </c>
      <c r="S32" s="103" t="e">
        <f>#REF!*8/100</f>
        <v>#REF!</v>
      </c>
      <c r="T32" s="103" t="e">
        <f>#REF!*8/100</f>
        <v>#REF!</v>
      </c>
      <c r="U32" s="17" t="e">
        <f t="shared" si="1"/>
        <v>#REF!</v>
      </c>
      <c r="V32" s="18" t="e">
        <f t="shared" si="2"/>
        <v>#REF!</v>
      </c>
      <c r="W32" s="19" t="e">
        <f t="shared" si="0"/>
        <v>#REF!</v>
      </c>
      <c r="X32" s="30"/>
      <c r="Y32" s="23"/>
    </row>
    <row r="33" spans="1:25" s="1" customFormat="1" ht="29.25" customHeight="1" thickBot="1">
      <c r="A33" s="53">
        <v>26</v>
      </c>
      <c r="B33" s="66" t="s">
        <v>98</v>
      </c>
      <c r="C33" s="103" t="e">
        <f>#REF!*8/100</f>
        <v>#REF!</v>
      </c>
      <c r="D33" s="103" t="e">
        <f>#REF!*8/100</f>
        <v>#REF!</v>
      </c>
      <c r="E33" s="103" t="e">
        <f>#REF!*8/100</f>
        <v>#REF!</v>
      </c>
      <c r="F33" s="103" t="e">
        <f>#REF!*8/100</f>
        <v>#REF!</v>
      </c>
      <c r="G33" s="103" t="e">
        <f>#REF!*8/100</f>
        <v>#REF!</v>
      </c>
      <c r="H33" s="103" t="e">
        <f>#REF!*8/100</f>
        <v>#REF!</v>
      </c>
      <c r="I33" s="103" t="e">
        <f>#REF!*8/100</f>
        <v>#REF!</v>
      </c>
      <c r="J33" s="103" t="e">
        <f>#REF!*8/100</f>
        <v>#REF!</v>
      </c>
      <c r="K33" s="103" t="e">
        <f>#REF!*8/100</f>
        <v>#REF!</v>
      </c>
      <c r="L33" s="103" t="e">
        <f>#REF!*8/100</f>
        <v>#REF!</v>
      </c>
      <c r="M33" s="103" t="e">
        <f>#REF!*8/100</f>
        <v>#REF!</v>
      </c>
      <c r="N33" s="103" t="e">
        <f>#REF!*8/100</f>
        <v>#REF!</v>
      </c>
      <c r="O33" s="103" t="e">
        <f>#REF!*8/100</f>
        <v>#REF!</v>
      </c>
      <c r="P33" s="103" t="e">
        <f>#REF!*8/100</f>
        <v>#REF!</v>
      </c>
      <c r="Q33" s="103" t="e">
        <f>#REF!*8/100</f>
        <v>#REF!</v>
      </c>
      <c r="R33" s="103" t="e">
        <f>#REF!*8/100</f>
        <v>#REF!</v>
      </c>
      <c r="S33" s="103" t="e">
        <f>#REF!*8/100</f>
        <v>#REF!</v>
      </c>
      <c r="T33" s="103" t="e">
        <f>#REF!*8/100</f>
        <v>#REF!</v>
      </c>
      <c r="U33" s="17" t="e">
        <f t="shared" si="1"/>
        <v>#REF!</v>
      </c>
      <c r="V33" s="18" t="e">
        <f t="shared" si="2"/>
        <v>#REF!</v>
      </c>
      <c r="W33" s="19" t="e">
        <f t="shared" si="0"/>
        <v>#REF!</v>
      </c>
      <c r="X33" s="30"/>
      <c r="Y33" s="23"/>
    </row>
    <row r="34" spans="1:25" s="1" customFormat="1" ht="29.25" customHeight="1" thickBot="1">
      <c r="A34" s="75">
        <v>27</v>
      </c>
      <c r="B34" s="68" t="s">
        <v>99</v>
      </c>
      <c r="C34" s="104" t="e">
        <f>AVERAGE(#REF!+#REF!)/2*8/100</f>
        <v>#REF!</v>
      </c>
      <c r="D34" s="104" t="e">
        <f>AVERAGE(#REF!+#REF!)/2*8/100</f>
        <v>#REF!</v>
      </c>
      <c r="E34" s="104" t="e">
        <f>AVERAGE(#REF!+#REF!)/2*8/100</f>
        <v>#REF!</v>
      </c>
      <c r="F34" s="104" t="e">
        <f>AVERAGE(#REF!+#REF!)/2*8/100</f>
        <v>#REF!</v>
      </c>
      <c r="G34" s="104" t="e">
        <f>AVERAGE(#REF!+#REF!)/2*8/100</f>
        <v>#REF!</v>
      </c>
      <c r="H34" s="104" t="e">
        <f>AVERAGE(#REF!+#REF!)/2*8/100</f>
        <v>#REF!</v>
      </c>
      <c r="I34" s="104" t="e">
        <f>AVERAGE(#REF!+#REF!)/2*8/100</f>
        <v>#REF!</v>
      </c>
      <c r="J34" s="104" t="e">
        <f>AVERAGE(#REF!+#REF!)/2*8/100</f>
        <v>#REF!</v>
      </c>
      <c r="K34" s="104" t="e">
        <f>AVERAGE(#REF!+#REF!)/2*8/100</f>
        <v>#REF!</v>
      </c>
      <c r="L34" s="104" t="e">
        <f>AVERAGE(#REF!+#REF!)/2*8/100</f>
        <v>#REF!</v>
      </c>
      <c r="M34" s="104" t="e">
        <f>AVERAGE(#REF!+#REF!)/2*8/100</f>
        <v>#REF!</v>
      </c>
      <c r="N34" s="104" t="e">
        <f>AVERAGE(#REF!+#REF!)/2*8/100</f>
        <v>#REF!</v>
      </c>
      <c r="O34" s="104" t="e">
        <f>AVERAGE(#REF!+#REF!)/2*8/100</f>
        <v>#REF!</v>
      </c>
      <c r="P34" s="104" t="e">
        <f>AVERAGE(#REF!+#REF!)/2*8/100</f>
        <v>#REF!</v>
      </c>
      <c r="Q34" s="104" t="e">
        <f>AVERAGE(#REF!+#REF!)/2*8/100</f>
        <v>#REF!</v>
      </c>
      <c r="R34" s="104" t="e">
        <f>AVERAGE(#REF!+#REF!)/2*8/100</f>
        <v>#REF!</v>
      </c>
      <c r="S34" s="104" t="e">
        <f>AVERAGE(#REF!+#REF!)/2*8/100</f>
        <v>#REF!</v>
      </c>
      <c r="T34" s="104" t="e">
        <f>AVERAGE(#REF!+#REF!)/2*8/100</f>
        <v>#REF!</v>
      </c>
      <c r="U34" s="17" t="e">
        <f t="shared" si="1"/>
        <v>#REF!</v>
      </c>
      <c r="V34" s="18" t="e">
        <f t="shared" si="2"/>
        <v>#REF!</v>
      </c>
      <c r="W34" s="19" t="e">
        <f t="shared" si="0"/>
        <v>#REF!</v>
      </c>
      <c r="X34" s="32"/>
      <c r="Y34" s="33"/>
    </row>
    <row r="35" spans="1:25" s="1" customFormat="1" ht="29.25" customHeight="1" thickBot="1">
      <c r="A35" s="53">
        <v>28</v>
      </c>
      <c r="B35" s="64" t="s">
        <v>100</v>
      </c>
      <c r="C35" s="103" t="e">
        <f>#REF!*8/100</f>
        <v>#REF!</v>
      </c>
      <c r="D35" s="103" t="e">
        <f>#REF!*8/100</f>
        <v>#REF!</v>
      </c>
      <c r="E35" s="103" t="e">
        <f>#REF!*8/100</f>
        <v>#REF!</v>
      </c>
      <c r="F35" s="103" t="e">
        <f>#REF!*8/100</f>
        <v>#REF!</v>
      </c>
      <c r="G35" s="103" t="e">
        <f>#REF!*8/100</f>
        <v>#REF!</v>
      </c>
      <c r="H35" s="103" t="e">
        <f>#REF!*8/100</f>
        <v>#REF!</v>
      </c>
      <c r="I35" s="103" t="e">
        <f>#REF!*8/100</f>
        <v>#REF!</v>
      </c>
      <c r="J35" s="103" t="e">
        <f>#REF!*8/100</f>
        <v>#REF!</v>
      </c>
      <c r="K35" s="103" t="e">
        <f>#REF!*8/100</f>
        <v>#REF!</v>
      </c>
      <c r="L35" s="103" t="e">
        <f>#REF!*8/100</f>
        <v>#REF!</v>
      </c>
      <c r="M35" s="103" t="e">
        <f>#REF!*8/100</f>
        <v>#REF!</v>
      </c>
      <c r="N35" s="103" t="e">
        <f>#REF!*8/100</f>
        <v>#REF!</v>
      </c>
      <c r="O35" s="103" t="e">
        <f>#REF!*8/100</f>
        <v>#REF!</v>
      </c>
      <c r="P35" s="103" t="e">
        <f>#REF!*8/100</f>
        <v>#REF!</v>
      </c>
      <c r="Q35" s="103" t="e">
        <f>#REF!*8/100</f>
        <v>#REF!</v>
      </c>
      <c r="R35" s="103" t="e">
        <f>#REF!*8/100</f>
        <v>#REF!</v>
      </c>
      <c r="S35" s="103" t="e">
        <f>#REF!*8/100</f>
        <v>#REF!</v>
      </c>
      <c r="T35" s="103" t="e">
        <f>#REF!*8/100</f>
        <v>#REF!</v>
      </c>
      <c r="U35" s="17" t="e">
        <f t="shared" si="1"/>
        <v>#REF!</v>
      </c>
      <c r="V35" s="18" t="e">
        <f t="shared" si="2"/>
        <v>#REF!</v>
      </c>
      <c r="W35" s="19" t="e">
        <f t="shared" si="0"/>
        <v>#REF!</v>
      </c>
      <c r="X35" s="27"/>
      <c r="Y35" s="28"/>
    </row>
    <row r="36" spans="1:25" s="1" customFormat="1" ht="29.25" customHeight="1" thickBot="1">
      <c r="A36" s="53">
        <v>29</v>
      </c>
      <c r="B36" s="66" t="s">
        <v>101</v>
      </c>
      <c r="C36" s="103" t="e">
        <f>#REF!*8/100</f>
        <v>#REF!</v>
      </c>
      <c r="D36" s="103" t="e">
        <f>#REF!*8/100</f>
        <v>#REF!</v>
      </c>
      <c r="E36" s="103" t="e">
        <f>#REF!*8/100</f>
        <v>#REF!</v>
      </c>
      <c r="F36" s="103" t="e">
        <f>#REF!*8/100</f>
        <v>#REF!</v>
      </c>
      <c r="G36" s="103" t="e">
        <f>#REF!*8/100</f>
        <v>#REF!</v>
      </c>
      <c r="H36" s="103" t="e">
        <f>#REF!*8/100</f>
        <v>#REF!</v>
      </c>
      <c r="I36" s="103" t="e">
        <f>#REF!*8/100</f>
        <v>#REF!</v>
      </c>
      <c r="J36" s="103" t="e">
        <f>#REF!*8/100</f>
        <v>#REF!</v>
      </c>
      <c r="K36" s="103" t="e">
        <f>#REF!*8/100</f>
        <v>#REF!</v>
      </c>
      <c r="L36" s="103" t="e">
        <f>#REF!*8/100</f>
        <v>#REF!</v>
      </c>
      <c r="M36" s="103" t="e">
        <f>#REF!*8/100</f>
        <v>#REF!</v>
      </c>
      <c r="N36" s="103" t="e">
        <f>#REF!*8/100</f>
        <v>#REF!</v>
      </c>
      <c r="O36" s="103" t="e">
        <f>#REF!*8/100</f>
        <v>#REF!</v>
      </c>
      <c r="P36" s="103" t="e">
        <f>#REF!*8/100</f>
        <v>#REF!</v>
      </c>
      <c r="Q36" s="103" t="e">
        <f>#REF!*8/100</f>
        <v>#REF!</v>
      </c>
      <c r="R36" s="103" t="e">
        <f>#REF!*8/100</f>
        <v>#REF!</v>
      </c>
      <c r="S36" s="103" t="e">
        <f>#REF!*8/100</f>
        <v>#REF!</v>
      </c>
      <c r="T36" s="103" t="e">
        <f>#REF!*8/100</f>
        <v>#REF!</v>
      </c>
      <c r="U36" s="17" t="e">
        <f t="shared" si="1"/>
        <v>#REF!</v>
      </c>
      <c r="V36" s="18" t="e">
        <f t="shared" si="2"/>
        <v>#REF!</v>
      </c>
      <c r="W36" s="19" t="e">
        <f t="shared" si="0"/>
        <v>#REF!</v>
      </c>
      <c r="X36" s="30"/>
      <c r="Y36" s="23"/>
    </row>
    <row r="37" spans="1:25" s="1" customFormat="1" ht="29.25" thickBot="1">
      <c r="A37" s="53">
        <v>30</v>
      </c>
      <c r="B37" s="68" t="s">
        <v>102</v>
      </c>
      <c r="C37" s="104" t="e">
        <f>#REF!*8/100</f>
        <v>#REF!</v>
      </c>
      <c r="D37" s="104" t="e">
        <f>#REF!*8/100</f>
        <v>#REF!</v>
      </c>
      <c r="E37" s="104" t="e">
        <f>#REF!*8/100</f>
        <v>#REF!</v>
      </c>
      <c r="F37" s="104" t="e">
        <f>#REF!*8/100</f>
        <v>#REF!</v>
      </c>
      <c r="G37" s="104" t="e">
        <f>#REF!*8/100</f>
        <v>#REF!</v>
      </c>
      <c r="H37" s="104" t="e">
        <f>#REF!*8/100</f>
        <v>#REF!</v>
      </c>
      <c r="I37" s="104" t="e">
        <f>#REF!*8/100</f>
        <v>#REF!</v>
      </c>
      <c r="J37" s="104" t="e">
        <f>#REF!*8/100</f>
        <v>#REF!</v>
      </c>
      <c r="K37" s="104" t="e">
        <f>#REF!*8/100</f>
        <v>#REF!</v>
      </c>
      <c r="L37" s="104" t="e">
        <f>#REF!*8/100</f>
        <v>#REF!</v>
      </c>
      <c r="M37" s="104" t="e">
        <f>#REF!*8/100</f>
        <v>#REF!</v>
      </c>
      <c r="N37" s="104" t="e">
        <f>#REF!*8/100</f>
        <v>#REF!</v>
      </c>
      <c r="O37" s="104" t="e">
        <f>#REF!*8/100</f>
        <v>#REF!</v>
      </c>
      <c r="P37" s="104" t="e">
        <f>#REF!*8/100</f>
        <v>#REF!</v>
      </c>
      <c r="Q37" s="104" t="e">
        <f>#REF!*8/100</f>
        <v>#REF!</v>
      </c>
      <c r="R37" s="104" t="e">
        <f>#REF!*8/100</f>
        <v>#REF!</v>
      </c>
      <c r="S37" s="104" t="e">
        <f>#REF!*8/100</f>
        <v>#REF!</v>
      </c>
      <c r="T37" s="104" t="e">
        <f>#REF!*8/100</f>
        <v>#REF!</v>
      </c>
      <c r="U37" s="17" t="e">
        <f t="shared" si="1"/>
        <v>#REF!</v>
      </c>
      <c r="V37" s="18" t="e">
        <f t="shared" si="2"/>
        <v>#REF!</v>
      </c>
      <c r="W37" s="19" t="e">
        <f t="shared" si="0"/>
        <v>#REF!</v>
      </c>
      <c r="X37" s="30"/>
      <c r="Y37" s="23"/>
    </row>
    <row r="38" spans="1:25" s="1" customFormat="1" ht="29.25" customHeight="1" thickBot="1">
      <c r="A38" s="53">
        <v>31</v>
      </c>
      <c r="B38" s="69" t="s">
        <v>103</v>
      </c>
      <c r="C38" s="103" t="e">
        <f>#REF!*8/100</f>
        <v>#REF!</v>
      </c>
      <c r="D38" s="103" t="e">
        <f>#REF!*8/100</f>
        <v>#REF!</v>
      </c>
      <c r="E38" s="103" t="e">
        <f>#REF!*8/100</f>
        <v>#REF!</v>
      </c>
      <c r="F38" s="103" t="e">
        <f>#REF!*8/100</f>
        <v>#REF!</v>
      </c>
      <c r="G38" s="103" t="e">
        <f>#REF!*8/100</f>
        <v>#REF!</v>
      </c>
      <c r="H38" s="103" t="e">
        <f>#REF!*8/100</f>
        <v>#REF!</v>
      </c>
      <c r="I38" s="103" t="e">
        <f>#REF!*8/100</f>
        <v>#REF!</v>
      </c>
      <c r="J38" s="103" t="e">
        <f>#REF!*8/100</f>
        <v>#REF!</v>
      </c>
      <c r="K38" s="103" t="e">
        <f>#REF!*8/100</f>
        <v>#REF!</v>
      </c>
      <c r="L38" s="103" t="e">
        <f>#REF!*8/100</f>
        <v>#REF!</v>
      </c>
      <c r="M38" s="103" t="e">
        <f>#REF!*8/100</f>
        <v>#REF!</v>
      </c>
      <c r="N38" s="103" t="e">
        <f>#REF!*8/100</f>
        <v>#REF!</v>
      </c>
      <c r="O38" s="103" t="e">
        <f>#REF!*8/100</f>
        <v>#REF!</v>
      </c>
      <c r="P38" s="103" t="e">
        <f>#REF!*8/100</f>
        <v>#REF!</v>
      </c>
      <c r="Q38" s="103" t="e">
        <f>#REF!*8/100</f>
        <v>#REF!</v>
      </c>
      <c r="R38" s="103" t="e">
        <f>#REF!*8/100</f>
        <v>#REF!</v>
      </c>
      <c r="S38" s="103" t="e">
        <f>#REF!*8/100</f>
        <v>#REF!</v>
      </c>
      <c r="T38" s="103" t="e">
        <f>#REF!*8/100</f>
        <v>#REF!</v>
      </c>
      <c r="U38" s="17" t="e">
        <f t="shared" si="1"/>
        <v>#REF!</v>
      </c>
      <c r="V38" s="18" t="e">
        <f t="shared" si="2"/>
        <v>#REF!</v>
      </c>
      <c r="W38" s="19" t="e">
        <f t="shared" si="0"/>
        <v>#REF!</v>
      </c>
      <c r="X38" s="30"/>
      <c r="Y38" s="23"/>
    </row>
    <row r="39" spans="1:25" s="1" customFormat="1" ht="29.25" customHeight="1" thickBot="1">
      <c r="A39" s="53">
        <v>32</v>
      </c>
      <c r="B39" s="70" t="s">
        <v>104</v>
      </c>
      <c r="C39" s="103" t="e">
        <f>#REF!*8/100</f>
        <v>#REF!</v>
      </c>
      <c r="D39" s="103" t="e">
        <f>#REF!*8/100</f>
        <v>#REF!</v>
      </c>
      <c r="E39" s="103" t="e">
        <f>#REF!*8/100</f>
        <v>#REF!</v>
      </c>
      <c r="F39" s="103" t="e">
        <f>#REF!*8/100</f>
        <v>#REF!</v>
      </c>
      <c r="G39" s="103" t="e">
        <f>#REF!*8/100</f>
        <v>#REF!</v>
      </c>
      <c r="H39" s="103" t="e">
        <f>#REF!*8/100</f>
        <v>#REF!</v>
      </c>
      <c r="I39" s="103" t="e">
        <f>#REF!*8/100</f>
        <v>#REF!</v>
      </c>
      <c r="J39" s="103" t="e">
        <f>#REF!*8/100</f>
        <v>#REF!</v>
      </c>
      <c r="K39" s="103" t="e">
        <f>#REF!*8/100</f>
        <v>#REF!</v>
      </c>
      <c r="L39" s="103" t="e">
        <f>#REF!*8/100</f>
        <v>#REF!</v>
      </c>
      <c r="M39" s="103" t="e">
        <f>#REF!*8/100</f>
        <v>#REF!</v>
      </c>
      <c r="N39" s="103" t="e">
        <f>#REF!*8/100</f>
        <v>#REF!</v>
      </c>
      <c r="O39" s="103" t="e">
        <f>#REF!*8/100</f>
        <v>#REF!</v>
      </c>
      <c r="P39" s="103" t="e">
        <f>#REF!*8/100</f>
        <v>#REF!</v>
      </c>
      <c r="Q39" s="103" t="e">
        <f>#REF!*8/100</f>
        <v>#REF!</v>
      </c>
      <c r="R39" s="103" t="e">
        <f>#REF!*8/100</f>
        <v>#REF!</v>
      </c>
      <c r="S39" s="103" t="e">
        <f>#REF!*8/100</f>
        <v>#REF!</v>
      </c>
      <c r="T39" s="103" t="e">
        <f>#REF!*8/100</f>
        <v>#REF!</v>
      </c>
      <c r="U39" s="17" t="e">
        <f t="shared" si="1"/>
        <v>#REF!</v>
      </c>
      <c r="V39" s="18" t="e">
        <f t="shared" si="2"/>
        <v>#REF!</v>
      </c>
      <c r="W39" s="19" t="e">
        <f t="shared" si="0"/>
        <v>#REF!</v>
      </c>
      <c r="X39" s="30"/>
      <c r="Y39" s="35"/>
    </row>
    <row r="40" spans="1:25" s="1" customFormat="1" ht="29.25" customHeight="1" thickBot="1">
      <c r="A40" s="53">
        <v>33</v>
      </c>
      <c r="B40" s="66" t="s">
        <v>105</v>
      </c>
      <c r="C40" s="103" t="e">
        <f>#REF!*8/100</f>
        <v>#REF!</v>
      </c>
      <c r="D40" s="103" t="e">
        <f>#REF!*8/100</f>
        <v>#REF!</v>
      </c>
      <c r="E40" s="103" t="e">
        <f>#REF!*8/100</f>
        <v>#REF!</v>
      </c>
      <c r="F40" s="103" t="e">
        <f>#REF!*8/100</f>
        <v>#REF!</v>
      </c>
      <c r="G40" s="103" t="e">
        <f>#REF!*8/100</f>
        <v>#REF!</v>
      </c>
      <c r="H40" s="103" t="e">
        <f>#REF!*8/100</f>
        <v>#REF!</v>
      </c>
      <c r="I40" s="103" t="e">
        <f>#REF!*8/100</f>
        <v>#REF!</v>
      </c>
      <c r="J40" s="103" t="e">
        <f>#REF!*8/100</f>
        <v>#REF!</v>
      </c>
      <c r="K40" s="103" t="e">
        <f>#REF!*8/100</f>
        <v>#REF!</v>
      </c>
      <c r="L40" s="103" t="e">
        <f>#REF!*8/100</f>
        <v>#REF!</v>
      </c>
      <c r="M40" s="103" t="e">
        <f>#REF!*8/100</f>
        <v>#REF!</v>
      </c>
      <c r="N40" s="103" t="e">
        <f>#REF!*8/100</f>
        <v>#REF!</v>
      </c>
      <c r="O40" s="103" t="e">
        <f>#REF!*8/100</f>
        <v>#REF!</v>
      </c>
      <c r="P40" s="103" t="e">
        <f>#REF!*8/100</f>
        <v>#REF!</v>
      </c>
      <c r="Q40" s="103" t="e">
        <f>#REF!*8/100</f>
        <v>#REF!</v>
      </c>
      <c r="R40" s="103" t="e">
        <f>#REF!*8/100</f>
        <v>#REF!</v>
      </c>
      <c r="S40" s="103" t="e">
        <f>#REF!*8/100</f>
        <v>#REF!</v>
      </c>
      <c r="T40" s="103" t="e">
        <f>#REF!*8/100</f>
        <v>#REF!</v>
      </c>
      <c r="U40" s="17" t="e">
        <f t="shared" si="1"/>
        <v>#REF!</v>
      </c>
      <c r="V40" s="18" t="e">
        <f t="shared" si="2"/>
        <v>#REF!</v>
      </c>
      <c r="W40" s="19" t="e">
        <f t="shared" ref="W40:W56" si="3">AVERAGE(C40:T40)/100*18</f>
        <v>#REF!</v>
      </c>
      <c r="X40" s="30"/>
      <c r="Y40" s="35"/>
    </row>
    <row r="41" spans="1:25" s="1" customFormat="1" ht="29.25" customHeight="1" thickBot="1">
      <c r="A41" s="53">
        <v>34</v>
      </c>
      <c r="B41" s="70" t="s">
        <v>106</v>
      </c>
      <c r="C41" s="103" t="e">
        <f>#REF!*8/100</f>
        <v>#REF!</v>
      </c>
      <c r="D41" s="103" t="e">
        <f>#REF!*8/100</f>
        <v>#REF!</v>
      </c>
      <c r="E41" s="103" t="e">
        <f>#REF!*8/100</f>
        <v>#REF!</v>
      </c>
      <c r="F41" s="103" t="e">
        <f>#REF!*8/100</f>
        <v>#REF!</v>
      </c>
      <c r="G41" s="103" t="e">
        <f>#REF!*8/100</f>
        <v>#REF!</v>
      </c>
      <c r="H41" s="103" t="e">
        <f>#REF!*8/100</f>
        <v>#REF!</v>
      </c>
      <c r="I41" s="103" t="e">
        <f>#REF!*8/100</f>
        <v>#REF!</v>
      </c>
      <c r="J41" s="103" t="e">
        <f>#REF!*8/100</f>
        <v>#REF!</v>
      </c>
      <c r="K41" s="103" t="e">
        <f>#REF!*8/100</f>
        <v>#REF!</v>
      </c>
      <c r="L41" s="103" t="e">
        <f>#REF!*8/100</f>
        <v>#REF!</v>
      </c>
      <c r="M41" s="103" t="e">
        <f>#REF!*8/100</f>
        <v>#REF!</v>
      </c>
      <c r="N41" s="103" t="e">
        <f>#REF!*8/100</f>
        <v>#REF!</v>
      </c>
      <c r="O41" s="103" t="e">
        <f>#REF!*8/100</f>
        <v>#REF!</v>
      </c>
      <c r="P41" s="103" t="e">
        <f>#REF!*8/100</f>
        <v>#REF!</v>
      </c>
      <c r="Q41" s="103" t="e">
        <f>#REF!*8/100</f>
        <v>#REF!</v>
      </c>
      <c r="R41" s="103" t="e">
        <f>#REF!*8/100</f>
        <v>#REF!</v>
      </c>
      <c r="S41" s="103" t="e">
        <f>#REF!*8/100</f>
        <v>#REF!</v>
      </c>
      <c r="T41" s="103" t="e">
        <f>#REF!*8/100</f>
        <v>#REF!</v>
      </c>
      <c r="U41" s="17" t="e">
        <f t="shared" si="1"/>
        <v>#REF!</v>
      </c>
      <c r="V41" s="18" t="e">
        <f t="shared" si="2"/>
        <v>#REF!</v>
      </c>
      <c r="W41" s="19" t="e">
        <f t="shared" si="3"/>
        <v>#REF!</v>
      </c>
      <c r="X41" s="30"/>
      <c r="Y41" s="35"/>
    </row>
    <row r="42" spans="1:25" s="1" customFormat="1" ht="29.25" thickBot="1">
      <c r="A42" s="75">
        <v>35</v>
      </c>
      <c r="B42" s="70" t="s">
        <v>107</v>
      </c>
      <c r="C42" s="103" t="e">
        <f>#REF!*8/100</f>
        <v>#REF!</v>
      </c>
      <c r="D42" s="103" t="e">
        <f>#REF!*8/100</f>
        <v>#REF!</v>
      </c>
      <c r="E42" s="103" t="e">
        <f>#REF!*8/100</f>
        <v>#REF!</v>
      </c>
      <c r="F42" s="103" t="e">
        <f>#REF!*8/100</f>
        <v>#REF!</v>
      </c>
      <c r="G42" s="103" t="e">
        <f>#REF!*8/100</f>
        <v>#REF!</v>
      </c>
      <c r="H42" s="103" t="e">
        <f>#REF!*8/100</f>
        <v>#REF!</v>
      </c>
      <c r="I42" s="103" t="e">
        <f>#REF!*8/100</f>
        <v>#REF!</v>
      </c>
      <c r="J42" s="103" t="e">
        <f>#REF!*8/100</f>
        <v>#REF!</v>
      </c>
      <c r="K42" s="103" t="e">
        <f>#REF!*8/100</f>
        <v>#REF!</v>
      </c>
      <c r="L42" s="103" t="e">
        <f>#REF!*8/100</f>
        <v>#REF!</v>
      </c>
      <c r="M42" s="103" t="e">
        <f>#REF!*8/100</f>
        <v>#REF!</v>
      </c>
      <c r="N42" s="103" t="e">
        <f>#REF!*8/100</f>
        <v>#REF!</v>
      </c>
      <c r="O42" s="103" t="e">
        <f>#REF!*8/100</f>
        <v>#REF!</v>
      </c>
      <c r="P42" s="103" t="e">
        <f>#REF!*8/100</f>
        <v>#REF!</v>
      </c>
      <c r="Q42" s="103" t="e">
        <f>#REF!*8/100</f>
        <v>#REF!</v>
      </c>
      <c r="R42" s="103" t="e">
        <f>#REF!*8/100</f>
        <v>#REF!</v>
      </c>
      <c r="S42" s="103" t="e">
        <f>#REF!*8/100</f>
        <v>#REF!</v>
      </c>
      <c r="T42" s="103" t="e">
        <f>#REF!*8/100</f>
        <v>#REF!</v>
      </c>
      <c r="U42" s="17" t="e">
        <f t="shared" si="1"/>
        <v>#REF!</v>
      </c>
      <c r="V42" s="18" t="e">
        <f t="shared" si="2"/>
        <v>#REF!</v>
      </c>
      <c r="W42" s="19" t="e">
        <f t="shared" si="3"/>
        <v>#REF!</v>
      </c>
      <c r="X42" s="30"/>
      <c r="Y42" s="35"/>
    </row>
    <row r="43" spans="1:25" s="1" customFormat="1" ht="29.25" thickBot="1">
      <c r="A43" s="53">
        <v>36</v>
      </c>
      <c r="B43" s="70" t="s">
        <v>108</v>
      </c>
      <c r="C43" s="103" t="e">
        <f>#REF!*8/100</f>
        <v>#REF!</v>
      </c>
      <c r="D43" s="103" t="e">
        <f>#REF!*8/100</f>
        <v>#REF!</v>
      </c>
      <c r="E43" s="103" t="e">
        <f>#REF!*8/100</f>
        <v>#REF!</v>
      </c>
      <c r="F43" s="103" t="e">
        <f>#REF!*8/100</f>
        <v>#REF!</v>
      </c>
      <c r="G43" s="103" t="e">
        <f>#REF!*8/100</f>
        <v>#REF!</v>
      </c>
      <c r="H43" s="103" t="e">
        <f>#REF!*8/100</f>
        <v>#REF!</v>
      </c>
      <c r="I43" s="103" t="e">
        <f>#REF!*8/100</f>
        <v>#REF!</v>
      </c>
      <c r="J43" s="103" t="e">
        <f>#REF!*8/100</f>
        <v>#REF!</v>
      </c>
      <c r="K43" s="103" t="e">
        <f>#REF!*8/100</f>
        <v>#REF!</v>
      </c>
      <c r="L43" s="103" t="e">
        <f>#REF!*8/100</f>
        <v>#REF!</v>
      </c>
      <c r="M43" s="103" t="e">
        <f>#REF!*8/100</f>
        <v>#REF!</v>
      </c>
      <c r="N43" s="103" t="e">
        <f>#REF!*8/100</f>
        <v>#REF!</v>
      </c>
      <c r="O43" s="103" t="e">
        <f>#REF!*8/100</f>
        <v>#REF!</v>
      </c>
      <c r="P43" s="103" t="e">
        <f>#REF!*8/100</f>
        <v>#REF!</v>
      </c>
      <c r="Q43" s="103" t="e">
        <f>#REF!*8/100</f>
        <v>#REF!</v>
      </c>
      <c r="R43" s="103" t="e">
        <f>#REF!*8/100</f>
        <v>#REF!</v>
      </c>
      <c r="S43" s="103" t="e">
        <f>#REF!*8/100</f>
        <v>#REF!</v>
      </c>
      <c r="T43" s="103" t="e">
        <f>#REF!*8/100</f>
        <v>#REF!</v>
      </c>
      <c r="U43" s="17" t="e">
        <f t="shared" si="1"/>
        <v>#REF!</v>
      </c>
      <c r="V43" s="18" t="e">
        <f t="shared" si="2"/>
        <v>#REF!</v>
      </c>
      <c r="W43" s="19" t="e">
        <f t="shared" si="3"/>
        <v>#REF!</v>
      </c>
      <c r="X43" s="30"/>
      <c r="Y43" s="35"/>
    </row>
    <row r="44" spans="1:25" s="1" customFormat="1" ht="29.25" thickBot="1">
      <c r="A44" s="53">
        <v>37</v>
      </c>
      <c r="B44" s="52" t="s">
        <v>109</v>
      </c>
      <c r="C44" s="103" t="e">
        <f>#REF!*8/100</f>
        <v>#REF!</v>
      </c>
      <c r="D44" s="103" t="e">
        <f>#REF!*8/100</f>
        <v>#REF!</v>
      </c>
      <c r="E44" s="103" t="e">
        <f>#REF!*8/100</f>
        <v>#REF!</v>
      </c>
      <c r="F44" s="103" t="e">
        <f>#REF!*8/100</f>
        <v>#REF!</v>
      </c>
      <c r="G44" s="103" t="e">
        <f>#REF!*8/100</f>
        <v>#REF!</v>
      </c>
      <c r="H44" s="103" t="e">
        <f>#REF!*8/100</f>
        <v>#REF!</v>
      </c>
      <c r="I44" s="103" t="e">
        <f>#REF!*8/100</f>
        <v>#REF!</v>
      </c>
      <c r="J44" s="103" t="e">
        <f>#REF!*8/100</f>
        <v>#REF!</v>
      </c>
      <c r="K44" s="103" t="e">
        <f>#REF!*8/100</f>
        <v>#REF!</v>
      </c>
      <c r="L44" s="103" t="e">
        <f>#REF!*8/100</f>
        <v>#REF!</v>
      </c>
      <c r="M44" s="103" t="e">
        <f>#REF!*8/100</f>
        <v>#REF!</v>
      </c>
      <c r="N44" s="103" t="e">
        <f>#REF!*8/100</f>
        <v>#REF!</v>
      </c>
      <c r="O44" s="103" t="e">
        <f>#REF!*8/100</f>
        <v>#REF!</v>
      </c>
      <c r="P44" s="103" t="e">
        <f>#REF!*8/100</f>
        <v>#REF!</v>
      </c>
      <c r="Q44" s="103" t="e">
        <f>#REF!*8/100</f>
        <v>#REF!</v>
      </c>
      <c r="R44" s="103" t="e">
        <f>#REF!*8/100</f>
        <v>#REF!</v>
      </c>
      <c r="S44" s="103" t="e">
        <f>#REF!*8/100</f>
        <v>#REF!</v>
      </c>
      <c r="T44" s="103" t="e">
        <f>#REF!*8/100</f>
        <v>#REF!</v>
      </c>
      <c r="U44" s="17" t="e">
        <f t="shared" si="1"/>
        <v>#REF!</v>
      </c>
      <c r="V44" s="18" t="e">
        <f t="shared" si="2"/>
        <v>#REF!</v>
      </c>
      <c r="W44" s="19" t="e">
        <f t="shared" si="3"/>
        <v>#REF!</v>
      </c>
      <c r="X44" s="30"/>
      <c r="Y44" s="23"/>
    </row>
    <row r="45" spans="1:25" s="1" customFormat="1" ht="29.25" customHeight="1" thickBot="1">
      <c r="A45" s="53">
        <v>38</v>
      </c>
      <c r="B45" s="52" t="s">
        <v>110</v>
      </c>
      <c r="C45" s="103" t="e">
        <f>#REF!*8/100</f>
        <v>#REF!</v>
      </c>
      <c r="D45" s="103" t="e">
        <f>#REF!*8/100</f>
        <v>#REF!</v>
      </c>
      <c r="E45" s="103" t="e">
        <f>#REF!*8/100</f>
        <v>#REF!</v>
      </c>
      <c r="F45" s="103" t="e">
        <f>#REF!*8/100</f>
        <v>#REF!</v>
      </c>
      <c r="G45" s="103" t="e">
        <f>#REF!*8/100</f>
        <v>#REF!</v>
      </c>
      <c r="H45" s="103" t="e">
        <f>#REF!*8/100</f>
        <v>#REF!</v>
      </c>
      <c r="I45" s="103" t="e">
        <f>#REF!*8/100</f>
        <v>#REF!</v>
      </c>
      <c r="J45" s="103" t="e">
        <f>#REF!*8/100</f>
        <v>#REF!</v>
      </c>
      <c r="K45" s="103" t="e">
        <f>#REF!*8/100</f>
        <v>#REF!</v>
      </c>
      <c r="L45" s="103" t="e">
        <f>#REF!*8/100</f>
        <v>#REF!</v>
      </c>
      <c r="M45" s="103" t="e">
        <f>#REF!*8/100</f>
        <v>#REF!</v>
      </c>
      <c r="N45" s="103" t="e">
        <f>#REF!*8/100</f>
        <v>#REF!</v>
      </c>
      <c r="O45" s="103" t="e">
        <f>#REF!*8/100</f>
        <v>#REF!</v>
      </c>
      <c r="P45" s="103" t="e">
        <f>#REF!*8/100</f>
        <v>#REF!</v>
      </c>
      <c r="Q45" s="103" t="e">
        <f>#REF!*8/100</f>
        <v>#REF!</v>
      </c>
      <c r="R45" s="103" t="e">
        <f>#REF!*8/100</f>
        <v>#REF!</v>
      </c>
      <c r="S45" s="103" t="e">
        <f>#REF!*8/100</f>
        <v>#REF!</v>
      </c>
      <c r="T45" s="103" t="e">
        <f>#REF!*8/100</f>
        <v>#REF!</v>
      </c>
      <c r="U45" s="17" t="e">
        <f t="shared" si="1"/>
        <v>#REF!</v>
      </c>
      <c r="V45" s="18" t="e">
        <f t="shared" si="2"/>
        <v>#REF!</v>
      </c>
      <c r="W45" s="19" t="e">
        <f t="shared" si="3"/>
        <v>#REF!</v>
      </c>
      <c r="X45" s="30"/>
      <c r="Y45" s="35"/>
    </row>
    <row r="46" spans="1:25" s="1" customFormat="1" ht="29.25" customHeight="1" thickBot="1">
      <c r="A46" s="53">
        <v>39</v>
      </c>
      <c r="B46" s="52" t="s">
        <v>111</v>
      </c>
      <c r="C46" s="103" t="e">
        <f>#REF!*8/100</f>
        <v>#REF!</v>
      </c>
      <c r="D46" s="103" t="e">
        <f>#REF!*8/100</f>
        <v>#REF!</v>
      </c>
      <c r="E46" s="103" t="e">
        <f>#REF!*8/100</f>
        <v>#REF!</v>
      </c>
      <c r="F46" s="103" t="e">
        <f>#REF!*8/100</f>
        <v>#REF!</v>
      </c>
      <c r="G46" s="103" t="e">
        <f>#REF!*8/100</f>
        <v>#REF!</v>
      </c>
      <c r="H46" s="103" t="e">
        <f>#REF!*8/100</f>
        <v>#REF!</v>
      </c>
      <c r="I46" s="103" t="e">
        <f>#REF!*8/100</f>
        <v>#REF!</v>
      </c>
      <c r="J46" s="103" t="e">
        <f>#REF!*8/100</f>
        <v>#REF!</v>
      </c>
      <c r="K46" s="103" t="e">
        <f>#REF!*8/100</f>
        <v>#REF!</v>
      </c>
      <c r="L46" s="103" t="e">
        <f>#REF!*8/100</f>
        <v>#REF!</v>
      </c>
      <c r="M46" s="103" t="e">
        <f>#REF!*8/100</f>
        <v>#REF!</v>
      </c>
      <c r="N46" s="103" t="e">
        <f>#REF!*8/100</f>
        <v>#REF!</v>
      </c>
      <c r="O46" s="103" t="e">
        <f>#REF!*8/100</f>
        <v>#REF!</v>
      </c>
      <c r="P46" s="103" t="e">
        <f>#REF!*8/100</f>
        <v>#REF!</v>
      </c>
      <c r="Q46" s="103" t="e">
        <f>#REF!*8/100</f>
        <v>#REF!</v>
      </c>
      <c r="R46" s="103" t="e">
        <f>#REF!*8/100</f>
        <v>#REF!</v>
      </c>
      <c r="S46" s="103" t="e">
        <f>#REF!*8/100</f>
        <v>#REF!</v>
      </c>
      <c r="T46" s="103" t="e">
        <f>#REF!*8/100</f>
        <v>#REF!</v>
      </c>
      <c r="U46" s="17" t="e">
        <f t="shared" si="1"/>
        <v>#REF!</v>
      </c>
      <c r="V46" s="18" t="e">
        <f t="shared" si="2"/>
        <v>#REF!</v>
      </c>
      <c r="W46" s="19" t="e">
        <f t="shared" si="3"/>
        <v>#REF!</v>
      </c>
      <c r="X46" s="30"/>
      <c r="Y46" s="35"/>
    </row>
    <row r="47" spans="1:25" s="1" customFormat="1" ht="29.25" thickBot="1">
      <c r="A47" s="53">
        <v>40</v>
      </c>
      <c r="B47" s="52" t="s">
        <v>112</v>
      </c>
      <c r="C47" s="103" t="e">
        <f>#REF!*8/100</f>
        <v>#REF!</v>
      </c>
      <c r="D47" s="103" t="e">
        <f>#REF!*8/100</f>
        <v>#REF!</v>
      </c>
      <c r="E47" s="103" t="e">
        <f>#REF!*8/100</f>
        <v>#REF!</v>
      </c>
      <c r="F47" s="103" t="e">
        <f>#REF!*8/100</f>
        <v>#REF!</v>
      </c>
      <c r="G47" s="103" t="e">
        <f>#REF!*8/100</f>
        <v>#REF!</v>
      </c>
      <c r="H47" s="103" t="e">
        <f>#REF!*8/100</f>
        <v>#REF!</v>
      </c>
      <c r="I47" s="103" t="e">
        <f>#REF!*8/100</f>
        <v>#REF!</v>
      </c>
      <c r="J47" s="103" t="e">
        <f>#REF!*8/100</f>
        <v>#REF!</v>
      </c>
      <c r="K47" s="103" t="e">
        <f>#REF!*8/100</f>
        <v>#REF!</v>
      </c>
      <c r="L47" s="103" t="e">
        <f>#REF!*8/100</f>
        <v>#REF!</v>
      </c>
      <c r="M47" s="103" t="e">
        <f>#REF!*8/100</f>
        <v>#REF!</v>
      </c>
      <c r="N47" s="103" t="e">
        <f>#REF!*8/100</f>
        <v>#REF!</v>
      </c>
      <c r="O47" s="103" t="e">
        <f>#REF!*8/100</f>
        <v>#REF!</v>
      </c>
      <c r="P47" s="103" t="e">
        <f>#REF!*8/100</f>
        <v>#REF!</v>
      </c>
      <c r="Q47" s="103" t="e">
        <f>#REF!*8/100</f>
        <v>#REF!</v>
      </c>
      <c r="R47" s="103" t="e">
        <f>#REF!*8/100</f>
        <v>#REF!</v>
      </c>
      <c r="S47" s="103" t="e">
        <f>#REF!*8/100</f>
        <v>#REF!</v>
      </c>
      <c r="T47" s="103" t="e">
        <f>#REF!*8/100</f>
        <v>#REF!</v>
      </c>
      <c r="U47" s="17" t="e">
        <f t="shared" si="1"/>
        <v>#REF!</v>
      </c>
      <c r="V47" s="18" t="e">
        <f t="shared" si="2"/>
        <v>#REF!</v>
      </c>
      <c r="W47" s="19" t="e">
        <f t="shared" si="3"/>
        <v>#REF!</v>
      </c>
      <c r="X47" s="30"/>
      <c r="Y47" s="35"/>
    </row>
    <row r="48" spans="1:25" s="1" customFormat="1" ht="29.25" thickBot="1">
      <c r="A48" s="53">
        <v>41</v>
      </c>
      <c r="B48" s="71" t="s">
        <v>113</v>
      </c>
      <c r="C48" s="103" t="e">
        <f>#REF!*8/100</f>
        <v>#REF!</v>
      </c>
      <c r="D48" s="103" t="e">
        <f>#REF!*8/100</f>
        <v>#REF!</v>
      </c>
      <c r="E48" s="103" t="e">
        <f>#REF!*8/100</f>
        <v>#REF!</v>
      </c>
      <c r="F48" s="103" t="e">
        <f>#REF!*8/100</f>
        <v>#REF!</v>
      </c>
      <c r="G48" s="103" t="e">
        <f>#REF!*8/100</f>
        <v>#REF!</v>
      </c>
      <c r="H48" s="103" t="e">
        <f>#REF!*8/100</f>
        <v>#REF!</v>
      </c>
      <c r="I48" s="103" t="e">
        <f>#REF!*8/100</f>
        <v>#REF!</v>
      </c>
      <c r="J48" s="103" t="e">
        <f>#REF!*8/100</f>
        <v>#REF!</v>
      </c>
      <c r="K48" s="103" t="e">
        <f>#REF!*8/100</f>
        <v>#REF!</v>
      </c>
      <c r="L48" s="103" t="e">
        <f>#REF!*8/100</f>
        <v>#REF!</v>
      </c>
      <c r="M48" s="103" t="e">
        <f>#REF!*8/100</f>
        <v>#REF!</v>
      </c>
      <c r="N48" s="103" t="e">
        <f>#REF!*8/100</f>
        <v>#REF!</v>
      </c>
      <c r="O48" s="103" t="e">
        <f>#REF!*8/100</f>
        <v>#REF!</v>
      </c>
      <c r="P48" s="103" t="e">
        <f>#REF!*8/100</f>
        <v>#REF!</v>
      </c>
      <c r="Q48" s="103" t="e">
        <f>#REF!*8/100</f>
        <v>#REF!</v>
      </c>
      <c r="R48" s="103" t="e">
        <f>#REF!*8/100</f>
        <v>#REF!</v>
      </c>
      <c r="S48" s="103" t="e">
        <f>#REF!*8/100</f>
        <v>#REF!</v>
      </c>
      <c r="T48" s="103" t="e">
        <f>#REF!*8/100</f>
        <v>#REF!</v>
      </c>
      <c r="U48" s="17" t="e">
        <f t="shared" si="1"/>
        <v>#REF!</v>
      </c>
      <c r="V48" s="18" t="e">
        <f t="shared" si="2"/>
        <v>#REF!</v>
      </c>
      <c r="W48" s="19" t="e">
        <f t="shared" si="3"/>
        <v>#REF!</v>
      </c>
      <c r="X48" s="30"/>
      <c r="Y48" s="23"/>
    </row>
    <row r="49" spans="1:25" s="1" customFormat="1" ht="29.25" thickBot="1">
      <c r="A49" s="53">
        <v>42</v>
      </c>
      <c r="B49" s="52" t="s">
        <v>114</v>
      </c>
      <c r="C49" s="103" t="e">
        <f>#REF!*8/100</f>
        <v>#REF!</v>
      </c>
      <c r="D49" s="103" t="e">
        <f>#REF!*8/100</f>
        <v>#REF!</v>
      </c>
      <c r="E49" s="103" t="e">
        <f>#REF!*8/100</f>
        <v>#REF!</v>
      </c>
      <c r="F49" s="103" t="e">
        <f>#REF!*8/100</f>
        <v>#REF!</v>
      </c>
      <c r="G49" s="103" t="e">
        <f>#REF!*8/100</f>
        <v>#REF!</v>
      </c>
      <c r="H49" s="103" t="e">
        <f>#REF!*8/100</f>
        <v>#REF!</v>
      </c>
      <c r="I49" s="103" t="e">
        <f>#REF!*8/100</f>
        <v>#REF!</v>
      </c>
      <c r="J49" s="103" t="e">
        <f>#REF!*8/100</f>
        <v>#REF!</v>
      </c>
      <c r="K49" s="103" t="e">
        <f>#REF!*8/100</f>
        <v>#REF!</v>
      </c>
      <c r="L49" s="103" t="e">
        <f>#REF!*8/100</f>
        <v>#REF!</v>
      </c>
      <c r="M49" s="103" t="e">
        <f>#REF!*8/100</f>
        <v>#REF!</v>
      </c>
      <c r="N49" s="103" t="e">
        <f>#REF!*8/100</f>
        <v>#REF!</v>
      </c>
      <c r="O49" s="103" t="e">
        <f>#REF!*8/100</f>
        <v>#REF!</v>
      </c>
      <c r="P49" s="103" t="e">
        <f>#REF!*8/100</f>
        <v>#REF!</v>
      </c>
      <c r="Q49" s="103" t="e">
        <f>#REF!*8/100</f>
        <v>#REF!</v>
      </c>
      <c r="R49" s="103" t="e">
        <f>#REF!*8/100</f>
        <v>#REF!</v>
      </c>
      <c r="S49" s="103" t="e">
        <f>#REF!*8/100</f>
        <v>#REF!</v>
      </c>
      <c r="T49" s="103" t="e">
        <f>#REF!*8/100</f>
        <v>#REF!</v>
      </c>
      <c r="U49" s="17" t="e">
        <f t="shared" si="1"/>
        <v>#REF!</v>
      </c>
      <c r="V49" s="18" t="e">
        <f t="shared" si="2"/>
        <v>#REF!</v>
      </c>
      <c r="W49" s="19" t="e">
        <f t="shared" si="3"/>
        <v>#REF!</v>
      </c>
      <c r="X49" s="30"/>
      <c r="Y49" s="35"/>
    </row>
    <row r="50" spans="1:25" s="1" customFormat="1" ht="29.25" customHeight="1" thickBot="1">
      <c r="A50" s="53">
        <v>43</v>
      </c>
      <c r="B50" s="62" t="s">
        <v>115</v>
      </c>
      <c r="C50" s="102" t="e">
        <f>#REF!*8/100</f>
        <v>#REF!</v>
      </c>
      <c r="D50" s="102" t="e">
        <f>#REF!*8/100</f>
        <v>#REF!</v>
      </c>
      <c r="E50" s="102" t="e">
        <f>#REF!*8/100</f>
        <v>#REF!</v>
      </c>
      <c r="F50" s="102" t="e">
        <f>#REF!*8/100</f>
        <v>#REF!</v>
      </c>
      <c r="G50" s="102" t="e">
        <f>#REF!*8/100</f>
        <v>#REF!</v>
      </c>
      <c r="H50" s="102" t="e">
        <f>#REF!*8/100</f>
        <v>#REF!</v>
      </c>
      <c r="I50" s="102" t="e">
        <f>#REF!*8/100</f>
        <v>#REF!</v>
      </c>
      <c r="J50" s="102" t="e">
        <f>#REF!*8/100</f>
        <v>#REF!</v>
      </c>
      <c r="K50" s="102" t="e">
        <f>#REF!*8/100</f>
        <v>#REF!</v>
      </c>
      <c r="L50" s="102" t="e">
        <f>#REF!*8/100</f>
        <v>#REF!</v>
      </c>
      <c r="M50" s="102" t="e">
        <f>#REF!*8/100</f>
        <v>#REF!</v>
      </c>
      <c r="N50" s="102" t="e">
        <f>#REF!*8/100</f>
        <v>#REF!</v>
      </c>
      <c r="O50" s="102" t="e">
        <f>#REF!*8/100</f>
        <v>#REF!</v>
      </c>
      <c r="P50" s="102" t="e">
        <f>#REF!*8/100</f>
        <v>#REF!</v>
      </c>
      <c r="Q50" s="102" t="e">
        <f>#REF!*8/100</f>
        <v>#REF!</v>
      </c>
      <c r="R50" s="102" t="e">
        <f>#REF!*8/100</f>
        <v>#REF!</v>
      </c>
      <c r="S50" s="102" t="e">
        <f>#REF!*8/100</f>
        <v>#REF!</v>
      </c>
      <c r="T50" s="102" t="e">
        <f>#REF!*8/100</f>
        <v>#REF!</v>
      </c>
      <c r="U50" s="17" t="e">
        <f t="shared" si="1"/>
        <v>#REF!</v>
      </c>
      <c r="V50" s="18" t="e">
        <f t="shared" si="2"/>
        <v>#REF!</v>
      </c>
      <c r="W50" s="19" t="e">
        <f t="shared" si="3"/>
        <v>#REF!</v>
      </c>
      <c r="X50" s="32"/>
      <c r="Y50" s="33"/>
    </row>
    <row r="51" spans="1:25" s="1" customFormat="1" ht="29.25" customHeight="1" thickBot="1">
      <c r="A51" s="53">
        <v>44</v>
      </c>
      <c r="B51" s="61" t="s">
        <v>116</v>
      </c>
      <c r="C51" s="102" t="e">
        <f>#REF!*8/100</f>
        <v>#REF!</v>
      </c>
      <c r="D51" s="102" t="e">
        <f>#REF!*8/100</f>
        <v>#REF!</v>
      </c>
      <c r="E51" s="102" t="e">
        <f>#REF!*8/100</f>
        <v>#REF!</v>
      </c>
      <c r="F51" s="102" t="e">
        <f>#REF!*8/100</f>
        <v>#REF!</v>
      </c>
      <c r="G51" s="102" t="e">
        <f>#REF!*8/100</f>
        <v>#REF!</v>
      </c>
      <c r="H51" s="102" t="e">
        <f>#REF!*8/100</f>
        <v>#REF!</v>
      </c>
      <c r="I51" s="102" t="e">
        <f>#REF!*8/100</f>
        <v>#REF!</v>
      </c>
      <c r="J51" s="102" t="e">
        <f>#REF!*8/100</f>
        <v>#REF!</v>
      </c>
      <c r="K51" s="102" t="e">
        <f>#REF!*8/100</f>
        <v>#REF!</v>
      </c>
      <c r="L51" s="102" t="e">
        <f>#REF!*8/100</f>
        <v>#REF!</v>
      </c>
      <c r="M51" s="102" t="e">
        <f>#REF!*8/100</f>
        <v>#REF!</v>
      </c>
      <c r="N51" s="102" t="e">
        <f>#REF!*8/100</f>
        <v>#REF!</v>
      </c>
      <c r="O51" s="102" t="e">
        <f>#REF!*8/100</f>
        <v>#REF!</v>
      </c>
      <c r="P51" s="102" t="e">
        <f>#REF!*8/100</f>
        <v>#REF!</v>
      </c>
      <c r="Q51" s="102" t="e">
        <f>#REF!*8/100</f>
        <v>#REF!</v>
      </c>
      <c r="R51" s="102" t="e">
        <f>#REF!*8/100</f>
        <v>#REF!</v>
      </c>
      <c r="S51" s="102" t="e">
        <f>#REF!*8/100</f>
        <v>#REF!</v>
      </c>
      <c r="T51" s="102" t="e">
        <f>#REF!*8/100</f>
        <v>#REF!</v>
      </c>
      <c r="U51" s="17" t="e">
        <f t="shared" si="1"/>
        <v>#REF!</v>
      </c>
      <c r="V51" s="18" t="e">
        <f t="shared" si="2"/>
        <v>#REF!</v>
      </c>
      <c r="W51" s="19" t="e">
        <f t="shared" si="3"/>
        <v>#REF!</v>
      </c>
      <c r="X51" s="27"/>
      <c r="Y51" s="28"/>
    </row>
    <row r="52" spans="1:25" s="1" customFormat="1" ht="29.25" thickBot="1">
      <c r="A52" s="53">
        <v>45</v>
      </c>
      <c r="B52" s="52" t="s">
        <v>117</v>
      </c>
      <c r="C52" s="102" t="e">
        <f>#REF!*8/100</f>
        <v>#REF!</v>
      </c>
      <c r="D52" s="102" t="e">
        <f>#REF!*8/100</f>
        <v>#REF!</v>
      </c>
      <c r="E52" s="102" t="e">
        <f>#REF!*8/100</f>
        <v>#REF!</v>
      </c>
      <c r="F52" s="102" t="e">
        <f>#REF!*8/100</f>
        <v>#REF!</v>
      </c>
      <c r="G52" s="102" t="e">
        <f>#REF!*8/100</f>
        <v>#REF!</v>
      </c>
      <c r="H52" s="102" t="e">
        <f>#REF!*8/100</f>
        <v>#REF!</v>
      </c>
      <c r="I52" s="102" t="e">
        <f>#REF!*8/100</f>
        <v>#REF!</v>
      </c>
      <c r="J52" s="102" t="e">
        <f>#REF!*8/100</f>
        <v>#REF!</v>
      </c>
      <c r="K52" s="102" t="e">
        <f>#REF!*8/100</f>
        <v>#REF!</v>
      </c>
      <c r="L52" s="102" t="e">
        <f>#REF!*8/100</f>
        <v>#REF!</v>
      </c>
      <c r="M52" s="102" t="e">
        <f>#REF!*8/100</f>
        <v>#REF!</v>
      </c>
      <c r="N52" s="102" t="e">
        <f>#REF!*8/100</f>
        <v>#REF!</v>
      </c>
      <c r="O52" s="102" t="e">
        <f>#REF!*8/100</f>
        <v>#REF!</v>
      </c>
      <c r="P52" s="102" t="e">
        <f>#REF!*8/100</f>
        <v>#REF!</v>
      </c>
      <c r="Q52" s="102" t="e">
        <f>#REF!*8/100</f>
        <v>#REF!</v>
      </c>
      <c r="R52" s="102" t="e">
        <f>#REF!*8/100</f>
        <v>#REF!</v>
      </c>
      <c r="S52" s="102" t="e">
        <f>#REF!*8/100</f>
        <v>#REF!</v>
      </c>
      <c r="T52" s="102" t="e">
        <f>#REF!*8/100</f>
        <v>#REF!</v>
      </c>
      <c r="U52" s="17" t="e">
        <f t="shared" si="1"/>
        <v>#REF!</v>
      </c>
      <c r="V52" s="18" t="e">
        <f t="shared" si="2"/>
        <v>#REF!</v>
      </c>
      <c r="W52" s="19" t="e">
        <f t="shared" si="3"/>
        <v>#REF!</v>
      </c>
      <c r="X52" s="30"/>
      <c r="Y52" s="35"/>
    </row>
    <row r="53" spans="1:25" s="1" customFormat="1" ht="29.25" customHeight="1" thickBot="1">
      <c r="A53" s="53">
        <v>46</v>
      </c>
      <c r="B53" s="52" t="s">
        <v>118</v>
      </c>
      <c r="C53" s="102" t="e">
        <f>#REF!*8/100</f>
        <v>#REF!</v>
      </c>
      <c r="D53" s="102" t="e">
        <f>#REF!*8/100</f>
        <v>#REF!</v>
      </c>
      <c r="E53" s="102" t="e">
        <f>#REF!*8/100</f>
        <v>#REF!</v>
      </c>
      <c r="F53" s="102" t="e">
        <f>#REF!*8/100</f>
        <v>#REF!</v>
      </c>
      <c r="G53" s="102" t="e">
        <f>#REF!*8/100</f>
        <v>#REF!</v>
      </c>
      <c r="H53" s="102" t="e">
        <f>#REF!*8/100</f>
        <v>#REF!</v>
      </c>
      <c r="I53" s="102" t="e">
        <f>#REF!*8/100</f>
        <v>#REF!</v>
      </c>
      <c r="J53" s="102" t="e">
        <f>#REF!*8/100</f>
        <v>#REF!</v>
      </c>
      <c r="K53" s="102" t="e">
        <f>#REF!*8/100</f>
        <v>#REF!</v>
      </c>
      <c r="L53" s="102" t="e">
        <f>#REF!*8/100</f>
        <v>#REF!</v>
      </c>
      <c r="M53" s="102" t="e">
        <f>#REF!*8/100</f>
        <v>#REF!</v>
      </c>
      <c r="N53" s="102" t="e">
        <f>#REF!*8/100</f>
        <v>#REF!</v>
      </c>
      <c r="O53" s="102" t="e">
        <f>#REF!*8/100</f>
        <v>#REF!</v>
      </c>
      <c r="P53" s="102" t="e">
        <f>#REF!*8/100</f>
        <v>#REF!</v>
      </c>
      <c r="Q53" s="102" t="e">
        <f>#REF!*8/100</f>
        <v>#REF!</v>
      </c>
      <c r="R53" s="102" t="e">
        <f>#REF!*8/100</f>
        <v>#REF!</v>
      </c>
      <c r="S53" s="102" t="e">
        <f>#REF!*8/100</f>
        <v>#REF!</v>
      </c>
      <c r="T53" s="102" t="e">
        <f>#REF!*8/100</f>
        <v>#REF!</v>
      </c>
      <c r="U53" s="17" t="e">
        <f t="shared" si="1"/>
        <v>#REF!</v>
      </c>
      <c r="V53" s="18" t="e">
        <f t="shared" si="2"/>
        <v>#REF!</v>
      </c>
      <c r="W53" s="19" t="e">
        <f t="shared" si="3"/>
        <v>#REF!</v>
      </c>
      <c r="X53" s="30"/>
      <c r="Y53" s="23"/>
    </row>
    <row r="54" spans="1:25" s="1" customFormat="1" ht="29.25" thickBot="1">
      <c r="A54" s="53">
        <v>47</v>
      </c>
      <c r="B54" s="52" t="s">
        <v>119</v>
      </c>
      <c r="C54" s="102" t="e">
        <f>#REF!*8/100</f>
        <v>#REF!</v>
      </c>
      <c r="D54" s="102" t="e">
        <f>#REF!*8/100</f>
        <v>#REF!</v>
      </c>
      <c r="E54" s="102" t="e">
        <f>#REF!*8/100</f>
        <v>#REF!</v>
      </c>
      <c r="F54" s="102" t="e">
        <f>#REF!*8/100</f>
        <v>#REF!</v>
      </c>
      <c r="G54" s="102" t="e">
        <f>#REF!*8/100</f>
        <v>#REF!</v>
      </c>
      <c r="H54" s="102" t="e">
        <f>#REF!*8/100</f>
        <v>#REF!</v>
      </c>
      <c r="I54" s="102" t="e">
        <f>#REF!*8/100</f>
        <v>#REF!</v>
      </c>
      <c r="J54" s="102" t="e">
        <f>#REF!*8/100</f>
        <v>#REF!</v>
      </c>
      <c r="K54" s="102" t="e">
        <f>#REF!*8/100</f>
        <v>#REF!</v>
      </c>
      <c r="L54" s="102" t="e">
        <f>#REF!*8/100</f>
        <v>#REF!</v>
      </c>
      <c r="M54" s="102" t="e">
        <f>#REF!*8/100</f>
        <v>#REF!</v>
      </c>
      <c r="N54" s="102" t="e">
        <f>#REF!*8/100</f>
        <v>#REF!</v>
      </c>
      <c r="O54" s="102" t="e">
        <f>#REF!*8/100</f>
        <v>#REF!</v>
      </c>
      <c r="P54" s="102" t="e">
        <f>#REF!*8/100</f>
        <v>#REF!</v>
      </c>
      <c r="Q54" s="102" t="e">
        <f>#REF!*8/100</f>
        <v>#REF!</v>
      </c>
      <c r="R54" s="102" t="e">
        <f>#REF!*8/100</f>
        <v>#REF!</v>
      </c>
      <c r="S54" s="102" t="e">
        <f>#REF!*8/100</f>
        <v>#REF!</v>
      </c>
      <c r="T54" s="102" t="e">
        <f>#REF!*8/100</f>
        <v>#REF!</v>
      </c>
      <c r="U54" s="17" t="e">
        <f t="shared" si="1"/>
        <v>#REF!</v>
      </c>
      <c r="V54" s="18" t="e">
        <f t="shared" si="2"/>
        <v>#REF!</v>
      </c>
      <c r="W54" s="19" t="e">
        <f t="shared" si="3"/>
        <v>#REF!</v>
      </c>
      <c r="X54" s="30"/>
      <c r="Y54" s="23"/>
    </row>
    <row r="55" spans="1:25" s="1" customFormat="1" ht="29.25" customHeight="1" thickBot="1">
      <c r="A55" s="53">
        <v>48</v>
      </c>
      <c r="B55" s="52" t="s">
        <v>120</v>
      </c>
      <c r="C55" s="102" t="e">
        <f>#REF!*8/100</f>
        <v>#REF!</v>
      </c>
      <c r="D55" s="102" t="e">
        <f>#REF!*8/100</f>
        <v>#REF!</v>
      </c>
      <c r="E55" s="102" t="e">
        <f>#REF!*8/100</f>
        <v>#REF!</v>
      </c>
      <c r="F55" s="102" t="e">
        <f>#REF!*8/100</f>
        <v>#REF!</v>
      </c>
      <c r="G55" s="102" t="e">
        <f>#REF!*8/100</f>
        <v>#REF!</v>
      </c>
      <c r="H55" s="102" t="e">
        <f>#REF!*8/100</f>
        <v>#REF!</v>
      </c>
      <c r="I55" s="102" t="e">
        <f>#REF!*8/100</f>
        <v>#REF!</v>
      </c>
      <c r="J55" s="102" t="e">
        <f>#REF!*8/100</f>
        <v>#REF!</v>
      </c>
      <c r="K55" s="102" t="e">
        <f>#REF!*8/100</f>
        <v>#REF!</v>
      </c>
      <c r="L55" s="102" t="e">
        <f>#REF!*8/100</f>
        <v>#REF!</v>
      </c>
      <c r="M55" s="102" t="e">
        <f>#REF!*8/100</f>
        <v>#REF!</v>
      </c>
      <c r="N55" s="102" t="e">
        <f>#REF!*8/100</f>
        <v>#REF!</v>
      </c>
      <c r="O55" s="102" t="e">
        <f>#REF!*8/100</f>
        <v>#REF!</v>
      </c>
      <c r="P55" s="102" t="e">
        <f>#REF!*8/100</f>
        <v>#REF!</v>
      </c>
      <c r="Q55" s="102" t="e">
        <f>#REF!*8/100</f>
        <v>#REF!</v>
      </c>
      <c r="R55" s="102" t="e">
        <f>#REF!*8/100</f>
        <v>#REF!</v>
      </c>
      <c r="S55" s="102" t="e">
        <f>#REF!*8/100</f>
        <v>#REF!</v>
      </c>
      <c r="T55" s="102" t="e">
        <f>#REF!*8/100</f>
        <v>#REF!</v>
      </c>
      <c r="U55" s="17" t="e">
        <f t="shared" si="1"/>
        <v>#REF!</v>
      </c>
      <c r="V55" s="18" t="e">
        <f t="shared" si="2"/>
        <v>#REF!</v>
      </c>
      <c r="W55" s="19" t="e">
        <f t="shared" si="3"/>
        <v>#REF!</v>
      </c>
      <c r="X55" s="30"/>
      <c r="Y55" s="23"/>
    </row>
    <row r="56" spans="1:25" s="1" customFormat="1" ht="29.25" customHeight="1">
      <c r="A56" s="53">
        <v>49</v>
      </c>
      <c r="B56" s="52" t="s">
        <v>121</v>
      </c>
      <c r="C56" s="102" t="e">
        <f>#REF!*8/100</f>
        <v>#REF!</v>
      </c>
      <c r="D56" s="102" t="e">
        <f>#REF!*8/100</f>
        <v>#REF!</v>
      </c>
      <c r="E56" s="102" t="e">
        <f>#REF!*8/100</f>
        <v>#REF!</v>
      </c>
      <c r="F56" s="102" t="e">
        <f>#REF!*8/100</f>
        <v>#REF!</v>
      </c>
      <c r="G56" s="102" t="e">
        <f>#REF!*8/100</f>
        <v>#REF!</v>
      </c>
      <c r="H56" s="102" t="e">
        <f>#REF!*8/100</f>
        <v>#REF!</v>
      </c>
      <c r="I56" s="102" t="e">
        <f>#REF!*8/100</f>
        <v>#REF!</v>
      </c>
      <c r="J56" s="102" t="e">
        <f>#REF!*8/100</f>
        <v>#REF!</v>
      </c>
      <c r="K56" s="102" t="e">
        <f>#REF!*8/100</f>
        <v>#REF!</v>
      </c>
      <c r="L56" s="102" t="e">
        <f>#REF!*8/100</f>
        <v>#REF!</v>
      </c>
      <c r="M56" s="102" t="e">
        <f>#REF!*8/100</f>
        <v>#REF!</v>
      </c>
      <c r="N56" s="102" t="e">
        <f>#REF!*8/100</f>
        <v>#REF!</v>
      </c>
      <c r="O56" s="102" t="e">
        <f>#REF!*8/100</f>
        <v>#REF!</v>
      </c>
      <c r="P56" s="102" t="e">
        <f>#REF!*8/100</f>
        <v>#REF!</v>
      </c>
      <c r="Q56" s="102" t="e">
        <f>#REF!*8/100</f>
        <v>#REF!</v>
      </c>
      <c r="R56" s="102" t="e">
        <f>#REF!*8/100</f>
        <v>#REF!</v>
      </c>
      <c r="S56" s="102" t="e">
        <f>#REF!*8/100</f>
        <v>#REF!</v>
      </c>
      <c r="T56" s="102" t="e">
        <f>#REF!*8/100</f>
        <v>#REF!</v>
      </c>
      <c r="U56" s="17" t="e">
        <f t="shared" si="1"/>
        <v>#REF!</v>
      </c>
      <c r="V56" s="18" t="e">
        <f t="shared" si="2"/>
        <v>#REF!</v>
      </c>
      <c r="W56" s="19" t="e">
        <f t="shared" si="3"/>
        <v>#REF!</v>
      </c>
      <c r="X56" s="30"/>
      <c r="Y56" s="35"/>
    </row>
    <row r="57" spans="1:25" s="1" customFormat="1">
      <c r="A57" s="6"/>
      <c r="B57" s="37"/>
      <c r="C57" s="38"/>
      <c r="D57" s="38"/>
      <c r="E57" s="38"/>
      <c r="F57" s="38"/>
      <c r="G57" s="38"/>
      <c r="H57" s="38"/>
      <c r="I57" s="38"/>
      <c r="J57" s="38"/>
      <c r="K57" s="38"/>
      <c r="L57" s="38"/>
      <c r="M57" s="38"/>
      <c r="N57" s="38"/>
      <c r="O57" s="38"/>
      <c r="P57" s="38"/>
      <c r="Q57" s="38"/>
    </row>
    <row r="58" spans="1:25" s="1" customFormat="1">
      <c r="A58" s="6"/>
      <c r="B58" s="37"/>
      <c r="E58" s="588"/>
      <c r="F58" s="588"/>
      <c r="G58" s="588"/>
    </row>
    <row r="59" spans="1:25" s="1" customFormat="1">
      <c r="A59" s="6"/>
      <c r="B59" s="7"/>
      <c r="C59" s="5"/>
      <c r="D59" s="5"/>
      <c r="E59" s="5"/>
      <c r="F59" s="5"/>
      <c r="G59" s="5"/>
      <c r="H59" s="5"/>
      <c r="I59" s="5"/>
      <c r="J59" s="5"/>
      <c r="K59" s="5"/>
      <c r="L59" s="5"/>
      <c r="M59" s="5"/>
      <c r="N59" s="5"/>
      <c r="O59" s="5"/>
      <c r="P59" s="5"/>
      <c r="Q59" s="5"/>
      <c r="R59" s="5"/>
      <c r="S59" s="5"/>
      <c r="T59" s="5"/>
      <c r="U59" s="5"/>
      <c r="V59" s="5"/>
      <c r="W59" s="5"/>
      <c r="X59" s="5"/>
      <c r="Y59" s="5"/>
    </row>
    <row r="60" spans="1:25" ht="31.5" customHeight="1">
      <c r="A60" s="646" t="s">
        <v>168</v>
      </c>
      <c r="B60" s="646"/>
      <c r="C60" s="646"/>
      <c r="D60" s="646"/>
      <c r="E60" s="646"/>
      <c r="F60" s="646"/>
      <c r="G60" s="646"/>
      <c r="H60" s="646"/>
      <c r="I60" s="646"/>
      <c r="J60" s="646"/>
      <c r="K60" s="646"/>
      <c r="L60" s="646"/>
      <c r="M60" s="646"/>
      <c r="N60" s="646"/>
      <c r="O60" s="646"/>
      <c r="P60" s="646"/>
      <c r="Q60" s="646"/>
      <c r="R60" s="646"/>
      <c r="S60" s="646"/>
      <c r="T60" s="646"/>
      <c r="U60" s="646"/>
      <c r="V60" s="646"/>
      <c r="W60" s="646"/>
      <c r="X60" s="646"/>
      <c r="Y60" s="646"/>
    </row>
    <row r="61" spans="1:25" ht="31.5" customHeight="1">
      <c r="A61" s="646"/>
      <c r="B61" s="646"/>
      <c r="C61" s="646"/>
      <c r="D61" s="646"/>
      <c r="E61" s="646"/>
      <c r="F61" s="646"/>
      <c r="G61" s="646"/>
      <c r="H61" s="646"/>
      <c r="I61" s="646"/>
      <c r="J61" s="646"/>
      <c r="K61" s="646"/>
      <c r="L61" s="646"/>
      <c r="M61" s="646"/>
      <c r="N61" s="646"/>
      <c r="O61" s="646"/>
      <c r="P61" s="646"/>
      <c r="Q61" s="646"/>
      <c r="R61" s="646"/>
      <c r="S61" s="646"/>
      <c r="T61" s="646"/>
      <c r="U61" s="646"/>
      <c r="V61" s="646"/>
      <c r="W61" s="646"/>
      <c r="X61" s="646"/>
      <c r="Y61" s="646"/>
    </row>
    <row r="62" spans="1:25" s="1" customFormat="1" ht="29.25" customHeight="1" thickBot="1">
      <c r="A62" s="646"/>
      <c r="B62" s="646"/>
      <c r="C62" s="646"/>
      <c r="D62" s="646"/>
      <c r="E62" s="646"/>
      <c r="F62" s="646"/>
      <c r="G62" s="646"/>
      <c r="H62" s="646"/>
      <c r="I62" s="646"/>
      <c r="J62" s="646"/>
      <c r="K62" s="646"/>
      <c r="L62" s="646"/>
      <c r="M62" s="646"/>
      <c r="N62" s="646"/>
      <c r="O62" s="646"/>
      <c r="P62" s="646"/>
      <c r="Q62" s="646"/>
      <c r="R62" s="646"/>
      <c r="S62" s="646"/>
      <c r="T62" s="646"/>
      <c r="U62" s="646"/>
      <c r="V62" s="646"/>
      <c r="W62" s="646"/>
      <c r="X62" s="646"/>
      <c r="Y62" s="646"/>
    </row>
    <row r="63" spans="1:25" ht="28.5" customHeight="1">
      <c r="B63" s="589" t="s">
        <v>38</v>
      </c>
      <c r="C63" s="9" t="s">
        <v>39</v>
      </c>
      <c r="D63" s="9" t="s">
        <v>39</v>
      </c>
      <c r="E63" s="9" t="s">
        <v>39</v>
      </c>
      <c r="F63" s="9" t="s">
        <v>39</v>
      </c>
      <c r="G63" s="9" t="s">
        <v>39</v>
      </c>
      <c r="H63" s="9" t="s">
        <v>39</v>
      </c>
      <c r="I63" s="9" t="s">
        <v>39</v>
      </c>
      <c r="J63" s="9" t="s">
        <v>39</v>
      </c>
      <c r="K63" s="9" t="s">
        <v>39</v>
      </c>
      <c r="L63" s="9" t="s">
        <v>39</v>
      </c>
      <c r="M63" s="9" t="s">
        <v>39</v>
      </c>
      <c r="N63" s="9" t="s">
        <v>39</v>
      </c>
      <c r="O63" s="9" t="s">
        <v>39</v>
      </c>
      <c r="P63" s="9" t="s">
        <v>39</v>
      </c>
      <c r="Q63" s="9" t="s">
        <v>39</v>
      </c>
      <c r="R63" s="9" t="s">
        <v>39</v>
      </c>
      <c r="S63" s="9" t="s">
        <v>39</v>
      </c>
      <c r="T63" s="9" t="s">
        <v>39</v>
      </c>
      <c r="U63" s="647">
        <v>144</v>
      </c>
      <c r="V63" s="576" t="s">
        <v>40</v>
      </c>
      <c r="W63" s="649" t="s">
        <v>41</v>
      </c>
      <c r="X63" s="576" t="s">
        <v>42</v>
      </c>
      <c r="Y63" s="574" t="s">
        <v>43</v>
      </c>
    </row>
    <row r="64" spans="1:25" ht="29.25" customHeight="1" thickBot="1">
      <c r="B64" s="590"/>
      <c r="C64" s="11">
        <v>1</v>
      </c>
      <c r="D64" s="11">
        <v>2</v>
      </c>
      <c r="E64" s="11">
        <v>3</v>
      </c>
      <c r="F64" s="11">
        <v>4</v>
      </c>
      <c r="G64" s="11">
        <v>5</v>
      </c>
      <c r="H64" s="11">
        <v>6</v>
      </c>
      <c r="I64" s="11">
        <v>7</v>
      </c>
      <c r="J64" s="11">
        <v>8</v>
      </c>
      <c r="K64" s="11">
        <v>9</v>
      </c>
      <c r="L64" s="11">
        <v>10</v>
      </c>
      <c r="M64" s="11">
        <v>11</v>
      </c>
      <c r="N64" s="11">
        <v>12</v>
      </c>
      <c r="O64" s="11">
        <v>13</v>
      </c>
      <c r="P64" s="11">
        <v>14</v>
      </c>
      <c r="Q64" s="11">
        <v>15</v>
      </c>
      <c r="R64" s="11">
        <v>16</v>
      </c>
      <c r="S64" s="11">
        <v>17</v>
      </c>
      <c r="T64" s="11">
        <v>18</v>
      </c>
      <c r="U64" s="648"/>
      <c r="V64" s="577"/>
      <c r="W64" s="650"/>
      <c r="X64" s="577"/>
      <c r="Y64" s="575"/>
    </row>
    <row r="65" spans="1:25" ht="29.25" thickBot="1">
      <c r="B65" s="12">
        <f>0%/100</f>
        <v>0</v>
      </c>
      <c r="C65" s="111">
        <v>5.5E-2</v>
      </c>
      <c r="D65" s="111"/>
      <c r="E65" s="111">
        <v>0.11</v>
      </c>
      <c r="F65" s="110">
        <v>0.16500000000000001</v>
      </c>
      <c r="G65" s="110">
        <v>0.22</v>
      </c>
      <c r="H65" s="110">
        <v>0.27500000000000002</v>
      </c>
      <c r="I65" s="110">
        <v>0.33</v>
      </c>
      <c r="J65" s="110">
        <v>0.38500000000000001</v>
      </c>
      <c r="K65" s="110">
        <v>0.44</v>
      </c>
      <c r="L65" s="110">
        <v>0.495</v>
      </c>
      <c r="M65" s="110">
        <v>0.55000000000000004</v>
      </c>
      <c r="N65" s="110">
        <v>0.60499999999999998</v>
      </c>
      <c r="O65" s="110">
        <v>0.66</v>
      </c>
      <c r="P65" s="110">
        <v>0.71499999999999997</v>
      </c>
      <c r="Q65" s="110">
        <v>0.77</v>
      </c>
      <c r="R65" s="110">
        <v>0.82499999999999996</v>
      </c>
      <c r="S65" s="110">
        <v>0.88</v>
      </c>
      <c r="T65" s="110">
        <v>0.93500000000000005</v>
      </c>
      <c r="U65" s="13"/>
      <c r="V65" s="14"/>
      <c r="W65" s="14"/>
      <c r="X65" s="14"/>
      <c r="Y65" s="15"/>
    </row>
    <row r="66" spans="1:25" ht="29.25" customHeight="1" thickBot="1">
      <c r="A66" s="53">
        <v>1</v>
      </c>
      <c r="B66" s="73" t="s">
        <v>73</v>
      </c>
      <c r="C66" s="102">
        <v>0</v>
      </c>
      <c r="D66" s="102">
        <v>0</v>
      </c>
      <c r="E66" s="102">
        <v>0</v>
      </c>
      <c r="F66" s="102">
        <v>0</v>
      </c>
      <c r="G66" s="102">
        <v>0</v>
      </c>
      <c r="H66" s="102">
        <v>0</v>
      </c>
      <c r="I66" s="102">
        <v>0</v>
      </c>
      <c r="J66" s="102">
        <v>0</v>
      </c>
      <c r="K66" s="102">
        <v>0</v>
      </c>
      <c r="L66" s="102">
        <v>0</v>
      </c>
      <c r="M66" s="102">
        <v>0</v>
      </c>
      <c r="N66" s="102">
        <v>0</v>
      </c>
      <c r="O66" s="102">
        <v>0</v>
      </c>
      <c r="P66" s="102">
        <v>0</v>
      </c>
      <c r="Q66" s="102">
        <v>0</v>
      </c>
      <c r="R66" s="102">
        <v>0</v>
      </c>
      <c r="S66" s="102">
        <v>0</v>
      </c>
      <c r="T66" s="102">
        <v>0</v>
      </c>
      <c r="U66" s="17">
        <f>SUM(C66:T66)</f>
        <v>0</v>
      </c>
      <c r="V66" s="18">
        <f>IF($U$63&gt;0,U66/$U$63,0)</f>
        <v>0</v>
      </c>
      <c r="W66" s="19">
        <f t="shared" ref="W66:W97" si="4">AVERAGE(C66:T66)/100*18</f>
        <v>0</v>
      </c>
      <c r="X66" s="20"/>
      <c r="Y66" s="21"/>
    </row>
    <row r="67" spans="1:25" ht="29.25" thickBot="1">
      <c r="A67" s="53">
        <v>2</v>
      </c>
      <c r="B67" s="73" t="s">
        <v>74</v>
      </c>
      <c r="C67" s="102">
        <v>0</v>
      </c>
      <c r="D67" s="102">
        <v>0</v>
      </c>
      <c r="E67" s="102">
        <v>0</v>
      </c>
      <c r="F67" s="102">
        <v>0</v>
      </c>
      <c r="G67" s="102">
        <v>0</v>
      </c>
      <c r="H67" s="102">
        <v>0</v>
      </c>
      <c r="I67" s="102">
        <v>0</v>
      </c>
      <c r="J67" s="102">
        <v>0</v>
      </c>
      <c r="K67" s="102">
        <v>0</v>
      </c>
      <c r="L67" s="102">
        <v>0</v>
      </c>
      <c r="M67" s="102">
        <v>0</v>
      </c>
      <c r="N67" s="102">
        <v>0</v>
      </c>
      <c r="O67" s="102">
        <v>0</v>
      </c>
      <c r="P67" s="102">
        <v>0</v>
      </c>
      <c r="Q67" s="102">
        <v>0</v>
      </c>
      <c r="R67" s="102">
        <v>0</v>
      </c>
      <c r="S67" s="102">
        <v>0</v>
      </c>
      <c r="T67" s="102">
        <v>0</v>
      </c>
      <c r="U67" s="17">
        <f t="shared" ref="U67:U114" si="5">SUM(C67:T67)</f>
        <v>0</v>
      </c>
      <c r="V67" s="18">
        <f t="shared" ref="V67:V114" si="6">IF($U$63&gt;0,U67/$U$63,0)</f>
        <v>0</v>
      </c>
      <c r="W67" s="19">
        <f t="shared" si="4"/>
        <v>0</v>
      </c>
      <c r="X67" s="20"/>
      <c r="Y67" s="21"/>
    </row>
    <row r="68" spans="1:25" ht="29.25" thickBot="1">
      <c r="A68" s="53">
        <v>3</v>
      </c>
      <c r="B68" s="73" t="s">
        <v>75</v>
      </c>
      <c r="C68" s="102">
        <v>0</v>
      </c>
      <c r="D68" s="102">
        <v>0</v>
      </c>
      <c r="E68" s="102">
        <v>0</v>
      </c>
      <c r="F68" s="102">
        <v>0</v>
      </c>
      <c r="G68" s="102">
        <v>0</v>
      </c>
      <c r="H68" s="102">
        <v>0</v>
      </c>
      <c r="I68" s="102">
        <v>0</v>
      </c>
      <c r="J68" s="102">
        <v>0</v>
      </c>
      <c r="K68" s="102">
        <v>0</v>
      </c>
      <c r="L68" s="102">
        <v>0</v>
      </c>
      <c r="M68" s="102">
        <v>0</v>
      </c>
      <c r="N68" s="102">
        <v>0</v>
      </c>
      <c r="O68" s="102">
        <v>0</v>
      </c>
      <c r="P68" s="102">
        <v>0</v>
      </c>
      <c r="Q68" s="102">
        <v>0</v>
      </c>
      <c r="R68" s="102">
        <v>0</v>
      </c>
      <c r="S68" s="102">
        <v>0</v>
      </c>
      <c r="T68" s="102">
        <v>0</v>
      </c>
      <c r="U68" s="17">
        <f t="shared" si="5"/>
        <v>0</v>
      </c>
      <c r="V68" s="18">
        <f t="shared" si="6"/>
        <v>0</v>
      </c>
      <c r="W68" s="19">
        <f t="shared" si="4"/>
        <v>0</v>
      </c>
      <c r="X68" s="20"/>
      <c r="Y68" s="21"/>
    </row>
    <row r="69" spans="1:25" ht="29.25" thickBot="1">
      <c r="A69" s="53">
        <v>4</v>
      </c>
      <c r="B69" s="73" t="s">
        <v>76</v>
      </c>
      <c r="C69" s="102">
        <v>0</v>
      </c>
      <c r="D69" s="102">
        <v>0</v>
      </c>
      <c r="E69" s="102">
        <v>0</v>
      </c>
      <c r="F69" s="102">
        <v>0</v>
      </c>
      <c r="G69" s="102">
        <v>0</v>
      </c>
      <c r="H69" s="102">
        <v>0</v>
      </c>
      <c r="I69" s="102">
        <v>0</v>
      </c>
      <c r="J69" s="102">
        <v>0</v>
      </c>
      <c r="K69" s="102">
        <v>0</v>
      </c>
      <c r="L69" s="102">
        <v>0</v>
      </c>
      <c r="M69" s="102">
        <v>0</v>
      </c>
      <c r="N69" s="102">
        <v>0</v>
      </c>
      <c r="O69" s="102">
        <v>0</v>
      </c>
      <c r="P69" s="102">
        <v>0</v>
      </c>
      <c r="Q69" s="102">
        <v>0</v>
      </c>
      <c r="R69" s="102">
        <v>0</v>
      </c>
      <c r="S69" s="102">
        <v>0</v>
      </c>
      <c r="T69" s="102">
        <v>0</v>
      </c>
      <c r="U69" s="17">
        <f t="shared" si="5"/>
        <v>0</v>
      </c>
      <c r="V69" s="18">
        <f t="shared" si="6"/>
        <v>0</v>
      </c>
      <c r="W69" s="19">
        <f t="shared" si="4"/>
        <v>0</v>
      </c>
      <c r="X69" s="20"/>
      <c r="Y69" s="21"/>
    </row>
    <row r="70" spans="1:25" ht="29.25" thickBot="1">
      <c r="A70" s="53">
        <v>5</v>
      </c>
      <c r="B70" s="71" t="s">
        <v>77</v>
      </c>
      <c r="C70" s="102">
        <v>0</v>
      </c>
      <c r="D70" s="102">
        <v>0</v>
      </c>
      <c r="E70" s="102">
        <v>0</v>
      </c>
      <c r="F70" s="102">
        <v>0</v>
      </c>
      <c r="G70" s="102">
        <v>0</v>
      </c>
      <c r="H70" s="102">
        <v>0</v>
      </c>
      <c r="I70" s="102">
        <v>0</v>
      </c>
      <c r="J70" s="102">
        <v>0</v>
      </c>
      <c r="K70" s="102">
        <v>0</v>
      </c>
      <c r="L70" s="102">
        <v>0</v>
      </c>
      <c r="M70" s="102">
        <v>0</v>
      </c>
      <c r="N70" s="102">
        <v>0</v>
      </c>
      <c r="O70" s="102">
        <v>0</v>
      </c>
      <c r="P70" s="102">
        <v>0</v>
      </c>
      <c r="Q70" s="102">
        <v>0</v>
      </c>
      <c r="R70" s="102">
        <v>0</v>
      </c>
      <c r="S70" s="102">
        <v>0</v>
      </c>
      <c r="T70" s="102">
        <v>0</v>
      </c>
      <c r="U70" s="17">
        <f t="shared" si="5"/>
        <v>0</v>
      </c>
      <c r="V70" s="18">
        <f t="shared" si="6"/>
        <v>0</v>
      </c>
      <c r="W70" s="19">
        <f t="shared" si="4"/>
        <v>0</v>
      </c>
      <c r="X70" s="22"/>
      <c r="Y70" s="23"/>
    </row>
    <row r="71" spans="1:25" ht="29.25" thickBot="1">
      <c r="A71" s="53">
        <v>6</v>
      </c>
      <c r="B71" s="71" t="s">
        <v>78</v>
      </c>
      <c r="C71" s="102">
        <v>0</v>
      </c>
      <c r="D71" s="102">
        <v>0</v>
      </c>
      <c r="E71" s="102">
        <v>0</v>
      </c>
      <c r="F71" s="102">
        <v>0</v>
      </c>
      <c r="G71" s="102">
        <v>0</v>
      </c>
      <c r="H71" s="102">
        <v>0</v>
      </c>
      <c r="I71" s="102">
        <v>0</v>
      </c>
      <c r="J71" s="102">
        <v>0</v>
      </c>
      <c r="K71" s="102">
        <v>0</v>
      </c>
      <c r="L71" s="102">
        <v>0</v>
      </c>
      <c r="M71" s="102">
        <v>0</v>
      </c>
      <c r="N71" s="102">
        <v>0</v>
      </c>
      <c r="O71" s="102">
        <v>0</v>
      </c>
      <c r="P71" s="102">
        <v>0</v>
      </c>
      <c r="Q71" s="102">
        <v>0</v>
      </c>
      <c r="R71" s="102">
        <v>0</v>
      </c>
      <c r="S71" s="102">
        <v>0</v>
      </c>
      <c r="T71" s="102">
        <v>0</v>
      </c>
      <c r="U71" s="17">
        <f t="shared" si="5"/>
        <v>0</v>
      </c>
      <c r="V71" s="18">
        <f t="shared" si="6"/>
        <v>0</v>
      </c>
      <c r="W71" s="19">
        <f t="shared" si="4"/>
        <v>0</v>
      </c>
      <c r="X71" s="22"/>
      <c r="Y71" s="23"/>
    </row>
    <row r="72" spans="1:25" ht="29.25" thickBot="1">
      <c r="A72" s="53">
        <v>7</v>
      </c>
      <c r="B72" s="71" t="s">
        <v>79</v>
      </c>
      <c r="C72" s="102">
        <v>0</v>
      </c>
      <c r="D72" s="102">
        <v>0</v>
      </c>
      <c r="E72" s="102">
        <v>0</v>
      </c>
      <c r="F72" s="102">
        <v>0</v>
      </c>
      <c r="G72" s="102">
        <v>0</v>
      </c>
      <c r="H72" s="102">
        <v>0</v>
      </c>
      <c r="I72" s="102">
        <v>0</v>
      </c>
      <c r="J72" s="102">
        <v>0</v>
      </c>
      <c r="K72" s="102">
        <v>0</v>
      </c>
      <c r="L72" s="102">
        <v>0</v>
      </c>
      <c r="M72" s="102">
        <v>0</v>
      </c>
      <c r="N72" s="102">
        <v>0</v>
      </c>
      <c r="O72" s="102">
        <v>0</v>
      </c>
      <c r="P72" s="102">
        <v>0</v>
      </c>
      <c r="Q72" s="102">
        <v>0</v>
      </c>
      <c r="R72" s="102">
        <v>0</v>
      </c>
      <c r="S72" s="102">
        <v>0</v>
      </c>
      <c r="T72" s="102">
        <v>0</v>
      </c>
      <c r="U72" s="17">
        <f t="shared" si="5"/>
        <v>0</v>
      </c>
      <c r="V72" s="18">
        <f t="shared" si="6"/>
        <v>0</v>
      </c>
      <c r="W72" s="19">
        <f t="shared" si="4"/>
        <v>0</v>
      </c>
      <c r="X72" s="22"/>
      <c r="Y72" s="23"/>
    </row>
    <row r="73" spans="1:25" ht="29.25" thickBot="1">
      <c r="A73" s="53">
        <v>8</v>
      </c>
      <c r="B73" s="71" t="s">
        <v>80</v>
      </c>
      <c r="C73" s="102">
        <v>0</v>
      </c>
      <c r="D73" s="102">
        <v>0</v>
      </c>
      <c r="E73" s="102">
        <v>0</v>
      </c>
      <c r="F73" s="102">
        <v>0</v>
      </c>
      <c r="G73" s="102">
        <v>0</v>
      </c>
      <c r="H73" s="102">
        <v>0</v>
      </c>
      <c r="I73" s="102">
        <v>0</v>
      </c>
      <c r="J73" s="102">
        <v>0</v>
      </c>
      <c r="K73" s="102">
        <v>0</v>
      </c>
      <c r="L73" s="102">
        <v>0</v>
      </c>
      <c r="M73" s="102">
        <v>0</v>
      </c>
      <c r="N73" s="102">
        <v>0</v>
      </c>
      <c r="O73" s="102">
        <v>0</v>
      </c>
      <c r="P73" s="102">
        <v>0</v>
      </c>
      <c r="Q73" s="102">
        <v>0</v>
      </c>
      <c r="R73" s="102">
        <v>0</v>
      </c>
      <c r="S73" s="102">
        <v>0</v>
      </c>
      <c r="T73" s="102">
        <v>0</v>
      </c>
      <c r="U73" s="17">
        <f t="shared" si="5"/>
        <v>0</v>
      </c>
      <c r="V73" s="18">
        <f t="shared" si="6"/>
        <v>0</v>
      </c>
      <c r="W73" s="19">
        <f t="shared" si="4"/>
        <v>0</v>
      </c>
      <c r="X73" s="22"/>
      <c r="Y73" s="23"/>
    </row>
    <row r="74" spans="1:25" ht="29.25" thickBot="1">
      <c r="A74" s="53">
        <v>9</v>
      </c>
      <c r="B74" s="71" t="s">
        <v>81</v>
      </c>
      <c r="C74" s="102">
        <v>0</v>
      </c>
      <c r="D74" s="102">
        <v>0</v>
      </c>
      <c r="E74" s="102">
        <v>0</v>
      </c>
      <c r="F74" s="102">
        <v>0</v>
      </c>
      <c r="G74" s="102">
        <v>0</v>
      </c>
      <c r="H74" s="102">
        <v>0</v>
      </c>
      <c r="I74" s="102">
        <v>0</v>
      </c>
      <c r="J74" s="102">
        <v>0</v>
      </c>
      <c r="K74" s="102">
        <v>0</v>
      </c>
      <c r="L74" s="102">
        <v>0</v>
      </c>
      <c r="M74" s="102">
        <v>0</v>
      </c>
      <c r="N74" s="102">
        <v>0</v>
      </c>
      <c r="O74" s="102">
        <v>0</v>
      </c>
      <c r="P74" s="102">
        <v>0</v>
      </c>
      <c r="Q74" s="102">
        <v>0</v>
      </c>
      <c r="R74" s="102">
        <v>0</v>
      </c>
      <c r="S74" s="102">
        <v>0</v>
      </c>
      <c r="T74" s="102">
        <v>0</v>
      </c>
      <c r="U74" s="17">
        <f t="shared" si="5"/>
        <v>0</v>
      </c>
      <c r="V74" s="18">
        <f t="shared" si="6"/>
        <v>0</v>
      </c>
      <c r="W74" s="19">
        <f t="shared" si="4"/>
        <v>0</v>
      </c>
      <c r="X74" s="22"/>
      <c r="Y74" s="23"/>
    </row>
    <row r="75" spans="1:25" ht="36.75" customHeight="1" thickBot="1">
      <c r="A75" s="53">
        <v>10</v>
      </c>
      <c r="B75" s="71" t="s">
        <v>82</v>
      </c>
      <c r="C75" s="102">
        <v>0</v>
      </c>
      <c r="D75" s="102">
        <v>0</v>
      </c>
      <c r="E75" s="102">
        <v>0</v>
      </c>
      <c r="F75" s="102">
        <v>0</v>
      </c>
      <c r="G75" s="102">
        <v>0</v>
      </c>
      <c r="H75" s="102">
        <v>0</v>
      </c>
      <c r="I75" s="102">
        <v>0</v>
      </c>
      <c r="J75" s="102">
        <v>0</v>
      </c>
      <c r="K75" s="102">
        <v>0</v>
      </c>
      <c r="L75" s="102">
        <v>0</v>
      </c>
      <c r="M75" s="102">
        <v>0</v>
      </c>
      <c r="N75" s="102">
        <v>0</v>
      </c>
      <c r="O75" s="102">
        <v>0</v>
      </c>
      <c r="P75" s="102">
        <v>0</v>
      </c>
      <c r="Q75" s="102">
        <v>0</v>
      </c>
      <c r="R75" s="102">
        <v>0</v>
      </c>
      <c r="S75" s="102">
        <v>0</v>
      </c>
      <c r="T75" s="102">
        <v>0</v>
      </c>
      <c r="U75" s="17">
        <f t="shared" si="5"/>
        <v>0</v>
      </c>
      <c r="V75" s="18">
        <f t="shared" si="6"/>
        <v>0</v>
      </c>
      <c r="W75" s="19">
        <f t="shared" si="4"/>
        <v>0</v>
      </c>
      <c r="X75" s="22"/>
      <c r="Y75" s="23"/>
    </row>
    <row r="76" spans="1:25" ht="29.25" thickBot="1">
      <c r="A76" s="53">
        <v>11</v>
      </c>
      <c r="B76" s="71" t="s">
        <v>83</v>
      </c>
      <c r="C76" s="102">
        <v>0</v>
      </c>
      <c r="D76" s="102">
        <v>0</v>
      </c>
      <c r="E76" s="102">
        <v>0</v>
      </c>
      <c r="F76" s="102">
        <v>0</v>
      </c>
      <c r="G76" s="102">
        <v>0</v>
      </c>
      <c r="H76" s="102">
        <v>0</v>
      </c>
      <c r="I76" s="102">
        <v>0</v>
      </c>
      <c r="J76" s="102">
        <v>0</v>
      </c>
      <c r="K76" s="102">
        <v>0</v>
      </c>
      <c r="L76" s="102">
        <v>0</v>
      </c>
      <c r="M76" s="102">
        <v>0</v>
      </c>
      <c r="N76" s="102">
        <v>0</v>
      </c>
      <c r="O76" s="102">
        <v>0</v>
      </c>
      <c r="P76" s="102">
        <v>0</v>
      </c>
      <c r="Q76" s="102">
        <v>0</v>
      </c>
      <c r="R76" s="102">
        <v>0</v>
      </c>
      <c r="S76" s="102">
        <v>0</v>
      </c>
      <c r="T76" s="102">
        <v>0</v>
      </c>
      <c r="U76" s="17">
        <f t="shared" si="5"/>
        <v>0</v>
      </c>
      <c r="V76" s="18">
        <f t="shared" si="6"/>
        <v>0</v>
      </c>
      <c r="W76" s="19">
        <f t="shared" si="4"/>
        <v>0</v>
      </c>
      <c r="X76" s="22"/>
      <c r="Y76" s="23"/>
    </row>
    <row r="77" spans="1:25" ht="29.25" thickBot="1">
      <c r="A77" s="53">
        <v>12</v>
      </c>
      <c r="B77" s="71" t="s">
        <v>84</v>
      </c>
      <c r="C77" s="102">
        <v>0</v>
      </c>
      <c r="D77" s="102">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7">
        <f t="shared" si="5"/>
        <v>0</v>
      </c>
      <c r="V77" s="18">
        <f t="shared" si="6"/>
        <v>0</v>
      </c>
      <c r="W77" s="19">
        <f t="shared" si="4"/>
        <v>0</v>
      </c>
      <c r="X77" s="22"/>
      <c r="Y77" s="23"/>
    </row>
    <row r="78" spans="1:25" ht="29.25" thickBot="1">
      <c r="A78" s="53">
        <v>13</v>
      </c>
      <c r="B78" s="63" t="s">
        <v>85</v>
      </c>
      <c r="C78" s="102">
        <v>0</v>
      </c>
      <c r="D78" s="102">
        <v>0</v>
      </c>
      <c r="E78" s="102">
        <v>0</v>
      </c>
      <c r="F78" s="102">
        <v>0</v>
      </c>
      <c r="G78" s="102">
        <v>0</v>
      </c>
      <c r="H78" s="102">
        <v>0</v>
      </c>
      <c r="I78" s="102">
        <v>0</v>
      </c>
      <c r="J78" s="102">
        <v>0</v>
      </c>
      <c r="K78" s="102">
        <v>0</v>
      </c>
      <c r="L78" s="102">
        <v>0</v>
      </c>
      <c r="M78" s="102">
        <v>0</v>
      </c>
      <c r="N78" s="102">
        <v>0</v>
      </c>
      <c r="O78" s="102">
        <v>0</v>
      </c>
      <c r="P78" s="102">
        <v>0</v>
      </c>
      <c r="Q78" s="102">
        <v>0</v>
      </c>
      <c r="R78" s="102">
        <v>0</v>
      </c>
      <c r="S78" s="102">
        <v>0</v>
      </c>
      <c r="T78" s="102">
        <v>0</v>
      </c>
      <c r="U78" s="17">
        <f t="shared" si="5"/>
        <v>0</v>
      </c>
      <c r="V78" s="18">
        <f t="shared" si="6"/>
        <v>0</v>
      </c>
      <c r="W78" s="19">
        <f t="shared" si="4"/>
        <v>0</v>
      </c>
      <c r="X78" s="25"/>
      <c r="Y78" s="23"/>
    </row>
    <row r="79" spans="1:25" ht="29.25" customHeight="1" thickBot="1">
      <c r="A79" s="53">
        <v>14</v>
      </c>
      <c r="B79" s="72" t="s">
        <v>86</v>
      </c>
      <c r="C79" s="102">
        <v>0</v>
      </c>
      <c r="D79" s="102">
        <v>0</v>
      </c>
      <c r="E79" s="102">
        <v>0</v>
      </c>
      <c r="F79" s="102">
        <v>0</v>
      </c>
      <c r="G79" s="102">
        <v>0</v>
      </c>
      <c r="H79" s="102">
        <v>0</v>
      </c>
      <c r="I79" s="102">
        <v>0</v>
      </c>
      <c r="J79" s="102">
        <v>0</v>
      </c>
      <c r="K79" s="102">
        <v>0</v>
      </c>
      <c r="L79" s="102">
        <v>0</v>
      </c>
      <c r="M79" s="102">
        <v>0</v>
      </c>
      <c r="N79" s="102">
        <v>0</v>
      </c>
      <c r="O79" s="102">
        <v>0</v>
      </c>
      <c r="P79" s="102">
        <v>0</v>
      </c>
      <c r="Q79" s="102">
        <v>0</v>
      </c>
      <c r="R79" s="102">
        <v>0</v>
      </c>
      <c r="S79" s="102">
        <v>0</v>
      </c>
      <c r="T79" s="102">
        <v>0</v>
      </c>
      <c r="U79" s="17">
        <f t="shared" si="5"/>
        <v>0</v>
      </c>
      <c r="V79" s="18">
        <f t="shared" si="6"/>
        <v>0</v>
      </c>
      <c r="W79" s="19">
        <f t="shared" si="4"/>
        <v>0</v>
      </c>
      <c r="X79" s="27"/>
      <c r="Y79" s="28"/>
    </row>
    <row r="80" spans="1:25" ht="29.25" thickBot="1">
      <c r="A80" s="53">
        <v>15</v>
      </c>
      <c r="B80" s="63" t="s">
        <v>87</v>
      </c>
      <c r="C80" s="102">
        <v>0</v>
      </c>
      <c r="D80" s="102">
        <v>0</v>
      </c>
      <c r="E80" s="102">
        <v>0</v>
      </c>
      <c r="F80" s="102">
        <v>0</v>
      </c>
      <c r="G80" s="102">
        <v>0</v>
      </c>
      <c r="H80" s="102">
        <v>0</v>
      </c>
      <c r="I80" s="102">
        <v>0</v>
      </c>
      <c r="J80" s="102">
        <v>0</v>
      </c>
      <c r="K80" s="102">
        <v>0</v>
      </c>
      <c r="L80" s="102">
        <v>0</v>
      </c>
      <c r="M80" s="102">
        <v>0</v>
      </c>
      <c r="N80" s="102">
        <v>0</v>
      </c>
      <c r="O80" s="102">
        <v>0</v>
      </c>
      <c r="P80" s="102">
        <v>0</v>
      </c>
      <c r="Q80" s="102">
        <v>0</v>
      </c>
      <c r="R80" s="102">
        <v>0</v>
      </c>
      <c r="S80" s="102">
        <v>0</v>
      </c>
      <c r="T80" s="102">
        <v>0</v>
      </c>
      <c r="U80" s="17">
        <f t="shared" si="5"/>
        <v>0</v>
      </c>
      <c r="V80" s="18">
        <f t="shared" si="6"/>
        <v>0</v>
      </c>
      <c r="W80" s="19">
        <f t="shared" si="4"/>
        <v>0</v>
      </c>
      <c r="X80" s="30"/>
      <c r="Y80" s="23"/>
    </row>
    <row r="81" spans="1:25" ht="29.25" thickBot="1">
      <c r="A81" s="53">
        <v>16</v>
      </c>
      <c r="B81" s="65" t="s">
        <v>88</v>
      </c>
      <c r="C81" s="102">
        <v>0</v>
      </c>
      <c r="D81" s="102">
        <v>0</v>
      </c>
      <c r="E81" s="102">
        <v>0</v>
      </c>
      <c r="F81" s="102">
        <v>0</v>
      </c>
      <c r="G81" s="102">
        <v>0</v>
      </c>
      <c r="H81" s="102">
        <v>0</v>
      </c>
      <c r="I81" s="102">
        <v>0</v>
      </c>
      <c r="J81" s="102">
        <v>0</v>
      </c>
      <c r="K81" s="102">
        <v>0</v>
      </c>
      <c r="L81" s="102">
        <v>0</v>
      </c>
      <c r="M81" s="102">
        <v>0</v>
      </c>
      <c r="N81" s="102">
        <v>0</v>
      </c>
      <c r="O81" s="102">
        <v>0</v>
      </c>
      <c r="P81" s="102">
        <v>0</v>
      </c>
      <c r="Q81" s="102">
        <v>0</v>
      </c>
      <c r="R81" s="102">
        <v>0</v>
      </c>
      <c r="S81" s="102">
        <v>0</v>
      </c>
      <c r="T81" s="102">
        <v>0</v>
      </c>
      <c r="U81" s="17">
        <f t="shared" si="5"/>
        <v>0</v>
      </c>
      <c r="V81" s="18">
        <f t="shared" si="6"/>
        <v>0</v>
      </c>
      <c r="W81" s="19">
        <f t="shared" si="4"/>
        <v>0</v>
      </c>
      <c r="X81" s="30"/>
      <c r="Y81" s="23"/>
    </row>
    <row r="82" spans="1:25" ht="36.75" thickBot="1">
      <c r="A82" s="53">
        <v>17</v>
      </c>
      <c r="B82" s="66" t="s">
        <v>89</v>
      </c>
      <c r="C82" s="102">
        <v>0</v>
      </c>
      <c r="D82" s="102">
        <v>0</v>
      </c>
      <c r="E82" s="102">
        <v>0</v>
      </c>
      <c r="F82" s="102">
        <v>0</v>
      </c>
      <c r="G82" s="102">
        <v>0</v>
      </c>
      <c r="H82" s="102">
        <v>0</v>
      </c>
      <c r="I82" s="102">
        <v>0</v>
      </c>
      <c r="J82" s="102">
        <v>0</v>
      </c>
      <c r="K82" s="102">
        <v>0</v>
      </c>
      <c r="L82" s="102">
        <v>0</v>
      </c>
      <c r="M82" s="102">
        <v>0</v>
      </c>
      <c r="N82" s="102">
        <v>0</v>
      </c>
      <c r="O82" s="102">
        <v>0</v>
      </c>
      <c r="P82" s="102">
        <v>0</v>
      </c>
      <c r="Q82" s="102">
        <v>0</v>
      </c>
      <c r="R82" s="102">
        <v>0</v>
      </c>
      <c r="S82" s="102">
        <v>0</v>
      </c>
      <c r="T82" s="102">
        <v>0</v>
      </c>
      <c r="U82" s="17">
        <f t="shared" si="5"/>
        <v>0</v>
      </c>
      <c r="V82" s="18">
        <f t="shared" si="6"/>
        <v>0</v>
      </c>
      <c r="W82" s="19">
        <f t="shared" si="4"/>
        <v>0</v>
      </c>
      <c r="X82" s="30"/>
      <c r="Y82" s="23"/>
    </row>
    <row r="83" spans="1:25" ht="29.25" thickBot="1">
      <c r="A83" s="53">
        <v>18</v>
      </c>
      <c r="B83" s="71" t="s">
        <v>90</v>
      </c>
      <c r="C83" s="102">
        <v>0</v>
      </c>
      <c r="D83" s="102">
        <v>0</v>
      </c>
      <c r="E83" s="102">
        <v>0</v>
      </c>
      <c r="F83" s="102">
        <v>0</v>
      </c>
      <c r="G83" s="102">
        <v>0</v>
      </c>
      <c r="H83" s="102">
        <v>0</v>
      </c>
      <c r="I83" s="102">
        <v>0</v>
      </c>
      <c r="J83" s="102">
        <v>0</v>
      </c>
      <c r="K83" s="102">
        <v>0</v>
      </c>
      <c r="L83" s="102">
        <v>0</v>
      </c>
      <c r="M83" s="102">
        <v>0</v>
      </c>
      <c r="N83" s="102">
        <v>0</v>
      </c>
      <c r="O83" s="102">
        <v>0</v>
      </c>
      <c r="P83" s="102">
        <v>0</v>
      </c>
      <c r="Q83" s="102">
        <v>0</v>
      </c>
      <c r="R83" s="102">
        <v>0</v>
      </c>
      <c r="S83" s="102">
        <v>0</v>
      </c>
      <c r="T83" s="102">
        <v>0</v>
      </c>
      <c r="U83" s="17">
        <f t="shared" si="5"/>
        <v>0</v>
      </c>
      <c r="V83" s="18">
        <f t="shared" si="6"/>
        <v>0</v>
      </c>
      <c r="W83" s="19">
        <f t="shared" si="4"/>
        <v>0</v>
      </c>
      <c r="X83" s="30"/>
      <c r="Y83" s="23"/>
    </row>
    <row r="84" spans="1:25" ht="29.25" thickBot="1">
      <c r="A84" s="53">
        <v>19</v>
      </c>
      <c r="B84" s="67" t="s">
        <v>91</v>
      </c>
      <c r="C84" s="102">
        <v>0</v>
      </c>
      <c r="D84" s="102">
        <v>0</v>
      </c>
      <c r="E84" s="102">
        <v>0</v>
      </c>
      <c r="F84" s="102">
        <v>0</v>
      </c>
      <c r="G84" s="102">
        <v>0</v>
      </c>
      <c r="H84" s="102">
        <v>0</v>
      </c>
      <c r="I84" s="102">
        <v>0</v>
      </c>
      <c r="J84" s="102">
        <v>0</v>
      </c>
      <c r="K84" s="102">
        <v>0</v>
      </c>
      <c r="L84" s="102">
        <v>0</v>
      </c>
      <c r="M84" s="102">
        <v>0</v>
      </c>
      <c r="N84" s="102">
        <v>0</v>
      </c>
      <c r="O84" s="102">
        <v>0</v>
      </c>
      <c r="P84" s="102">
        <v>0</v>
      </c>
      <c r="Q84" s="102">
        <v>0</v>
      </c>
      <c r="R84" s="102">
        <v>0</v>
      </c>
      <c r="S84" s="102">
        <v>0</v>
      </c>
      <c r="T84" s="102">
        <v>0</v>
      </c>
      <c r="U84" s="17">
        <f t="shared" si="5"/>
        <v>0</v>
      </c>
      <c r="V84" s="18">
        <f t="shared" si="6"/>
        <v>0</v>
      </c>
      <c r="W84" s="19">
        <f t="shared" si="4"/>
        <v>0</v>
      </c>
      <c r="X84" s="30"/>
      <c r="Y84" s="23"/>
    </row>
    <row r="85" spans="1:25" ht="29.25" thickBot="1">
      <c r="A85" s="53">
        <v>20</v>
      </c>
      <c r="B85" s="67" t="s">
        <v>92</v>
      </c>
      <c r="C85" s="102">
        <v>0</v>
      </c>
      <c r="D85" s="102">
        <v>0</v>
      </c>
      <c r="E85" s="102">
        <v>0</v>
      </c>
      <c r="F85" s="102">
        <v>0</v>
      </c>
      <c r="G85" s="102">
        <v>0</v>
      </c>
      <c r="H85" s="102">
        <v>0</v>
      </c>
      <c r="I85" s="102">
        <v>0</v>
      </c>
      <c r="J85" s="102">
        <v>0</v>
      </c>
      <c r="K85" s="102">
        <v>0</v>
      </c>
      <c r="L85" s="102">
        <v>0</v>
      </c>
      <c r="M85" s="102">
        <v>0</v>
      </c>
      <c r="N85" s="102">
        <v>0</v>
      </c>
      <c r="O85" s="102">
        <v>0</v>
      </c>
      <c r="P85" s="102">
        <v>0</v>
      </c>
      <c r="Q85" s="102">
        <v>0</v>
      </c>
      <c r="R85" s="102">
        <v>0</v>
      </c>
      <c r="S85" s="102">
        <v>0</v>
      </c>
      <c r="T85" s="102">
        <v>0</v>
      </c>
      <c r="U85" s="17">
        <f t="shared" si="5"/>
        <v>0</v>
      </c>
      <c r="V85" s="18">
        <f t="shared" si="6"/>
        <v>0</v>
      </c>
      <c r="W85" s="19">
        <f t="shared" si="4"/>
        <v>0</v>
      </c>
      <c r="X85" s="30"/>
      <c r="Y85" s="23"/>
    </row>
    <row r="86" spans="1:25" ht="29.25" thickBot="1">
      <c r="A86" s="53">
        <v>21</v>
      </c>
      <c r="B86" s="67" t="s">
        <v>93</v>
      </c>
      <c r="C86" s="102">
        <v>0</v>
      </c>
      <c r="D86" s="102">
        <v>0</v>
      </c>
      <c r="E86" s="102">
        <v>0</v>
      </c>
      <c r="F86" s="102">
        <v>0</v>
      </c>
      <c r="G86" s="102">
        <v>0</v>
      </c>
      <c r="H86" s="102">
        <v>0</v>
      </c>
      <c r="I86" s="102">
        <v>0</v>
      </c>
      <c r="J86" s="102">
        <v>0</v>
      </c>
      <c r="K86" s="102">
        <v>0</v>
      </c>
      <c r="L86" s="102">
        <v>0</v>
      </c>
      <c r="M86" s="102">
        <v>0</v>
      </c>
      <c r="N86" s="102">
        <v>0</v>
      </c>
      <c r="O86" s="102">
        <v>0</v>
      </c>
      <c r="P86" s="102">
        <v>0</v>
      </c>
      <c r="Q86" s="102">
        <v>0</v>
      </c>
      <c r="R86" s="102">
        <v>0</v>
      </c>
      <c r="S86" s="102">
        <v>0</v>
      </c>
      <c r="T86" s="102">
        <v>0</v>
      </c>
      <c r="U86" s="17">
        <f t="shared" si="5"/>
        <v>0</v>
      </c>
      <c r="V86" s="18">
        <f t="shared" si="6"/>
        <v>0</v>
      </c>
      <c r="W86" s="19">
        <f t="shared" si="4"/>
        <v>0</v>
      </c>
      <c r="X86" s="30"/>
      <c r="Y86" s="23"/>
    </row>
    <row r="87" spans="1:25" ht="29.25" thickBot="1">
      <c r="A87" s="53">
        <v>22</v>
      </c>
      <c r="B87" s="67" t="s">
        <v>94</v>
      </c>
      <c r="C87" s="102">
        <v>0</v>
      </c>
      <c r="D87" s="102">
        <v>0</v>
      </c>
      <c r="E87" s="102">
        <v>0</v>
      </c>
      <c r="F87" s="102">
        <v>0</v>
      </c>
      <c r="G87" s="102">
        <v>0</v>
      </c>
      <c r="H87" s="102">
        <v>0</v>
      </c>
      <c r="I87" s="102">
        <v>0</v>
      </c>
      <c r="J87" s="102">
        <v>0</v>
      </c>
      <c r="K87" s="102">
        <v>0</v>
      </c>
      <c r="L87" s="102">
        <v>0</v>
      </c>
      <c r="M87" s="102">
        <v>0</v>
      </c>
      <c r="N87" s="102">
        <v>0</v>
      </c>
      <c r="O87" s="102">
        <v>0</v>
      </c>
      <c r="P87" s="102">
        <v>0</v>
      </c>
      <c r="Q87" s="102">
        <v>0</v>
      </c>
      <c r="R87" s="102">
        <v>0</v>
      </c>
      <c r="S87" s="102">
        <v>0</v>
      </c>
      <c r="T87" s="102">
        <v>0</v>
      </c>
      <c r="U87" s="17">
        <f t="shared" si="5"/>
        <v>0</v>
      </c>
      <c r="V87" s="18">
        <f t="shared" si="6"/>
        <v>0</v>
      </c>
      <c r="W87" s="19">
        <f t="shared" si="4"/>
        <v>0</v>
      </c>
      <c r="X87" s="30"/>
      <c r="Y87" s="23"/>
    </row>
    <row r="88" spans="1:25" ht="36.75" customHeight="1" thickBot="1">
      <c r="A88" s="53">
        <v>23</v>
      </c>
      <c r="B88" s="67" t="s">
        <v>95</v>
      </c>
      <c r="C88" s="102">
        <v>0</v>
      </c>
      <c r="D88" s="102">
        <v>0</v>
      </c>
      <c r="E88" s="102">
        <v>0</v>
      </c>
      <c r="F88" s="102">
        <v>0</v>
      </c>
      <c r="G88" s="102">
        <v>0</v>
      </c>
      <c r="H88" s="102">
        <v>0</v>
      </c>
      <c r="I88" s="102">
        <v>0</v>
      </c>
      <c r="J88" s="102">
        <v>0</v>
      </c>
      <c r="K88" s="102">
        <v>0</v>
      </c>
      <c r="L88" s="102">
        <v>0</v>
      </c>
      <c r="M88" s="102">
        <v>0</v>
      </c>
      <c r="N88" s="102">
        <v>0</v>
      </c>
      <c r="O88" s="102">
        <v>0</v>
      </c>
      <c r="P88" s="102">
        <v>0</v>
      </c>
      <c r="Q88" s="102">
        <v>0</v>
      </c>
      <c r="R88" s="102">
        <v>0</v>
      </c>
      <c r="S88" s="102">
        <v>0</v>
      </c>
      <c r="T88" s="102">
        <v>0</v>
      </c>
      <c r="U88" s="17">
        <f t="shared" si="5"/>
        <v>0</v>
      </c>
      <c r="V88" s="18">
        <f t="shared" si="6"/>
        <v>0</v>
      </c>
      <c r="W88" s="19">
        <f t="shared" si="4"/>
        <v>0</v>
      </c>
      <c r="X88" s="30"/>
      <c r="Y88" s="23"/>
    </row>
    <row r="89" spans="1:25" ht="29.25" thickBot="1">
      <c r="A89" s="53">
        <v>24</v>
      </c>
      <c r="B89" s="66" t="s">
        <v>96</v>
      </c>
      <c r="C89" s="102">
        <v>0</v>
      </c>
      <c r="D89" s="102">
        <v>0</v>
      </c>
      <c r="E89" s="102">
        <v>0</v>
      </c>
      <c r="F89" s="102">
        <v>0</v>
      </c>
      <c r="G89" s="102">
        <v>0</v>
      </c>
      <c r="H89" s="102">
        <v>0</v>
      </c>
      <c r="I89" s="102">
        <v>0</v>
      </c>
      <c r="J89" s="102">
        <v>0</v>
      </c>
      <c r="K89" s="102">
        <v>0</v>
      </c>
      <c r="L89" s="102">
        <v>0</v>
      </c>
      <c r="M89" s="102">
        <v>0</v>
      </c>
      <c r="N89" s="102">
        <v>0</v>
      </c>
      <c r="O89" s="102">
        <v>0</v>
      </c>
      <c r="P89" s="102">
        <v>0</v>
      </c>
      <c r="Q89" s="102">
        <v>0</v>
      </c>
      <c r="R89" s="102">
        <v>0</v>
      </c>
      <c r="S89" s="102">
        <v>0</v>
      </c>
      <c r="T89" s="102">
        <v>0</v>
      </c>
      <c r="U89" s="17">
        <f t="shared" si="5"/>
        <v>0</v>
      </c>
      <c r="V89" s="18">
        <f t="shared" si="6"/>
        <v>0</v>
      </c>
      <c r="W89" s="19">
        <f t="shared" si="4"/>
        <v>0</v>
      </c>
      <c r="X89" s="30"/>
      <c r="Y89" s="23"/>
    </row>
    <row r="90" spans="1:25" ht="29.25" thickBot="1">
      <c r="A90" s="53">
        <v>25</v>
      </c>
      <c r="B90" s="66" t="s">
        <v>97</v>
      </c>
      <c r="C90" s="102">
        <v>0</v>
      </c>
      <c r="D90" s="102">
        <v>0</v>
      </c>
      <c r="E90" s="102">
        <v>0</v>
      </c>
      <c r="F90" s="102">
        <v>0</v>
      </c>
      <c r="G90" s="102">
        <v>0</v>
      </c>
      <c r="H90" s="102">
        <v>0</v>
      </c>
      <c r="I90" s="102">
        <v>0</v>
      </c>
      <c r="J90" s="102">
        <v>0</v>
      </c>
      <c r="K90" s="102">
        <v>0</v>
      </c>
      <c r="L90" s="102">
        <v>0</v>
      </c>
      <c r="M90" s="102">
        <v>0</v>
      </c>
      <c r="N90" s="102">
        <v>0</v>
      </c>
      <c r="O90" s="102">
        <v>0</v>
      </c>
      <c r="P90" s="102">
        <v>0</v>
      </c>
      <c r="Q90" s="102">
        <v>0</v>
      </c>
      <c r="R90" s="102">
        <v>0</v>
      </c>
      <c r="S90" s="102">
        <v>0</v>
      </c>
      <c r="T90" s="102">
        <v>0</v>
      </c>
      <c r="U90" s="17">
        <f t="shared" si="5"/>
        <v>0</v>
      </c>
      <c r="V90" s="18">
        <f t="shared" si="6"/>
        <v>0</v>
      </c>
      <c r="W90" s="19">
        <f t="shared" si="4"/>
        <v>0</v>
      </c>
      <c r="X90" s="30"/>
      <c r="Y90" s="23"/>
    </row>
    <row r="91" spans="1:25" ht="29.25" thickBot="1">
      <c r="A91" s="53">
        <v>26</v>
      </c>
      <c r="B91" s="66" t="s">
        <v>98</v>
      </c>
      <c r="C91" s="102">
        <v>0</v>
      </c>
      <c r="D91" s="102">
        <v>0</v>
      </c>
      <c r="E91" s="102">
        <v>0</v>
      </c>
      <c r="F91" s="102">
        <v>0</v>
      </c>
      <c r="G91" s="102">
        <v>0</v>
      </c>
      <c r="H91" s="102">
        <v>0</v>
      </c>
      <c r="I91" s="102">
        <v>0</v>
      </c>
      <c r="J91" s="102">
        <v>0</v>
      </c>
      <c r="K91" s="102">
        <v>0</v>
      </c>
      <c r="L91" s="102">
        <v>0</v>
      </c>
      <c r="M91" s="102">
        <v>0</v>
      </c>
      <c r="N91" s="102">
        <v>0</v>
      </c>
      <c r="O91" s="102">
        <v>0</v>
      </c>
      <c r="P91" s="102">
        <v>0</v>
      </c>
      <c r="Q91" s="102">
        <v>0</v>
      </c>
      <c r="R91" s="102">
        <v>0</v>
      </c>
      <c r="S91" s="102">
        <v>0</v>
      </c>
      <c r="T91" s="102">
        <v>0</v>
      </c>
      <c r="U91" s="17">
        <f t="shared" si="5"/>
        <v>0</v>
      </c>
      <c r="V91" s="18">
        <f t="shared" si="6"/>
        <v>0</v>
      </c>
      <c r="W91" s="19">
        <f t="shared" si="4"/>
        <v>0</v>
      </c>
      <c r="X91" s="30"/>
      <c r="Y91" s="23"/>
    </row>
    <row r="92" spans="1:25" ht="36.75" thickBot="1">
      <c r="A92" s="53">
        <v>27</v>
      </c>
      <c r="B92" s="68" t="s">
        <v>99</v>
      </c>
      <c r="C92" s="102">
        <v>0</v>
      </c>
      <c r="D92" s="102">
        <v>0</v>
      </c>
      <c r="E92" s="102">
        <v>0</v>
      </c>
      <c r="F92" s="102">
        <v>0</v>
      </c>
      <c r="G92" s="102">
        <v>0</v>
      </c>
      <c r="H92" s="102">
        <v>0</v>
      </c>
      <c r="I92" s="102">
        <v>0</v>
      </c>
      <c r="J92" s="102">
        <v>0</v>
      </c>
      <c r="K92" s="102">
        <v>0</v>
      </c>
      <c r="L92" s="102">
        <v>0</v>
      </c>
      <c r="M92" s="102">
        <v>0</v>
      </c>
      <c r="N92" s="102">
        <v>0</v>
      </c>
      <c r="O92" s="102">
        <v>0</v>
      </c>
      <c r="P92" s="102">
        <v>0</v>
      </c>
      <c r="Q92" s="102">
        <v>0</v>
      </c>
      <c r="R92" s="102">
        <v>0</v>
      </c>
      <c r="S92" s="102">
        <v>0</v>
      </c>
      <c r="T92" s="102">
        <v>0</v>
      </c>
      <c r="U92" s="17">
        <f t="shared" si="5"/>
        <v>0</v>
      </c>
      <c r="V92" s="18">
        <f t="shared" si="6"/>
        <v>0</v>
      </c>
      <c r="W92" s="19">
        <f t="shared" si="4"/>
        <v>0</v>
      </c>
      <c r="X92" s="32"/>
      <c r="Y92" s="33"/>
    </row>
    <row r="93" spans="1:25" ht="29.25" customHeight="1" thickBot="1">
      <c r="A93" s="53">
        <v>28</v>
      </c>
      <c r="B93" s="64" t="s">
        <v>100</v>
      </c>
      <c r="C93" s="102">
        <v>0</v>
      </c>
      <c r="D93" s="102">
        <v>0</v>
      </c>
      <c r="E93" s="102">
        <v>0</v>
      </c>
      <c r="F93" s="102">
        <v>0</v>
      </c>
      <c r="G93" s="102">
        <v>0</v>
      </c>
      <c r="H93" s="102">
        <v>0</v>
      </c>
      <c r="I93" s="102">
        <v>0</v>
      </c>
      <c r="J93" s="102">
        <v>0</v>
      </c>
      <c r="K93" s="102">
        <v>0</v>
      </c>
      <c r="L93" s="102">
        <v>0</v>
      </c>
      <c r="M93" s="102">
        <v>0</v>
      </c>
      <c r="N93" s="102">
        <v>0</v>
      </c>
      <c r="O93" s="102">
        <v>0</v>
      </c>
      <c r="P93" s="102">
        <v>0</v>
      </c>
      <c r="Q93" s="102">
        <v>0</v>
      </c>
      <c r="R93" s="102">
        <v>0</v>
      </c>
      <c r="S93" s="102">
        <v>0</v>
      </c>
      <c r="T93" s="102">
        <v>0</v>
      </c>
      <c r="U93" s="17">
        <f t="shared" si="5"/>
        <v>0</v>
      </c>
      <c r="V93" s="18">
        <f t="shared" si="6"/>
        <v>0</v>
      </c>
      <c r="W93" s="19">
        <f t="shared" si="4"/>
        <v>0</v>
      </c>
      <c r="X93" s="27"/>
      <c r="Y93" s="28"/>
    </row>
    <row r="94" spans="1:25" ht="29.25" thickBot="1">
      <c r="A94" s="53">
        <v>29</v>
      </c>
      <c r="B94" s="66" t="s">
        <v>101</v>
      </c>
      <c r="C94" s="102">
        <v>0</v>
      </c>
      <c r="D94" s="102">
        <v>0</v>
      </c>
      <c r="E94" s="102">
        <v>0</v>
      </c>
      <c r="F94" s="102">
        <v>0</v>
      </c>
      <c r="G94" s="102">
        <v>0</v>
      </c>
      <c r="H94" s="102">
        <v>0</v>
      </c>
      <c r="I94" s="102">
        <v>0</v>
      </c>
      <c r="J94" s="102">
        <v>0</v>
      </c>
      <c r="K94" s="102">
        <v>0</v>
      </c>
      <c r="L94" s="102">
        <v>0</v>
      </c>
      <c r="M94" s="102">
        <v>0</v>
      </c>
      <c r="N94" s="102">
        <v>0</v>
      </c>
      <c r="O94" s="102">
        <v>0</v>
      </c>
      <c r="P94" s="102">
        <v>0</v>
      </c>
      <c r="Q94" s="102">
        <v>0</v>
      </c>
      <c r="R94" s="102">
        <v>0</v>
      </c>
      <c r="S94" s="102">
        <v>0</v>
      </c>
      <c r="T94" s="102">
        <v>0</v>
      </c>
      <c r="U94" s="17">
        <f t="shared" si="5"/>
        <v>0</v>
      </c>
      <c r="V94" s="18">
        <f t="shared" si="6"/>
        <v>0</v>
      </c>
      <c r="W94" s="19">
        <f t="shared" si="4"/>
        <v>0</v>
      </c>
      <c r="X94" s="30"/>
      <c r="Y94" s="23"/>
    </row>
    <row r="95" spans="1:25" ht="29.25" thickBot="1">
      <c r="A95" s="53">
        <v>30</v>
      </c>
      <c r="B95" s="68" t="s">
        <v>102</v>
      </c>
      <c r="C95" s="102">
        <v>0</v>
      </c>
      <c r="D95" s="102">
        <v>0</v>
      </c>
      <c r="E95" s="102">
        <v>0</v>
      </c>
      <c r="F95" s="102">
        <v>0</v>
      </c>
      <c r="G95" s="102">
        <v>0</v>
      </c>
      <c r="H95" s="102">
        <v>0</v>
      </c>
      <c r="I95" s="102">
        <v>0</v>
      </c>
      <c r="J95" s="102">
        <v>0</v>
      </c>
      <c r="K95" s="102">
        <v>0</v>
      </c>
      <c r="L95" s="102">
        <v>0</v>
      </c>
      <c r="M95" s="102">
        <v>0</v>
      </c>
      <c r="N95" s="102">
        <v>0</v>
      </c>
      <c r="O95" s="102">
        <v>0</v>
      </c>
      <c r="P95" s="102">
        <v>0</v>
      </c>
      <c r="Q95" s="102">
        <v>0</v>
      </c>
      <c r="R95" s="102">
        <v>0</v>
      </c>
      <c r="S95" s="102">
        <v>0</v>
      </c>
      <c r="T95" s="102">
        <v>0</v>
      </c>
      <c r="U95" s="17">
        <f t="shared" si="5"/>
        <v>0</v>
      </c>
      <c r="V95" s="18">
        <f t="shared" si="6"/>
        <v>0</v>
      </c>
      <c r="W95" s="19">
        <f t="shared" si="4"/>
        <v>0</v>
      </c>
      <c r="X95" s="30"/>
      <c r="Y95" s="23"/>
    </row>
    <row r="96" spans="1:25" ht="29.25" thickBot="1">
      <c r="A96" s="53">
        <v>31</v>
      </c>
      <c r="B96" s="69" t="s">
        <v>103</v>
      </c>
      <c r="C96" s="102">
        <v>0</v>
      </c>
      <c r="D96" s="102">
        <v>0</v>
      </c>
      <c r="E96" s="102">
        <v>0</v>
      </c>
      <c r="F96" s="102">
        <v>0</v>
      </c>
      <c r="G96" s="102">
        <v>0</v>
      </c>
      <c r="H96" s="102">
        <v>0</v>
      </c>
      <c r="I96" s="102">
        <v>0</v>
      </c>
      <c r="J96" s="102">
        <v>0</v>
      </c>
      <c r="K96" s="102">
        <v>0</v>
      </c>
      <c r="L96" s="102">
        <v>0</v>
      </c>
      <c r="M96" s="102">
        <v>0</v>
      </c>
      <c r="N96" s="102">
        <v>0</v>
      </c>
      <c r="O96" s="102">
        <v>0</v>
      </c>
      <c r="P96" s="102">
        <v>0</v>
      </c>
      <c r="Q96" s="102">
        <v>0</v>
      </c>
      <c r="R96" s="102">
        <v>0</v>
      </c>
      <c r="S96" s="102">
        <v>0</v>
      </c>
      <c r="T96" s="102">
        <v>0</v>
      </c>
      <c r="U96" s="17">
        <f t="shared" si="5"/>
        <v>0</v>
      </c>
      <c r="V96" s="18">
        <f t="shared" si="6"/>
        <v>0</v>
      </c>
      <c r="W96" s="19">
        <f t="shared" si="4"/>
        <v>0</v>
      </c>
      <c r="X96" s="30"/>
      <c r="Y96" s="23"/>
    </row>
    <row r="97" spans="1:25" ht="29.25" thickBot="1">
      <c r="A97" s="53">
        <v>32</v>
      </c>
      <c r="B97" s="70" t="s">
        <v>104</v>
      </c>
      <c r="C97" s="102">
        <v>0</v>
      </c>
      <c r="D97" s="102">
        <v>0</v>
      </c>
      <c r="E97" s="102">
        <v>0</v>
      </c>
      <c r="F97" s="102">
        <v>0</v>
      </c>
      <c r="G97" s="102">
        <v>0</v>
      </c>
      <c r="H97" s="102">
        <v>0</v>
      </c>
      <c r="I97" s="102">
        <v>0</v>
      </c>
      <c r="J97" s="102">
        <v>0</v>
      </c>
      <c r="K97" s="102">
        <v>0</v>
      </c>
      <c r="L97" s="102">
        <v>0</v>
      </c>
      <c r="M97" s="102">
        <v>0</v>
      </c>
      <c r="N97" s="102">
        <v>0</v>
      </c>
      <c r="O97" s="102">
        <v>0</v>
      </c>
      <c r="P97" s="102">
        <v>0</v>
      </c>
      <c r="Q97" s="102">
        <v>0</v>
      </c>
      <c r="R97" s="102">
        <v>0</v>
      </c>
      <c r="S97" s="102">
        <v>0</v>
      </c>
      <c r="T97" s="102">
        <v>0</v>
      </c>
      <c r="U97" s="17">
        <f t="shared" si="5"/>
        <v>0</v>
      </c>
      <c r="V97" s="18">
        <f t="shared" si="6"/>
        <v>0</v>
      </c>
      <c r="W97" s="19">
        <f t="shared" si="4"/>
        <v>0</v>
      </c>
      <c r="X97" s="30"/>
      <c r="Y97" s="35"/>
    </row>
    <row r="98" spans="1:25" ht="29.25" thickBot="1">
      <c r="A98" s="53">
        <v>33</v>
      </c>
      <c r="B98" s="66" t="s">
        <v>105</v>
      </c>
      <c r="C98" s="102">
        <v>0</v>
      </c>
      <c r="D98" s="102">
        <v>0</v>
      </c>
      <c r="E98" s="102">
        <v>0</v>
      </c>
      <c r="F98" s="102">
        <v>0</v>
      </c>
      <c r="G98" s="102">
        <v>0</v>
      </c>
      <c r="H98" s="102">
        <v>0</v>
      </c>
      <c r="I98" s="102">
        <v>0</v>
      </c>
      <c r="J98" s="102">
        <v>0</v>
      </c>
      <c r="K98" s="102">
        <v>0</v>
      </c>
      <c r="L98" s="102">
        <v>0</v>
      </c>
      <c r="M98" s="102">
        <v>0</v>
      </c>
      <c r="N98" s="102">
        <v>0</v>
      </c>
      <c r="O98" s="102">
        <v>0</v>
      </c>
      <c r="P98" s="102">
        <v>0</v>
      </c>
      <c r="Q98" s="102">
        <v>0</v>
      </c>
      <c r="R98" s="102">
        <v>0</v>
      </c>
      <c r="S98" s="102">
        <v>0</v>
      </c>
      <c r="T98" s="102">
        <v>0</v>
      </c>
      <c r="U98" s="17">
        <f t="shared" si="5"/>
        <v>0</v>
      </c>
      <c r="V98" s="18">
        <f t="shared" si="6"/>
        <v>0</v>
      </c>
      <c r="W98" s="19">
        <f t="shared" ref="W98:W114" si="7">AVERAGE(C98:T98)/100*18</f>
        <v>0</v>
      </c>
      <c r="X98" s="30"/>
      <c r="Y98" s="35"/>
    </row>
    <row r="99" spans="1:25" ht="29.25" thickBot="1">
      <c r="A99" s="53">
        <v>34</v>
      </c>
      <c r="B99" s="70" t="s">
        <v>106</v>
      </c>
      <c r="C99" s="102">
        <v>0</v>
      </c>
      <c r="D99" s="102">
        <v>0</v>
      </c>
      <c r="E99" s="102">
        <v>0</v>
      </c>
      <c r="F99" s="102">
        <v>0</v>
      </c>
      <c r="G99" s="102">
        <v>0</v>
      </c>
      <c r="H99" s="102">
        <v>0</v>
      </c>
      <c r="I99" s="102">
        <v>0</v>
      </c>
      <c r="J99" s="102">
        <v>0</v>
      </c>
      <c r="K99" s="102">
        <v>0</v>
      </c>
      <c r="L99" s="102">
        <v>0</v>
      </c>
      <c r="M99" s="102">
        <v>0</v>
      </c>
      <c r="N99" s="102">
        <v>0</v>
      </c>
      <c r="O99" s="102">
        <v>0</v>
      </c>
      <c r="P99" s="102">
        <v>0</v>
      </c>
      <c r="Q99" s="102">
        <v>0</v>
      </c>
      <c r="R99" s="102">
        <v>0</v>
      </c>
      <c r="S99" s="102">
        <v>0</v>
      </c>
      <c r="T99" s="102">
        <v>0</v>
      </c>
      <c r="U99" s="17">
        <f t="shared" si="5"/>
        <v>0</v>
      </c>
      <c r="V99" s="18">
        <f t="shared" si="6"/>
        <v>0</v>
      </c>
      <c r="W99" s="19">
        <f t="shared" si="7"/>
        <v>0</v>
      </c>
      <c r="X99" s="30"/>
      <c r="Y99" s="35"/>
    </row>
    <row r="100" spans="1:25" ht="29.25" thickBot="1">
      <c r="A100" s="53">
        <v>35</v>
      </c>
      <c r="B100" s="71" t="s">
        <v>107</v>
      </c>
      <c r="C100" s="102">
        <v>0</v>
      </c>
      <c r="D100" s="102">
        <v>0</v>
      </c>
      <c r="E100" s="102">
        <v>0</v>
      </c>
      <c r="F100" s="102">
        <v>0</v>
      </c>
      <c r="G100" s="102">
        <v>0</v>
      </c>
      <c r="H100" s="102">
        <v>0</v>
      </c>
      <c r="I100" s="102">
        <v>0</v>
      </c>
      <c r="J100" s="102">
        <v>0</v>
      </c>
      <c r="K100" s="102">
        <v>0</v>
      </c>
      <c r="L100" s="102">
        <v>0</v>
      </c>
      <c r="M100" s="102">
        <v>0</v>
      </c>
      <c r="N100" s="102">
        <v>0</v>
      </c>
      <c r="O100" s="102">
        <v>0</v>
      </c>
      <c r="P100" s="102">
        <v>0</v>
      </c>
      <c r="Q100" s="102">
        <v>0</v>
      </c>
      <c r="R100" s="102">
        <v>0</v>
      </c>
      <c r="S100" s="102">
        <v>0</v>
      </c>
      <c r="T100" s="102">
        <v>0</v>
      </c>
      <c r="U100" s="17">
        <f t="shared" si="5"/>
        <v>0</v>
      </c>
      <c r="V100" s="18">
        <f t="shared" si="6"/>
        <v>0</v>
      </c>
      <c r="W100" s="19">
        <f t="shared" si="7"/>
        <v>0</v>
      </c>
      <c r="X100" s="30"/>
      <c r="Y100" s="35"/>
    </row>
    <row r="101" spans="1:25" ht="29.25" thickBot="1">
      <c r="A101" s="53">
        <v>36</v>
      </c>
      <c r="B101" s="70" t="s">
        <v>108</v>
      </c>
      <c r="C101" s="102">
        <v>0</v>
      </c>
      <c r="D101" s="102">
        <v>0</v>
      </c>
      <c r="E101" s="102">
        <v>0</v>
      </c>
      <c r="F101" s="102">
        <v>0</v>
      </c>
      <c r="G101" s="102">
        <v>0</v>
      </c>
      <c r="H101" s="102">
        <v>0</v>
      </c>
      <c r="I101" s="102">
        <v>0</v>
      </c>
      <c r="J101" s="102">
        <v>0</v>
      </c>
      <c r="K101" s="102">
        <v>0</v>
      </c>
      <c r="L101" s="102">
        <v>0</v>
      </c>
      <c r="M101" s="102">
        <v>0</v>
      </c>
      <c r="N101" s="102">
        <v>0</v>
      </c>
      <c r="O101" s="102">
        <v>0</v>
      </c>
      <c r="P101" s="102">
        <v>0</v>
      </c>
      <c r="Q101" s="102">
        <v>0</v>
      </c>
      <c r="R101" s="102">
        <v>0</v>
      </c>
      <c r="S101" s="102">
        <v>0</v>
      </c>
      <c r="T101" s="102">
        <v>0</v>
      </c>
      <c r="U101" s="17">
        <f t="shared" si="5"/>
        <v>0</v>
      </c>
      <c r="V101" s="18">
        <f t="shared" si="6"/>
        <v>0</v>
      </c>
      <c r="W101" s="19">
        <f t="shared" si="7"/>
        <v>0</v>
      </c>
      <c r="X101" s="30"/>
      <c r="Y101" s="35"/>
    </row>
    <row r="102" spans="1:25" ht="29.25" thickBot="1">
      <c r="A102" s="53">
        <v>37</v>
      </c>
      <c r="B102" s="52" t="s">
        <v>109</v>
      </c>
      <c r="C102" s="102">
        <v>0</v>
      </c>
      <c r="D102" s="102">
        <v>0</v>
      </c>
      <c r="E102" s="102">
        <v>0</v>
      </c>
      <c r="F102" s="102">
        <v>0</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7">
        <f t="shared" si="5"/>
        <v>0</v>
      </c>
      <c r="V102" s="18">
        <f t="shared" si="6"/>
        <v>0</v>
      </c>
      <c r="W102" s="19">
        <f t="shared" si="7"/>
        <v>0</v>
      </c>
      <c r="X102" s="30"/>
      <c r="Y102" s="23"/>
    </row>
    <row r="103" spans="1:25" ht="29.25" thickBot="1">
      <c r="A103" s="53">
        <v>38</v>
      </c>
      <c r="B103" s="52" t="s">
        <v>110</v>
      </c>
      <c r="C103" s="102">
        <v>0</v>
      </c>
      <c r="D103" s="102">
        <v>0</v>
      </c>
      <c r="E103" s="102">
        <v>0</v>
      </c>
      <c r="F103" s="102">
        <v>0</v>
      </c>
      <c r="G103" s="102">
        <v>0</v>
      </c>
      <c r="H103" s="102">
        <v>0</v>
      </c>
      <c r="I103" s="102">
        <v>0</v>
      </c>
      <c r="J103" s="102">
        <v>0</v>
      </c>
      <c r="K103" s="102">
        <v>0</v>
      </c>
      <c r="L103" s="102">
        <v>0</v>
      </c>
      <c r="M103" s="102">
        <v>0</v>
      </c>
      <c r="N103" s="102">
        <v>0</v>
      </c>
      <c r="O103" s="102">
        <v>0</v>
      </c>
      <c r="P103" s="102">
        <v>0</v>
      </c>
      <c r="Q103" s="102">
        <v>0</v>
      </c>
      <c r="R103" s="102">
        <v>0</v>
      </c>
      <c r="S103" s="102">
        <v>0</v>
      </c>
      <c r="T103" s="102">
        <v>0</v>
      </c>
      <c r="U103" s="17">
        <f t="shared" si="5"/>
        <v>0</v>
      </c>
      <c r="V103" s="18">
        <f t="shared" si="6"/>
        <v>0</v>
      </c>
      <c r="W103" s="19">
        <f t="shared" si="7"/>
        <v>0</v>
      </c>
      <c r="X103" s="30"/>
      <c r="Y103" s="35"/>
    </row>
    <row r="104" spans="1:25" ht="29.25" thickBot="1">
      <c r="A104" s="53">
        <v>39</v>
      </c>
      <c r="B104" s="52" t="s">
        <v>111</v>
      </c>
      <c r="C104" s="102">
        <v>0</v>
      </c>
      <c r="D104" s="102">
        <v>0</v>
      </c>
      <c r="E104" s="102">
        <v>0</v>
      </c>
      <c r="F104" s="102">
        <v>0</v>
      </c>
      <c r="G104" s="102">
        <v>0</v>
      </c>
      <c r="H104" s="102">
        <v>0</v>
      </c>
      <c r="I104" s="102">
        <v>0</v>
      </c>
      <c r="J104" s="102">
        <v>0</v>
      </c>
      <c r="K104" s="102">
        <v>0</v>
      </c>
      <c r="L104" s="102">
        <v>0</v>
      </c>
      <c r="M104" s="102">
        <v>0</v>
      </c>
      <c r="N104" s="102">
        <v>0</v>
      </c>
      <c r="O104" s="102">
        <v>0</v>
      </c>
      <c r="P104" s="102">
        <v>0</v>
      </c>
      <c r="Q104" s="102">
        <v>0</v>
      </c>
      <c r="R104" s="102">
        <v>0</v>
      </c>
      <c r="S104" s="102">
        <v>0</v>
      </c>
      <c r="T104" s="102">
        <v>0</v>
      </c>
      <c r="U104" s="17">
        <f t="shared" si="5"/>
        <v>0</v>
      </c>
      <c r="V104" s="18">
        <f t="shared" si="6"/>
        <v>0</v>
      </c>
      <c r="W104" s="19">
        <f t="shared" si="7"/>
        <v>0</v>
      </c>
      <c r="X104" s="30"/>
      <c r="Y104" s="35"/>
    </row>
    <row r="105" spans="1:25" ht="29.25" thickBot="1">
      <c r="A105" s="53">
        <v>40</v>
      </c>
      <c r="B105" s="52" t="s">
        <v>112</v>
      </c>
      <c r="C105" s="102">
        <v>0</v>
      </c>
      <c r="D105" s="102">
        <v>0</v>
      </c>
      <c r="E105" s="102">
        <v>0</v>
      </c>
      <c r="F105" s="102">
        <v>0</v>
      </c>
      <c r="G105" s="102">
        <v>0</v>
      </c>
      <c r="H105" s="102">
        <v>0</v>
      </c>
      <c r="I105" s="102">
        <v>0</v>
      </c>
      <c r="J105" s="102">
        <v>0</v>
      </c>
      <c r="K105" s="102">
        <v>0</v>
      </c>
      <c r="L105" s="102">
        <v>0</v>
      </c>
      <c r="M105" s="102">
        <v>0</v>
      </c>
      <c r="N105" s="102">
        <v>0</v>
      </c>
      <c r="O105" s="102">
        <v>0</v>
      </c>
      <c r="P105" s="102">
        <v>0</v>
      </c>
      <c r="Q105" s="102">
        <v>0</v>
      </c>
      <c r="R105" s="102">
        <v>0</v>
      </c>
      <c r="S105" s="102">
        <v>0</v>
      </c>
      <c r="T105" s="102">
        <v>0</v>
      </c>
      <c r="U105" s="17">
        <f t="shared" si="5"/>
        <v>0</v>
      </c>
      <c r="V105" s="18">
        <f t="shared" si="6"/>
        <v>0</v>
      </c>
      <c r="W105" s="19">
        <f t="shared" si="7"/>
        <v>0</v>
      </c>
      <c r="X105" s="30"/>
      <c r="Y105" s="35"/>
    </row>
    <row r="106" spans="1:25" ht="29.25" thickBot="1">
      <c r="A106" s="53">
        <v>41</v>
      </c>
      <c r="B106" s="71" t="s">
        <v>113</v>
      </c>
      <c r="C106" s="102">
        <v>0</v>
      </c>
      <c r="D106" s="102">
        <v>0</v>
      </c>
      <c r="E106" s="102">
        <v>0</v>
      </c>
      <c r="F106" s="102">
        <v>0</v>
      </c>
      <c r="G106" s="102">
        <v>0</v>
      </c>
      <c r="H106" s="102">
        <v>0</v>
      </c>
      <c r="I106" s="102">
        <v>0</v>
      </c>
      <c r="J106" s="102">
        <v>0</v>
      </c>
      <c r="K106" s="102">
        <v>0</v>
      </c>
      <c r="L106" s="102">
        <v>0</v>
      </c>
      <c r="M106" s="102">
        <v>0</v>
      </c>
      <c r="N106" s="102">
        <v>0</v>
      </c>
      <c r="O106" s="102">
        <v>0</v>
      </c>
      <c r="P106" s="102">
        <v>0</v>
      </c>
      <c r="Q106" s="102">
        <v>0</v>
      </c>
      <c r="R106" s="102">
        <v>0</v>
      </c>
      <c r="S106" s="102">
        <v>0</v>
      </c>
      <c r="T106" s="102">
        <v>0</v>
      </c>
      <c r="U106" s="17">
        <f t="shared" si="5"/>
        <v>0</v>
      </c>
      <c r="V106" s="18">
        <f t="shared" si="6"/>
        <v>0</v>
      </c>
      <c r="W106" s="19">
        <f t="shared" si="7"/>
        <v>0</v>
      </c>
      <c r="X106" s="30"/>
      <c r="Y106" s="23"/>
    </row>
    <row r="107" spans="1:25" ht="29.25" thickBot="1">
      <c r="A107" s="53">
        <v>42</v>
      </c>
      <c r="B107" s="52" t="s">
        <v>114</v>
      </c>
      <c r="C107" s="102">
        <v>0</v>
      </c>
      <c r="D107" s="102">
        <v>0</v>
      </c>
      <c r="E107" s="102">
        <v>0</v>
      </c>
      <c r="F107" s="102">
        <v>0</v>
      </c>
      <c r="G107" s="102">
        <v>0</v>
      </c>
      <c r="H107" s="102">
        <v>0</v>
      </c>
      <c r="I107" s="102">
        <v>0</v>
      </c>
      <c r="J107" s="102">
        <v>0</v>
      </c>
      <c r="K107" s="102">
        <v>0</v>
      </c>
      <c r="L107" s="102">
        <v>0</v>
      </c>
      <c r="M107" s="102">
        <v>0</v>
      </c>
      <c r="N107" s="102">
        <v>0</v>
      </c>
      <c r="O107" s="102">
        <v>0</v>
      </c>
      <c r="P107" s="102">
        <v>0</v>
      </c>
      <c r="Q107" s="102">
        <v>0</v>
      </c>
      <c r="R107" s="102">
        <v>0</v>
      </c>
      <c r="S107" s="102">
        <v>0</v>
      </c>
      <c r="T107" s="102">
        <v>0</v>
      </c>
      <c r="U107" s="17">
        <f t="shared" si="5"/>
        <v>0</v>
      </c>
      <c r="V107" s="18">
        <f t="shared" si="6"/>
        <v>0</v>
      </c>
      <c r="W107" s="19">
        <f t="shared" si="7"/>
        <v>0</v>
      </c>
      <c r="X107" s="30"/>
      <c r="Y107" s="35"/>
    </row>
    <row r="108" spans="1:25" ht="29.25" thickBot="1">
      <c r="A108" s="53">
        <v>43</v>
      </c>
      <c r="B108" s="62" t="s">
        <v>115</v>
      </c>
      <c r="C108" s="102">
        <v>0</v>
      </c>
      <c r="D108" s="102">
        <v>0</v>
      </c>
      <c r="E108" s="102">
        <v>0</v>
      </c>
      <c r="F108" s="102">
        <v>0</v>
      </c>
      <c r="G108" s="102">
        <v>0</v>
      </c>
      <c r="H108" s="102">
        <v>0</v>
      </c>
      <c r="I108" s="102">
        <v>0</v>
      </c>
      <c r="J108" s="102">
        <v>0</v>
      </c>
      <c r="K108" s="102">
        <v>0</v>
      </c>
      <c r="L108" s="102">
        <v>0</v>
      </c>
      <c r="M108" s="102">
        <v>0</v>
      </c>
      <c r="N108" s="102">
        <v>0</v>
      </c>
      <c r="O108" s="102">
        <v>0</v>
      </c>
      <c r="P108" s="102">
        <v>0</v>
      </c>
      <c r="Q108" s="102">
        <v>0</v>
      </c>
      <c r="R108" s="102">
        <v>0</v>
      </c>
      <c r="S108" s="102">
        <v>0</v>
      </c>
      <c r="T108" s="102">
        <v>0</v>
      </c>
      <c r="U108" s="17">
        <f t="shared" si="5"/>
        <v>0</v>
      </c>
      <c r="V108" s="18">
        <f t="shared" si="6"/>
        <v>0</v>
      </c>
      <c r="W108" s="19">
        <f t="shared" si="7"/>
        <v>0</v>
      </c>
      <c r="X108" s="32"/>
      <c r="Y108" s="33"/>
    </row>
    <row r="109" spans="1:25" ht="29.25" customHeight="1" thickBot="1">
      <c r="A109" s="53">
        <v>44</v>
      </c>
      <c r="B109" s="61" t="s">
        <v>116</v>
      </c>
      <c r="C109" s="102">
        <v>0</v>
      </c>
      <c r="D109" s="102">
        <v>0</v>
      </c>
      <c r="E109" s="102">
        <v>0</v>
      </c>
      <c r="F109" s="102">
        <v>0</v>
      </c>
      <c r="G109" s="102">
        <v>0</v>
      </c>
      <c r="H109" s="102">
        <v>0</v>
      </c>
      <c r="I109" s="102">
        <v>0</v>
      </c>
      <c r="J109" s="102">
        <v>0</v>
      </c>
      <c r="K109" s="102">
        <v>0</v>
      </c>
      <c r="L109" s="102">
        <v>0</v>
      </c>
      <c r="M109" s="102">
        <v>0</v>
      </c>
      <c r="N109" s="102">
        <v>0</v>
      </c>
      <c r="O109" s="102">
        <v>0</v>
      </c>
      <c r="P109" s="102">
        <v>0</v>
      </c>
      <c r="Q109" s="102">
        <v>0</v>
      </c>
      <c r="R109" s="102">
        <v>0</v>
      </c>
      <c r="S109" s="102">
        <v>0</v>
      </c>
      <c r="T109" s="102">
        <v>0</v>
      </c>
      <c r="U109" s="17">
        <f t="shared" si="5"/>
        <v>0</v>
      </c>
      <c r="V109" s="18">
        <f t="shared" si="6"/>
        <v>0</v>
      </c>
      <c r="W109" s="19">
        <f t="shared" si="7"/>
        <v>0</v>
      </c>
      <c r="X109" s="27"/>
      <c r="Y109" s="28"/>
    </row>
    <row r="110" spans="1:25" ht="29.25" thickBot="1">
      <c r="A110" s="53">
        <v>45</v>
      </c>
      <c r="B110" s="52" t="s">
        <v>117</v>
      </c>
      <c r="C110" s="102">
        <v>0</v>
      </c>
      <c r="D110" s="102">
        <v>0</v>
      </c>
      <c r="E110" s="102">
        <v>0</v>
      </c>
      <c r="F110" s="102">
        <v>0</v>
      </c>
      <c r="G110" s="102">
        <v>0</v>
      </c>
      <c r="H110" s="102">
        <v>0</v>
      </c>
      <c r="I110" s="102">
        <v>0</v>
      </c>
      <c r="J110" s="102">
        <v>0</v>
      </c>
      <c r="K110" s="102">
        <v>0</v>
      </c>
      <c r="L110" s="102">
        <v>0</v>
      </c>
      <c r="M110" s="102">
        <v>0</v>
      </c>
      <c r="N110" s="102">
        <v>0</v>
      </c>
      <c r="O110" s="102">
        <v>0</v>
      </c>
      <c r="P110" s="102">
        <v>0</v>
      </c>
      <c r="Q110" s="102">
        <v>0</v>
      </c>
      <c r="R110" s="102">
        <v>0</v>
      </c>
      <c r="S110" s="102">
        <v>0</v>
      </c>
      <c r="T110" s="102">
        <v>0</v>
      </c>
      <c r="U110" s="17">
        <f t="shared" si="5"/>
        <v>0</v>
      </c>
      <c r="V110" s="18">
        <f t="shared" si="6"/>
        <v>0</v>
      </c>
      <c r="W110" s="19">
        <f t="shared" si="7"/>
        <v>0</v>
      </c>
      <c r="X110" s="30"/>
      <c r="Y110" s="35"/>
    </row>
    <row r="111" spans="1:25" ht="29.25" thickBot="1">
      <c r="A111" s="53">
        <v>46</v>
      </c>
      <c r="B111" s="52" t="s">
        <v>118</v>
      </c>
      <c r="C111" s="102">
        <v>0</v>
      </c>
      <c r="D111" s="102">
        <v>0</v>
      </c>
      <c r="E111" s="102">
        <v>0</v>
      </c>
      <c r="F111" s="102">
        <v>0</v>
      </c>
      <c r="G111" s="102">
        <v>0</v>
      </c>
      <c r="H111" s="102">
        <v>0</v>
      </c>
      <c r="I111" s="102">
        <v>0</v>
      </c>
      <c r="J111" s="102">
        <v>0</v>
      </c>
      <c r="K111" s="102">
        <v>0</v>
      </c>
      <c r="L111" s="102">
        <v>0</v>
      </c>
      <c r="M111" s="102">
        <v>0</v>
      </c>
      <c r="N111" s="102">
        <v>0</v>
      </c>
      <c r="O111" s="102">
        <v>0</v>
      </c>
      <c r="P111" s="102">
        <v>0</v>
      </c>
      <c r="Q111" s="102">
        <v>0</v>
      </c>
      <c r="R111" s="102">
        <v>0</v>
      </c>
      <c r="S111" s="102">
        <v>0</v>
      </c>
      <c r="T111" s="102">
        <v>0</v>
      </c>
      <c r="U111" s="17">
        <f t="shared" si="5"/>
        <v>0</v>
      </c>
      <c r="V111" s="18">
        <f t="shared" si="6"/>
        <v>0</v>
      </c>
      <c r="W111" s="19">
        <f t="shared" si="7"/>
        <v>0</v>
      </c>
      <c r="X111" s="30"/>
      <c r="Y111" s="23"/>
    </row>
    <row r="112" spans="1:25" ht="29.25" thickBot="1">
      <c r="A112" s="53">
        <v>47</v>
      </c>
      <c r="B112" s="52" t="s">
        <v>119</v>
      </c>
      <c r="C112" s="102">
        <v>0</v>
      </c>
      <c r="D112" s="102">
        <v>0</v>
      </c>
      <c r="E112" s="102">
        <v>0</v>
      </c>
      <c r="F112" s="102">
        <v>0</v>
      </c>
      <c r="G112" s="102">
        <v>0</v>
      </c>
      <c r="H112" s="102">
        <v>0</v>
      </c>
      <c r="I112" s="102">
        <v>0</v>
      </c>
      <c r="J112" s="102">
        <v>0</v>
      </c>
      <c r="K112" s="102">
        <v>0</v>
      </c>
      <c r="L112" s="102">
        <v>0</v>
      </c>
      <c r="M112" s="102">
        <v>0</v>
      </c>
      <c r="N112" s="102">
        <v>0</v>
      </c>
      <c r="O112" s="102">
        <v>0</v>
      </c>
      <c r="P112" s="102">
        <v>0</v>
      </c>
      <c r="Q112" s="102">
        <v>0</v>
      </c>
      <c r="R112" s="102">
        <v>0</v>
      </c>
      <c r="S112" s="102">
        <v>0</v>
      </c>
      <c r="T112" s="102">
        <v>0</v>
      </c>
      <c r="U112" s="17">
        <f t="shared" si="5"/>
        <v>0</v>
      </c>
      <c r="V112" s="18">
        <f t="shared" si="6"/>
        <v>0</v>
      </c>
      <c r="W112" s="19">
        <f t="shared" si="7"/>
        <v>0</v>
      </c>
      <c r="X112" s="30"/>
      <c r="Y112" s="23"/>
    </row>
    <row r="113" spans="1:25" ht="29.25" thickBot="1">
      <c r="A113" s="53">
        <v>48</v>
      </c>
      <c r="B113" s="52" t="s">
        <v>120</v>
      </c>
      <c r="C113" s="102">
        <v>0</v>
      </c>
      <c r="D113" s="102">
        <v>0</v>
      </c>
      <c r="E113" s="102">
        <v>0</v>
      </c>
      <c r="F113" s="102">
        <v>0</v>
      </c>
      <c r="G113" s="102">
        <v>0</v>
      </c>
      <c r="H113" s="102">
        <v>0</v>
      </c>
      <c r="I113" s="102">
        <v>0</v>
      </c>
      <c r="J113" s="102">
        <v>0</v>
      </c>
      <c r="K113" s="102">
        <v>0</v>
      </c>
      <c r="L113" s="102">
        <v>0</v>
      </c>
      <c r="M113" s="102">
        <v>0</v>
      </c>
      <c r="N113" s="102">
        <v>0</v>
      </c>
      <c r="O113" s="102">
        <v>0</v>
      </c>
      <c r="P113" s="102">
        <v>0</v>
      </c>
      <c r="Q113" s="102">
        <v>0</v>
      </c>
      <c r="R113" s="102">
        <v>0</v>
      </c>
      <c r="S113" s="102">
        <v>0</v>
      </c>
      <c r="T113" s="102">
        <v>0</v>
      </c>
      <c r="U113" s="17">
        <f t="shared" si="5"/>
        <v>0</v>
      </c>
      <c r="V113" s="18">
        <f t="shared" si="6"/>
        <v>0</v>
      </c>
      <c r="W113" s="19">
        <f t="shared" si="7"/>
        <v>0</v>
      </c>
      <c r="X113" s="30"/>
      <c r="Y113" s="23"/>
    </row>
    <row r="114" spans="1:25">
      <c r="A114" s="53">
        <v>49</v>
      </c>
      <c r="B114" s="52" t="s">
        <v>121</v>
      </c>
      <c r="C114" s="102">
        <v>0</v>
      </c>
      <c r="D114" s="102">
        <v>0</v>
      </c>
      <c r="E114" s="102">
        <v>0</v>
      </c>
      <c r="F114" s="102">
        <v>0</v>
      </c>
      <c r="G114" s="102">
        <v>0</v>
      </c>
      <c r="H114" s="102">
        <v>0</v>
      </c>
      <c r="I114" s="102">
        <v>0</v>
      </c>
      <c r="J114" s="102">
        <v>0</v>
      </c>
      <c r="K114" s="102">
        <v>0</v>
      </c>
      <c r="L114" s="102">
        <v>0</v>
      </c>
      <c r="M114" s="102">
        <v>0</v>
      </c>
      <c r="N114" s="102">
        <v>0</v>
      </c>
      <c r="O114" s="102">
        <v>0</v>
      </c>
      <c r="P114" s="102">
        <v>0</v>
      </c>
      <c r="Q114" s="102">
        <v>0</v>
      </c>
      <c r="R114" s="102">
        <v>0</v>
      </c>
      <c r="S114" s="102">
        <v>0</v>
      </c>
      <c r="T114" s="102">
        <v>0</v>
      </c>
      <c r="U114" s="17">
        <f t="shared" si="5"/>
        <v>0</v>
      </c>
      <c r="V114" s="18">
        <f t="shared" si="6"/>
        <v>0</v>
      </c>
      <c r="W114" s="19">
        <f t="shared" si="7"/>
        <v>0</v>
      </c>
      <c r="X114" s="30"/>
      <c r="Y114" s="35"/>
    </row>
  </sheetData>
  <mergeCells count="15">
    <mergeCell ref="A60:Y62"/>
    <mergeCell ref="A1:Y4"/>
    <mergeCell ref="Y63:Y64"/>
    <mergeCell ref="E58:G58"/>
    <mergeCell ref="X5:X6"/>
    <mergeCell ref="Y5:Y6"/>
    <mergeCell ref="B5:B6"/>
    <mergeCell ref="U5:U6"/>
    <mergeCell ref="V5:V6"/>
    <mergeCell ref="W5:W6"/>
    <mergeCell ref="B63:B64"/>
    <mergeCell ref="U63:U64"/>
    <mergeCell ref="V63:V64"/>
    <mergeCell ref="W63:W64"/>
    <mergeCell ref="X63:X64"/>
  </mergeCells>
  <conditionalFormatting sqref="C8:T37">
    <cfRule type="cellIs" dxfId="45" priority="149" operator="between">
      <formula>1</formula>
      <formula>50</formula>
    </cfRule>
  </conditionalFormatting>
  <conditionalFormatting sqref="C8:T56">
    <cfRule type="cellIs" dxfId="44" priority="73" operator="equal">
      <formula>100</formula>
    </cfRule>
    <cfRule type="cellIs" dxfId="43" priority="70" operator="equal">
      <formula>0</formula>
    </cfRule>
    <cfRule type="cellIs" dxfId="42" priority="55" operator="equal">
      <formula>8</formula>
    </cfRule>
    <cfRule type="cellIs" dxfId="41" priority="56" operator="between">
      <formula>4</formula>
      <formula>7</formula>
    </cfRule>
    <cfRule type="cellIs" dxfId="40" priority="57" operator="between">
      <formula>1</formula>
      <formula>3</formula>
    </cfRule>
    <cfRule type="cellIs" dxfId="39" priority="83" operator="between">
      <formula>50</formula>
      <formula>99</formula>
    </cfRule>
  </conditionalFormatting>
  <conditionalFormatting sqref="C38:T43 D39:T47 C43:C47 C46:T56">
    <cfRule type="cellIs" dxfId="38" priority="165" operator="between">
      <formula>1</formula>
      <formula>50</formula>
    </cfRule>
  </conditionalFormatting>
  <conditionalFormatting sqref="C44:T45">
    <cfRule type="cellIs" dxfId="37" priority="84" operator="between">
      <formula>1</formula>
      <formula>50</formula>
    </cfRule>
  </conditionalFormatting>
  <conditionalFormatting sqref="C51:T53">
    <cfRule type="cellIs" dxfId="36" priority="71" operator="between">
      <formula>50</formula>
      <formula>99</formula>
    </cfRule>
    <cfRule type="cellIs" dxfId="35" priority="72" operator="between">
      <formula>1</formula>
      <formula>50</formula>
    </cfRule>
  </conditionalFormatting>
  <conditionalFormatting sqref="C55:T56">
    <cfRule type="cellIs" dxfId="34" priority="63" stopIfTrue="1" operator="between">
      <formula>4</formula>
      <formula>7</formula>
    </cfRule>
    <cfRule type="cellIs" dxfId="33" priority="64" stopIfTrue="1" operator="between">
      <formula>1</formula>
      <formula>3</formula>
    </cfRule>
    <cfRule type="cellIs" dxfId="32" priority="65" stopIfTrue="1" operator="equal">
      <formula>8</formula>
    </cfRule>
    <cfRule type="cellIs" dxfId="31" priority="62" stopIfTrue="1" operator="equal">
      <formula>0</formula>
    </cfRule>
  </conditionalFormatting>
  <conditionalFormatting sqref="C66:T114">
    <cfRule type="cellIs" dxfId="30" priority="10" operator="between">
      <formula>1</formula>
      <formula>3</formula>
    </cfRule>
    <cfRule type="cellIs" dxfId="29" priority="11" stopIfTrue="1" operator="equal">
      <formula>0</formula>
    </cfRule>
    <cfRule type="cellIs" dxfId="28" priority="12" stopIfTrue="1" operator="between">
      <formula>4</formula>
      <formula>7</formula>
    </cfRule>
    <cfRule type="cellIs" dxfId="27" priority="13" stopIfTrue="1" operator="between">
      <formula>1</formula>
      <formula>3</formula>
    </cfRule>
    <cfRule type="cellIs" dxfId="26" priority="14" stopIfTrue="1" operator="equal">
      <formula>8</formula>
    </cfRule>
    <cfRule type="cellIs" dxfId="25" priority="8" operator="equal">
      <formula>8</formula>
    </cfRule>
    <cfRule type="cellIs" dxfId="24" priority="9" operator="between">
      <formula>4</formula>
      <formula>7</formula>
    </cfRule>
  </conditionalFormatting>
  <conditionalFormatting sqref="D39:T47 C43:C47">
    <cfRule type="cellIs" dxfId="23" priority="163" operator="equal">
      <formula>0</formula>
    </cfRule>
    <cfRule type="cellIs" dxfId="22" priority="164" operator="between">
      <formula>50</formula>
      <formula>99</formula>
    </cfRule>
    <cfRule type="cellIs" dxfId="21" priority="166" operator="equal">
      <formula>100</formula>
    </cfRule>
  </conditionalFormatting>
  <conditionalFormatting sqref="U8:V56">
    <cfRule type="dataBar" priority="203">
      <dataBar>
        <cfvo type="min"/>
        <cfvo type="max"/>
        <color rgb="FFFFB628"/>
      </dataBar>
      <extLst>
        <ext xmlns:x14="http://schemas.microsoft.com/office/spreadsheetml/2009/9/main" uri="{B025F937-C7B1-47D3-B67F-A62EFF666E3E}">
          <x14:id>{051FDCA5-35C3-4D1F-B48F-A3ACE68955BD}</x14:id>
        </ext>
      </extLst>
    </cfRule>
  </conditionalFormatting>
  <conditionalFormatting sqref="U66:V114">
    <cfRule type="dataBar" priority="145">
      <dataBar>
        <cfvo type="min"/>
        <cfvo type="max"/>
        <color rgb="FFFFB628"/>
      </dataBar>
      <extLst>
        <ext xmlns:x14="http://schemas.microsoft.com/office/spreadsheetml/2009/9/main" uri="{B025F937-C7B1-47D3-B67F-A62EFF666E3E}">
          <x14:id>{BDC747CE-670E-4E39-8A47-EB9576EDE7D8}</x14:id>
        </ext>
      </extLst>
    </cfRule>
  </conditionalFormatting>
  <conditionalFormatting sqref="V8:V56">
    <cfRule type="iconSet" priority="199">
      <iconSet iconSet="3Symbols2">
        <cfvo type="percent" val="0"/>
        <cfvo type="percent" val="33"/>
        <cfvo type="percent" val="67"/>
      </iconSet>
    </cfRule>
    <cfRule type="dataBar" priority="200">
      <dataBar>
        <cfvo type="min"/>
        <cfvo type="max"/>
        <color rgb="FFFFB628"/>
      </dataBar>
      <extLst>
        <ext xmlns:x14="http://schemas.microsoft.com/office/spreadsheetml/2009/9/main" uri="{B025F937-C7B1-47D3-B67F-A62EFF666E3E}">
          <x14:id>{E16F83C6-D6F9-454A-B4B3-BAB74202A47D}</x14:id>
        </ext>
      </extLst>
    </cfRule>
    <cfRule type="cellIs" dxfId="20" priority="201" stopIfTrue="1" operator="equal">
      <formula>1</formula>
    </cfRule>
  </conditionalFormatting>
  <conditionalFormatting sqref="V66:V114">
    <cfRule type="iconSet" priority="141">
      <iconSet iconSet="3Symbols2">
        <cfvo type="percent" val="0"/>
        <cfvo type="percent" val="33"/>
        <cfvo type="percent" val="67"/>
      </iconSet>
    </cfRule>
    <cfRule type="dataBar" priority="142">
      <dataBar>
        <cfvo type="min"/>
        <cfvo type="max"/>
        <color rgb="FFFFB628"/>
      </dataBar>
      <extLst>
        <ext xmlns:x14="http://schemas.microsoft.com/office/spreadsheetml/2009/9/main" uri="{B025F937-C7B1-47D3-B67F-A62EFF666E3E}">
          <x14:id>{E22A3F57-9D57-4982-BCA7-9AA674132DE6}</x14:id>
        </ext>
      </extLst>
    </cfRule>
    <cfRule type="cellIs" dxfId="19" priority="143" stopIfTrue="1" operator="equal">
      <formula>1</formula>
    </cfRule>
  </conditionalFormatting>
  <conditionalFormatting sqref="W8:W56">
    <cfRule type="dataBar" priority="202">
      <dataBar>
        <cfvo type="min"/>
        <cfvo type="max"/>
        <color rgb="FF008AEF"/>
      </dataBar>
      <extLst>
        <ext xmlns:x14="http://schemas.microsoft.com/office/spreadsheetml/2009/9/main" uri="{B025F937-C7B1-47D3-B67F-A62EFF666E3E}">
          <x14:id>{DBC5C854-7E52-47D6-BFD6-32DB93B206E2}</x14:id>
        </ext>
      </extLst>
    </cfRule>
  </conditionalFormatting>
  <conditionalFormatting sqref="W35">
    <cfRule type="dataBar" priority="167">
      <dataBar>
        <cfvo type="min"/>
        <cfvo type="max"/>
        <color rgb="FF008AEF"/>
      </dataBar>
      <extLst>
        <ext xmlns:x14="http://schemas.microsoft.com/office/spreadsheetml/2009/9/main" uri="{B025F937-C7B1-47D3-B67F-A62EFF666E3E}">
          <x14:id>{FA298AD3-D355-40CC-9F75-2C7CB2260042}</x14:id>
        </ext>
      </extLst>
    </cfRule>
  </conditionalFormatting>
  <conditionalFormatting sqref="W35:W56">
    <cfRule type="dataBar" priority="204">
      <dataBar>
        <cfvo type="min"/>
        <cfvo type="max"/>
        <color rgb="FF008AEF"/>
      </dataBar>
      <extLst>
        <ext xmlns:x14="http://schemas.microsoft.com/office/spreadsheetml/2009/9/main" uri="{B025F937-C7B1-47D3-B67F-A62EFF666E3E}">
          <x14:id>{B5A9CA20-A629-43DB-967E-138CD1B819AA}</x14:id>
        </ext>
      </extLst>
    </cfRule>
  </conditionalFormatting>
  <conditionalFormatting sqref="W66">
    <cfRule type="dataBar" priority="61">
      <dataBar>
        <cfvo type="min"/>
        <cfvo type="max"/>
        <color rgb="FF008AEF"/>
      </dataBar>
      <extLst>
        <ext xmlns:x14="http://schemas.microsoft.com/office/spreadsheetml/2009/9/main" uri="{B025F937-C7B1-47D3-B67F-A62EFF666E3E}">
          <x14:id>{FD5A34E7-611B-4434-A3ED-98D7CEF6BC9E}</x14:id>
        </ext>
      </extLst>
    </cfRule>
  </conditionalFormatting>
  <conditionalFormatting sqref="W67:W114">
    <cfRule type="dataBar" priority="59">
      <dataBar>
        <cfvo type="min"/>
        <cfvo type="max"/>
        <color rgb="FF008AEF"/>
      </dataBar>
      <extLst>
        <ext xmlns:x14="http://schemas.microsoft.com/office/spreadsheetml/2009/9/main" uri="{B025F937-C7B1-47D3-B67F-A62EFF666E3E}">
          <x14:id>{619052B7-915E-415C-92F2-CDC8888A77BA}</x14:id>
        </ext>
      </extLst>
    </cfRule>
  </conditionalFormatting>
  <conditionalFormatting sqref="W8:X56">
    <cfRule type="cellIs" dxfId="18" priority="172" stopIfTrue="1" operator="equal">
      <formula>1</formula>
    </cfRule>
  </conditionalFormatting>
  <conditionalFormatting sqref="W66:X114">
    <cfRule type="cellIs" dxfId="17" priority="58" stopIfTrue="1" operator="equal">
      <formula>1</formula>
    </cfRule>
  </conditionalFormatting>
  <pageMargins left="0.25" right="0.25" top="0.75" bottom="0.75" header="0.3" footer="0.3"/>
  <pageSetup scale="13" orientation="landscape" r:id="rId1"/>
  <rowBreaks count="1" manualBreakCount="1">
    <brk id="58" max="32" man="1"/>
  </rowBreaks>
  <legacyDrawing r:id="rId2"/>
  <extLst>
    <ext xmlns:x14="http://schemas.microsoft.com/office/spreadsheetml/2009/9/main" uri="{78C0D931-6437-407d-A8EE-F0AAD7539E65}">
      <x14:conditionalFormattings>
        <x14:conditionalFormatting xmlns:xm="http://schemas.microsoft.com/office/excel/2006/main">
          <x14:cfRule type="dataBar" id="{051FDCA5-35C3-4D1F-B48F-A3ACE68955BD}">
            <x14:dataBar minLength="0" maxLength="100" negativeBarColorSameAsPositive="1" axisPosition="none">
              <x14:cfvo type="min"/>
              <x14:cfvo type="max"/>
            </x14:dataBar>
          </x14:cfRule>
          <xm:sqref>U8:V56</xm:sqref>
        </x14:conditionalFormatting>
        <x14:conditionalFormatting xmlns:xm="http://schemas.microsoft.com/office/excel/2006/main">
          <x14:cfRule type="dataBar" id="{BDC747CE-670E-4E39-8A47-EB9576EDE7D8}">
            <x14:dataBar minLength="0" maxLength="100" negativeBarColorSameAsPositive="1" axisPosition="none">
              <x14:cfvo type="min"/>
              <x14:cfvo type="max"/>
            </x14:dataBar>
          </x14:cfRule>
          <xm:sqref>U66:V114</xm:sqref>
        </x14:conditionalFormatting>
        <x14:conditionalFormatting xmlns:xm="http://schemas.microsoft.com/office/excel/2006/main">
          <x14:cfRule type="dataBar" id="{E16F83C6-D6F9-454A-B4B3-BAB74202A47D}">
            <x14:dataBar minLength="0" maxLength="100" negativeBarColorSameAsPositive="1" axisPosition="none">
              <x14:cfvo type="min"/>
              <x14:cfvo type="max"/>
            </x14:dataBar>
          </x14:cfRule>
          <xm:sqref>V8:V56</xm:sqref>
        </x14:conditionalFormatting>
        <x14:conditionalFormatting xmlns:xm="http://schemas.microsoft.com/office/excel/2006/main">
          <x14:cfRule type="dataBar" id="{E22A3F57-9D57-4982-BCA7-9AA674132DE6}">
            <x14:dataBar minLength="0" maxLength="100" negativeBarColorSameAsPositive="1" axisPosition="none">
              <x14:cfvo type="min"/>
              <x14:cfvo type="max"/>
            </x14:dataBar>
          </x14:cfRule>
          <xm:sqref>V66:V114</xm:sqref>
        </x14:conditionalFormatting>
        <x14:conditionalFormatting xmlns:xm="http://schemas.microsoft.com/office/excel/2006/main">
          <x14:cfRule type="dataBar" id="{DBC5C854-7E52-47D6-BFD6-32DB93B206E2}">
            <x14:dataBar minLength="0" maxLength="100" negativeBarColorSameAsPositive="1" axisPosition="none">
              <x14:cfvo type="min"/>
              <x14:cfvo type="max"/>
            </x14:dataBar>
          </x14:cfRule>
          <xm:sqref>W8:W56</xm:sqref>
        </x14:conditionalFormatting>
        <x14:conditionalFormatting xmlns:xm="http://schemas.microsoft.com/office/excel/2006/main">
          <x14:cfRule type="dataBar" id="{FA298AD3-D355-40CC-9F75-2C7CB2260042}">
            <x14:dataBar minLength="0" maxLength="100" negativeBarColorSameAsPositive="1" axisPosition="none">
              <x14:cfvo type="min"/>
              <x14:cfvo type="max"/>
            </x14:dataBar>
          </x14:cfRule>
          <xm:sqref>W35</xm:sqref>
        </x14:conditionalFormatting>
        <x14:conditionalFormatting xmlns:xm="http://schemas.microsoft.com/office/excel/2006/main">
          <x14:cfRule type="dataBar" id="{B5A9CA20-A629-43DB-967E-138CD1B819AA}">
            <x14:dataBar minLength="0" maxLength="100" negativeBarColorSameAsPositive="1" axisPosition="none">
              <x14:cfvo type="min"/>
              <x14:cfvo type="max"/>
            </x14:dataBar>
          </x14:cfRule>
          <xm:sqref>W35:W56</xm:sqref>
        </x14:conditionalFormatting>
        <x14:conditionalFormatting xmlns:xm="http://schemas.microsoft.com/office/excel/2006/main">
          <x14:cfRule type="dataBar" id="{FD5A34E7-611B-4434-A3ED-98D7CEF6BC9E}">
            <x14:dataBar minLength="0" maxLength="100" negativeBarColorSameAsPositive="1" axisPosition="none">
              <x14:cfvo type="min"/>
              <x14:cfvo type="max"/>
            </x14:dataBar>
          </x14:cfRule>
          <xm:sqref>W66</xm:sqref>
        </x14:conditionalFormatting>
        <x14:conditionalFormatting xmlns:xm="http://schemas.microsoft.com/office/excel/2006/main">
          <x14:cfRule type="dataBar" id="{619052B7-915E-415C-92F2-CDC8888A77BA}">
            <x14:dataBar minLength="0" maxLength="100" negativeBarColorSameAsPositive="1" axisPosition="none">
              <x14:cfvo type="min"/>
              <x14:cfvo type="max"/>
            </x14:dataBar>
          </x14:cfRule>
          <xm:sqref>W67:W114</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1">
    <tabColor rgb="FF00B0F0"/>
    <pageSetUpPr fitToPage="1"/>
  </sheetPr>
  <dimension ref="A8:KA75"/>
  <sheetViews>
    <sheetView showGridLines="0" topLeftCell="A50" zoomScale="70" zoomScaleNormal="70" workbookViewId="0">
      <pane xSplit="1" topLeftCell="B1" activePane="topRight" state="frozen"/>
      <selection activeCell="A10" sqref="A10"/>
      <selection pane="topRight" activeCell="C68" sqref="C68"/>
    </sheetView>
  </sheetViews>
  <sheetFormatPr baseColWidth="10" defaultColWidth="11.42578125" defaultRowHeight="15"/>
  <cols>
    <col min="1" max="1" width="99" style="114" bestFit="1" customWidth="1"/>
    <col min="2" max="287" width="16.140625" style="113" customWidth="1"/>
    <col min="288" max="16384" width="11.42578125" style="113"/>
  </cols>
  <sheetData>
    <row r="8" spans="1:287">
      <c r="A8" s="112" t="s">
        <v>177</v>
      </c>
    </row>
    <row r="9" spans="1:287">
      <c r="A9" s="112" t="s">
        <v>178</v>
      </c>
    </row>
    <row r="10" spans="1:287" ht="15.75" thickBot="1">
      <c r="A10" s="112"/>
    </row>
    <row r="11" spans="1:287" ht="84.75" customHeight="1">
      <c r="B11" s="115" t="s">
        <v>179</v>
      </c>
      <c r="C11" s="116" t="s">
        <v>180</v>
      </c>
      <c r="D11" s="116" t="s">
        <v>181</v>
      </c>
      <c r="E11" s="116" t="s">
        <v>182</v>
      </c>
      <c r="F11" s="116" t="s">
        <v>183</v>
      </c>
      <c r="G11" s="116" t="s">
        <v>184</v>
      </c>
      <c r="H11" s="117" t="s">
        <v>185</v>
      </c>
      <c r="I11" s="118" t="s">
        <v>186</v>
      </c>
      <c r="J11" s="116" t="s">
        <v>187</v>
      </c>
      <c r="K11" s="116" t="s">
        <v>188</v>
      </c>
      <c r="L11" s="116" t="s">
        <v>189</v>
      </c>
      <c r="M11" s="116" t="s">
        <v>190</v>
      </c>
      <c r="N11" s="116" t="s">
        <v>191</v>
      </c>
      <c r="O11" s="116" t="s">
        <v>192</v>
      </c>
      <c r="P11" s="117" t="s">
        <v>193</v>
      </c>
      <c r="Q11" s="118" t="s">
        <v>194</v>
      </c>
      <c r="R11" s="116" t="s">
        <v>195</v>
      </c>
      <c r="S11" s="116" t="s">
        <v>196</v>
      </c>
      <c r="T11" s="116" t="s">
        <v>197</v>
      </c>
      <c r="U11" s="116" t="s">
        <v>198</v>
      </c>
      <c r="V11" s="116" t="s">
        <v>199</v>
      </c>
      <c r="W11" s="116" t="s">
        <v>200</v>
      </c>
      <c r="X11" s="117" t="s">
        <v>201</v>
      </c>
      <c r="Y11" s="118" t="s">
        <v>202</v>
      </c>
      <c r="Z11" s="116" t="s">
        <v>203</v>
      </c>
      <c r="AA11" s="116" t="s">
        <v>204</v>
      </c>
      <c r="AB11" s="116" t="s">
        <v>205</v>
      </c>
      <c r="AC11" s="116" t="s">
        <v>206</v>
      </c>
      <c r="AD11" s="116" t="s">
        <v>207</v>
      </c>
      <c r="AE11" s="116" t="s">
        <v>208</v>
      </c>
      <c r="AF11" s="117" t="s">
        <v>209</v>
      </c>
      <c r="AG11" s="118" t="s">
        <v>210</v>
      </c>
      <c r="AH11" s="116" t="s">
        <v>211</v>
      </c>
      <c r="AI11" s="116" t="s">
        <v>212</v>
      </c>
      <c r="AJ11" s="116" t="s">
        <v>213</v>
      </c>
      <c r="AK11" s="116" t="s">
        <v>214</v>
      </c>
      <c r="AL11" s="116" t="s">
        <v>215</v>
      </c>
      <c r="AM11" s="116" t="s">
        <v>216</v>
      </c>
      <c r="AN11" s="117" t="s">
        <v>217</v>
      </c>
      <c r="AO11" s="118" t="s">
        <v>218</v>
      </c>
      <c r="AP11" s="116" t="s">
        <v>219</v>
      </c>
      <c r="AQ11" s="116" t="s">
        <v>220</v>
      </c>
      <c r="AR11" s="116" t="s">
        <v>221</v>
      </c>
      <c r="AS11" s="116" t="s">
        <v>222</v>
      </c>
      <c r="AT11" s="116" t="s">
        <v>223</v>
      </c>
      <c r="AU11" s="116" t="s">
        <v>224</v>
      </c>
      <c r="AV11" s="117" t="s">
        <v>225</v>
      </c>
      <c r="AW11" s="118" t="s">
        <v>226</v>
      </c>
      <c r="AX11" s="116" t="s">
        <v>227</v>
      </c>
      <c r="AY11" s="116" t="s">
        <v>228</v>
      </c>
      <c r="AZ11" s="116" t="s">
        <v>229</v>
      </c>
      <c r="BA11" s="116" t="s">
        <v>230</v>
      </c>
      <c r="BB11" s="116" t="s">
        <v>231</v>
      </c>
      <c r="BC11" s="116" t="s">
        <v>232</v>
      </c>
      <c r="BD11" s="117" t="s">
        <v>233</v>
      </c>
      <c r="BE11" s="118" t="s">
        <v>234</v>
      </c>
      <c r="BF11" s="116" t="s">
        <v>235</v>
      </c>
      <c r="BG11" s="116" t="s">
        <v>236</v>
      </c>
      <c r="BH11" s="116" t="s">
        <v>237</v>
      </c>
      <c r="BI11" s="116" t="s">
        <v>238</v>
      </c>
      <c r="BJ11" s="116" t="s">
        <v>239</v>
      </c>
      <c r="BK11" s="116" t="s">
        <v>240</v>
      </c>
      <c r="BL11" s="117" t="s">
        <v>241</v>
      </c>
      <c r="BM11" s="118" t="s">
        <v>242</v>
      </c>
      <c r="BN11" s="116" t="s">
        <v>243</v>
      </c>
      <c r="BO11" s="116" t="s">
        <v>244</v>
      </c>
      <c r="BP11" s="116" t="s">
        <v>245</v>
      </c>
      <c r="BQ11" s="116" t="s">
        <v>246</v>
      </c>
      <c r="BR11" s="116" t="s">
        <v>247</v>
      </c>
      <c r="BS11" s="116" t="s">
        <v>248</v>
      </c>
      <c r="BT11" s="117" t="s">
        <v>249</v>
      </c>
      <c r="BU11" s="118" t="s">
        <v>250</v>
      </c>
      <c r="BV11" s="116" t="s">
        <v>251</v>
      </c>
      <c r="BW11" s="116" t="s">
        <v>252</v>
      </c>
      <c r="BX11" s="116" t="s">
        <v>253</v>
      </c>
      <c r="BY11" s="116" t="s">
        <v>254</v>
      </c>
      <c r="BZ11" s="116" t="s">
        <v>255</v>
      </c>
      <c r="CA11" s="116" t="s">
        <v>256</v>
      </c>
      <c r="CB11" s="117" t="s">
        <v>257</v>
      </c>
      <c r="CC11" s="118" t="s">
        <v>258</v>
      </c>
      <c r="CD11" s="116" t="s">
        <v>259</v>
      </c>
      <c r="CE11" s="116" t="s">
        <v>260</v>
      </c>
      <c r="CF11" s="116" t="s">
        <v>261</v>
      </c>
      <c r="CG11" s="116" t="s">
        <v>262</v>
      </c>
      <c r="CH11" s="116" t="s">
        <v>263</v>
      </c>
      <c r="CI11" s="116" t="s">
        <v>264</v>
      </c>
      <c r="CJ11" s="117" t="s">
        <v>265</v>
      </c>
      <c r="CK11" s="118" t="s">
        <v>266</v>
      </c>
      <c r="CL11" s="116" t="s">
        <v>267</v>
      </c>
      <c r="CM11" s="116" t="s">
        <v>268</v>
      </c>
      <c r="CN11" s="116" t="s">
        <v>269</v>
      </c>
      <c r="CO11" s="116" t="s">
        <v>270</v>
      </c>
      <c r="CP11" s="116" t="s">
        <v>271</v>
      </c>
      <c r="CQ11" s="116" t="s">
        <v>272</v>
      </c>
      <c r="CR11" s="117" t="s">
        <v>273</v>
      </c>
      <c r="CS11" s="118" t="s">
        <v>274</v>
      </c>
      <c r="CT11" s="116" t="s">
        <v>275</v>
      </c>
      <c r="CU11" s="116" t="s">
        <v>276</v>
      </c>
      <c r="CV11" s="116" t="s">
        <v>277</v>
      </c>
      <c r="CW11" s="116" t="s">
        <v>278</v>
      </c>
      <c r="CX11" s="116" t="s">
        <v>279</v>
      </c>
      <c r="CY11" s="116" t="s">
        <v>280</v>
      </c>
      <c r="CZ11" s="117" t="s">
        <v>281</v>
      </c>
      <c r="DA11" s="118" t="s">
        <v>282</v>
      </c>
      <c r="DB11" s="116" t="s">
        <v>283</v>
      </c>
      <c r="DC11" s="116" t="s">
        <v>284</v>
      </c>
      <c r="DD11" s="116" t="s">
        <v>285</v>
      </c>
      <c r="DE11" s="116" t="s">
        <v>286</v>
      </c>
      <c r="DF11" s="116" t="s">
        <v>287</v>
      </c>
      <c r="DG11" s="116" t="s">
        <v>288</v>
      </c>
      <c r="DH11" s="117" t="s">
        <v>289</v>
      </c>
      <c r="DI11" s="118" t="s">
        <v>290</v>
      </c>
      <c r="DJ11" s="116" t="s">
        <v>291</v>
      </c>
      <c r="DK11" s="116" t="s">
        <v>292</v>
      </c>
      <c r="DL11" s="116" t="s">
        <v>293</v>
      </c>
      <c r="DM11" s="116" t="s">
        <v>294</v>
      </c>
      <c r="DN11" s="116" t="s">
        <v>295</v>
      </c>
      <c r="DO11" s="116" t="s">
        <v>296</v>
      </c>
      <c r="DP11" s="117" t="s">
        <v>297</v>
      </c>
      <c r="DQ11" s="118" t="s">
        <v>298</v>
      </c>
      <c r="DR11" s="116" t="s">
        <v>299</v>
      </c>
      <c r="DS11" s="116" t="s">
        <v>300</v>
      </c>
      <c r="DT11" s="116" t="s">
        <v>301</v>
      </c>
      <c r="DU11" s="116" t="s">
        <v>302</v>
      </c>
      <c r="DV11" s="116" t="s">
        <v>303</v>
      </c>
      <c r="DW11" s="116" t="s">
        <v>304</v>
      </c>
      <c r="DX11" s="117" t="s">
        <v>305</v>
      </c>
      <c r="DY11" s="118" t="s">
        <v>306</v>
      </c>
      <c r="DZ11" s="116" t="s">
        <v>307</v>
      </c>
      <c r="EA11" s="116" t="s">
        <v>308</v>
      </c>
      <c r="EB11" s="116" t="s">
        <v>309</v>
      </c>
      <c r="EC11" s="116" t="s">
        <v>310</v>
      </c>
      <c r="ED11" s="116" t="s">
        <v>311</v>
      </c>
      <c r="EE11" s="116" t="s">
        <v>312</v>
      </c>
      <c r="EF11" s="117" t="s">
        <v>313</v>
      </c>
      <c r="EG11" s="118" t="s">
        <v>314</v>
      </c>
      <c r="EH11" s="116" t="s">
        <v>315</v>
      </c>
      <c r="EI11" s="116" t="s">
        <v>316</v>
      </c>
      <c r="EJ11" s="116" t="s">
        <v>317</v>
      </c>
      <c r="EK11" s="116" t="s">
        <v>318</v>
      </c>
      <c r="EL11" s="116" t="s">
        <v>319</v>
      </c>
      <c r="EM11" s="116" t="s">
        <v>320</v>
      </c>
      <c r="EN11" s="119" t="s">
        <v>321</v>
      </c>
      <c r="EO11" s="132" t="s">
        <v>322</v>
      </c>
      <c r="EP11" s="133" t="s">
        <v>323</v>
      </c>
      <c r="EQ11" s="133" t="s">
        <v>324</v>
      </c>
      <c r="ER11" s="133" t="s">
        <v>325</v>
      </c>
      <c r="ES11" s="133" t="s">
        <v>326</v>
      </c>
      <c r="ET11" s="133" t="s">
        <v>327</v>
      </c>
      <c r="EU11" s="134" t="s">
        <v>328</v>
      </c>
      <c r="EV11" s="132" t="s">
        <v>329</v>
      </c>
      <c r="EW11" s="133" t="s">
        <v>330</v>
      </c>
      <c r="EX11" s="133" t="s">
        <v>331</v>
      </c>
      <c r="EY11" s="133" t="s">
        <v>332</v>
      </c>
      <c r="EZ11" s="133" t="s">
        <v>333</v>
      </c>
      <c r="FA11" s="133" t="s">
        <v>334</v>
      </c>
      <c r="FB11" s="133" t="s">
        <v>335</v>
      </c>
      <c r="FC11" s="134" t="s">
        <v>336</v>
      </c>
      <c r="FD11" s="132" t="s">
        <v>337</v>
      </c>
      <c r="FE11" s="133" t="s">
        <v>338</v>
      </c>
      <c r="FF11" s="133" t="s">
        <v>339</v>
      </c>
      <c r="FG11" s="133" t="s">
        <v>340</v>
      </c>
      <c r="FH11" s="133" t="s">
        <v>341</v>
      </c>
      <c r="FI11" s="133" t="s">
        <v>342</v>
      </c>
      <c r="FJ11" s="133" t="s">
        <v>343</v>
      </c>
      <c r="FK11" s="134" t="s">
        <v>344</v>
      </c>
      <c r="FL11" s="132" t="s">
        <v>345</v>
      </c>
      <c r="FM11" s="133" t="s">
        <v>346</v>
      </c>
      <c r="FN11" s="133" t="s">
        <v>347</v>
      </c>
      <c r="FO11" s="133" t="s">
        <v>348</v>
      </c>
      <c r="FP11" s="133" t="s">
        <v>349</v>
      </c>
      <c r="FQ11" s="133" t="s">
        <v>350</v>
      </c>
      <c r="FR11" s="133" t="s">
        <v>351</v>
      </c>
      <c r="FS11" s="134" t="s">
        <v>352</v>
      </c>
      <c r="FT11" s="132" t="s">
        <v>353</v>
      </c>
      <c r="FU11" s="133" t="s">
        <v>354</v>
      </c>
      <c r="FV11" s="133" t="s">
        <v>355</v>
      </c>
      <c r="FW11" s="133" t="s">
        <v>356</v>
      </c>
      <c r="FX11" s="133" t="s">
        <v>357</v>
      </c>
      <c r="FY11" s="133" t="s">
        <v>358</v>
      </c>
      <c r="FZ11" s="133" t="s">
        <v>359</v>
      </c>
      <c r="GA11" s="134" t="s">
        <v>360</v>
      </c>
      <c r="GB11" s="132" t="s">
        <v>361</v>
      </c>
      <c r="GC11" s="133" t="s">
        <v>362</v>
      </c>
      <c r="GD11" s="133" t="s">
        <v>363</v>
      </c>
      <c r="GE11" s="133" t="s">
        <v>364</v>
      </c>
      <c r="GF11" s="133" t="s">
        <v>365</v>
      </c>
      <c r="GG11" s="133" t="s">
        <v>366</v>
      </c>
      <c r="GH11" s="133" t="s">
        <v>367</v>
      </c>
      <c r="GI11" s="134" t="s">
        <v>368</v>
      </c>
      <c r="GJ11" s="132" t="s">
        <v>369</v>
      </c>
      <c r="GK11" s="133" t="s">
        <v>370</v>
      </c>
      <c r="GL11" s="133" t="s">
        <v>371</v>
      </c>
      <c r="GM11" s="133" t="s">
        <v>372</v>
      </c>
      <c r="GN11" s="133" t="s">
        <v>373</v>
      </c>
      <c r="GO11" s="133" t="s">
        <v>374</v>
      </c>
      <c r="GP11" s="133" t="s">
        <v>375</v>
      </c>
      <c r="GQ11" s="134" t="s">
        <v>376</v>
      </c>
      <c r="GR11" s="132" t="s">
        <v>377</v>
      </c>
      <c r="GS11" s="133" t="s">
        <v>378</v>
      </c>
      <c r="GT11" s="133" t="s">
        <v>379</v>
      </c>
      <c r="GU11" s="133" t="s">
        <v>380</v>
      </c>
      <c r="GV11" s="133" t="s">
        <v>381</v>
      </c>
      <c r="GW11" s="133" t="s">
        <v>382</v>
      </c>
      <c r="GX11" s="133" t="s">
        <v>383</v>
      </c>
      <c r="GY11" s="134" t="s">
        <v>384</v>
      </c>
      <c r="GZ11" s="132" t="s">
        <v>385</v>
      </c>
      <c r="HA11" s="133" t="s">
        <v>386</v>
      </c>
      <c r="HB11" s="133" t="s">
        <v>387</v>
      </c>
      <c r="HC11" s="133" t="s">
        <v>388</v>
      </c>
      <c r="HD11" s="133" t="s">
        <v>389</v>
      </c>
      <c r="HE11" s="133" t="s">
        <v>390</v>
      </c>
      <c r="HF11" s="133" t="s">
        <v>391</v>
      </c>
      <c r="HG11" s="134" t="s">
        <v>392</v>
      </c>
      <c r="HH11" s="132" t="s">
        <v>393</v>
      </c>
      <c r="HI11" s="133" t="s">
        <v>394</v>
      </c>
      <c r="HJ11" s="133" t="s">
        <v>395</v>
      </c>
      <c r="HK11" s="133" t="s">
        <v>396</v>
      </c>
      <c r="HL11" s="133" t="s">
        <v>397</v>
      </c>
      <c r="HM11" s="133" t="s">
        <v>398</v>
      </c>
      <c r="HN11" s="133" t="s">
        <v>399</v>
      </c>
      <c r="HO11" s="134" t="s">
        <v>400</v>
      </c>
      <c r="HP11" s="132" t="s">
        <v>401</v>
      </c>
      <c r="HQ11" s="133" t="s">
        <v>402</v>
      </c>
      <c r="HR11" s="133" t="s">
        <v>403</v>
      </c>
      <c r="HS11" s="133" t="s">
        <v>404</v>
      </c>
      <c r="HT11" s="133" t="s">
        <v>405</v>
      </c>
      <c r="HU11" s="133" t="s">
        <v>406</v>
      </c>
      <c r="HV11" s="133" t="s">
        <v>407</v>
      </c>
      <c r="HW11" s="134" t="s">
        <v>408</v>
      </c>
      <c r="HX11" s="132" t="s">
        <v>409</v>
      </c>
      <c r="HY11" s="133" t="s">
        <v>410</v>
      </c>
      <c r="HZ11" s="133" t="s">
        <v>411</v>
      </c>
      <c r="IA11" s="133" t="s">
        <v>412</v>
      </c>
      <c r="IB11" s="133" t="s">
        <v>413</v>
      </c>
      <c r="IC11" s="133" t="s">
        <v>414</v>
      </c>
      <c r="ID11" s="133" t="s">
        <v>415</v>
      </c>
      <c r="IE11" s="134" t="s">
        <v>416</v>
      </c>
      <c r="IF11" s="132" t="s">
        <v>417</v>
      </c>
      <c r="IG11" s="133" t="s">
        <v>418</v>
      </c>
      <c r="IH11" s="133" t="s">
        <v>419</v>
      </c>
      <c r="II11" s="133" t="s">
        <v>420</v>
      </c>
      <c r="IJ11" s="133" t="s">
        <v>421</v>
      </c>
      <c r="IK11" s="133" t="s">
        <v>422</v>
      </c>
      <c r="IL11" s="133" t="s">
        <v>423</v>
      </c>
      <c r="IM11" s="134" t="s">
        <v>424</v>
      </c>
      <c r="IN11" s="132" t="s">
        <v>425</v>
      </c>
      <c r="IO11" s="133" t="s">
        <v>426</v>
      </c>
      <c r="IP11" s="133" t="s">
        <v>427</v>
      </c>
      <c r="IQ11" s="133" t="s">
        <v>428</v>
      </c>
      <c r="IR11" s="133" t="s">
        <v>429</v>
      </c>
      <c r="IS11" s="133" t="s">
        <v>430</v>
      </c>
      <c r="IT11" s="133" t="s">
        <v>431</v>
      </c>
      <c r="IU11" s="134" t="s">
        <v>432</v>
      </c>
      <c r="IV11" s="132" t="s">
        <v>433</v>
      </c>
      <c r="IW11" s="133" t="s">
        <v>434</v>
      </c>
      <c r="IX11" s="133" t="s">
        <v>435</v>
      </c>
      <c r="IY11" s="133" t="s">
        <v>436</v>
      </c>
      <c r="IZ11" s="133" t="s">
        <v>437</v>
      </c>
      <c r="JA11" s="133" t="s">
        <v>438</v>
      </c>
      <c r="JB11" s="133" t="s">
        <v>439</v>
      </c>
      <c r="JC11" s="134" t="s">
        <v>440</v>
      </c>
      <c r="JD11" s="132" t="s">
        <v>441</v>
      </c>
      <c r="JE11" s="133" t="s">
        <v>442</v>
      </c>
      <c r="JF11" s="133" t="s">
        <v>443</v>
      </c>
      <c r="JG11" s="133" t="s">
        <v>444</v>
      </c>
      <c r="JH11" s="133" t="s">
        <v>445</v>
      </c>
      <c r="JI11" s="133" t="s">
        <v>446</v>
      </c>
      <c r="JJ11" s="133" t="s">
        <v>447</v>
      </c>
      <c r="JK11" s="134" t="s">
        <v>448</v>
      </c>
      <c r="JL11" s="132" t="s">
        <v>449</v>
      </c>
      <c r="JM11" s="133" t="s">
        <v>450</v>
      </c>
      <c r="JN11" s="133" t="s">
        <v>451</v>
      </c>
      <c r="JO11" s="133" t="s">
        <v>452</v>
      </c>
      <c r="JP11" s="133" t="s">
        <v>453</v>
      </c>
      <c r="JQ11" s="133" t="s">
        <v>454</v>
      </c>
      <c r="JR11" s="133" t="s">
        <v>455</v>
      </c>
      <c r="JS11" s="134" t="s">
        <v>456</v>
      </c>
      <c r="JT11" s="132" t="s">
        <v>457</v>
      </c>
      <c r="JU11" s="133" t="s">
        <v>458</v>
      </c>
      <c r="JV11" s="133" t="s">
        <v>459</v>
      </c>
      <c r="JW11" s="133" t="s">
        <v>460</v>
      </c>
      <c r="JX11" s="133" t="s">
        <v>461</v>
      </c>
      <c r="JY11" s="133" t="s">
        <v>462</v>
      </c>
      <c r="JZ11" s="133" t="s">
        <v>463</v>
      </c>
      <c r="KA11" s="134" t="s">
        <v>464</v>
      </c>
    </row>
    <row r="12" spans="1:287" ht="21">
      <c r="A12" s="130" t="s">
        <v>465</v>
      </c>
      <c r="B12" s="128">
        <f>'PROJECT TA Y TB KARINA'!$C$8/8</f>
        <v>0</v>
      </c>
      <c r="C12" s="128">
        <f>'PROJECT TA Y TB KARINA'!$C$8/8</f>
        <v>0</v>
      </c>
      <c r="D12" s="128">
        <f>'PROJECT TA Y TB KARINA'!$C$8/8</f>
        <v>0</v>
      </c>
      <c r="E12" s="128">
        <f>'PROJECT TA Y TB KARINA'!$C$8/8</f>
        <v>0</v>
      </c>
      <c r="F12" s="128">
        <f>'PROJECT TA Y TB KARINA'!$C$8/8</f>
        <v>0</v>
      </c>
      <c r="G12" s="128">
        <f>'PROJECT TA Y TB KARINA'!$C$8/8</f>
        <v>0</v>
      </c>
      <c r="H12" s="128">
        <f>'PROJECT TA Y TB KARINA'!$C$8/8</f>
        <v>0</v>
      </c>
      <c r="I12" s="128" t="e">
        <f>'PROJECT TA Y TB KARINA'!$E8/8</f>
        <v>#REF!</v>
      </c>
      <c r="J12" s="128" t="e">
        <f>'PROJECT TA Y TB KARINA'!$E8/8</f>
        <v>#REF!</v>
      </c>
      <c r="K12" s="128" t="e">
        <f>'PROJECT TA Y TB KARINA'!$E8/8</f>
        <v>#REF!</v>
      </c>
      <c r="L12" s="128" t="e">
        <f>'PROJECT TA Y TB KARINA'!$E8/8</f>
        <v>#REF!</v>
      </c>
      <c r="M12" s="128" t="e">
        <f>'PROJECT TA Y TB KARINA'!$E8/8</f>
        <v>#REF!</v>
      </c>
      <c r="N12" s="128" t="e">
        <f>'PROJECT TA Y TB KARINA'!$E8/8</f>
        <v>#REF!</v>
      </c>
      <c r="O12" s="128" t="e">
        <f>'PROJECT TA Y TB KARINA'!$E8/8</f>
        <v>#REF!</v>
      </c>
      <c r="P12" s="128" t="e">
        <f>'PROJECT TA Y TB KARINA'!$E8/8</f>
        <v>#REF!</v>
      </c>
      <c r="Q12" s="128" t="e">
        <f>'PROJECT TA Y TB KARINA'!$F8/8</f>
        <v>#REF!</v>
      </c>
      <c r="R12" s="128" t="e">
        <f>'PROJECT TA Y TB KARINA'!$F8/8</f>
        <v>#REF!</v>
      </c>
      <c r="S12" s="128" t="e">
        <f>'PROJECT TA Y TB KARINA'!$F8/8</f>
        <v>#REF!</v>
      </c>
      <c r="T12" s="128" t="e">
        <f>'PROJECT TA Y TB KARINA'!$F8/8</f>
        <v>#REF!</v>
      </c>
      <c r="U12" s="128" t="e">
        <f>'PROJECT TA Y TB KARINA'!$F8/8</f>
        <v>#REF!</v>
      </c>
      <c r="V12" s="128" t="e">
        <f>'PROJECT TA Y TB KARINA'!$F8/8</f>
        <v>#REF!</v>
      </c>
      <c r="W12" s="128" t="e">
        <f>'PROJECT TA Y TB KARINA'!$F8/8</f>
        <v>#REF!</v>
      </c>
      <c r="X12" s="128" t="e">
        <f>'PROJECT TA Y TB KARINA'!$F8/8</f>
        <v>#REF!</v>
      </c>
      <c r="Y12" s="128" t="e">
        <f>'PROJECT TA Y TB KARINA'!$G8/8</f>
        <v>#REF!</v>
      </c>
      <c r="Z12" s="128" t="e">
        <f>'PROJECT TA Y TB KARINA'!$G8/8</f>
        <v>#REF!</v>
      </c>
      <c r="AA12" s="128" t="e">
        <f>'PROJECT TA Y TB KARINA'!$G8/8</f>
        <v>#REF!</v>
      </c>
      <c r="AB12" s="128" t="e">
        <f>'PROJECT TA Y TB KARINA'!$G8/8</f>
        <v>#REF!</v>
      </c>
      <c r="AC12" s="128" t="e">
        <f>'PROJECT TA Y TB KARINA'!$G8/8</f>
        <v>#REF!</v>
      </c>
      <c r="AD12" s="128" t="e">
        <f>'PROJECT TA Y TB KARINA'!$G8/8</f>
        <v>#REF!</v>
      </c>
      <c r="AE12" s="128" t="e">
        <f>'PROJECT TA Y TB KARINA'!$G8/8</f>
        <v>#REF!</v>
      </c>
      <c r="AF12" s="128" t="e">
        <f>'PROJECT TA Y TB KARINA'!$G8/8</f>
        <v>#REF!</v>
      </c>
      <c r="AG12" s="128" t="e">
        <f>'PROJECT TA Y TB KARINA'!$H8/8</f>
        <v>#REF!</v>
      </c>
      <c r="AH12" s="128" t="e">
        <f>'PROJECT TA Y TB KARINA'!$H8/8</f>
        <v>#REF!</v>
      </c>
      <c r="AI12" s="128" t="e">
        <f>'PROJECT TA Y TB KARINA'!$H8/8</f>
        <v>#REF!</v>
      </c>
      <c r="AJ12" s="128" t="e">
        <f>'PROJECT TA Y TB KARINA'!$H8/8</f>
        <v>#REF!</v>
      </c>
      <c r="AK12" s="128" t="e">
        <f>'PROJECT TA Y TB KARINA'!$H8/8</f>
        <v>#REF!</v>
      </c>
      <c r="AL12" s="128" t="e">
        <f>'PROJECT TA Y TB KARINA'!$H8/8</f>
        <v>#REF!</v>
      </c>
      <c r="AM12" s="128" t="e">
        <f>'PROJECT TA Y TB KARINA'!$H8/8</f>
        <v>#REF!</v>
      </c>
      <c r="AN12" s="128" t="e">
        <f>'PROJECT TA Y TB KARINA'!$H8/8</f>
        <v>#REF!</v>
      </c>
      <c r="AO12" s="128" t="e">
        <f>'PROJECT TA Y TB KARINA'!$I8/8</f>
        <v>#REF!</v>
      </c>
      <c r="AP12" s="128" t="e">
        <f>'PROJECT TA Y TB KARINA'!$I8/8</f>
        <v>#REF!</v>
      </c>
      <c r="AQ12" s="128" t="e">
        <f>'PROJECT TA Y TB KARINA'!$I8/8</f>
        <v>#REF!</v>
      </c>
      <c r="AR12" s="128" t="e">
        <f>'PROJECT TA Y TB KARINA'!$I8/8</f>
        <v>#REF!</v>
      </c>
      <c r="AS12" s="128" t="e">
        <f>'PROJECT TA Y TB KARINA'!$I8/8</f>
        <v>#REF!</v>
      </c>
      <c r="AT12" s="128" t="e">
        <f>'PROJECT TA Y TB KARINA'!$I8/8</f>
        <v>#REF!</v>
      </c>
      <c r="AU12" s="128" t="e">
        <f>'PROJECT TA Y TB KARINA'!$I8/8</f>
        <v>#REF!</v>
      </c>
      <c r="AV12" s="128" t="e">
        <f>'PROJECT TA Y TB KARINA'!$I8/8</f>
        <v>#REF!</v>
      </c>
      <c r="AW12" s="128" t="e">
        <f>'PROJECT TA Y TB KARINA'!$J8/8</f>
        <v>#REF!</v>
      </c>
      <c r="AX12" s="128" t="e">
        <f>'PROJECT TA Y TB KARINA'!$J8/8</f>
        <v>#REF!</v>
      </c>
      <c r="AY12" s="128" t="e">
        <f>'PROJECT TA Y TB KARINA'!$J8/8</f>
        <v>#REF!</v>
      </c>
      <c r="AZ12" s="128" t="e">
        <f>'PROJECT TA Y TB KARINA'!$J8/8</f>
        <v>#REF!</v>
      </c>
      <c r="BA12" s="128" t="e">
        <f>'PROJECT TA Y TB KARINA'!$J8/8</f>
        <v>#REF!</v>
      </c>
      <c r="BB12" s="128" t="e">
        <f>'PROJECT TA Y TB KARINA'!$J8/8</f>
        <v>#REF!</v>
      </c>
      <c r="BC12" s="128" t="e">
        <f>'PROJECT TA Y TB KARINA'!$J8/8</f>
        <v>#REF!</v>
      </c>
      <c r="BD12" s="128" t="e">
        <f>'PROJECT TA Y TB KARINA'!$J8/8</f>
        <v>#REF!</v>
      </c>
      <c r="BE12" s="128" t="e">
        <f>'PROJECT TA Y TB KARINA'!$K8/8</f>
        <v>#REF!</v>
      </c>
      <c r="BF12" s="128" t="e">
        <f>'PROJECT TA Y TB KARINA'!$K8/8</f>
        <v>#REF!</v>
      </c>
      <c r="BG12" s="128" t="e">
        <f>'PROJECT TA Y TB KARINA'!$K8/8</f>
        <v>#REF!</v>
      </c>
      <c r="BH12" s="128" t="e">
        <f>'PROJECT TA Y TB KARINA'!$K8/8</f>
        <v>#REF!</v>
      </c>
      <c r="BI12" s="128" t="e">
        <f>'PROJECT TA Y TB KARINA'!$K8/8</f>
        <v>#REF!</v>
      </c>
      <c r="BJ12" s="128" t="e">
        <f>'PROJECT TA Y TB KARINA'!$K8/8</f>
        <v>#REF!</v>
      </c>
      <c r="BK12" s="128" t="e">
        <f>'PROJECT TA Y TB KARINA'!$K8/8</f>
        <v>#REF!</v>
      </c>
      <c r="BL12" s="128" t="e">
        <f>'PROJECT TA Y TB KARINA'!$K8/8</f>
        <v>#REF!</v>
      </c>
      <c r="BM12" s="128" t="e">
        <f>'PROJECT TA Y TB KARINA'!$L8/8</f>
        <v>#REF!</v>
      </c>
      <c r="BN12" s="128" t="e">
        <f>'PROJECT TA Y TB KARINA'!$L8/8</f>
        <v>#REF!</v>
      </c>
      <c r="BO12" s="128" t="e">
        <f>'PROJECT TA Y TB KARINA'!$L8/8</f>
        <v>#REF!</v>
      </c>
      <c r="BP12" s="128" t="e">
        <f>'PROJECT TA Y TB KARINA'!$L8/8</f>
        <v>#REF!</v>
      </c>
      <c r="BQ12" s="128" t="e">
        <f>'PROJECT TA Y TB KARINA'!$L8/8</f>
        <v>#REF!</v>
      </c>
      <c r="BR12" s="128" t="e">
        <f>'PROJECT TA Y TB KARINA'!$L8/8</f>
        <v>#REF!</v>
      </c>
      <c r="BS12" s="128" t="e">
        <f>'PROJECT TA Y TB KARINA'!$L8/8</f>
        <v>#REF!</v>
      </c>
      <c r="BT12" s="128" t="e">
        <f>'PROJECT TA Y TB KARINA'!$L8/8</f>
        <v>#REF!</v>
      </c>
      <c r="BU12" s="128" t="e">
        <f>'PROJECT TA Y TB KARINA'!$M8/8</f>
        <v>#REF!</v>
      </c>
      <c r="BV12" s="128" t="e">
        <f>'PROJECT TA Y TB KARINA'!$M8/8</f>
        <v>#REF!</v>
      </c>
      <c r="BW12" s="128" t="e">
        <f>'PROJECT TA Y TB KARINA'!$M8/8</f>
        <v>#REF!</v>
      </c>
      <c r="BX12" s="128" t="e">
        <f>'PROJECT TA Y TB KARINA'!$M8/8</f>
        <v>#REF!</v>
      </c>
      <c r="BY12" s="128" t="e">
        <f>'PROJECT TA Y TB KARINA'!$M8/8</f>
        <v>#REF!</v>
      </c>
      <c r="BZ12" s="128" t="e">
        <f>'PROJECT TA Y TB KARINA'!$M8/8</f>
        <v>#REF!</v>
      </c>
      <c r="CA12" s="128" t="e">
        <f>'PROJECT TA Y TB KARINA'!$M8/8</f>
        <v>#REF!</v>
      </c>
      <c r="CB12" s="128" t="e">
        <f>'PROJECT TA Y TB KARINA'!$M8/8</f>
        <v>#REF!</v>
      </c>
      <c r="CC12" s="128" t="e">
        <f>'PROJECT TA Y TB KARINA'!$N8/8</f>
        <v>#REF!</v>
      </c>
      <c r="CD12" s="128" t="e">
        <f>'PROJECT TA Y TB KARINA'!$N8/8</f>
        <v>#REF!</v>
      </c>
      <c r="CE12" s="128" t="e">
        <f>'PROJECT TA Y TB KARINA'!$N8/8</f>
        <v>#REF!</v>
      </c>
      <c r="CF12" s="128" t="e">
        <f>'PROJECT TA Y TB KARINA'!$N8/8</f>
        <v>#REF!</v>
      </c>
      <c r="CG12" s="128" t="e">
        <f>'PROJECT TA Y TB KARINA'!$N8/8</f>
        <v>#REF!</v>
      </c>
      <c r="CH12" s="128" t="e">
        <f>'PROJECT TA Y TB KARINA'!$N8/8</f>
        <v>#REF!</v>
      </c>
      <c r="CI12" s="128" t="e">
        <f>'PROJECT TA Y TB KARINA'!$N8/8</f>
        <v>#REF!</v>
      </c>
      <c r="CJ12" s="128" t="e">
        <f>'PROJECT TA Y TB KARINA'!$N8/8</f>
        <v>#REF!</v>
      </c>
      <c r="CK12" s="128" t="e">
        <f>'PROJECT TA Y TB KARINA'!$O8/8</f>
        <v>#REF!</v>
      </c>
      <c r="CL12" s="128" t="e">
        <f>'PROJECT TA Y TB KARINA'!$O8/8</f>
        <v>#REF!</v>
      </c>
      <c r="CM12" s="128" t="e">
        <f>'PROJECT TA Y TB KARINA'!$O8/8</f>
        <v>#REF!</v>
      </c>
      <c r="CN12" s="128" t="e">
        <f>'PROJECT TA Y TB KARINA'!$O8/8</f>
        <v>#REF!</v>
      </c>
      <c r="CO12" s="128" t="e">
        <f>'PROJECT TA Y TB KARINA'!$O8/8</f>
        <v>#REF!</v>
      </c>
      <c r="CP12" s="128" t="e">
        <f>'PROJECT TA Y TB KARINA'!$O8/8</f>
        <v>#REF!</v>
      </c>
      <c r="CQ12" s="128" t="e">
        <f>'PROJECT TA Y TB KARINA'!$O8/8</f>
        <v>#REF!</v>
      </c>
      <c r="CR12" s="128" t="e">
        <f>'PROJECT TA Y TB KARINA'!$O8/8</f>
        <v>#REF!</v>
      </c>
      <c r="CS12" s="128" t="e">
        <f>'PROJECT TA Y TB KARINA'!$P8/8</f>
        <v>#REF!</v>
      </c>
      <c r="CT12" s="128" t="e">
        <f>'PROJECT TA Y TB KARINA'!$P8/8</f>
        <v>#REF!</v>
      </c>
      <c r="CU12" s="128" t="e">
        <f>'PROJECT TA Y TB KARINA'!$P8/8</f>
        <v>#REF!</v>
      </c>
      <c r="CV12" s="128" t="e">
        <f>'PROJECT TA Y TB KARINA'!$P8/8</f>
        <v>#REF!</v>
      </c>
      <c r="CW12" s="128" t="e">
        <f>'PROJECT TA Y TB KARINA'!$P8/8</f>
        <v>#REF!</v>
      </c>
      <c r="CX12" s="128" t="e">
        <f>'PROJECT TA Y TB KARINA'!$P8/8</f>
        <v>#REF!</v>
      </c>
      <c r="CY12" s="128" t="e">
        <f>'PROJECT TA Y TB KARINA'!$P8/8</f>
        <v>#REF!</v>
      </c>
      <c r="CZ12" s="128" t="e">
        <f>'PROJECT TA Y TB KARINA'!$P8/8</f>
        <v>#REF!</v>
      </c>
      <c r="DA12" s="128" t="e">
        <f>'PROJECT TA Y TB KARINA'!$Q8/8</f>
        <v>#REF!</v>
      </c>
      <c r="DB12" s="128" t="e">
        <f>'PROJECT TA Y TB KARINA'!$Q8/8</f>
        <v>#REF!</v>
      </c>
      <c r="DC12" s="128" t="e">
        <f>'PROJECT TA Y TB KARINA'!$Q8/8</f>
        <v>#REF!</v>
      </c>
      <c r="DD12" s="128" t="e">
        <f>'PROJECT TA Y TB KARINA'!$Q8/8</f>
        <v>#REF!</v>
      </c>
      <c r="DE12" s="128" t="e">
        <f>'PROJECT TA Y TB KARINA'!$Q8/8</f>
        <v>#REF!</v>
      </c>
      <c r="DF12" s="128" t="e">
        <f>'PROJECT TA Y TB KARINA'!$Q8/8</f>
        <v>#REF!</v>
      </c>
      <c r="DG12" s="128" t="e">
        <f>'PROJECT TA Y TB KARINA'!$Q8/8</f>
        <v>#REF!</v>
      </c>
      <c r="DH12" s="128" t="e">
        <f>'PROJECT TA Y TB KARINA'!$Q8/8</f>
        <v>#REF!</v>
      </c>
      <c r="DI12" s="128" t="e">
        <f>'PROJECT TA Y TB KARINA'!$R8/8</f>
        <v>#REF!</v>
      </c>
      <c r="DJ12" s="128" t="e">
        <f>'PROJECT TA Y TB KARINA'!$R8/8</f>
        <v>#REF!</v>
      </c>
      <c r="DK12" s="128" t="e">
        <f>'PROJECT TA Y TB KARINA'!$R8/8</f>
        <v>#REF!</v>
      </c>
      <c r="DL12" s="128" t="e">
        <f>'PROJECT TA Y TB KARINA'!$R8/8</f>
        <v>#REF!</v>
      </c>
      <c r="DM12" s="128" t="e">
        <f>'PROJECT TA Y TB KARINA'!$R8/8</f>
        <v>#REF!</v>
      </c>
      <c r="DN12" s="128" t="e">
        <f>'PROJECT TA Y TB KARINA'!$R8/8</f>
        <v>#REF!</v>
      </c>
      <c r="DO12" s="128" t="e">
        <f>'PROJECT TA Y TB KARINA'!$R8/8</f>
        <v>#REF!</v>
      </c>
      <c r="DP12" s="128" t="e">
        <f>'PROJECT TA Y TB KARINA'!$R8/8</f>
        <v>#REF!</v>
      </c>
      <c r="DQ12" s="128" t="e">
        <f>'PROJECT TA Y TB KARINA'!$S8/8</f>
        <v>#REF!</v>
      </c>
      <c r="DR12" s="128" t="e">
        <f>'PROJECT TA Y TB KARINA'!$S8/8</f>
        <v>#REF!</v>
      </c>
      <c r="DS12" s="128" t="e">
        <f>'PROJECT TA Y TB KARINA'!$S8/8</f>
        <v>#REF!</v>
      </c>
      <c r="DT12" s="128" t="e">
        <f>'PROJECT TA Y TB KARINA'!$S8/8</f>
        <v>#REF!</v>
      </c>
      <c r="DU12" s="128" t="e">
        <f>'PROJECT TA Y TB KARINA'!$S8/8</f>
        <v>#REF!</v>
      </c>
      <c r="DV12" s="128" t="e">
        <f>'PROJECT TA Y TB KARINA'!$S8/8</f>
        <v>#REF!</v>
      </c>
      <c r="DW12" s="128" t="e">
        <f>'PROJECT TA Y TB KARINA'!$S8/8</f>
        <v>#REF!</v>
      </c>
      <c r="DX12" s="128" t="e">
        <f>'PROJECT TA Y TB KARINA'!$S8/8</f>
        <v>#REF!</v>
      </c>
      <c r="DY12" s="128" t="e">
        <f>'PROJECT TA Y TB KARINA'!$T8/8</f>
        <v>#REF!</v>
      </c>
      <c r="DZ12" s="128" t="e">
        <f>'PROJECT TA Y TB KARINA'!$T8/8</f>
        <v>#REF!</v>
      </c>
      <c r="EA12" s="128" t="e">
        <f>'PROJECT TA Y TB KARINA'!$T8/8</f>
        <v>#REF!</v>
      </c>
      <c r="EB12" s="128" t="e">
        <f>'PROJECT TA Y TB KARINA'!$T8/8</f>
        <v>#REF!</v>
      </c>
      <c r="EC12" s="128" t="e">
        <f>'PROJECT TA Y TB KARINA'!$T8/8</f>
        <v>#REF!</v>
      </c>
      <c r="ED12" s="128" t="e">
        <f>'PROJECT TA Y TB KARINA'!$T8/8</f>
        <v>#REF!</v>
      </c>
      <c r="EE12" s="128" t="e">
        <f>'PROJECT TA Y TB KARINA'!$T8/8</f>
        <v>#REF!</v>
      </c>
      <c r="EF12" s="128" t="e">
        <f>'PROJECT TA Y TB KARINA'!$T8/8</f>
        <v>#REF!</v>
      </c>
      <c r="EG12" s="128" t="e">
        <f>'PROJECT TA Y TB KARINA'!#REF!/8</f>
        <v>#REF!</v>
      </c>
      <c r="EH12" s="128" t="e">
        <f>'PROJECT TA Y TB KARINA'!#REF!/8</f>
        <v>#REF!</v>
      </c>
      <c r="EI12" s="128" t="e">
        <f>'PROJECT TA Y TB KARINA'!#REF!/8</f>
        <v>#REF!</v>
      </c>
      <c r="EJ12" s="128" t="e">
        <f>'PROJECT TA Y TB KARINA'!#REF!/8</f>
        <v>#REF!</v>
      </c>
      <c r="EK12" s="128" t="e">
        <f>'PROJECT TA Y TB KARINA'!#REF!/8</f>
        <v>#REF!</v>
      </c>
      <c r="EL12" s="128" t="e">
        <f>'PROJECT TA Y TB KARINA'!#REF!/8</f>
        <v>#REF!</v>
      </c>
      <c r="EM12" s="128" t="e">
        <f>'PROJECT TA Y TB KARINA'!#REF!/8</f>
        <v>#REF!</v>
      </c>
      <c r="EN12" s="128" t="e">
        <f>'PROJECT TA Y TB KARINA'!#REF!/8</f>
        <v>#REF!</v>
      </c>
      <c r="EO12" s="128">
        <f>'PROJECT TA Y TB KARINA'!$C66/8</f>
        <v>0</v>
      </c>
      <c r="EP12" s="128">
        <f>'PROJECT TA Y TB KARINA'!$C66/8</f>
        <v>0</v>
      </c>
      <c r="EQ12" s="128">
        <f>'PROJECT TA Y TB KARINA'!$C66/8</f>
        <v>0</v>
      </c>
      <c r="ER12" s="128">
        <f>'PROJECT TA Y TB KARINA'!$C66/8</f>
        <v>0</v>
      </c>
      <c r="ES12" s="128">
        <f>'PROJECT TA Y TB KARINA'!$C66/8</f>
        <v>0</v>
      </c>
      <c r="ET12" s="128">
        <f>'PROJECT TA Y TB KARINA'!$C66/8</f>
        <v>0</v>
      </c>
      <c r="EU12" s="128">
        <f>'PROJECT TA Y TB KARINA'!$C66/8</f>
        <v>0</v>
      </c>
      <c r="EV12" s="128">
        <f>'PROJECT TA Y TB KARINA'!$E66/8</f>
        <v>0</v>
      </c>
      <c r="EW12" s="128">
        <f>'PROJECT TA Y TB KARINA'!$E66/8</f>
        <v>0</v>
      </c>
      <c r="EX12" s="128">
        <f>'PROJECT TA Y TB KARINA'!$E66/8</f>
        <v>0</v>
      </c>
      <c r="EY12" s="128">
        <f>'PROJECT TA Y TB KARINA'!$E66/8</f>
        <v>0</v>
      </c>
      <c r="EZ12" s="128">
        <f>'PROJECT TA Y TB KARINA'!$E66/8</f>
        <v>0</v>
      </c>
      <c r="FA12" s="128">
        <f>'PROJECT TA Y TB KARINA'!$E66/8</f>
        <v>0</v>
      </c>
      <c r="FB12" s="128">
        <f>'PROJECT TA Y TB KARINA'!$E66/8</f>
        <v>0</v>
      </c>
      <c r="FC12" s="128">
        <f>'PROJECT TA Y TB KARINA'!$E66/8</f>
        <v>0</v>
      </c>
      <c r="FD12" s="128">
        <f>'PROJECT TA Y TB KARINA'!$F66/8</f>
        <v>0</v>
      </c>
      <c r="FE12" s="128">
        <f>'PROJECT TA Y TB KARINA'!$F66/8</f>
        <v>0</v>
      </c>
      <c r="FF12" s="128">
        <f>'PROJECT TA Y TB KARINA'!$F66/8</f>
        <v>0</v>
      </c>
      <c r="FG12" s="128">
        <f>'PROJECT TA Y TB KARINA'!$F66/8</f>
        <v>0</v>
      </c>
      <c r="FH12" s="128">
        <f>'PROJECT TA Y TB KARINA'!$F66/8</f>
        <v>0</v>
      </c>
      <c r="FI12" s="128">
        <f>'PROJECT TA Y TB KARINA'!$F66/8</f>
        <v>0</v>
      </c>
      <c r="FJ12" s="128">
        <f>'PROJECT TA Y TB KARINA'!$F66/8</f>
        <v>0</v>
      </c>
      <c r="FK12" s="128">
        <f>'PROJECT TA Y TB KARINA'!$F66/8</f>
        <v>0</v>
      </c>
      <c r="FL12" s="128">
        <f>'PROJECT TA Y TB KARINA'!$G66/8</f>
        <v>0</v>
      </c>
      <c r="FM12" s="128">
        <f>'PROJECT TA Y TB KARINA'!$G66/8</f>
        <v>0</v>
      </c>
      <c r="FN12" s="128">
        <f>'PROJECT TA Y TB KARINA'!$G66/8</f>
        <v>0</v>
      </c>
      <c r="FO12" s="128">
        <f>'PROJECT TA Y TB KARINA'!$G66/8</f>
        <v>0</v>
      </c>
      <c r="FP12" s="128">
        <f>'PROJECT TA Y TB KARINA'!$G66/8</f>
        <v>0</v>
      </c>
      <c r="FQ12" s="128">
        <f>'PROJECT TA Y TB KARINA'!$G66/8</f>
        <v>0</v>
      </c>
      <c r="FR12" s="128">
        <f>'PROJECT TA Y TB KARINA'!$G66/8</f>
        <v>0</v>
      </c>
      <c r="FS12" s="128">
        <f>'PROJECT TA Y TB KARINA'!$G66/8</f>
        <v>0</v>
      </c>
      <c r="FT12" s="128">
        <f>'PROJECT TA Y TB KARINA'!$H66/8</f>
        <v>0</v>
      </c>
      <c r="FU12" s="128">
        <f>'PROJECT TA Y TB KARINA'!$H66/8</f>
        <v>0</v>
      </c>
      <c r="FV12" s="128">
        <f>'PROJECT TA Y TB KARINA'!$H66/8</f>
        <v>0</v>
      </c>
      <c r="FW12" s="128">
        <f>'PROJECT TA Y TB KARINA'!$H66/8</f>
        <v>0</v>
      </c>
      <c r="FX12" s="128">
        <f>'PROJECT TA Y TB KARINA'!$H66/8</f>
        <v>0</v>
      </c>
      <c r="FY12" s="128">
        <f>'PROJECT TA Y TB KARINA'!$H66/8</f>
        <v>0</v>
      </c>
      <c r="FZ12" s="128">
        <f>'PROJECT TA Y TB KARINA'!$H66/8</f>
        <v>0</v>
      </c>
      <c r="GA12" s="128">
        <f>'PROJECT TA Y TB KARINA'!$H66/8</f>
        <v>0</v>
      </c>
      <c r="GB12" s="128">
        <f>'PROJECT TA Y TB KARINA'!$I66/8</f>
        <v>0</v>
      </c>
      <c r="GC12" s="128">
        <f>'PROJECT TA Y TB KARINA'!$I66/8</f>
        <v>0</v>
      </c>
      <c r="GD12" s="128">
        <f>'PROJECT TA Y TB KARINA'!$I66/8</f>
        <v>0</v>
      </c>
      <c r="GE12" s="128">
        <f>'PROJECT TA Y TB KARINA'!$I66/8</f>
        <v>0</v>
      </c>
      <c r="GF12" s="128">
        <f>'PROJECT TA Y TB KARINA'!$I66/8</f>
        <v>0</v>
      </c>
      <c r="GG12" s="128">
        <f>'PROJECT TA Y TB KARINA'!$I66/8</f>
        <v>0</v>
      </c>
      <c r="GH12" s="128">
        <f>'PROJECT TA Y TB KARINA'!$I66/8</f>
        <v>0</v>
      </c>
      <c r="GI12" s="128">
        <f>'PROJECT TA Y TB KARINA'!$I66/8</f>
        <v>0</v>
      </c>
      <c r="GJ12" s="128">
        <f>'PROJECT TA Y TB KARINA'!$J66/8</f>
        <v>0</v>
      </c>
      <c r="GK12" s="128">
        <f>'PROJECT TA Y TB KARINA'!$J66/8</f>
        <v>0</v>
      </c>
      <c r="GL12" s="128">
        <f>'PROJECT TA Y TB KARINA'!$J66/8</f>
        <v>0</v>
      </c>
      <c r="GM12" s="128">
        <f>'PROJECT TA Y TB KARINA'!$J66/8</f>
        <v>0</v>
      </c>
      <c r="GN12" s="128">
        <f>'PROJECT TA Y TB KARINA'!$J66/8</f>
        <v>0</v>
      </c>
      <c r="GO12" s="128">
        <f>'PROJECT TA Y TB KARINA'!$J66/8</f>
        <v>0</v>
      </c>
      <c r="GP12" s="128">
        <f>'PROJECT TA Y TB KARINA'!$J66/8</f>
        <v>0</v>
      </c>
      <c r="GQ12" s="128">
        <f>'PROJECT TA Y TB KARINA'!$J66/8</f>
        <v>0</v>
      </c>
      <c r="GR12" s="128">
        <f>'PROJECT TA Y TB KARINA'!$K66/8</f>
        <v>0</v>
      </c>
      <c r="GS12" s="128">
        <f>'PROJECT TA Y TB KARINA'!$K66/8</f>
        <v>0</v>
      </c>
      <c r="GT12" s="128">
        <f>'PROJECT TA Y TB KARINA'!$K66/8</f>
        <v>0</v>
      </c>
      <c r="GU12" s="128">
        <f>'PROJECT TA Y TB KARINA'!$K66/8</f>
        <v>0</v>
      </c>
      <c r="GV12" s="128">
        <f>'PROJECT TA Y TB KARINA'!$K66/8</f>
        <v>0</v>
      </c>
      <c r="GW12" s="128">
        <f>'PROJECT TA Y TB KARINA'!$K66/8</f>
        <v>0</v>
      </c>
      <c r="GX12" s="128">
        <f>'PROJECT TA Y TB KARINA'!$K66/8</f>
        <v>0</v>
      </c>
      <c r="GY12" s="128">
        <f>'PROJECT TA Y TB KARINA'!$K66/8</f>
        <v>0</v>
      </c>
      <c r="GZ12" s="128">
        <f>'PROJECT TA Y TB KARINA'!$L66/8</f>
        <v>0</v>
      </c>
      <c r="HA12" s="128">
        <f>'PROJECT TA Y TB KARINA'!$L66/8</f>
        <v>0</v>
      </c>
      <c r="HB12" s="128">
        <f>'PROJECT TA Y TB KARINA'!$L66/8</f>
        <v>0</v>
      </c>
      <c r="HC12" s="128">
        <f>'PROJECT TA Y TB KARINA'!$L66/8</f>
        <v>0</v>
      </c>
      <c r="HD12" s="128">
        <f>'PROJECT TA Y TB KARINA'!$L66/8</f>
        <v>0</v>
      </c>
      <c r="HE12" s="128">
        <f>'PROJECT TA Y TB KARINA'!$L66/8</f>
        <v>0</v>
      </c>
      <c r="HF12" s="128">
        <f>'PROJECT TA Y TB KARINA'!$L66/8</f>
        <v>0</v>
      </c>
      <c r="HG12" s="128">
        <f>'PROJECT TA Y TB KARINA'!$L66/8</f>
        <v>0</v>
      </c>
      <c r="HH12" s="128">
        <f>'PROJECT TA Y TB KARINA'!$M66/8</f>
        <v>0</v>
      </c>
      <c r="HI12" s="128">
        <f>'PROJECT TA Y TB KARINA'!$M66/8</f>
        <v>0</v>
      </c>
      <c r="HJ12" s="128">
        <f>'PROJECT TA Y TB KARINA'!$M66/8</f>
        <v>0</v>
      </c>
      <c r="HK12" s="128">
        <f>'PROJECT TA Y TB KARINA'!$M66/8</f>
        <v>0</v>
      </c>
      <c r="HL12" s="128">
        <f>'PROJECT TA Y TB KARINA'!$M66/8</f>
        <v>0</v>
      </c>
      <c r="HM12" s="128">
        <f>'PROJECT TA Y TB KARINA'!$M66/8</f>
        <v>0</v>
      </c>
      <c r="HN12" s="128">
        <f>'PROJECT TA Y TB KARINA'!$M66/8</f>
        <v>0</v>
      </c>
      <c r="HO12" s="128">
        <f>'PROJECT TA Y TB KARINA'!$M66/8</f>
        <v>0</v>
      </c>
      <c r="HP12" s="128">
        <f>'PROJECT TA Y TB KARINA'!$N66/8</f>
        <v>0</v>
      </c>
      <c r="HQ12" s="128">
        <f>'PROJECT TA Y TB KARINA'!$N66/8</f>
        <v>0</v>
      </c>
      <c r="HR12" s="128">
        <f>'PROJECT TA Y TB KARINA'!$N66/8</f>
        <v>0</v>
      </c>
      <c r="HS12" s="128">
        <f>'PROJECT TA Y TB KARINA'!$N66/8</f>
        <v>0</v>
      </c>
      <c r="HT12" s="128">
        <f>'PROJECT TA Y TB KARINA'!$N66/8</f>
        <v>0</v>
      </c>
      <c r="HU12" s="128">
        <f>'PROJECT TA Y TB KARINA'!$N66/8</f>
        <v>0</v>
      </c>
      <c r="HV12" s="128">
        <f>'PROJECT TA Y TB KARINA'!$N66/8</f>
        <v>0</v>
      </c>
      <c r="HW12" s="128">
        <f>'PROJECT TA Y TB KARINA'!$N66/8</f>
        <v>0</v>
      </c>
      <c r="HX12" s="128">
        <f>'PROJECT TA Y TB KARINA'!$O66/8</f>
        <v>0</v>
      </c>
      <c r="HY12" s="128">
        <f>'PROJECT TA Y TB KARINA'!$O66/8</f>
        <v>0</v>
      </c>
      <c r="HZ12" s="128">
        <f>'PROJECT TA Y TB KARINA'!$O66/8</f>
        <v>0</v>
      </c>
      <c r="IA12" s="128">
        <f>'PROJECT TA Y TB KARINA'!$O66/8</f>
        <v>0</v>
      </c>
      <c r="IB12" s="128">
        <f>'PROJECT TA Y TB KARINA'!$O66/8</f>
        <v>0</v>
      </c>
      <c r="IC12" s="128">
        <f>'PROJECT TA Y TB KARINA'!$O66/8</f>
        <v>0</v>
      </c>
      <c r="ID12" s="128">
        <f>'PROJECT TA Y TB KARINA'!$O66/8</f>
        <v>0</v>
      </c>
      <c r="IE12" s="128">
        <f>'PROJECT TA Y TB KARINA'!$O66/8</f>
        <v>0</v>
      </c>
      <c r="IF12" s="128">
        <f>'PROJECT TA Y TB KARINA'!$P66/8</f>
        <v>0</v>
      </c>
      <c r="IG12" s="128">
        <f>'PROJECT TA Y TB KARINA'!$P66/8</f>
        <v>0</v>
      </c>
      <c r="IH12" s="128">
        <f>'PROJECT TA Y TB KARINA'!$P66/8</f>
        <v>0</v>
      </c>
      <c r="II12" s="128">
        <f>'PROJECT TA Y TB KARINA'!$P66/8</f>
        <v>0</v>
      </c>
      <c r="IJ12" s="128">
        <f>'PROJECT TA Y TB KARINA'!$P66/8</f>
        <v>0</v>
      </c>
      <c r="IK12" s="128">
        <f>'PROJECT TA Y TB KARINA'!$P66/8</f>
        <v>0</v>
      </c>
      <c r="IL12" s="128">
        <f>'PROJECT TA Y TB KARINA'!$P66/8</f>
        <v>0</v>
      </c>
      <c r="IM12" s="128">
        <f>'PROJECT TA Y TB KARINA'!$P66/8</f>
        <v>0</v>
      </c>
      <c r="IN12" s="128">
        <f>'PROJECT TA Y TB KARINA'!$Q66/8</f>
        <v>0</v>
      </c>
      <c r="IO12" s="128">
        <f>'PROJECT TA Y TB KARINA'!$Q66/8</f>
        <v>0</v>
      </c>
      <c r="IP12" s="128">
        <f>'PROJECT TA Y TB KARINA'!$Q66/8</f>
        <v>0</v>
      </c>
      <c r="IQ12" s="128">
        <f>'PROJECT TA Y TB KARINA'!$Q66/8</f>
        <v>0</v>
      </c>
      <c r="IR12" s="128">
        <f>'PROJECT TA Y TB KARINA'!$Q66/8</f>
        <v>0</v>
      </c>
      <c r="IS12" s="128">
        <f>'PROJECT TA Y TB KARINA'!$Q66/8</f>
        <v>0</v>
      </c>
      <c r="IT12" s="128">
        <f>'PROJECT TA Y TB KARINA'!$Q66/8</f>
        <v>0</v>
      </c>
      <c r="IU12" s="128">
        <f>'PROJECT TA Y TB KARINA'!$Q66/8</f>
        <v>0</v>
      </c>
      <c r="IV12" s="128">
        <f>'PROJECT TA Y TB KARINA'!$R66/8</f>
        <v>0</v>
      </c>
      <c r="IW12" s="128">
        <f>'PROJECT TA Y TB KARINA'!$R66/8</f>
        <v>0</v>
      </c>
      <c r="IX12" s="128">
        <f>'PROJECT TA Y TB KARINA'!$R66/8</f>
        <v>0</v>
      </c>
      <c r="IY12" s="128">
        <f>'PROJECT TA Y TB KARINA'!$R66/8</f>
        <v>0</v>
      </c>
      <c r="IZ12" s="128">
        <f>'PROJECT TA Y TB KARINA'!$R66/8</f>
        <v>0</v>
      </c>
      <c r="JA12" s="128">
        <f>'PROJECT TA Y TB KARINA'!$R66/8</f>
        <v>0</v>
      </c>
      <c r="JB12" s="128">
        <f>'PROJECT TA Y TB KARINA'!$R66/8</f>
        <v>0</v>
      </c>
      <c r="JC12" s="128">
        <f>'PROJECT TA Y TB KARINA'!$R66/8</f>
        <v>0</v>
      </c>
      <c r="JD12" s="128">
        <f>'PROJECT TA Y TB KARINA'!$S66/8</f>
        <v>0</v>
      </c>
      <c r="JE12" s="128">
        <f>'PROJECT TA Y TB KARINA'!$S66/8</f>
        <v>0</v>
      </c>
      <c r="JF12" s="128">
        <f>'PROJECT TA Y TB KARINA'!$S66/8</f>
        <v>0</v>
      </c>
      <c r="JG12" s="128">
        <f>'PROJECT TA Y TB KARINA'!$S66/8</f>
        <v>0</v>
      </c>
      <c r="JH12" s="128">
        <f>'PROJECT TA Y TB KARINA'!$S66/8</f>
        <v>0</v>
      </c>
      <c r="JI12" s="128">
        <f>'PROJECT TA Y TB KARINA'!$S66/8</f>
        <v>0</v>
      </c>
      <c r="JJ12" s="128">
        <f>'PROJECT TA Y TB KARINA'!$S66/8</f>
        <v>0</v>
      </c>
      <c r="JK12" s="128">
        <f>'PROJECT TA Y TB KARINA'!$S66/8</f>
        <v>0</v>
      </c>
      <c r="JL12" s="128">
        <f>'PROJECT TA Y TB KARINA'!$T66/8</f>
        <v>0</v>
      </c>
      <c r="JM12" s="128">
        <f>'PROJECT TA Y TB KARINA'!$T66/8</f>
        <v>0</v>
      </c>
      <c r="JN12" s="128">
        <f>'PROJECT TA Y TB KARINA'!$T66/8</f>
        <v>0</v>
      </c>
      <c r="JO12" s="128">
        <f>'PROJECT TA Y TB KARINA'!$T66/8</f>
        <v>0</v>
      </c>
      <c r="JP12" s="128">
        <f>'PROJECT TA Y TB KARINA'!$T66/8</f>
        <v>0</v>
      </c>
      <c r="JQ12" s="128">
        <f>'PROJECT TA Y TB KARINA'!$T66/8</f>
        <v>0</v>
      </c>
      <c r="JR12" s="128">
        <f>'PROJECT TA Y TB KARINA'!$T66/8</f>
        <v>0</v>
      </c>
      <c r="JS12" s="128">
        <f>'PROJECT TA Y TB KARINA'!$T66/8</f>
        <v>0</v>
      </c>
      <c r="JT12" s="128" t="e">
        <f>'PROJECT TA Y TB KARINA'!#REF!/8</f>
        <v>#REF!</v>
      </c>
      <c r="JU12" s="128" t="e">
        <f>'PROJECT TA Y TB KARINA'!#REF!/8</f>
        <v>#REF!</v>
      </c>
      <c r="JV12" s="128" t="e">
        <f>'PROJECT TA Y TB KARINA'!#REF!/8</f>
        <v>#REF!</v>
      </c>
      <c r="JW12" s="128" t="e">
        <f>'PROJECT TA Y TB KARINA'!#REF!/8</f>
        <v>#REF!</v>
      </c>
      <c r="JX12" s="128" t="e">
        <f>'PROJECT TA Y TB KARINA'!#REF!/8</f>
        <v>#REF!</v>
      </c>
      <c r="JY12" s="128" t="e">
        <f>'PROJECT TA Y TB KARINA'!#REF!/8</f>
        <v>#REF!</v>
      </c>
      <c r="JZ12" s="128" t="e">
        <f>'PROJECT TA Y TB KARINA'!#REF!/8</f>
        <v>#REF!</v>
      </c>
      <c r="KA12" s="128" t="e">
        <f>'PROJECT TA Y TB KARINA'!#REF!/8</f>
        <v>#REF!</v>
      </c>
    </row>
    <row r="13" spans="1:287" ht="21">
      <c r="A13" s="130" t="s">
        <v>466</v>
      </c>
      <c r="B13" s="128" t="e">
        <f>'PROJECT TA Y TB KARINA'!$C$9/8</f>
        <v>#REF!</v>
      </c>
      <c r="C13" s="128" t="e">
        <f>'PROJECT TA Y TB KARINA'!$C$9/8</f>
        <v>#REF!</v>
      </c>
      <c r="D13" s="128" t="e">
        <f>'PROJECT TA Y TB KARINA'!$C$9/8</f>
        <v>#REF!</v>
      </c>
      <c r="E13" s="128" t="e">
        <f>'PROJECT TA Y TB KARINA'!$C$9/8</f>
        <v>#REF!</v>
      </c>
      <c r="F13" s="128" t="e">
        <f>'PROJECT TA Y TB KARINA'!$C$9/8</f>
        <v>#REF!</v>
      </c>
      <c r="G13" s="128" t="e">
        <f>'PROJECT TA Y TB KARINA'!$C$9/8</f>
        <v>#REF!</v>
      </c>
      <c r="H13" s="128" t="e">
        <f>'PROJECT TA Y TB KARINA'!$C$9/8</f>
        <v>#REF!</v>
      </c>
      <c r="I13" s="128" t="e">
        <f>'PROJECT TA Y TB KARINA'!$E9/8</f>
        <v>#REF!</v>
      </c>
      <c r="J13" s="128" t="e">
        <f>'PROJECT TA Y TB KARINA'!$E9/8</f>
        <v>#REF!</v>
      </c>
      <c r="K13" s="128" t="e">
        <f>'PROJECT TA Y TB KARINA'!$E9/8</f>
        <v>#REF!</v>
      </c>
      <c r="L13" s="128" t="e">
        <f>'PROJECT TA Y TB KARINA'!$E9/8</f>
        <v>#REF!</v>
      </c>
      <c r="M13" s="128" t="e">
        <f>'PROJECT TA Y TB KARINA'!$E9/8</f>
        <v>#REF!</v>
      </c>
      <c r="N13" s="128" t="e">
        <f>'PROJECT TA Y TB KARINA'!$E9/8</f>
        <v>#REF!</v>
      </c>
      <c r="O13" s="128" t="e">
        <f>'PROJECT TA Y TB KARINA'!$E9/8</f>
        <v>#REF!</v>
      </c>
      <c r="P13" s="128" t="e">
        <f>'PROJECT TA Y TB KARINA'!$E9/8</f>
        <v>#REF!</v>
      </c>
      <c r="Q13" s="128" t="e">
        <f>'PROJECT TA Y TB KARINA'!$F9/8</f>
        <v>#REF!</v>
      </c>
      <c r="R13" s="128" t="e">
        <f>'PROJECT TA Y TB KARINA'!$F9/8</f>
        <v>#REF!</v>
      </c>
      <c r="S13" s="128" t="e">
        <f>'PROJECT TA Y TB KARINA'!$F9/8</f>
        <v>#REF!</v>
      </c>
      <c r="T13" s="128" t="e">
        <f>'PROJECT TA Y TB KARINA'!$F9/8</f>
        <v>#REF!</v>
      </c>
      <c r="U13" s="128" t="e">
        <f>'PROJECT TA Y TB KARINA'!$F9/8</f>
        <v>#REF!</v>
      </c>
      <c r="V13" s="128" t="e">
        <f>'PROJECT TA Y TB KARINA'!$F9/8</f>
        <v>#REF!</v>
      </c>
      <c r="W13" s="128" t="e">
        <f>'PROJECT TA Y TB KARINA'!$F9/8</f>
        <v>#REF!</v>
      </c>
      <c r="X13" s="128" t="e">
        <f>'PROJECT TA Y TB KARINA'!$F9/8</f>
        <v>#REF!</v>
      </c>
      <c r="Y13" s="128" t="e">
        <f>'PROJECT TA Y TB KARINA'!$G9/8</f>
        <v>#REF!</v>
      </c>
      <c r="Z13" s="128" t="e">
        <f>'PROJECT TA Y TB KARINA'!$G9/8</f>
        <v>#REF!</v>
      </c>
      <c r="AA13" s="128" t="e">
        <f>'PROJECT TA Y TB KARINA'!$G9/8</f>
        <v>#REF!</v>
      </c>
      <c r="AB13" s="128" t="e">
        <f>'PROJECT TA Y TB KARINA'!$G9/8</f>
        <v>#REF!</v>
      </c>
      <c r="AC13" s="128" t="e">
        <f>'PROJECT TA Y TB KARINA'!$G9/8</f>
        <v>#REF!</v>
      </c>
      <c r="AD13" s="128" t="e">
        <f>'PROJECT TA Y TB KARINA'!$G9/8</f>
        <v>#REF!</v>
      </c>
      <c r="AE13" s="128" t="e">
        <f>'PROJECT TA Y TB KARINA'!$G9/8</f>
        <v>#REF!</v>
      </c>
      <c r="AF13" s="128" t="e">
        <f>'PROJECT TA Y TB KARINA'!$G9/8</f>
        <v>#REF!</v>
      </c>
      <c r="AG13" s="128" t="e">
        <f>'PROJECT TA Y TB KARINA'!$H9/8</f>
        <v>#REF!</v>
      </c>
      <c r="AH13" s="128" t="e">
        <f>'PROJECT TA Y TB KARINA'!$H9/8</f>
        <v>#REF!</v>
      </c>
      <c r="AI13" s="128" t="e">
        <f>'PROJECT TA Y TB KARINA'!$H9/8</f>
        <v>#REF!</v>
      </c>
      <c r="AJ13" s="128" t="e">
        <f>'PROJECT TA Y TB KARINA'!$H9/8</f>
        <v>#REF!</v>
      </c>
      <c r="AK13" s="128" t="e">
        <f>'PROJECT TA Y TB KARINA'!$H9/8</f>
        <v>#REF!</v>
      </c>
      <c r="AL13" s="128" t="e">
        <f>'PROJECT TA Y TB KARINA'!$H9/8</f>
        <v>#REF!</v>
      </c>
      <c r="AM13" s="128" t="e">
        <f>'PROJECT TA Y TB KARINA'!$H9/8</f>
        <v>#REF!</v>
      </c>
      <c r="AN13" s="128" t="e">
        <f>'PROJECT TA Y TB KARINA'!$H9/8</f>
        <v>#REF!</v>
      </c>
      <c r="AO13" s="128" t="e">
        <f>'PROJECT TA Y TB KARINA'!$I9/8</f>
        <v>#REF!</v>
      </c>
      <c r="AP13" s="128" t="e">
        <f>'PROJECT TA Y TB KARINA'!$I9/8</f>
        <v>#REF!</v>
      </c>
      <c r="AQ13" s="128" t="e">
        <f>'PROJECT TA Y TB KARINA'!$I9/8</f>
        <v>#REF!</v>
      </c>
      <c r="AR13" s="128" t="e">
        <f>'PROJECT TA Y TB KARINA'!$I9/8</f>
        <v>#REF!</v>
      </c>
      <c r="AS13" s="128" t="e">
        <f>'PROJECT TA Y TB KARINA'!$I9/8</f>
        <v>#REF!</v>
      </c>
      <c r="AT13" s="128" t="e">
        <f>'PROJECT TA Y TB KARINA'!$I9/8</f>
        <v>#REF!</v>
      </c>
      <c r="AU13" s="128" t="e">
        <f>'PROJECT TA Y TB KARINA'!$I9/8</f>
        <v>#REF!</v>
      </c>
      <c r="AV13" s="128" t="e">
        <f>'PROJECT TA Y TB KARINA'!$I9/8</f>
        <v>#REF!</v>
      </c>
      <c r="AW13" s="128" t="e">
        <f>'PROJECT TA Y TB KARINA'!$J9/8</f>
        <v>#REF!</v>
      </c>
      <c r="AX13" s="128" t="e">
        <f>'PROJECT TA Y TB KARINA'!$J9/8</f>
        <v>#REF!</v>
      </c>
      <c r="AY13" s="128" t="e">
        <f>'PROJECT TA Y TB KARINA'!$J9/8</f>
        <v>#REF!</v>
      </c>
      <c r="AZ13" s="128" t="e">
        <f>'PROJECT TA Y TB KARINA'!$J9/8</f>
        <v>#REF!</v>
      </c>
      <c r="BA13" s="128" t="e">
        <f>'PROJECT TA Y TB KARINA'!$J9/8</f>
        <v>#REF!</v>
      </c>
      <c r="BB13" s="128" t="e">
        <f>'PROJECT TA Y TB KARINA'!$J9/8</f>
        <v>#REF!</v>
      </c>
      <c r="BC13" s="128" t="e">
        <f>'PROJECT TA Y TB KARINA'!$J9/8</f>
        <v>#REF!</v>
      </c>
      <c r="BD13" s="128" t="e">
        <f>'PROJECT TA Y TB KARINA'!$J9/8</f>
        <v>#REF!</v>
      </c>
      <c r="BE13" s="128" t="e">
        <f>'PROJECT TA Y TB KARINA'!$K9/8</f>
        <v>#REF!</v>
      </c>
      <c r="BF13" s="128" t="e">
        <f>'PROJECT TA Y TB KARINA'!$K9/8</f>
        <v>#REF!</v>
      </c>
      <c r="BG13" s="128" t="e">
        <f>'PROJECT TA Y TB KARINA'!$K9/8</f>
        <v>#REF!</v>
      </c>
      <c r="BH13" s="128" t="e">
        <f>'PROJECT TA Y TB KARINA'!$K9/8</f>
        <v>#REF!</v>
      </c>
      <c r="BI13" s="128" t="e">
        <f>'PROJECT TA Y TB KARINA'!$K9/8</f>
        <v>#REF!</v>
      </c>
      <c r="BJ13" s="128" t="e">
        <f>'PROJECT TA Y TB KARINA'!$K9/8</f>
        <v>#REF!</v>
      </c>
      <c r="BK13" s="128" t="e">
        <f>'PROJECT TA Y TB KARINA'!$K9/8</f>
        <v>#REF!</v>
      </c>
      <c r="BL13" s="128" t="e">
        <f>'PROJECT TA Y TB KARINA'!$K9/8</f>
        <v>#REF!</v>
      </c>
      <c r="BM13" s="128" t="e">
        <f>'PROJECT TA Y TB KARINA'!$L9/8</f>
        <v>#REF!</v>
      </c>
      <c r="BN13" s="128" t="e">
        <f>'PROJECT TA Y TB KARINA'!$L9/8</f>
        <v>#REF!</v>
      </c>
      <c r="BO13" s="128" t="e">
        <f>'PROJECT TA Y TB KARINA'!$L9/8</f>
        <v>#REF!</v>
      </c>
      <c r="BP13" s="128" t="e">
        <f>'PROJECT TA Y TB KARINA'!$L9/8</f>
        <v>#REF!</v>
      </c>
      <c r="BQ13" s="128" t="e">
        <f>'PROJECT TA Y TB KARINA'!$L9/8</f>
        <v>#REF!</v>
      </c>
      <c r="BR13" s="128" t="e">
        <f>'PROJECT TA Y TB KARINA'!$L9/8</f>
        <v>#REF!</v>
      </c>
      <c r="BS13" s="128" t="e">
        <f>'PROJECT TA Y TB KARINA'!$L9/8</f>
        <v>#REF!</v>
      </c>
      <c r="BT13" s="128" t="e">
        <f>'PROJECT TA Y TB KARINA'!$L9/8</f>
        <v>#REF!</v>
      </c>
      <c r="BU13" s="128" t="e">
        <f>'PROJECT TA Y TB KARINA'!$M9/8</f>
        <v>#REF!</v>
      </c>
      <c r="BV13" s="128" t="e">
        <f>'PROJECT TA Y TB KARINA'!$M9/8</f>
        <v>#REF!</v>
      </c>
      <c r="BW13" s="128" t="e">
        <f>'PROJECT TA Y TB KARINA'!$M9/8</f>
        <v>#REF!</v>
      </c>
      <c r="BX13" s="128" t="e">
        <f>'PROJECT TA Y TB KARINA'!$M9/8</f>
        <v>#REF!</v>
      </c>
      <c r="BY13" s="128" t="e">
        <f>'PROJECT TA Y TB KARINA'!$M9/8</f>
        <v>#REF!</v>
      </c>
      <c r="BZ13" s="128" t="e">
        <f>'PROJECT TA Y TB KARINA'!$M9/8</f>
        <v>#REF!</v>
      </c>
      <c r="CA13" s="128" t="e">
        <f>'PROJECT TA Y TB KARINA'!$M9/8</f>
        <v>#REF!</v>
      </c>
      <c r="CB13" s="128" t="e">
        <f>'PROJECT TA Y TB KARINA'!$M9/8</f>
        <v>#REF!</v>
      </c>
      <c r="CC13" s="128" t="e">
        <f>'PROJECT TA Y TB KARINA'!$N9/8</f>
        <v>#REF!</v>
      </c>
      <c r="CD13" s="128" t="e">
        <f>'PROJECT TA Y TB KARINA'!$N9/8</f>
        <v>#REF!</v>
      </c>
      <c r="CE13" s="128" t="e">
        <f>'PROJECT TA Y TB KARINA'!$N9/8</f>
        <v>#REF!</v>
      </c>
      <c r="CF13" s="128" t="e">
        <f>'PROJECT TA Y TB KARINA'!$N9/8</f>
        <v>#REF!</v>
      </c>
      <c r="CG13" s="128" t="e">
        <f>'PROJECT TA Y TB KARINA'!$N9/8</f>
        <v>#REF!</v>
      </c>
      <c r="CH13" s="128" t="e">
        <f>'PROJECT TA Y TB KARINA'!$N9/8</f>
        <v>#REF!</v>
      </c>
      <c r="CI13" s="128" t="e">
        <f>'PROJECT TA Y TB KARINA'!$N9/8</f>
        <v>#REF!</v>
      </c>
      <c r="CJ13" s="128" t="e">
        <f>'PROJECT TA Y TB KARINA'!$N9/8</f>
        <v>#REF!</v>
      </c>
      <c r="CK13" s="128" t="e">
        <f>'PROJECT TA Y TB KARINA'!$O9/8</f>
        <v>#REF!</v>
      </c>
      <c r="CL13" s="128" t="e">
        <f>'PROJECT TA Y TB KARINA'!$O9/8</f>
        <v>#REF!</v>
      </c>
      <c r="CM13" s="128" t="e">
        <f>'PROJECT TA Y TB KARINA'!$O9/8</f>
        <v>#REF!</v>
      </c>
      <c r="CN13" s="128" t="e">
        <f>'PROJECT TA Y TB KARINA'!$O9/8</f>
        <v>#REF!</v>
      </c>
      <c r="CO13" s="128" t="e">
        <f>'PROJECT TA Y TB KARINA'!$O9/8</f>
        <v>#REF!</v>
      </c>
      <c r="CP13" s="128" t="e">
        <f>'PROJECT TA Y TB KARINA'!$O9/8</f>
        <v>#REF!</v>
      </c>
      <c r="CQ13" s="128" t="e">
        <f>'PROJECT TA Y TB KARINA'!$O9/8</f>
        <v>#REF!</v>
      </c>
      <c r="CR13" s="128" t="e">
        <f>'PROJECT TA Y TB KARINA'!$O9/8</f>
        <v>#REF!</v>
      </c>
      <c r="CS13" s="128" t="e">
        <f>'PROJECT TA Y TB KARINA'!$P9/8</f>
        <v>#REF!</v>
      </c>
      <c r="CT13" s="128" t="e">
        <f>'PROJECT TA Y TB KARINA'!$P9/8</f>
        <v>#REF!</v>
      </c>
      <c r="CU13" s="128" t="e">
        <f>'PROJECT TA Y TB KARINA'!$P9/8</f>
        <v>#REF!</v>
      </c>
      <c r="CV13" s="128" t="e">
        <f>'PROJECT TA Y TB KARINA'!$P9/8</f>
        <v>#REF!</v>
      </c>
      <c r="CW13" s="128" t="e">
        <f>'PROJECT TA Y TB KARINA'!$P9/8</f>
        <v>#REF!</v>
      </c>
      <c r="CX13" s="128" t="e">
        <f>'PROJECT TA Y TB KARINA'!$P9/8</f>
        <v>#REF!</v>
      </c>
      <c r="CY13" s="128" t="e">
        <f>'PROJECT TA Y TB KARINA'!$P9/8</f>
        <v>#REF!</v>
      </c>
      <c r="CZ13" s="128" t="e">
        <f>'PROJECT TA Y TB KARINA'!$P9/8</f>
        <v>#REF!</v>
      </c>
      <c r="DA13" s="128" t="e">
        <f>'PROJECT TA Y TB KARINA'!$Q9/8</f>
        <v>#REF!</v>
      </c>
      <c r="DB13" s="128" t="e">
        <f>'PROJECT TA Y TB KARINA'!$Q9/8</f>
        <v>#REF!</v>
      </c>
      <c r="DC13" s="128" t="e">
        <f>'PROJECT TA Y TB KARINA'!$Q9/8</f>
        <v>#REF!</v>
      </c>
      <c r="DD13" s="128" t="e">
        <f>'PROJECT TA Y TB KARINA'!$Q9/8</f>
        <v>#REF!</v>
      </c>
      <c r="DE13" s="128" t="e">
        <f>'PROJECT TA Y TB KARINA'!$Q9/8</f>
        <v>#REF!</v>
      </c>
      <c r="DF13" s="128" t="e">
        <f>'PROJECT TA Y TB KARINA'!$Q9/8</f>
        <v>#REF!</v>
      </c>
      <c r="DG13" s="128" t="e">
        <f>'PROJECT TA Y TB KARINA'!$Q9/8</f>
        <v>#REF!</v>
      </c>
      <c r="DH13" s="128" t="e">
        <f>'PROJECT TA Y TB KARINA'!$Q9/8</f>
        <v>#REF!</v>
      </c>
      <c r="DI13" s="128" t="e">
        <f>'PROJECT TA Y TB KARINA'!$R9/8</f>
        <v>#REF!</v>
      </c>
      <c r="DJ13" s="128" t="e">
        <f>'PROJECT TA Y TB KARINA'!$R9/8</f>
        <v>#REF!</v>
      </c>
      <c r="DK13" s="128" t="e">
        <f>'PROJECT TA Y TB KARINA'!$R9/8</f>
        <v>#REF!</v>
      </c>
      <c r="DL13" s="128" t="e">
        <f>'PROJECT TA Y TB KARINA'!$R9/8</f>
        <v>#REF!</v>
      </c>
      <c r="DM13" s="128" t="e">
        <f>'PROJECT TA Y TB KARINA'!$R9/8</f>
        <v>#REF!</v>
      </c>
      <c r="DN13" s="128" t="e">
        <f>'PROJECT TA Y TB KARINA'!$R9/8</f>
        <v>#REF!</v>
      </c>
      <c r="DO13" s="128" t="e">
        <f>'PROJECT TA Y TB KARINA'!$R9/8</f>
        <v>#REF!</v>
      </c>
      <c r="DP13" s="128" t="e">
        <f>'PROJECT TA Y TB KARINA'!$R9/8</f>
        <v>#REF!</v>
      </c>
      <c r="DQ13" s="128" t="e">
        <f>'PROJECT TA Y TB KARINA'!$S9/8</f>
        <v>#REF!</v>
      </c>
      <c r="DR13" s="128" t="e">
        <f>'PROJECT TA Y TB KARINA'!$S9/8</f>
        <v>#REF!</v>
      </c>
      <c r="DS13" s="128" t="e">
        <f>'PROJECT TA Y TB KARINA'!$S9/8</f>
        <v>#REF!</v>
      </c>
      <c r="DT13" s="128" t="e">
        <f>'PROJECT TA Y TB KARINA'!$S9/8</f>
        <v>#REF!</v>
      </c>
      <c r="DU13" s="128" t="e">
        <f>'PROJECT TA Y TB KARINA'!$S9/8</f>
        <v>#REF!</v>
      </c>
      <c r="DV13" s="128" t="e">
        <f>'PROJECT TA Y TB KARINA'!$S9/8</f>
        <v>#REF!</v>
      </c>
      <c r="DW13" s="128" t="e">
        <f>'PROJECT TA Y TB KARINA'!$S9/8</f>
        <v>#REF!</v>
      </c>
      <c r="DX13" s="128" t="e">
        <f>'PROJECT TA Y TB KARINA'!$S9/8</f>
        <v>#REF!</v>
      </c>
      <c r="DY13" s="128" t="e">
        <f>'PROJECT TA Y TB KARINA'!$T9/8</f>
        <v>#REF!</v>
      </c>
      <c r="DZ13" s="128" t="e">
        <f>'PROJECT TA Y TB KARINA'!$T9/8</f>
        <v>#REF!</v>
      </c>
      <c r="EA13" s="128" t="e">
        <f>'PROJECT TA Y TB KARINA'!$T9/8</f>
        <v>#REF!</v>
      </c>
      <c r="EB13" s="128" t="e">
        <f>'PROJECT TA Y TB KARINA'!$T9/8</f>
        <v>#REF!</v>
      </c>
      <c r="EC13" s="128" t="e">
        <f>'PROJECT TA Y TB KARINA'!$T9/8</f>
        <v>#REF!</v>
      </c>
      <c r="ED13" s="128" t="e">
        <f>'PROJECT TA Y TB KARINA'!$T9/8</f>
        <v>#REF!</v>
      </c>
      <c r="EE13" s="128" t="e">
        <f>'PROJECT TA Y TB KARINA'!$T9/8</f>
        <v>#REF!</v>
      </c>
      <c r="EF13" s="128" t="e">
        <f>'PROJECT TA Y TB KARINA'!$T9/8</f>
        <v>#REF!</v>
      </c>
      <c r="EG13" s="128" t="e">
        <f>'PROJECT TA Y TB KARINA'!#REF!/8</f>
        <v>#REF!</v>
      </c>
      <c r="EH13" s="128" t="e">
        <f>'PROJECT TA Y TB KARINA'!#REF!/8</f>
        <v>#REF!</v>
      </c>
      <c r="EI13" s="128" t="e">
        <f>'PROJECT TA Y TB KARINA'!#REF!/8</f>
        <v>#REF!</v>
      </c>
      <c r="EJ13" s="128" t="e">
        <f>'PROJECT TA Y TB KARINA'!#REF!/8</f>
        <v>#REF!</v>
      </c>
      <c r="EK13" s="128" t="e">
        <f>'PROJECT TA Y TB KARINA'!#REF!/8</f>
        <v>#REF!</v>
      </c>
      <c r="EL13" s="128" t="e">
        <f>'PROJECT TA Y TB KARINA'!#REF!/8</f>
        <v>#REF!</v>
      </c>
      <c r="EM13" s="128" t="e">
        <f>'PROJECT TA Y TB KARINA'!#REF!/8</f>
        <v>#REF!</v>
      </c>
      <c r="EN13" s="128" t="e">
        <f>'PROJECT TA Y TB KARINA'!#REF!/8</f>
        <v>#REF!</v>
      </c>
      <c r="EO13" s="128">
        <f>'PROJECT TA Y TB KARINA'!$C67/8</f>
        <v>0</v>
      </c>
      <c r="EP13" s="128">
        <f>'PROJECT TA Y TB KARINA'!$C67/8</f>
        <v>0</v>
      </c>
      <c r="EQ13" s="128">
        <f>'PROJECT TA Y TB KARINA'!$C67/8</f>
        <v>0</v>
      </c>
      <c r="ER13" s="128">
        <f>'PROJECT TA Y TB KARINA'!$C67/8</f>
        <v>0</v>
      </c>
      <c r="ES13" s="128">
        <f>'PROJECT TA Y TB KARINA'!$C67/8</f>
        <v>0</v>
      </c>
      <c r="ET13" s="128">
        <f>'PROJECT TA Y TB KARINA'!$C67/8</f>
        <v>0</v>
      </c>
      <c r="EU13" s="128">
        <f>'PROJECT TA Y TB KARINA'!$C67/8</f>
        <v>0</v>
      </c>
      <c r="EV13" s="128">
        <f>'PROJECT TA Y TB KARINA'!$E67/8</f>
        <v>0</v>
      </c>
      <c r="EW13" s="128">
        <f>'PROJECT TA Y TB KARINA'!$E67/8</f>
        <v>0</v>
      </c>
      <c r="EX13" s="128">
        <f>'PROJECT TA Y TB KARINA'!$E67/8</f>
        <v>0</v>
      </c>
      <c r="EY13" s="128">
        <f>'PROJECT TA Y TB KARINA'!$E67/8</f>
        <v>0</v>
      </c>
      <c r="EZ13" s="128">
        <f>'PROJECT TA Y TB KARINA'!$E67/8</f>
        <v>0</v>
      </c>
      <c r="FA13" s="128">
        <f>'PROJECT TA Y TB KARINA'!$E67/8</f>
        <v>0</v>
      </c>
      <c r="FB13" s="128">
        <f>'PROJECT TA Y TB KARINA'!$E67/8</f>
        <v>0</v>
      </c>
      <c r="FC13" s="128">
        <f>'PROJECT TA Y TB KARINA'!$E67/8</f>
        <v>0</v>
      </c>
      <c r="FD13" s="128">
        <f>'PROJECT TA Y TB KARINA'!$F67/8</f>
        <v>0</v>
      </c>
      <c r="FE13" s="128">
        <f>'PROJECT TA Y TB KARINA'!$F67/8</f>
        <v>0</v>
      </c>
      <c r="FF13" s="128">
        <f>'PROJECT TA Y TB KARINA'!$F67/8</f>
        <v>0</v>
      </c>
      <c r="FG13" s="128">
        <f>'PROJECT TA Y TB KARINA'!$F67/8</f>
        <v>0</v>
      </c>
      <c r="FH13" s="128">
        <f>'PROJECT TA Y TB KARINA'!$F67/8</f>
        <v>0</v>
      </c>
      <c r="FI13" s="128">
        <f>'PROJECT TA Y TB KARINA'!$F67/8</f>
        <v>0</v>
      </c>
      <c r="FJ13" s="128">
        <f>'PROJECT TA Y TB KARINA'!$F67/8</f>
        <v>0</v>
      </c>
      <c r="FK13" s="128">
        <f>'PROJECT TA Y TB KARINA'!$F67/8</f>
        <v>0</v>
      </c>
      <c r="FL13" s="128">
        <f>'PROJECT TA Y TB KARINA'!$G67/8</f>
        <v>0</v>
      </c>
      <c r="FM13" s="128">
        <f>'PROJECT TA Y TB KARINA'!$G67/8</f>
        <v>0</v>
      </c>
      <c r="FN13" s="128">
        <f>'PROJECT TA Y TB KARINA'!$G67/8</f>
        <v>0</v>
      </c>
      <c r="FO13" s="128">
        <f>'PROJECT TA Y TB KARINA'!$G67/8</f>
        <v>0</v>
      </c>
      <c r="FP13" s="128">
        <f>'PROJECT TA Y TB KARINA'!$G67/8</f>
        <v>0</v>
      </c>
      <c r="FQ13" s="128">
        <f>'PROJECT TA Y TB KARINA'!$G67/8</f>
        <v>0</v>
      </c>
      <c r="FR13" s="128">
        <f>'PROJECT TA Y TB KARINA'!$G67/8</f>
        <v>0</v>
      </c>
      <c r="FS13" s="128">
        <f>'PROJECT TA Y TB KARINA'!$G67/8</f>
        <v>0</v>
      </c>
      <c r="FT13" s="128">
        <f>'PROJECT TA Y TB KARINA'!$H67/8</f>
        <v>0</v>
      </c>
      <c r="FU13" s="128">
        <f>'PROJECT TA Y TB KARINA'!$H67/8</f>
        <v>0</v>
      </c>
      <c r="FV13" s="128">
        <f>'PROJECT TA Y TB KARINA'!$H67/8</f>
        <v>0</v>
      </c>
      <c r="FW13" s="128">
        <f>'PROJECT TA Y TB KARINA'!$H67/8</f>
        <v>0</v>
      </c>
      <c r="FX13" s="128">
        <f>'PROJECT TA Y TB KARINA'!$H67/8</f>
        <v>0</v>
      </c>
      <c r="FY13" s="128">
        <f>'PROJECT TA Y TB KARINA'!$H67/8</f>
        <v>0</v>
      </c>
      <c r="FZ13" s="128">
        <f>'PROJECT TA Y TB KARINA'!$H67/8</f>
        <v>0</v>
      </c>
      <c r="GA13" s="128">
        <f>'PROJECT TA Y TB KARINA'!$H67/8</f>
        <v>0</v>
      </c>
      <c r="GB13" s="128">
        <f>'PROJECT TA Y TB KARINA'!$I67/8</f>
        <v>0</v>
      </c>
      <c r="GC13" s="128">
        <f>'PROJECT TA Y TB KARINA'!$I67/8</f>
        <v>0</v>
      </c>
      <c r="GD13" s="128">
        <f>'PROJECT TA Y TB KARINA'!$I67/8</f>
        <v>0</v>
      </c>
      <c r="GE13" s="128">
        <f>'PROJECT TA Y TB KARINA'!$I67/8</f>
        <v>0</v>
      </c>
      <c r="GF13" s="128">
        <f>'PROJECT TA Y TB KARINA'!$I67/8</f>
        <v>0</v>
      </c>
      <c r="GG13" s="128">
        <f>'PROJECT TA Y TB KARINA'!$I67/8</f>
        <v>0</v>
      </c>
      <c r="GH13" s="128">
        <f>'PROJECT TA Y TB KARINA'!$I67/8</f>
        <v>0</v>
      </c>
      <c r="GI13" s="128">
        <f>'PROJECT TA Y TB KARINA'!$I67/8</f>
        <v>0</v>
      </c>
      <c r="GJ13" s="128">
        <f>'PROJECT TA Y TB KARINA'!$J67/8</f>
        <v>0</v>
      </c>
      <c r="GK13" s="128">
        <f>'PROJECT TA Y TB KARINA'!$J67/8</f>
        <v>0</v>
      </c>
      <c r="GL13" s="128">
        <f>'PROJECT TA Y TB KARINA'!$J67/8</f>
        <v>0</v>
      </c>
      <c r="GM13" s="128">
        <f>'PROJECT TA Y TB KARINA'!$J67/8</f>
        <v>0</v>
      </c>
      <c r="GN13" s="128">
        <f>'PROJECT TA Y TB KARINA'!$J67/8</f>
        <v>0</v>
      </c>
      <c r="GO13" s="128">
        <f>'PROJECT TA Y TB KARINA'!$J67/8</f>
        <v>0</v>
      </c>
      <c r="GP13" s="128">
        <f>'PROJECT TA Y TB KARINA'!$J67/8</f>
        <v>0</v>
      </c>
      <c r="GQ13" s="128">
        <f>'PROJECT TA Y TB KARINA'!$J67/8</f>
        <v>0</v>
      </c>
      <c r="GR13" s="128">
        <f>'PROJECT TA Y TB KARINA'!$K67/8</f>
        <v>0</v>
      </c>
      <c r="GS13" s="128">
        <f>'PROJECT TA Y TB KARINA'!$K67/8</f>
        <v>0</v>
      </c>
      <c r="GT13" s="128">
        <f>'PROJECT TA Y TB KARINA'!$K67/8</f>
        <v>0</v>
      </c>
      <c r="GU13" s="128">
        <f>'PROJECT TA Y TB KARINA'!$K67/8</f>
        <v>0</v>
      </c>
      <c r="GV13" s="128">
        <f>'PROJECT TA Y TB KARINA'!$K67/8</f>
        <v>0</v>
      </c>
      <c r="GW13" s="128">
        <f>'PROJECT TA Y TB KARINA'!$K67/8</f>
        <v>0</v>
      </c>
      <c r="GX13" s="128">
        <f>'PROJECT TA Y TB KARINA'!$K67/8</f>
        <v>0</v>
      </c>
      <c r="GY13" s="128">
        <f>'PROJECT TA Y TB KARINA'!$K67/8</f>
        <v>0</v>
      </c>
      <c r="GZ13" s="128">
        <f>'PROJECT TA Y TB KARINA'!$L67/8</f>
        <v>0</v>
      </c>
      <c r="HA13" s="128">
        <f>'PROJECT TA Y TB KARINA'!$L67/8</f>
        <v>0</v>
      </c>
      <c r="HB13" s="128">
        <f>'PROJECT TA Y TB KARINA'!$L67/8</f>
        <v>0</v>
      </c>
      <c r="HC13" s="128">
        <f>'PROJECT TA Y TB KARINA'!$L67/8</f>
        <v>0</v>
      </c>
      <c r="HD13" s="128">
        <f>'PROJECT TA Y TB KARINA'!$L67/8</f>
        <v>0</v>
      </c>
      <c r="HE13" s="128">
        <f>'PROJECT TA Y TB KARINA'!$L67/8</f>
        <v>0</v>
      </c>
      <c r="HF13" s="128">
        <f>'PROJECT TA Y TB KARINA'!$L67/8</f>
        <v>0</v>
      </c>
      <c r="HG13" s="128">
        <f>'PROJECT TA Y TB KARINA'!$L67/8</f>
        <v>0</v>
      </c>
      <c r="HH13" s="128">
        <f>'PROJECT TA Y TB KARINA'!$M67/8</f>
        <v>0</v>
      </c>
      <c r="HI13" s="128">
        <f>'PROJECT TA Y TB KARINA'!$M67/8</f>
        <v>0</v>
      </c>
      <c r="HJ13" s="128">
        <f>'PROJECT TA Y TB KARINA'!$M67/8</f>
        <v>0</v>
      </c>
      <c r="HK13" s="128">
        <f>'PROJECT TA Y TB KARINA'!$M67/8</f>
        <v>0</v>
      </c>
      <c r="HL13" s="128">
        <f>'PROJECT TA Y TB KARINA'!$M67/8</f>
        <v>0</v>
      </c>
      <c r="HM13" s="128">
        <f>'PROJECT TA Y TB KARINA'!$M67/8</f>
        <v>0</v>
      </c>
      <c r="HN13" s="128">
        <f>'PROJECT TA Y TB KARINA'!$M67/8</f>
        <v>0</v>
      </c>
      <c r="HO13" s="128">
        <f>'PROJECT TA Y TB KARINA'!$M67/8</f>
        <v>0</v>
      </c>
      <c r="HP13" s="128">
        <f>'PROJECT TA Y TB KARINA'!$N67/8</f>
        <v>0</v>
      </c>
      <c r="HQ13" s="128">
        <f>'PROJECT TA Y TB KARINA'!$N67/8</f>
        <v>0</v>
      </c>
      <c r="HR13" s="128">
        <f>'PROJECT TA Y TB KARINA'!$N67/8</f>
        <v>0</v>
      </c>
      <c r="HS13" s="128">
        <f>'PROJECT TA Y TB KARINA'!$N67/8</f>
        <v>0</v>
      </c>
      <c r="HT13" s="128">
        <f>'PROJECT TA Y TB KARINA'!$N67/8</f>
        <v>0</v>
      </c>
      <c r="HU13" s="128">
        <f>'PROJECT TA Y TB KARINA'!$N67/8</f>
        <v>0</v>
      </c>
      <c r="HV13" s="128">
        <f>'PROJECT TA Y TB KARINA'!$N67/8</f>
        <v>0</v>
      </c>
      <c r="HW13" s="128">
        <f>'PROJECT TA Y TB KARINA'!$N67/8</f>
        <v>0</v>
      </c>
      <c r="HX13" s="128">
        <f>'PROJECT TA Y TB KARINA'!$O67/8</f>
        <v>0</v>
      </c>
      <c r="HY13" s="128">
        <f>'PROJECT TA Y TB KARINA'!$O67/8</f>
        <v>0</v>
      </c>
      <c r="HZ13" s="128">
        <f>'PROJECT TA Y TB KARINA'!$O67/8</f>
        <v>0</v>
      </c>
      <c r="IA13" s="128">
        <f>'PROJECT TA Y TB KARINA'!$O67/8</f>
        <v>0</v>
      </c>
      <c r="IB13" s="128">
        <f>'PROJECT TA Y TB KARINA'!$O67/8</f>
        <v>0</v>
      </c>
      <c r="IC13" s="128">
        <f>'PROJECT TA Y TB KARINA'!$O67/8</f>
        <v>0</v>
      </c>
      <c r="ID13" s="128">
        <f>'PROJECT TA Y TB KARINA'!$O67/8</f>
        <v>0</v>
      </c>
      <c r="IE13" s="128">
        <f>'PROJECT TA Y TB KARINA'!$O67/8</f>
        <v>0</v>
      </c>
      <c r="IF13" s="128">
        <f>'PROJECT TA Y TB KARINA'!$P67/8</f>
        <v>0</v>
      </c>
      <c r="IG13" s="128">
        <f>'PROJECT TA Y TB KARINA'!$P67/8</f>
        <v>0</v>
      </c>
      <c r="IH13" s="128">
        <f>'PROJECT TA Y TB KARINA'!$P67/8</f>
        <v>0</v>
      </c>
      <c r="II13" s="128">
        <f>'PROJECT TA Y TB KARINA'!$P67/8</f>
        <v>0</v>
      </c>
      <c r="IJ13" s="128">
        <f>'PROJECT TA Y TB KARINA'!$P67/8</f>
        <v>0</v>
      </c>
      <c r="IK13" s="128">
        <f>'PROJECT TA Y TB KARINA'!$P67/8</f>
        <v>0</v>
      </c>
      <c r="IL13" s="128">
        <f>'PROJECT TA Y TB KARINA'!$P67/8</f>
        <v>0</v>
      </c>
      <c r="IM13" s="128">
        <f>'PROJECT TA Y TB KARINA'!$P67/8</f>
        <v>0</v>
      </c>
      <c r="IN13" s="128">
        <f>'PROJECT TA Y TB KARINA'!$Q67/8</f>
        <v>0</v>
      </c>
      <c r="IO13" s="128">
        <f>'PROJECT TA Y TB KARINA'!$Q67/8</f>
        <v>0</v>
      </c>
      <c r="IP13" s="128">
        <f>'PROJECT TA Y TB KARINA'!$Q67/8</f>
        <v>0</v>
      </c>
      <c r="IQ13" s="128">
        <f>'PROJECT TA Y TB KARINA'!$Q67/8</f>
        <v>0</v>
      </c>
      <c r="IR13" s="128">
        <f>'PROJECT TA Y TB KARINA'!$Q67/8</f>
        <v>0</v>
      </c>
      <c r="IS13" s="128">
        <f>'PROJECT TA Y TB KARINA'!$Q67/8</f>
        <v>0</v>
      </c>
      <c r="IT13" s="128">
        <f>'PROJECT TA Y TB KARINA'!$Q67/8</f>
        <v>0</v>
      </c>
      <c r="IU13" s="128">
        <f>'PROJECT TA Y TB KARINA'!$Q67/8</f>
        <v>0</v>
      </c>
      <c r="IV13" s="128">
        <f>'PROJECT TA Y TB KARINA'!$R67/8</f>
        <v>0</v>
      </c>
      <c r="IW13" s="128">
        <f>'PROJECT TA Y TB KARINA'!$R67/8</f>
        <v>0</v>
      </c>
      <c r="IX13" s="128">
        <f>'PROJECT TA Y TB KARINA'!$R67/8</f>
        <v>0</v>
      </c>
      <c r="IY13" s="128">
        <f>'PROJECT TA Y TB KARINA'!$R67/8</f>
        <v>0</v>
      </c>
      <c r="IZ13" s="128">
        <f>'PROJECT TA Y TB KARINA'!$R67/8</f>
        <v>0</v>
      </c>
      <c r="JA13" s="128">
        <f>'PROJECT TA Y TB KARINA'!$R67/8</f>
        <v>0</v>
      </c>
      <c r="JB13" s="128">
        <f>'PROJECT TA Y TB KARINA'!$R67/8</f>
        <v>0</v>
      </c>
      <c r="JC13" s="128">
        <f>'PROJECT TA Y TB KARINA'!$R67/8</f>
        <v>0</v>
      </c>
      <c r="JD13" s="128">
        <f>'PROJECT TA Y TB KARINA'!$S67/8</f>
        <v>0</v>
      </c>
      <c r="JE13" s="128">
        <f>'PROJECT TA Y TB KARINA'!$S67/8</f>
        <v>0</v>
      </c>
      <c r="JF13" s="128">
        <f>'PROJECT TA Y TB KARINA'!$S67/8</f>
        <v>0</v>
      </c>
      <c r="JG13" s="128">
        <f>'PROJECT TA Y TB KARINA'!$S67/8</f>
        <v>0</v>
      </c>
      <c r="JH13" s="128">
        <f>'PROJECT TA Y TB KARINA'!$S67/8</f>
        <v>0</v>
      </c>
      <c r="JI13" s="128">
        <f>'PROJECT TA Y TB KARINA'!$S67/8</f>
        <v>0</v>
      </c>
      <c r="JJ13" s="128">
        <f>'PROJECT TA Y TB KARINA'!$S67/8</f>
        <v>0</v>
      </c>
      <c r="JK13" s="128">
        <f>'PROJECT TA Y TB KARINA'!$S67/8</f>
        <v>0</v>
      </c>
      <c r="JL13" s="128">
        <f>'PROJECT TA Y TB KARINA'!$T67/8</f>
        <v>0</v>
      </c>
      <c r="JM13" s="128">
        <f>'PROJECT TA Y TB KARINA'!$T67/8</f>
        <v>0</v>
      </c>
      <c r="JN13" s="128">
        <f>'PROJECT TA Y TB KARINA'!$T67/8</f>
        <v>0</v>
      </c>
      <c r="JO13" s="128">
        <f>'PROJECT TA Y TB KARINA'!$T67/8</f>
        <v>0</v>
      </c>
      <c r="JP13" s="128">
        <f>'PROJECT TA Y TB KARINA'!$T67/8</f>
        <v>0</v>
      </c>
      <c r="JQ13" s="128">
        <f>'PROJECT TA Y TB KARINA'!$T67/8</f>
        <v>0</v>
      </c>
      <c r="JR13" s="128">
        <f>'PROJECT TA Y TB KARINA'!$T67/8</f>
        <v>0</v>
      </c>
      <c r="JS13" s="128">
        <f>'PROJECT TA Y TB KARINA'!$T67/8</f>
        <v>0</v>
      </c>
      <c r="JT13" s="128" t="e">
        <f>'PROJECT TA Y TB KARINA'!#REF!/8</f>
        <v>#REF!</v>
      </c>
      <c r="JU13" s="128" t="e">
        <f>'PROJECT TA Y TB KARINA'!#REF!/8</f>
        <v>#REF!</v>
      </c>
      <c r="JV13" s="128" t="e">
        <f>'PROJECT TA Y TB KARINA'!#REF!/8</f>
        <v>#REF!</v>
      </c>
      <c r="JW13" s="128" t="e">
        <f>'PROJECT TA Y TB KARINA'!#REF!/8</f>
        <v>#REF!</v>
      </c>
      <c r="JX13" s="128" t="e">
        <f>'PROJECT TA Y TB KARINA'!#REF!/8</f>
        <v>#REF!</v>
      </c>
      <c r="JY13" s="128" t="e">
        <f>'PROJECT TA Y TB KARINA'!#REF!/8</f>
        <v>#REF!</v>
      </c>
      <c r="JZ13" s="128" t="e">
        <f>'PROJECT TA Y TB KARINA'!#REF!/8</f>
        <v>#REF!</v>
      </c>
      <c r="KA13" s="128" t="e">
        <f>'PROJECT TA Y TB KARINA'!#REF!/8</f>
        <v>#REF!</v>
      </c>
    </row>
    <row r="14" spans="1:287" ht="21">
      <c r="A14" s="130" t="s">
        <v>467</v>
      </c>
      <c r="B14" s="128" t="e">
        <f>'PROJECT TA Y TB KARINA'!$C$10/8</f>
        <v>#REF!</v>
      </c>
      <c r="C14" s="128" t="e">
        <f>'PROJECT TA Y TB KARINA'!$C$10/8</f>
        <v>#REF!</v>
      </c>
      <c r="D14" s="128" t="e">
        <f>'PROJECT TA Y TB KARINA'!$C$10/8</f>
        <v>#REF!</v>
      </c>
      <c r="E14" s="128" t="e">
        <f>'PROJECT TA Y TB KARINA'!$C$10/8</f>
        <v>#REF!</v>
      </c>
      <c r="F14" s="128" t="e">
        <f>'PROJECT TA Y TB KARINA'!$C$10/8</f>
        <v>#REF!</v>
      </c>
      <c r="G14" s="128" t="e">
        <f>'PROJECT TA Y TB KARINA'!$C$10/8</f>
        <v>#REF!</v>
      </c>
      <c r="H14" s="128" t="e">
        <f>'PROJECT TA Y TB KARINA'!$C$10/8</f>
        <v>#REF!</v>
      </c>
      <c r="I14" s="128" t="e">
        <f>'PROJECT TA Y TB KARINA'!$E10/8</f>
        <v>#REF!</v>
      </c>
      <c r="J14" s="128" t="e">
        <f>'PROJECT TA Y TB KARINA'!$E10/8</f>
        <v>#REF!</v>
      </c>
      <c r="K14" s="128" t="e">
        <f>'PROJECT TA Y TB KARINA'!$E10/8</f>
        <v>#REF!</v>
      </c>
      <c r="L14" s="128" t="e">
        <f>'PROJECT TA Y TB KARINA'!$E10/8</f>
        <v>#REF!</v>
      </c>
      <c r="M14" s="128" t="e">
        <f>'PROJECT TA Y TB KARINA'!$E10/8</f>
        <v>#REF!</v>
      </c>
      <c r="N14" s="128" t="e">
        <f>'PROJECT TA Y TB KARINA'!$E10/8</f>
        <v>#REF!</v>
      </c>
      <c r="O14" s="128" t="e">
        <f>'PROJECT TA Y TB KARINA'!$E10/8</f>
        <v>#REF!</v>
      </c>
      <c r="P14" s="128" t="e">
        <f>'PROJECT TA Y TB KARINA'!$E10/8</f>
        <v>#REF!</v>
      </c>
      <c r="Q14" s="128" t="e">
        <f>'PROJECT TA Y TB KARINA'!$F10/8</f>
        <v>#REF!</v>
      </c>
      <c r="R14" s="128" t="e">
        <f>'PROJECT TA Y TB KARINA'!$F10/8</f>
        <v>#REF!</v>
      </c>
      <c r="S14" s="128" t="e">
        <f>'PROJECT TA Y TB KARINA'!$F10/8</f>
        <v>#REF!</v>
      </c>
      <c r="T14" s="128" t="e">
        <f>'PROJECT TA Y TB KARINA'!$F10/8</f>
        <v>#REF!</v>
      </c>
      <c r="U14" s="128" t="e">
        <f>'PROJECT TA Y TB KARINA'!$F10/8</f>
        <v>#REF!</v>
      </c>
      <c r="V14" s="128" t="e">
        <f>'PROJECT TA Y TB KARINA'!$F10/8</f>
        <v>#REF!</v>
      </c>
      <c r="W14" s="128" t="e">
        <f>'PROJECT TA Y TB KARINA'!$F10/8</f>
        <v>#REF!</v>
      </c>
      <c r="X14" s="128" t="e">
        <f>'PROJECT TA Y TB KARINA'!$F10/8</f>
        <v>#REF!</v>
      </c>
      <c r="Y14" s="128" t="e">
        <f>'PROJECT TA Y TB KARINA'!$G10/8</f>
        <v>#REF!</v>
      </c>
      <c r="Z14" s="128" t="e">
        <f>'PROJECT TA Y TB KARINA'!$G10/8</f>
        <v>#REF!</v>
      </c>
      <c r="AA14" s="128" t="e">
        <f>'PROJECT TA Y TB KARINA'!$G10/8</f>
        <v>#REF!</v>
      </c>
      <c r="AB14" s="128" t="e">
        <f>'PROJECT TA Y TB KARINA'!$G10/8</f>
        <v>#REF!</v>
      </c>
      <c r="AC14" s="128" t="e">
        <f>'PROJECT TA Y TB KARINA'!$G10/8</f>
        <v>#REF!</v>
      </c>
      <c r="AD14" s="128" t="e">
        <f>'PROJECT TA Y TB KARINA'!$G10/8</f>
        <v>#REF!</v>
      </c>
      <c r="AE14" s="128" t="e">
        <f>'PROJECT TA Y TB KARINA'!$G10/8</f>
        <v>#REF!</v>
      </c>
      <c r="AF14" s="128" t="e">
        <f>'PROJECT TA Y TB KARINA'!$G10/8</f>
        <v>#REF!</v>
      </c>
      <c r="AG14" s="128" t="e">
        <f>'PROJECT TA Y TB KARINA'!$H10/8</f>
        <v>#REF!</v>
      </c>
      <c r="AH14" s="128" t="e">
        <f>'PROJECT TA Y TB KARINA'!$H10/8</f>
        <v>#REF!</v>
      </c>
      <c r="AI14" s="128" t="e">
        <f>'PROJECT TA Y TB KARINA'!$H10/8</f>
        <v>#REF!</v>
      </c>
      <c r="AJ14" s="128" t="e">
        <f>'PROJECT TA Y TB KARINA'!$H10/8</f>
        <v>#REF!</v>
      </c>
      <c r="AK14" s="128" t="e">
        <f>'PROJECT TA Y TB KARINA'!$H10/8</f>
        <v>#REF!</v>
      </c>
      <c r="AL14" s="128" t="e">
        <f>'PROJECT TA Y TB KARINA'!$H10/8</f>
        <v>#REF!</v>
      </c>
      <c r="AM14" s="128" t="e">
        <f>'PROJECT TA Y TB KARINA'!$H10/8</f>
        <v>#REF!</v>
      </c>
      <c r="AN14" s="128" t="e">
        <f>'PROJECT TA Y TB KARINA'!$H10/8</f>
        <v>#REF!</v>
      </c>
      <c r="AO14" s="128" t="e">
        <f>'PROJECT TA Y TB KARINA'!$I10/8</f>
        <v>#REF!</v>
      </c>
      <c r="AP14" s="128" t="e">
        <f>'PROJECT TA Y TB KARINA'!$I10/8</f>
        <v>#REF!</v>
      </c>
      <c r="AQ14" s="128" t="e">
        <f>'PROJECT TA Y TB KARINA'!$I10/8</f>
        <v>#REF!</v>
      </c>
      <c r="AR14" s="128" t="e">
        <f>'PROJECT TA Y TB KARINA'!$I10/8</f>
        <v>#REF!</v>
      </c>
      <c r="AS14" s="128" t="e">
        <f>'PROJECT TA Y TB KARINA'!$I10/8</f>
        <v>#REF!</v>
      </c>
      <c r="AT14" s="128" t="e">
        <f>'PROJECT TA Y TB KARINA'!$I10/8</f>
        <v>#REF!</v>
      </c>
      <c r="AU14" s="128" t="e">
        <f>'PROJECT TA Y TB KARINA'!$I10/8</f>
        <v>#REF!</v>
      </c>
      <c r="AV14" s="128" t="e">
        <f>'PROJECT TA Y TB KARINA'!$I10/8</f>
        <v>#REF!</v>
      </c>
      <c r="AW14" s="128" t="e">
        <f>'PROJECT TA Y TB KARINA'!$J10/8</f>
        <v>#REF!</v>
      </c>
      <c r="AX14" s="128" t="e">
        <f>'PROJECT TA Y TB KARINA'!$J10/8</f>
        <v>#REF!</v>
      </c>
      <c r="AY14" s="128" t="e">
        <f>'PROJECT TA Y TB KARINA'!$J10/8</f>
        <v>#REF!</v>
      </c>
      <c r="AZ14" s="128" t="e">
        <f>'PROJECT TA Y TB KARINA'!$J10/8</f>
        <v>#REF!</v>
      </c>
      <c r="BA14" s="128" t="e">
        <f>'PROJECT TA Y TB KARINA'!$J10/8</f>
        <v>#REF!</v>
      </c>
      <c r="BB14" s="128" t="e">
        <f>'PROJECT TA Y TB KARINA'!$J10/8</f>
        <v>#REF!</v>
      </c>
      <c r="BC14" s="128" t="e">
        <f>'PROJECT TA Y TB KARINA'!$J10/8</f>
        <v>#REF!</v>
      </c>
      <c r="BD14" s="128" t="e">
        <f>'PROJECT TA Y TB KARINA'!$J10/8</f>
        <v>#REF!</v>
      </c>
      <c r="BE14" s="128" t="e">
        <f>'PROJECT TA Y TB KARINA'!$K10/8</f>
        <v>#REF!</v>
      </c>
      <c r="BF14" s="128" t="e">
        <f>'PROJECT TA Y TB KARINA'!$K10/8</f>
        <v>#REF!</v>
      </c>
      <c r="BG14" s="128" t="e">
        <f>'PROJECT TA Y TB KARINA'!$K10/8</f>
        <v>#REF!</v>
      </c>
      <c r="BH14" s="128" t="e">
        <f>'PROJECT TA Y TB KARINA'!$K10/8</f>
        <v>#REF!</v>
      </c>
      <c r="BI14" s="128" t="e">
        <f>'PROJECT TA Y TB KARINA'!$K10/8</f>
        <v>#REF!</v>
      </c>
      <c r="BJ14" s="128" t="e">
        <f>'PROJECT TA Y TB KARINA'!$K10/8</f>
        <v>#REF!</v>
      </c>
      <c r="BK14" s="128" t="e">
        <f>'PROJECT TA Y TB KARINA'!$K10/8</f>
        <v>#REF!</v>
      </c>
      <c r="BL14" s="128" t="e">
        <f>'PROJECT TA Y TB KARINA'!$K10/8</f>
        <v>#REF!</v>
      </c>
      <c r="BM14" s="128" t="e">
        <f>'PROJECT TA Y TB KARINA'!$L10/8</f>
        <v>#REF!</v>
      </c>
      <c r="BN14" s="128" t="e">
        <f>'PROJECT TA Y TB KARINA'!$L10/8</f>
        <v>#REF!</v>
      </c>
      <c r="BO14" s="128" t="e">
        <f>'PROJECT TA Y TB KARINA'!$L10/8</f>
        <v>#REF!</v>
      </c>
      <c r="BP14" s="128" t="e">
        <f>'PROJECT TA Y TB KARINA'!$L10/8</f>
        <v>#REF!</v>
      </c>
      <c r="BQ14" s="128" t="e">
        <f>'PROJECT TA Y TB KARINA'!$L10/8</f>
        <v>#REF!</v>
      </c>
      <c r="BR14" s="128" t="e">
        <f>'PROJECT TA Y TB KARINA'!$L10/8</f>
        <v>#REF!</v>
      </c>
      <c r="BS14" s="128" t="e">
        <f>'PROJECT TA Y TB KARINA'!$L10/8</f>
        <v>#REF!</v>
      </c>
      <c r="BT14" s="128" t="e">
        <f>'PROJECT TA Y TB KARINA'!$L10/8</f>
        <v>#REF!</v>
      </c>
      <c r="BU14" s="128" t="e">
        <f>'PROJECT TA Y TB KARINA'!$M10/8</f>
        <v>#REF!</v>
      </c>
      <c r="BV14" s="128" t="e">
        <f>'PROJECT TA Y TB KARINA'!$M10/8</f>
        <v>#REF!</v>
      </c>
      <c r="BW14" s="128" t="e">
        <f>'PROJECT TA Y TB KARINA'!$M10/8</f>
        <v>#REF!</v>
      </c>
      <c r="BX14" s="128" t="e">
        <f>'PROJECT TA Y TB KARINA'!$M10/8</f>
        <v>#REF!</v>
      </c>
      <c r="BY14" s="128" t="e">
        <f>'PROJECT TA Y TB KARINA'!$M10/8</f>
        <v>#REF!</v>
      </c>
      <c r="BZ14" s="128" t="e">
        <f>'PROJECT TA Y TB KARINA'!$M10/8</f>
        <v>#REF!</v>
      </c>
      <c r="CA14" s="128" t="e">
        <f>'PROJECT TA Y TB KARINA'!$M10/8</f>
        <v>#REF!</v>
      </c>
      <c r="CB14" s="128" t="e">
        <f>'PROJECT TA Y TB KARINA'!$M10/8</f>
        <v>#REF!</v>
      </c>
      <c r="CC14" s="128" t="e">
        <f>'PROJECT TA Y TB KARINA'!$N10/8</f>
        <v>#REF!</v>
      </c>
      <c r="CD14" s="128" t="e">
        <f>'PROJECT TA Y TB KARINA'!$N10/8</f>
        <v>#REF!</v>
      </c>
      <c r="CE14" s="128" t="e">
        <f>'PROJECT TA Y TB KARINA'!$N10/8</f>
        <v>#REF!</v>
      </c>
      <c r="CF14" s="128" t="e">
        <f>'PROJECT TA Y TB KARINA'!$N10/8</f>
        <v>#REF!</v>
      </c>
      <c r="CG14" s="128" t="e">
        <f>'PROJECT TA Y TB KARINA'!$N10/8</f>
        <v>#REF!</v>
      </c>
      <c r="CH14" s="128" t="e">
        <f>'PROJECT TA Y TB KARINA'!$N10/8</f>
        <v>#REF!</v>
      </c>
      <c r="CI14" s="128" t="e">
        <f>'PROJECT TA Y TB KARINA'!$N10/8</f>
        <v>#REF!</v>
      </c>
      <c r="CJ14" s="128" t="e">
        <f>'PROJECT TA Y TB KARINA'!$N10/8</f>
        <v>#REF!</v>
      </c>
      <c r="CK14" s="128" t="e">
        <f>'PROJECT TA Y TB KARINA'!$O10/8</f>
        <v>#REF!</v>
      </c>
      <c r="CL14" s="128" t="e">
        <f>'PROJECT TA Y TB KARINA'!$O10/8</f>
        <v>#REF!</v>
      </c>
      <c r="CM14" s="128" t="e">
        <f>'PROJECT TA Y TB KARINA'!$O10/8</f>
        <v>#REF!</v>
      </c>
      <c r="CN14" s="128" t="e">
        <f>'PROJECT TA Y TB KARINA'!$O10/8</f>
        <v>#REF!</v>
      </c>
      <c r="CO14" s="128" t="e">
        <f>'PROJECT TA Y TB KARINA'!$O10/8</f>
        <v>#REF!</v>
      </c>
      <c r="CP14" s="128" t="e">
        <f>'PROJECT TA Y TB KARINA'!$O10/8</f>
        <v>#REF!</v>
      </c>
      <c r="CQ14" s="128" t="e">
        <f>'PROJECT TA Y TB KARINA'!$O10/8</f>
        <v>#REF!</v>
      </c>
      <c r="CR14" s="128" t="e">
        <f>'PROJECT TA Y TB KARINA'!$O10/8</f>
        <v>#REF!</v>
      </c>
      <c r="CS14" s="128" t="e">
        <f>'PROJECT TA Y TB KARINA'!$P10/8</f>
        <v>#REF!</v>
      </c>
      <c r="CT14" s="128" t="e">
        <f>'PROJECT TA Y TB KARINA'!$P10/8</f>
        <v>#REF!</v>
      </c>
      <c r="CU14" s="128" t="e">
        <f>'PROJECT TA Y TB KARINA'!$P10/8</f>
        <v>#REF!</v>
      </c>
      <c r="CV14" s="128" t="e">
        <f>'PROJECT TA Y TB KARINA'!$P10/8</f>
        <v>#REF!</v>
      </c>
      <c r="CW14" s="128" t="e">
        <f>'PROJECT TA Y TB KARINA'!$P10/8</f>
        <v>#REF!</v>
      </c>
      <c r="CX14" s="128" t="e">
        <f>'PROJECT TA Y TB KARINA'!$P10/8</f>
        <v>#REF!</v>
      </c>
      <c r="CY14" s="128" t="e">
        <f>'PROJECT TA Y TB KARINA'!$P10/8</f>
        <v>#REF!</v>
      </c>
      <c r="CZ14" s="128" t="e">
        <f>'PROJECT TA Y TB KARINA'!$P10/8</f>
        <v>#REF!</v>
      </c>
      <c r="DA14" s="128" t="e">
        <f>'PROJECT TA Y TB KARINA'!$Q10/8</f>
        <v>#REF!</v>
      </c>
      <c r="DB14" s="128" t="e">
        <f>'PROJECT TA Y TB KARINA'!$Q10/8</f>
        <v>#REF!</v>
      </c>
      <c r="DC14" s="128" t="e">
        <f>'PROJECT TA Y TB KARINA'!$Q10/8</f>
        <v>#REF!</v>
      </c>
      <c r="DD14" s="128" t="e">
        <f>'PROJECT TA Y TB KARINA'!$Q10/8</f>
        <v>#REF!</v>
      </c>
      <c r="DE14" s="128" t="e">
        <f>'PROJECT TA Y TB KARINA'!$Q10/8</f>
        <v>#REF!</v>
      </c>
      <c r="DF14" s="128" t="e">
        <f>'PROJECT TA Y TB KARINA'!$Q10/8</f>
        <v>#REF!</v>
      </c>
      <c r="DG14" s="128" t="e">
        <f>'PROJECT TA Y TB KARINA'!$Q10/8</f>
        <v>#REF!</v>
      </c>
      <c r="DH14" s="128" t="e">
        <f>'PROJECT TA Y TB KARINA'!$Q10/8</f>
        <v>#REF!</v>
      </c>
      <c r="DI14" s="128" t="e">
        <f>'PROJECT TA Y TB KARINA'!$R10/8</f>
        <v>#REF!</v>
      </c>
      <c r="DJ14" s="128" t="e">
        <f>'PROJECT TA Y TB KARINA'!$R10/8</f>
        <v>#REF!</v>
      </c>
      <c r="DK14" s="128" t="e">
        <f>'PROJECT TA Y TB KARINA'!$R10/8</f>
        <v>#REF!</v>
      </c>
      <c r="DL14" s="128" t="e">
        <f>'PROJECT TA Y TB KARINA'!$R10/8</f>
        <v>#REF!</v>
      </c>
      <c r="DM14" s="128" t="e">
        <f>'PROJECT TA Y TB KARINA'!$R10/8</f>
        <v>#REF!</v>
      </c>
      <c r="DN14" s="128" t="e">
        <f>'PROJECT TA Y TB KARINA'!$R10/8</f>
        <v>#REF!</v>
      </c>
      <c r="DO14" s="128" t="e">
        <f>'PROJECT TA Y TB KARINA'!$R10/8</f>
        <v>#REF!</v>
      </c>
      <c r="DP14" s="128" t="e">
        <f>'PROJECT TA Y TB KARINA'!$R10/8</f>
        <v>#REF!</v>
      </c>
      <c r="DQ14" s="128" t="e">
        <f>'PROJECT TA Y TB KARINA'!$S10/8</f>
        <v>#REF!</v>
      </c>
      <c r="DR14" s="128" t="e">
        <f>'PROJECT TA Y TB KARINA'!$S10/8</f>
        <v>#REF!</v>
      </c>
      <c r="DS14" s="128" t="e">
        <f>'PROJECT TA Y TB KARINA'!$S10/8</f>
        <v>#REF!</v>
      </c>
      <c r="DT14" s="128" t="e">
        <f>'PROJECT TA Y TB KARINA'!$S10/8</f>
        <v>#REF!</v>
      </c>
      <c r="DU14" s="128" t="e">
        <f>'PROJECT TA Y TB KARINA'!$S10/8</f>
        <v>#REF!</v>
      </c>
      <c r="DV14" s="128" t="e">
        <f>'PROJECT TA Y TB KARINA'!$S10/8</f>
        <v>#REF!</v>
      </c>
      <c r="DW14" s="128" t="e">
        <f>'PROJECT TA Y TB KARINA'!$S10/8</f>
        <v>#REF!</v>
      </c>
      <c r="DX14" s="128" t="e">
        <f>'PROJECT TA Y TB KARINA'!$S10/8</f>
        <v>#REF!</v>
      </c>
      <c r="DY14" s="128" t="e">
        <f>'PROJECT TA Y TB KARINA'!$T10/8</f>
        <v>#REF!</v>
      </c>
      <c r="DZ14" s="128" t="e">
        <f>'PROJECT TA Y TB KARINA'!$T10/8</f>
        <v>#REF!</v>
      </c>
      <c r="EA14" s="128" t="e">
        <f>'PROJECT TA Y TB KARINA'!$T10/8</f>
        <v>#REF!</v>
      </c>
      <c r="EB14" s="128" t="e">
        <f>'PROJECT TA Y TB KARINA'!$T10/8</f>
        <v>#REF!</v>
      </c>
      <c r="EC14" s="128" t="e">
        <f>'PROJECT TA Y TB KARINA'!$T10/8</f>
        <v>#REF!</v>
      </c>
      <c r="ED14" s="128" t="e">
        <f>'PROJECT TA Y TB KARINA'!$T10/8</f>
        <v>#REF!</v>
      </c>
      <c r="EE14" s="128" t="e">
        <f>'PROJECT TA Y TB KARINA'!$T10/8</f>
        <v>#REF!</v>
      </c>
      <c r="EF14" s="128" t="e">
        <f>'PROJECT TA Y TB KARINA'!$T10/8</f>
        <v>#REF!</v>
      </c>
      <c r="EG14" s="128" t="e">
        <f>'PROJECT TA Y TB KARINA'!#REF!/8</f>
        <v>#REF!</v>
      </c>
      <c r="EH14" s="128" t="e">
        <f>'PROJECT TA Y TB KARINA'!#REF!/8</f>
        <v>#REF!</v>
      </c>
      <c r="EI14" s="128" t="e">
        <f>'PROJECT TA Y TB KARINA'!#REF!/8</f>
        <v>#REF!</v>
      </c>
      <c r="EJ14" s="128" t="e">
        <f>'PROJECT TA Y TB KARINA'!#REF!/8</f>
        <v>#REF!</v>
      </c>
      <c r="EK14" s="128" t="e">
        <f>'PROJECT TA Y TB KARINA'!#REF!/8</f>
        <v>#REF!</v>
      </c>
      <c r="EL14" s="128" t="e">
        <f>'PROJECT TA Y TB KARINA'!#REF!/8</f>
        <v>#REF!</v>
      </c>
      <c r="EM14" s="128" t="e">
        <f>'PROJECT TA Y TB KARINA'!#REF!/8</f>
        <v>#REF!</v>
      </c>
      <c r="EN14" s="128" t="e">
        <f>'PROJECT TA Y TB KARINA'!#REF!/8</f>
        <v>#REF!</v>
      </c>
      <c r="EO14" s="128">
        <f>'PROJECT TA Y TB KARINA'!$C68/8</f>
        <v>0</v>
      </c>
      <c r="EP14" s="128">
        <f>'PROJECT TA Y TB KARINA'!$C68/8</f>
        <v>0</v>
      </c>
      <c r="EQ14" s="128">
        <f>'PROJECT TA Y TB KARINA'!$C68/8</f>
        <v>0</v>
      </c>
      <c r="ER14" s="128">
        <f>'PROJECT TA Y TB KARINA'!$C68/8</f>
        <v>0</v>
      </c>
      <c r="ES14" s="128">
        <f>'PROJECT TA Y TB KARINA'!$C68/8</f>
        <v>0</v>
      </c>
      <c r="ET14" s="128">
        <f>'PROJECT TA Y TB KARINA'!$C68/8</f>
        <v>0</v>
      </c>
      <c r="EU14" s="128">
        <f>'PROJECT TA Y TB KARINA'!$C68/8</f>
        <v>0</v>
      </c>
      <c r="EV14" s="128">
        <f>'PROJECT TA Y TB KARINA'!$E68/8</f>
        <v>0</v>
      </c>
      <c r="EW14" s="128">
        <f>'PROJECT TA Y TB KARINA'!$E68/8</f>
        <v>0</v>
      </c>
      <c r="EX14" s="128">
        <f>'PROJECT TA Y TB KARINA'!$E68/8</f>
        <v>0</v>
      </c>
      <c r="EY14" s="128">
        <f>'PROJECT TA Y TB KARINA'!$E68/8</f>
        <v>0</v>
      </c>
      <c r="EZ14" s="128">
        <f>'PROJECT TA Y TB KARINA'!$E68/8</f>
        <v>0</v>
      </c>
      <c r="FA14" s="128">
        <f>'PROJECT TA Y TB KARINA'!$E68/8</f>
        <v>0</v>
      </c>
      <c r="FB14" s="128">
        <f>'PROJECT TA Y TB KARINA'!$E68/8</f>
        <v>0</v>
      </c>
      <c r="FC14" s="128">
        <f>'PROJECT TA Y TB KARINA'!$E68/8</f>
        <v>0</v>
      </c>
      <c r="FD14" s="128">
        <f>'PROJECT TA Y TB KARINA'!$F68/8</f>
        <v>0</v>
      </c>
      <c r="FE14" s="128">
        <f>'PROJECT TA Y TB KARINA'!$F68/8</f>
        <v>0</v>
      </c>
      <c r="FF14" s="128">
        <f>'PROJECT TA Y TB KARINA'!$F68/8</f>
        <v>0</v>
      </c>
      <c r="FG14" s="128">
        <f>'PROJECT TA Y TB KARINA'!$F68/8</f>
        <v>0</v>
      </c>
      <c r="FH14" s="128">
        <f>'PROJECT TA Y TB KARINA'!$F68/8</f>
        <v>0</v>
      </c>
      <c r="FI14" s="128">
        <f>'PROJECT TA Y TB KARINA'!$F68/8</f>
        <v>0</v>
      </c>
      <c r="FJ14" s="128">
        <f>'PROJECT TA Y TB KARINA'!$F68/8</f>
        <v>0</v>
      </c>
      <c r="FK14" s="128">
        <f>'PROJECT TA Y TB KARINA'!$F68/8</f>
        <v>0</v>
      </c>
      <c r="FL14" s="128">
        <f>'PROJECT TA Y TB KARINA'!$G68/8</f>
        <v>0</v>
      </c>
      <c r="FM14" s="128">
        <f>'PROJECT TA Y TB KARINA'!$G68/8</f>
        <v>0</v>
      </c>
      <c r="FN14" s="128">
        <f>'PROJECT TA Y TB KARINA'!$G68/8</f>
        <v>0</v>
      </c>
      <c r="FO14" s="128">
        <f>'PROJECT TA Y TB KARINA'!$G68/8</f>
        <v>0</v>
      </c>
      <c r="FP14" s="128">
        <f>'PROJECT TA Y TB KARINA'!$G68/8</f>
        <v>0</v>
      </c>
      <c r="FQ14" s="128">
        <f>'PROJECT TA Y TB KARINA'!$G68/8</f>
        <v>0</v>
      </c>
      <c r="FR14" s="128">
        <f>'PROJECT TA Y TB KARINA'!$G68/8</f>
        <v>0</v>
      </c>
      <c r="FS14" s="128">
        <f>'PROJECT TA Y TB KARINA'!$G68/8</f>
        <v>0</v>
      </c>
      <c r="FT14" s="128">
        <f>'PROJECT TA Y TB KARINA'!$H68/8</f>
        <v>0</v>
      </c>
      <c r="FU14" s="128">
        <f>'PROJECT TA Y TB KARINA'!$H68/8</f>
        <v>0</v>
      </c>
      <c r="FV14" s="128">
        <f>'PROJECT TA Y TB KARINA'!$H68/8</f>
        <v>0</v>
      </c>
      <c r="FW14" s="128">
        <f>'PROJECT TA Y TB KARINA'!$H68/8</f>
        <v>0</v>
      </c>
      <c r="FX14" s="128">
        <f>'PROJECT TA Y TB KARINA'!$H68/8</f>
        <v>0</v>
      </c>
      <c r="FY14" s="128">
        <f>'PROJECT TA Y TB KARINA'!$H68/8</f>
        <v>0</v>
      </c>
      <c r="FZ14" s="128">
        <f>'PROJECT TA Y TB KARINA'!$H68/8</f>
        <v>0</v>
      </c>
      <c r="GA14" s="128">
        <f>'PROJECT TA Y TB KARINA'!$H68/8</f>
        <v>0</v>
      </c>
      <c r="GB14" s="128">
        <f>'PROJECT TA Y TB KARINA'!$I68/8</f>
        <v>0</v>
      </c>
      <c r="GC14" s="128">
        <f>'PROJECT TA Y TB KARINA'!$I68/8</f>
        <v>0</v>
      </c>
      <c r="GD14" s="128">
        <f>'PROJECT TA Y TB KARINA'!$I68/8</f>
        <v>0</v>
      </c>
      <c r="GE14" s="128">
        <f>'PROJECT TA Y TB KARINA'!$I68/8</f>
        <v>0</v>
      </c>
      <c r="GF14" s="128">
        <f>'PROJECT TA Y TB KARINA'!$I68/8</f>
        <v>0</v>
      </c>
      <c r="GG14" s="128">
        <f>'PROJECT TA Y TB KARINA'!$I68/8</f>
        <v>0</v>
      </c>
      <c r="GH14" s="128">
        <f>'PROJECT TA Y TB KARINA'!$I68/8</f>
        <v>0</v>
      </c>
      <c r="GI14" s="128">
        <f>'PROJECT TA Y TB KARINA'!$I68/8</f>
        <v>0</v>
      </c>
      <c r="GJ14" s="128">
        <f>'PROJECT TA Y TB KARINA'!$J68/8</f>
        <v>0</v>
      </c>
      <c r="GK14" s="128">
        <f>'PROJECT TA Y TB KARINA'!$J68/8</f>
        <v>0</v>
      </c>
      <c r="GL14" s="128">
        <f>'PROJECT TA Y TB KARINA'!$J68/8</f>
        <v>0</v>
      </c>
      <c r="GM14" s="128">
        <f>'PROJECT TA Y TB KARINA'!$J68/8</f>
        <v>0</v>
      </c>
      <c r="GN14" s="128">
        <f>'PROJECT TA Y TB KARINA'!$J68/8</f>
        <v>0</v>
      </c>
      <c r="GO14" s="128">
        <f>'PROJECT TA Y TB KARINA'!$J68/8</f>
        <v>0</v>
      </c>
      <c r="GP14" s="128">
        <f>'PROJECT TA Y TB KARINA'!$J68/8</f>
        <v>0</v>
      </c>
      <c r="GQ14" s="128">
        <f>'PROJECT TA Y TB KARINA'!$J68/8</f>
        <v>0</v>
      </c>
      <c r="GR14" s="128">
        <f>'PROJECT TA Y TB KARINA'!$K68/8</f>
        <v>0</v>
      </c>
      <c r="GS14" s="128">
        <f>'PROJECT TA Y TB KARINA'!$K68/8</f>
        <v>0</v>
      </c>
      <c r="GT14" s="128">
        <f>'PROJECT TA Y TB KARINA'!$K68/8</f>
        <v>0</v>
      </c>
      <c r="GU14" s="128">
        <f>'PROJECT TA Y TB KARINA'!$K68/8</f>
        <v>0</v>
      </c>
      <c r="GV14" s="128">
        <f>'PROJECT TA Y TB KARINA'!$K68/8</f>
        <v>0</v>
      </c>
      <c r="GW14" s="128">
        <f>'PROJECT TA Y TB KARINA'!$K68/8</f>
        <v>0</v>
      </c>
      <c r="GX14" s="128">
        <f>'PROJECT TA Y TB KARINA'!$K68/8</f>
        <v>0</v>
      </c>
      <c r="GY14" s="128">
        <f>'PROJECT TA Y TB KARINA'!$K68/8</f>
        <v>0</v>
      </c>
      <c r="GZ14" s="128">
        <f>'PROJECT TA Y TB KARINA'!$L68/8</f>
        <v>0</v>
      </c>
      <c r="HA14" s="128">
        <f>'PROJECT TA Y TB KARINA'!$L68/8</f>
        <v>0</v>
      </c>
      <c r="HB14" s="128">
        <f>'PROJECT TA Y TB KARINA'!$L68/8</f>
        <v>0</v>
      </c>
      <c r="HC14" s="128">
        <f>'PROJECT TA Y TB KARINA'!$L68/8</f>
        <v>0</v>
      </c>
      <c r="HD14" s="128">
        <f>'PROJECT TA Y TB KARINA'!$L68/8</f>
        <v>0</v>
      </c>
      <c r="HE14" s="128">
        <f>'PROJECT TA Y TB KARINA'!$L68/8</f>
        <v>0</v>
      </c>
      <c r="HF14" s="128">
        <f>'PROJECT TA Y TB KARINA'!$L68/8</f>
        <v>0</v>
      </c>
      <c r="HG14" s="128">
        <f>'PROJECT TA Y TB KARINA'!$L68/8</f>
        <v>0</v>
      </c>
      <c r="HH14" s="128">
        <f>'PROJECT TA Y TB KARINA'!$M68/8</f>
        <v>0</v>
      </c>
      <c r="HI14" s="128">
        <f>'PROJECT TA Y TB KARINA'!$M68/8</f>
        <v>0</v>
      </c>
      <c r="HJ14" s="128">
        <f>'PROJECT TA Y TB KARINA'!$M68/8</f>
        <v>0</v>
      </c>
      <c r="HK14" s="128">
        <f>'PROJECT TA Y TB KARINA'!$M68/8</f>
        <v>0</v>
      </c>
      <c r="HL14" s="128">
        <f>'PROJECT TA Y TB KARINA'!$M68/8</f>
        <v>0</v>
      </c>
      <c r="HM14" s="128">
        <f>'PROJECT TA Y TB KARINA'!$M68/8</f>
        <v>0</v>
      </c>
      <c r="HN14" s="128">
        <f>'PROJECT TA Y TB KARINA'!$M68/8</f>
        <v>0</v>
      </c>
      <c r="HO14" s="128">
        <f>'PROJECT TA Y TB KARINA'!$M68/8</f>
        <v>0</v>
      </c>
      <c r="HP14" s="128">
        <f>'PROJECT TA Y TB KARINA'!$N68/8</f>
        <v>0</v>
      </c>
      <c r="HQ14" s="128">
        <f>'PROJECT TA Y TB KARINA'!$N68/8</f>
        <v>0</v>
      </c>
      <c r="HR14" s="128">
        <f>'PROJECT TA Y TB KARINA'!$N68/8</f>
        <v>0</v>
      </c>
      <c r="HS14" s="128">
        <f>'PROJECT TA Y TB KARINA'!$N68/8</f>
        <v>0</v>
      </c>
      <c r="HT14" s="128">
        <f>'PROJECT TA Y TB KARINA'!$N68/8</f>
        <v>0</v>
      </c>
      <c r="HU14" s="128">
        <f>'PROJECT TA Y TB KARINA'!$N68/8</f>
        <v>0</v>
      </c>
      <c r="HV14" s="128">
        <f>'PROJECT TA Y TB KARINA'!$N68/8</f>
        <v>0</v>
      </c>
      <c r="HW14" s="128">
        <f>'PROJECT TA Y TB KARINA'!$N68/8</f>
        <v>0</v>
      </c>
      <c r="HX14" s="128">
        <f>'PROJECT TA Y TB KARINA'!$O68/8</f>
        <v>0</v>
      </c>
      <c r="HY14" s="128">
        <f>'PROJECT TA Y TB KARINA'!$O68/8</f>
        <v>0</v>
      </c>
      <c r="HZ14" s="128">
        <f>'PROJECT TA Y TB KARINA'!$O68/8</f>
        <v>0</v>
      </c>
      <c r="IA14" s="128">
        <f>'PROJECT TA Y TB KARINA'!$O68/8</f>
        <v>0</v>
      </c>
      <c r="IB14" s="128">
        <f>'PROJECT TA Y TB KARINA'!$O68/8</f>
        <v>0</v>
      </c>
      <c r="IC14" s="128">
        <f>'PROJECT TA Y TB KARINA'!$O68/8</f>
        <v>0</v>
      </c>
      <c r="ID14" s="128">
        <f>'PROJECT TA Y TB KARINA'!$O68/8</f>
        <v>0</v>
      </c>
      <c r="IE14" s="128">
        <f>'PROJECT TA Y TB KARINA'!$O68/8</f>
        <v>0</v>
      </c>
      <c r="IF14" s="128">
        <f>'PROJECT TA Y TB KARINA'!$P68/8</f>
        <v>0</v>
      </c>
      <c r="IG14" s="128">
        <f>'PROJECT TA Y TB KARINA'!$P68/8</f>
        <v>0</v>
      </c>
      <c r="IH14" s="128">
        <f>'PROJECT TA Y TB KARINA'!$P68/8</f>
        <v>0</v>
      </c>
      <c r="II14" s="128">
        <f>'PROJECT TA Y TB KARINA'!$P68/8</f>
        <v>0</v>
      </c>
      <c r="IJ14" s="128">
        <f>'PROJECT TA Y TB KARINA'!$P68/8</f>
        <v>0</v>
      </c>
      <c r="IK14" s="128">
        <f>'PROJECT TA Y TB KARINA'!$P68/8</f>
        <v>0</v>
      </c>
      <c r="IL14" s="128">
        <f>'PROJECT TA Y TB KARINA'!$P68/8</f>
        <v>0</v>
      </c>
      <c r="IM14" s="128">
        <f>'PROJECT TA Y TB KARINA'!$P68/8</f>
        <v>0</v>
      </c>
      <c r="IN14" s="128">
        <f>'PROJECT TA Y TB KARINA'!$Q68/8</f>
        <v>0</v>
      </c>
      <c r="IO14" s="128">
        <f>'PROJECT TA Y TB KARINA'!$Q68/8</f>
        <v>0</v>
      </c>
      <c r="IP14" s="128">
        <f>'PROJECT TA Y TB KARINA'!$Q68/8</f>
        <v>0</v>
      </c>
      <c r="IQ14" s="128">
        <f>'PROJECT TA Y TB KARINA'!$Q68/8</f>
        <v>0</v>
      </c>
      <c r="IR14" s="128">
        <f>'PROJECT TA Y TB KARINA'!$Q68/8</f>
        <v>0</v>
      </c>
      <c r="IS14" s="128">
        <f>'PROJECT TA Y TB KARINA'!$Q68/8</f>
        <v>0</v>
      </c>
      <c r="IT14" s="128">
        <f>'PROJECT TA Y TB KARINA'!$Q68/8</f>
        <v>0</v>
      </c>
      <c r="IU14" s="128">
        <f>'PROJECT TA Y TB KARINA'!$Q68/8</f>
        <v>0</v>
      </c>
      <c r="IV14" s="128">
        <f>'PROJECT TA Y TB KARINA'!$R68/8</f>
        <v>0</v>
      </c>
      <c r="IW14" s="128">
        <f>'PROJECT TA Y TB KARINA'!$R68/8</f>
        <v>0</v>
      </c>
      <c r="IX14" s="128">
        <f>'PROJECT TA Y TB KARINA'!$R68/8</f>
        <v>0</v>
      </c>
      <c r="IY14" s="128">
        <f>'PROJECT TA Y TB KARINA'!$R68/8</f>
        <v>0</v>
      </c>
      <c r="IZ14" s="128">
        <f>'PROJECT TA Y TB KARINA'!$R68/8</f>
        <v>0</v>
      </c>
      <c r="JA14" s="128">
        <f>'PROJECT TA Y TB KARINA'!$R68/8</f>
        <v>0</v>
      </c>
      <c r="JB14" s="128">
        <f>'PROJECT TA Y TB KARINA'!$R68/8</f>
        <v>0</v>
      </c>
      <c r="JC14" s="128">
        <f>'PROJECT TA Y TB KARINA'!$R68/8</f>
        <v>0</v>
      </c>
      <c r="JD14" s="128">
        <f>'PROJECT TA Y TB KARINA'!$S68/8</f>
        <v>0</v>
      </c>
      <c r="JE14" s="128">
        <f>'PROJECT TA Y TB KARINA'!$S68/8</f>
        <v>0</v>
      </c>
      <c r="JF14" s="128">
        <f>'PROJECT TA Y TB KARINA'!$S68/8</f>
        <v>0</v>
      </c>
      <c r="JG14" s="128">
        <f>'PROJECT TA Y TB KARINA'!$S68/8</f>
        <v>0</v>
      </c>
      <c r="JH14" s="128">
        <f>'PROJECT TA Y TB KARINA'!$S68/8</f>
        <v>0</v>
      </c>
      <c r="JI14" s="128">
        <f>'PROJECT TA Y TB KARINA'!$S68/8</f>
        <v>0</v>
      </c>
      <c r="JJ14" s="128">
        <f>'PROJECT TA Y TB KARINA'!$S68/8</f>
        <v>0</v>
      </c>
      <c r="JK14" s="128">
        <f>'PROJECT TA Y TB KARINA'!$S68/8</f>
        <v>0</v>
      </c>
      <c r="JL14" s="128">
        <f>'PROJECT TA Y TB KARINA'!$T68/8</f>
        <v>0</v>
      </c>
      <c r="JM14" s="128">
        <f>'PROJECT TA Y TB KARINA'!$T68/8</f>
        <v>0</v>
      </c>
      <c r="JN14" s="128">
        <f>'PROJECT TA Y TB KARINA'!$T68/8</f>
        <v>0</v>
      </c>
      <c r="JO14" s="128">
        <f>'PROJECT TA Y TB KARINA'!$T68/8</f>
        <v>0</v>
      </c>
      <c r="JP14" s="128">
        <f>'PROJECT TA Y TB KARINA'!$T68/8</f>
        <v>0</v>
      </c>
      <c r="JQ14" s="128">
        <f>'PROJECT TA Y TB KARINA'!$T68/8</f>
        <v>0</v>
      </c>
      <c r="JR14" s="128">
        <f>'PROJECT TA Y TB KARINA'!$T68/8</f>
        <v>0</v>
      </c>
      <c r="JS14" s="128">
        <f>'PROJECT TA Y TB KARINA'!$T68/8</f>
        <v>0</v>
      </c>
      <c r="JT14" s="128" t="e">
        <f>'PROJECT TA Y TB KARINA'!#REF!/8</f>
        <v>#REF!</v>
      </c>
      <c r="JU14" s="128" t="e">
        <f>'PROJECT TA Y TB KARINA'!#REF!/8</f>
        <v>#REF!</v>
      </c>
      <c r="JV14" s="128" t="e">
        <f>'PROJECT TA Y TB KARINA'!#REF!/8</f>
        <v>#REF!</v>
      </c>
      <c r="JW14" s="128" t="e">
        <f>'PROJECT TA Y TB KARINA'!#REF!/8</f>
        <v>#REF!</v>
      </c>
      <c r="JX14" s="128" t="e">
        <f>'PROJECT TA Y TB KARINA'!#REF!/8</f>
        <v>#REF!</v>
      </c>
      <c r="JY14" s="128" t="e">
        <f>'PROJECT TA Y TB KARINA'!#REF!/8</f>
        <v>#REF!</v>
      </c>
      <c r="JZ14" s="128" t="e">
        <f>'PROJECT TA Y TB KARINA'!#REF!/8</f>
        <v>#REF!</v>
      </c>
      <c r="KA14" s="128" t="e">
        <f>'PROJECT TA Y TB KARINA'!#REF!/8</f>
        <v>#REF!</v>
      </c>
    </row>
    <row r="15" spans="1:287" ht="21">
      <c r="A15" s="130" t="s">
        <v>468</v>
      </c>
      <c r="B15" s="128" t="e">
        <f>'PROJECT TA Y TB KARINA'!$C$11/8</f>
        <v>#REF!</v>
      </c>
      <c r="C15" s="128" t="e">
        <f>'PROJECT TA Y TB KARINA'!$C$11/8</f>
        <v>#REF!</v>
      </c>
      <c r="D15" s="128" t="e">
        <f>'PROJECT TA Y TB KARINA'!$C$11/8</f>
        <v>#REF!</v>
      </c>
      <c r="E15" s="128" t="e">
        <f>'PROJECT TA Y TB KARINA'!$C$11/8</f>
        <v>#REF!</v>
      </c>
      <c r="F15" s="128" t="e">
        <f>'PROJECT TA Y TB KARINA'!$C$11/8</f>
        <v>#REF!</v>
      </c>
      <c r="G15" s="128" t="e">
        <f>'PROJECT TA Y TB KARINA'!$C$11/8</f>
        <v>#REF!</v>
      </c>
      <c r="H15" s="128" t="e">
        <f>'PROJECT TA Y TB KARINA'!$C$11/8</f>
        <v>#REF!</v>
      </c>
      <c r="I15" s="128" t="e">
        <f>'PROJECT TA Y TB KARINA'!$E11/8</f>
        <v>#REF!</v>
      </c>
      <c r="J15" s="128" t="e">
        <f>'PROJECT TA Y TB KARINA'!$E11/8</f>
        <v>#REF!</v>
      </c>
      <c r="K15" s="128" t="e">
        <f>'PROJECT TA Y TB KARINA'!$E11/8</f>
        <v>#REF!</v>
      </c>
      <c r="L15" s="128" t="e">
        <f>'PROJECT TA Y TB KARINA'!$E11/8</f>
        <v>#REF!</v>
      </c>
      <c r="M15" s="128" t="e">
        <f>'PROJECT TA Y TB KARINA'!$E11/8</f>
        <v>#REF!</v>
      </c>
      <c r="N15" s="128" t="e">
        <f>'PROJECT TA Y TB KARINA'!$E11/8</f>
        <v>#REF!</v>
      </c>
      <c r="O15" s="128" t="e">
        <f>'PROJECT TA Y TB KARINA'!$E11/8</f>
        <v>#REF!</v>
      </c>
      <c r="P15" s="128" t="e">
        <f>'PROJECT TA Y TB KARINA'!$E11/8</f>
        <v>#REF!</v>
      </c>
      <c r="Q15" s="128" t="e">
        <f>'PROJECT TA Y TB KARINA'!$F11/8</f>
        <v>#REF!</v>
      </c>
      <c r="R15" s="128" t="e">
        <f>'PROJECT TA Y TB KARINA'!$F11/8</f>
        <v>#REF!</v>
      </c>
      <c r="S15" s="128" t="e">
        <f>'PROJECT TA Y TB KARINA'!$F11/8</f>
        <v>#REF!</v>
      </c>
      <c r="T15" s="128" t="e">
        <f>'PROJECT TA Y TB KARINA'!$F11/8</f>
        <v>#REF!</v>
      </c>
      <c r="U15" s="128" t="e">
        <f>'PROJECT TA Y TB KARINA'!$F11/8</f>
        <v>#REF!</v>
      </c>
      <c r="V15" s="128" t="e">
        <f>'PROJECT TA Y TB KARINA'!$F11/8</f>
        <v>#REF!</v>
      </c>
      <c r="W15" s="128" t="e">
        <f>'PROJECT TA Y TB KARINA'!$F11/8</f>
        <v>#REF!</v>
      </c>
      <c r="X15" s="128" t="e">
        <f>'PROJECT TA Y TB KARINA'!$F11/8</f>
        <v>#REF!</v>
      </c>
      <c r="Y15" s="128" t="e">
        <f>'PROJECT TA Y TB KARINA'!$G11/8</f>
        <v>#REF!</v>
      </c>
      <c r="Z15" s="128" t="e">
        <f>'PROJECT TA Y TB KARINA'!$G11/8</f>
        <v>#REF!</v>
      </c>
      <c r="AA15" s="128" t="e">
        <f>'PROJECT TA Y TB KARINA'!$G11/8</f>
        <v>#REF!</v>
      </c>
      <c r="AB15" s="128" t="e">
        <f>'PROJECT TA Y TB KARINA'!$G11/8</f>
        <v>#REF!</v>
      </c>
      <c r="AC15" s="128" t="e">
        <f>'PROJECT TA Y TB KARINA'!$G11/8</f>
        <v>#REF!</v>
      </c>
      <c r="AD15" s="128" t="e">
        <f>'PROJECT TA Y TB KARINA'!$G11/8</f>
        <v>#REF!</v>
      </c>
      <c r="AE15" s="128" t="e">
        <f>'PROJECT TA Y TB KARINA'!$G11/8</f>
        <v>#REF!</v>
      </c>
      <c r="AF15" s="128" t="e">
        <f>'PROJECT TA Y TB KARINA'!$G11/8</f>
        <v>#REF!</v>
      </c>
      <c r="AG15" s="128" t="e">
        <f>'PROJECT TA Y TB KARINA'!$H11/8</f>
        <v>#REF!</v>
      </c>
      <c r="AH15" s="128" t="e">
        <f>'PROJECT TA Y TB KARINA'!$H11/8</f>
        <v>#REF!</v>
      </c>
      <c r="AI15" s="128" t="e">
        <f>'PROJECT TA Y TB KARINA'!$H11/8</f>
        <v>#REF!</v>
      </c>
      <c r="AJ15" s="128" t="e">
        <f>'PROJECT TA Y TB KARINA'!$H11/8</f>
        <v>#REF!</v>
      </c>
      <c r="AK15" s="128" t="e">
        <f>'PROJECT TA Y TB KARINA'!$H11/8</f>
        <v>#REF!</v>
      </c>
      <c r="AL15" s="128" t="e">
        <f>'PROJECT TA Y TB KARINA'!$H11/8</f>
        <v>#REF!</v>
      </c>
      <c r="AM15" s="128" t="e">
        <f>'PROJECT TA Y TB KARINA'!$H11/8</f>
        <v>#REF!</v>
      </c>
      <c r="AN15" s="128" t="e">
        <f>'PROJECT TA Y TB KARINA'!$H11/8</f>
        <v>#REF!</v>
      </c>
      <c r="AO15" s="128" t="e">
        <f>'PROJECT TA Y TB KARINA'!$I11/8</f>
        <v>#REF!</v>
      </c>
      <c r="AP15" s="128" t="e">
        <f>'PROJECT TA Y TB KARINA'!$I11/8</f>
        <v>#REF!</v>
      </c>
      <c r="AQ15" s="128" t="e">
        <f>'PROJECT TA Y TB KARINA'!$I11/8</f>
        <v>#REF!</v>
      </c>
      <c r="AR15" s="128" t="e">
        <f>'PROJECT TA Y TB KARINA'!$I11/8</f>
        <v>#REF!</v>
      </c>
      <c r="AS15" s="128" t="e">
        <f>'PROJECT TA Y TB KARINA'!$I11/8</f>
        <v>#REF!</v>
      </c>
      <c r="AT15" s="128" t="e">
        <f>'PROJECT TA Y TB KARINA'!$I11/8</f>
        <v>#REF!</v>
      </c>
      <c r="AU15" s="128" t="e">
        <f>'PROJECT TA Y TB KARINA'!$I11/8</f>
        <v>#REF!</v>
      </c>
      <c r="AV15" s="128" t="e">
        <f>'PROJECT TA Y TB KARINA'!$I11/8</f>
        <v>#REF!</v>
      </c>
      <c r="AW15" s="128" t="e">
        <f>'PROJECT TA Y TB KARINA'!$J11/8</f>
        <v>#REF!</v>
      </c>
      <c r="AX15" s="128" t="e">
        <f>'PROJECT TA Y TB KARINA'!$J11/8</f>
        <v>#REF!</v>
      </c>
      <c r="AY15" s="128" t="e">
        <f>'PROJECT TA Y TB KARINA'!$J11/8</f>
        <v>#REF!</v>
      </c>
      <c r="AZ15" s="128" t="e">
        <f>'PROJECT TA Y TB KARINA'!$J11/8</f>
        <v>#REF!</v>
      </c>
      <c r="BA15" s="128" t="e">
        <f>'PROJECT TA Y TB KARINA'!$J11/8</f>
        <v>#REF!</v>
      </c>
      <c r="BB15" s="128" t="e">
        <f>'PROJECT TA Y TB KARINA'!$J11/8</f>
        <v>#REF!</v>
      </c>
      <c r="BC15" s="128" t="e">
        <f>'PROJECT TA Y TB KARINA'!$J11/8</f>
        <v>#REF!</v>
      </c>
      <c r="BD15" s="128" t="e">
        <f>'PROJECT TA Y TB KARINA'!$J11/8</f>
        <v>#REF!</v>
      </c>
      <c r="BE15" s="128" t="e">
        <f>'PROJECT TA Y TB KARINA'!$K11/8</f>
        <v>#REF!</v>
      </c>
      <c r="BF15" s="128" t="e">
        <f>'PROJECT TA Y TB KARINA'!$K11/8</f>
        <v>#REF!</v>
      </c>
      <c r="BG15" s="128" t="e">
        <f>'PROJECT TA Y TB KARINA'!$K11/8</f>
        <v>#REF!</v>
      </c>
      <c r="BH15" s="128" t="e">
        <f>'PROJECT TA Y TB KARINA'!$K11/8</f>
        <v>#REF!</v>
      </c>
      <c r="BI15" s="128" t="e">
        <f>'PROJECT TA Y TB KARINA'!$K11/8</f>
        <v>#REF!</v>
      </c>
      <c r="BJ15" s="128" t="e">
        <f>'PROJECT TA Y TB KARINA'!$K11/8</f>
        <v>#REF!</v>
      </c>
      <c r="BK15" s="128" t="e">
        <f>'PROJECT TA Y TB KARINA'!$K11/8</f>
        <v>#REF!</v>
      </c>
      <c r="BL15" s="128" t="e">
        <f>'PROJECT TA Y TB KARINA'!$K11/8</f>
        <v>#REF!</v>
      </c>
      <c r="BM15" s="128" t="e">
        <f>'PROJECT TA Y TB KARINA'!$L11/8</f>
        <v>#REF!</v>
      </c>
      <c r="BN15" s="128" t="e">
        <f>'PROJECT TA Y TB KARINA'!$L11/8</f>
        <v>#REF!</v>
      </c>
      <c r="BO15" s="128" t="e">
        <f>'PROJECT TA Y TB KARINA'!$L11/8</f>
        <v>#REF!</v>
      </c>
      <c r="BP15" s="128" t="e">
        <f>'PROJECT TA Y TB KARINA'!$L11/8</f>
        <v>#REF!</v>
      </c>
      <c r="BQ15" s="128" t="e">
        <f>'PROJECT TA Y TB KARINA'!$L11/8</f>
        <v>#REF!</v>
      </c>
      <c r="BR15" s="128" t="e">
        <f>'PROJECT TA Y TB KARINA'!$L11/8</f>
        <v>#REF!</v>
      </c>
      <c r="BS15" s="128" t="e">
        <f>'PROJECT TA Y TB KARINA'!$L11/8</f>
        <v>#REF!</v>
      </c>
      <c r="BT15" s="128" t="e">
        <f>'PROJECT TA Y TB KARINA'!$L11/8</f>
        <v>#REF!</v>
      </c>
      <c r="BU15" s="128" t="e">
        <f>'PROJECT TA Y TB KARINA'!$M11/8</f>
        <v>#REF!</v>
      </c>
      <c r="BV15" s="128" t="e">
        <f>'PROJECT TA Y TB KARINA'!$M11/8</f>
        <v>#REF!</v>
      </c>
      <c r="BW15" s="128" t="e">
        <f>'PROJECT TA Y TB KARINA'!$M11/8</f>
        <v>#REF!</v>
      </c>
      <c r="BX15" s="128" t="e">
        <f>'PROJECT TA Y TB KARINA'!$M11/8</f>
        <v>#REF!</v>
      </c>
      <c r="BY15" s="128" t="e">
        <f>'PROJECT TA Y TB KARINA'!$M11/8</f>
        <v>#REF!</v>
      </c>
      <c r="BZ15" s="128" t="e">
        <f>'PROJECT TA Y TB KARINA'!$M11/8</f>
        <v>#REF!</v>
      </c>
      <c r="CA15" s="128" t="e">
        <f>'PROJECT TA Y TB KARINA'!$M11/8</f>
        <v>#REF!</v>
      </c>
      <c r="CB15" s="128" t="e">
        <f>'PROJECT TA Y TB KARINA'!$M11/8</f>
        <v>#REF!</v>
      </c>
      <c r="CC15" s="128" t="e">
        <f>'PROJECT TA Y TB KARINA'!$N11/8</f>
        <v>#REF!</v>
      </c>
      <c r="CD15" s="128" t="e">
        <f>'PROJECT TA Y TB KARINA'!$N11/8</f>
        <v>#REF!</v>
      </c>
      <c r="CE15" s="128" t="e">
        <f>'PROJECT TA Y TB KARINA'!$N11/8</f>
        <v>#REF!</v>
      </c>
      <c r="CF15" s="128" t="e">
        <f>'PROJECT TA Y TB KARINA'!$N11/8</f>
        <v>#REF!</v>
      </c>
      <c r="CG15" s="128" t="e">
        <f>'PROJECT TA Y TB KARINA'!$N11/8</f>
        <v>#REF!</v>
      </c>
      <c r="CH15" s="128" t="e">
        <f>'PROJECT TA Y TB KARINA'!$N11/8</f>
        <v>#REF!</v>
      </c>
      <c r="CI15" s="128" t="e">
        <f>'PROJECT TA Y TB KARINA'!$N11/8</f>
        <v>#REF!</v>
      </c>
      <c r="CJ15" s="128" t="e">
        <f>'PROJECT TA Y TB KARINA'!$N11/8</f>
        <v>#REF!</v>
      </c>
      <c r="CK15" s="128" t="e">
        <f>'PROJECT TA Y TB KARINA'!$O11/8</f>
        <v>#REF!</v>
      </c>
      <c r="CL15" s="128" t="e">
        <f>'PROJECT TA Y TB KARINA'!$O11/8</f>
        <v>#REF!</v>
      </c>
      <c r="CM15" s="128" t="e">
        <f>'PROJECT TA Y TB KARINA'!$O11/8</f>
        <v>#REF!</v>
      </c>
      <c r="CN15" s="128" t="e">
        <f>'PROJECT TA Y TB KARINA'!$O11/8</f>
        <v>#REF!</v>
      </c>
      <c r="CO15" s="128" t="e">
        <f>'PROJECT TA Y TB KARINA'!$O11/8</f>
        <v>#REF!</v>
      </c>
      <c r="CP15" s="128" t="e">
        <f>'PROJECT TA Y TB KARINA'!$O11/8</f>
        <v>#REF!</v>
      </c>
      <c r="CQ15" s="128" t="e">
        <f>'PROJECT TA Y TB KARINA'!$O11/8</f>
        <v>#REF!</v>
      </c>
      <c r="CR15" s="128" t="e">
        <f>'PROJECT TA Y TB KARINA'!$O11/8</f>
        <v>#REF!</v>
      </c>
      <c r="CS15" s="128" t="e">
        <f>'PROJECT TA Y TB KARINA'!$P11/8</f>
        <v>#REF!</v>
      </c>
      <c r="CT15" s="128" t="e">
        <f>'PROJECT TA Y TB KARINA'!$P11/8</f>
        <v>#REF!</v>
      </c>
      <c r="CU15" s="128" t="e">
        <f>'PROJECT TA Y TB KARINA'!$P11/8</f>
        <v>#REF!</v>
      </c>
      <c r="CV15" s="128" t="e">
        <f>'PROJECT TA Y TB KARINA'!$P11/8</f>
        <v>#REF!</v>
      </c>
      <c r="CW15" s="128" t="e">
        <f>'PROJECT TA Y TB KARINA'!$P11/8</f>
        <v>#REF!</v>
      </c>
      <c r="CX15" s="128" t="e">
        <f>'PROJECT TA Y TB KARINA'!$P11/8</f>
        <v>#REF!</v>
      </c>
      <c r="CY15" s="128" t="e">
        <f>'PROJECT TA Y TB KARINA'!$P11/8</f>
        <v>#REF!</v>
      </c>
      <c r="CZ15" s="128" t="e">
        <f>'PROJECT TA Y TB KARINA'!$P11/8</f>
        <v>#REF!</v>
      </c>
      <c r="DA15" s="128" t="e">
        <f>'PROJECT TA Y TB KARINA'!$Q11/8</f>
        <v>#REF!</v>
      </c>
      <c r="DB15" s="128" t="e">
        <f>'PROJECT TA Y TB KARINA'!$Q11/8</f>
        <v>#REF!</v>
      </c>
      <c r="DC15" s="128" t="e">
        <f>'PROJECT TA Y TB KARINA'!$Q11/8</f>
        <v>#REF!</v>
      </c>
      <c r="DD15" s="128" t="e">
        <f>'PROJECT TA Y TB KARINA'!$Q11/8</f>
        <v>#REF!</v>
      </c>
      <c r="DE15" s="128" t="e">
        <f>'PROJECT TA Y TB KARINA'!$Q11/8</f>
        <v>#REF!</v>
      </c>
      <c r="DF15" s="128" t="e">
        <f>'PROJECT TA Y TB KARINA'!$Q11/8</f>
        <v>#REF!</v>
      </c>
      <c r="DG15" s="128" t="e">
        <f>'PROJECT TA Y TB KARINA'!$Q11/8</f>
        <v>#REF!</v>
      </c>
      <c r="DH15" s="128" t="e">
        <f>'PROJECT TA Y TB KARINA'!$Q11/8</f>
        <v>#REF!</v>
      </c>
      <c r="DI15" s="128" t="e">
        <f>'PROJECT TA Y TB KARINA'!$R11/8</f>
        <v>#REF!</v>
      </c>
      <c r="DJ15" s="128" t="e">
        <f>'PROJECT TA Y TB KARINA'!$R11/8</f>
        <v>#REF!</v>
      </c>
      <c r="DK15" s="128" t="e">
        <f>'PROJECT TA Y TB KARINA'!$R11/8</f>
        <v>#REF!</v>
      </c>
      <c r="DL15" s="128" t="e">
        <f>'PROJECT TA Y TB KARINA'!$R11/8</f>
        <v>#REF!</v>
      </c>
      <c r="DM15" s="128" t="e">
        <f>'PROJECT TA Y TB KARINA'!$R11/8</f>
        <v>#REF!</v>
      </c>
      <c r="DN15" s="128" t="e">
        <f>'PROJECT TA Y TB KARINA'!$R11/8</f>
        <v>#REF!</v>
      </c>
      <c r="DO15" s="128" t="e">
        <f>'PROJECT TA Y TB KARINA'!$R11/8</f>
        <v>#REF!</v>
      </c>
      <c r="DP15" s="128" t="e">
        <f>'PROJECT TA Y TB KARINA'!$R11/8</f>
        <v>#REF!</v>
      </c>
      <c r="DQ15" s="128" t="e">
        <f>'PROJECT TA Y TB KARINA'!$S11/8</f>
        <v>#REF!</v>
      </c>
      <c r="DR15" s="128" t="e">
        <f>'PROJECT TA Y TB KARINA'!$S11/8</f>
        <v>#REF!</v>
      </c>
      <c r="DS15" s="128" t="e">
        <f>'PROJECT TA Y TB KARINA'!$S11/8</f>
        <v>#REF!</v>
      </c>
      <c r="DT15" s="128" t="e">
        <f>'PROJECT TA Y TB KARINA'!$S11/8</f>
        <v>#REF!</v>
      </c>
      <c r="DU15" s="128" t="e">
        <f>'PROJECT TA Y TB KARINA'!$S11/8</f>
        <v>#REF!</v>
      </c>
      <c r="DV15" s="128" t="e">
        <f>'PROJECT TA Y TB KARINA'!$S11/8</f>
        <v>#REF!</v>
      </c>
      <c r="DW15" s="128" t="e">
        <f>'PROJECT TA Y TB KARINA'!$S11/8</f>
        <v>#REF!</v>
      </c>
      <c r="DX15" s="128" t="e">
        <f>'PROJECT TA Y TB KARINA'!$S11/8</f>
        <v>#REF!</v>
      </c>
      <c r="DY15" s="128" t="e">
        <f>'PROJECT TA Y TB KARINA'!$T11/8</f>
        <v>#REF!</v>
      </c>
      <c r="DZ15" s="128" t="e">
        <f>'PROJECT TA Y TB KARINA'!$T11/8</f>
        <v>#REF!</v>
      </c>
      <c r="EA15" s="128" t="e">
        <f>'PROJECT TA Y TB KARINA'!$T11/8</f>
        <v>#REF!</v>
      </c>
      <c r="EB15" s="128" t="e">
        <f>'PROJECT TA Y TB KARINA'!$T11/8</f>
        <v>#REF!</v>
      </c>
      <c r="EC15" s="128" t="e">
        <f>'PROJECT TA Y TB KARINA'!$T11/8</f>
        <v>#REF!</v>
      </c>
      <c r="ED15" s="128" t="e">
        <f>'PROJECT TA Y TB KARINA'!$T11/8</f>
        <v>#REF!</v>
      </c>
      <c r="EE15" s="128" t="e">
        <f>'PROJECT TA Y TB KARINA'!$T11/8</f>
        <v>#REF!</v>
      </c>
      <c r="EF15" s="128" t="e">
        <f>'PROJECT TA Y TB KARINA'!$T11/8</f>
        <v>#REF!</v>
      </c>
      <c r="EG15" s="128" t="e">
        <f>'PROJECT TA Y TB KARINA'!#REF!/8</f>
        <v>#REF!</v>
      </c>
      <c r="EH15" s="128" t="e">
        <f>'PROJECT TA Y TB KARINA'!#REF!/8</f>
        <v>#REF!</v>
      </c>
      <c r="EI15" s="128" t="e">
        <f>'PROJECT TA Y TB KARINA'!#REF!/8</f>
        <v>#REF!</v>
      </c>
      <c r="EJ15" s="128" t="e">
        <f>'PROJECT TA Y TB KARINA'!#REF!/8</f>
        <v>#REF!</v>
      </c>
      <c r="EK15" s="128" t="e">
        <f>'PROJECT TA Y TB KARINA'!#REF!/8</f>
        <v>#REF!</v>
      </c>
      <c r="EL15" s="128" t="e">
        <f>'PROJECT TA Y TB KARINA'!#REF!/8</f>
        <v>#REF!</v>
      </c>
      <c r="EM15" s="128" t="e">
        <f>'PROJECT TA Y TB KARINA'!#REF!/8</f>
        <v>#REF!</v>
      </c>
      <c r="EN15" s="128" t="e">
        <f>'PROJECT TA Y TB KARINA'!#REF!/8</f>
        <v>#REF!</v>
      </c>
      <c r="EO15" s="128">
        <f>'PROJECT TA Y TB KARINA'!$C69/8</f>
        <v>0</v>
      </c>
      <c r="EP15" s="128">
        <f>'PROJECT TA Y TB KARINA'!$C69/8</f>
        <v>0</v>
      </c>
      <c r="EQ15" s="128">
        <f>'PROJECT TA Y TB KARINA'!$C69/8</f>
        <v>0</v>
      </c>
      <c r="ER15" s="128">
        <f>'PROJECT TA Y TB KARINA'!$C69/8</f>
        <v>0</v>
      </c>
      <c r="ES15" s="128">
        <f>'PROJECT TA Y TB KARINA'!$C69/8</f>
        <v>0</v>
      </c>
      <c r="ET15" s="128">
        <f>'PROJECT TA Y TB KARINA'!$C69/8</f>
        <v>0</v>
      </c>
      <c r="EU15" s="128">
        <f>'PROJECT TA Y TB KARINA'!$C69/8</f>
        <v>0</v>
      </c>
      <c r="EV15" s="128">
        <f>'PROJECT TA Y TB KARINA'!$E69/8</f>
        <v>0</v>
      </c>
      <c r="EW15" s="128">
        <f>'PROJECT TA Y TB KARINA'!$E69/8</f>
        <v>0</v>
      </c>
      <c r="EX15" s="128">
        <f>'PROJECT TA Y TB KARINA'!$E69/8</f>
        <v>0</v>
      </c>
      <c r="EY15" s="128">
        <f>'PROJECT TA Y TB KARINA'!$E69/8</f>
        <v>0</v>
      </c>
      <c r="EZ15" s="128">
        <f>'PROJECT TA Y TB KARINA'!$E69/8</f>
        <v>0</v>
      </c>
      <c r="FA15" s="128">
        <f>'PROJECT TA Y TB KARINA'!$E69/8</f>
        <v>0</v>
      </c>
      <c r="FB15" s="128">
        <f>'PROJECT TA Y TB KARINA'!$E69/8</f>
        <v>0</v>
      </c>
      <c r="FC15" s="128">
        <f>'PROJECT TA Y TB KARINA'!$E69/8</f>
        <v>0</v>
      </c>
      <c r="FD15" s="128">
        <f>'PROJECT TA Y TB KARINA'!$F69/8</f>
        <v>0</v>
      </c>
      <c r="FE15" s="128">
        <f>'PROJECT TA Y TB KARINA'!$F69/8</f>
        <v>0</v>
      </c>
      <c r="FF15" s="128">
        <f>'PROJECT TA Y TB KARINA'!$F69/8</f>
        <v>0</v>
      </c>
      <c r="FG15" s="128">
        <f>'PROJECT TA Y TB KARINA'!$F69/8</f>
        <v>0</v>
      </c>
      <c r="FH15" s="128">
        <f>'PROJECT TA Y TB KARINA'!$F69/8</f>
        <v>0</v>
      </c>
      <c r="FI15" s="128">
        <f>'PROJECT TA Y TB KARINA'!$F69/8</f>
        <v>0</v>
      </c>
      <c r="FJ15" s="128">
        <f>'PROJECT TA Y TB KARINA'!$F69/8</f>
        <v>0</v>
      </c>
      <c r="FK15" s="128">
        <f>'PROJECT TA Y TB KARINA'!$F69/8</f>
        <v>0</v>
      </c>
      <c r="FL15" s="128">
        <f>'PROJECT TA Y TB KARINA'!$G69/8</f>
        <v>0</v>
      </c>
      <c r="FM15" s="128">
        <f>'PROJECT TA Y TB KARINA'!$G69/8</f>
        <v>0</v>
      </c>
      <c r="FN15" s="128">
        <f>'PROJECT TA Y TB KARINA'!$G69/8</f>
        <v>0</v>
      </c>
      <c r="FO15" s="128">
        <f>'PROJECT TA Y TB KARINA'!$G69/8</f>
        <v>0</v>
      </c>
      <c r="FP15" s="128">
        <f>'PROJECT TA Y TB KARINA'!$G69/8</f>
        <v>0</v>
      </c>
      <c r="FQ15" s="128">
        <f>'PROJECT TA Y TB KARINA'!$G69/8</f>
        <v>0</v>
      </c>
      <c r="FR15" s="128">
        <f>'PROJECT TA Y TB KARINA'!$G69/8</f>
        <v>0</v>
      </c>
      <c r="FS15" s="128">
        <f>'PROJECT TA Y TB KARINA'!$G69/8</f>
        <v>0</v>
      </c>
      <c r="FT15" s="128">
        <f>'PROJECT TA Y TB KARINA'!$H69/8</f>
        <v>0</v>
      </c>
      <c r="FU15" s="128">
        <f>'PROJECT TA Y TB KARINA'!$H69/8</f>
        <v>0</v>
      </c>
      <c r="FV15" s="128">
        <f>'PROJECT TA Y TB KARINA'!$H69/8</f>
        <v>0</v>
      </c>
      <c r="FW15" s="128">
        <f>'PROJECT TA Y TB KARINA'!$H69/8</f>
        <v>0</v>
      </c>
      <c r="FX15" s="128">
        <f>'PROJECT TA Y TB KARINA'!$H69/8</f>
        <v>0</v>
      </c>
      <c r="FY15" s="128">
        <f>'PROJECT TA Y TB KARINA'!$H69/8</f>
        <v>0</v>
      </c>
      <c r="FZ15" s="128">
        <f>'PROJECT TA Y TB KARINA'!$H69/8</f>
        <v>0</v>
      </c>
      <c r="GA15" s="128">
        <f>'PROJECT TA Y TB KARINA'!$H69/8</f>
        <v>0</v>
      </c>
      <c r="GB15" s="128">
        <f>'PROJECT TA Y TB KARINA'!$I69/8</f>
        <v>0</v>
      </c>
      <c r="GC15" s="128">
        <f>'PROJECT TA Y TB KARINA'!$I69/8</f>
        <v>0</v>
      </c>
      <c r="GD15" s="128">
        <f>'PROJECT TA Y TB KARINA'!$I69/8</f>
        <v>0</v>
      </c>
      <c r="GE15" s="128">
        <f>'PROJECT TA Y TB KARINA'!$I69/8</f>
        <v>0</v>
      </c>
      <c r="GF15" s="128">
        <f>'PROJECT TA Y TB KARINA'!$I69/8</f>
        <v>0</v>
      </c>
      <c r="GG15" s="128">
        <f>'PROJECT TA Y TB KARINA'!$I69/8</f>
        <v>0</v>
      </c>
      <c r="GH15" s="128">
        <f>'PROJECT TA Y TB KARINA'!$I69/8</f>
        <v>0</v>
      </c>
      <c r="GI15" s="128">
        <f>'PROJECT TA Y TB KARINA'!$I69/8</f>
        <v>0</v>
      </c>
      <c r="GJ15" s="128">
        <f>'PROJECT TA Y TB KARINA'!$J69/8</f>
        <v>0</v>
      </c>
      <c r="GK15" s="128">
        <f>'PROJECT TA Y TB KARINA'!$J69/8</f>
        <v>0</v>
      </c>
      <c r="GL15" s="128">
        <f>'PROJECT TA Y TB KARINA'!$J69/8</f>
        <v>0</v>
      </c>
      <c r="GM15" s="128">
        <f>'PROJECT TA Y TB KARINA'!$J69/8</f>
        <v>0</v>
      </c>
      <c r="GN15" s="128">
        <f>'PROJECT TA Y TB KARINA'!$J69/8</f>
        <v>0</v>
      </c>
      <c r="GO15" s="128">
        <f>'PROJECT TA Y TB KARINA'!$J69/8</f>
        <v>0</v>
      </c>
      <c r="GP15" s="128">
        <f>'PROJECT TA Y TB KARINA'!$J69/8</f>
        <v>0</v>
      </c>
      <c r="GQ15" s="128">
        <f>'PROJECT TA Y TB KARINA'!$J69/8</f>
        <v>0</v>
      </c>
      <c r="GR15" s="128">
        <f>'PROJECT TA Y TB KARINA'!$K69/8</f>
        <v>0</v>
      </c>
      <c r="GS15" s="128">
        <f>'PROJECT TA Y TB KARINA'!$K69/8</f>
        <v>0</v>
      </c>
      <c r="GT15" s="128">
        <f>'PROJECT TA Y TB KARINA'!$K69/8</f>
        <v>0</v>
      </c>
      <c r="GU15" s="128">
        <f>'PROJECT TA Y TB KARINA'!$K69/8</f>
        <v>0</v>
      </c>
      <c r="GV15" s="128">
        <f>'PROJECT TA Y TB KARINA'!$K69/8</f>
        <v>0</v>
      </c>
      <c r="GW15" s="128">
        <f>'PROJECT TA Y TB KARINA'!$K69/8</f>
        <v>0</v>
      </c>
      <c r="GX15" s="128">
        <f>'PROJECT TA Y TB KARINA'!$K69/8</f>
        <v>0</v>
      </c>
      <c r="GY15" s="128">
        <f>'PROJECT TA Y TB KARINA'!$K69/8</f>
        <v>0</v>
      </c>
      <c r="GZ15" s="128">
        <f>'PROJECT TA Y TB KARINA'!$L69/8</f>
        <v>0</v>
      </c>
      <c r="HA15" s="128">
        <f>'PROJECT TA Y TB KARINA'!$L69/8</f>
        <v>0</v>
      </c>
      <c r="HB15" s="128">
        <f>'PROJECT TA Y TB KARINA'!$L69/8</f>
        <v>0</v>
      </c>
      <c r="HC15" s="128">
        <f>'PROJECT TA Y TB KARINA'!$L69/8</f>
        <v>0</v>
      </c>
      <c r="HD15" s="128">
        <f>'PROJECT TA Y TB KARINA'!$L69/8</f>
        <v>0</v>
      </c>
      <c r="HE15" s="128">
        <f>'PROJECT TA Y TB KARINA'!$L69/8</f>
        <v>0</v>
      </c>
      <c r="HF15" s="128">
        <f>'PROJECT TA Y TB KARINA'!$L69/8</f>
        <v>0</v>
      </c>
      <c r="HG15" s="128">
        <f>'PROJECT TA Y TB KARINA'!$L69/8</f>
        <v>0</v>
      </c>
      <c r="HH15" s="128">
        <f>'PROJECT TA Y TB KARINA'!$M69/8</f>
        <v>0</v>
      </c>
      <c r="HI15" s="128">
        <f>'PROJECT TA Y TB KARINA'!$M69/8</f>
        <v>0</v>
      </c>
      <c r="HJ15" s="128">
        <f>'PROJECT TA Y TB KARINA'!$M69/8</f>
        <v>0</v>
      </c>
      <c r="HK15" s="128">
        <f>'PROJECT TA Y TB KARINA'!$M69/8</f>
        <v>0</v>
      </c>
      <c r="HL15" s="128">
        <f>'PROJECT TA Y TB KARINA'!$M69/8</f>
        <v>0</v>
      </c>
      <c r="HM15" s="128">
        <f>'PROJECT TA Y TB KARINA'!$M69/8</f>
        <v>0</v>
      </c>
      <c r="HN15" s="128">
        <f>'PROJECT TA Y TB KARINA'!$M69/8</f>
        <v>0</v>
      </c>
      <c r="HO15" s="128">
        <f>'PROJECT TA Y TB KARINA'!$M69/8</f>
        <v>0</v>
      </c>
      <c r="HP15" s="128">
        <f>'PROJECT TA Y TB KARINA'!$N69/8</f>
        <v>0</v>
      </c>
      <c r="HQ15" s="128">
        <f>'PROJECT TA Y TB KARINA'!$N69/8</f>
        <v>0</v>
      </c>
      <c r="HR15" s="128">
        <f>'PROJECT TA Y TB KARINA'!$N69/8</f>
        <v>0</v>
      </c>
      <c r="HS15" s="128">
        <f>'PROJECT TA Y TB KARINA'!$N69/8</f>
        <v>0</v>
      </c>
      <c r="HT15" s="128">
        <f>'PROJECT TA Y TB KARINA'!$N69/8</f>
        <v>0</v>
      </c>
      <c r="HU15" s="128">
        <f>'PROJECT TA Y TB KARINA'!$N69/8</f>
        <v>0</v>
      </c>
      <c r="HV15" s="128">
        <f>'PROJECT TA Y TB KARINA'!$N69/8</f>
        <v>0</v>
      </c>
      <c r="HW15" s="128">
        <f>'PROJECT TA Y TB KARINA'!$N69/8</f>
        <v>0</v>
      </c>
      <c r="HX15" s="128">
        <f>'PROJECT TA Y TB KARINA'!$O69/8</f>
        <v>0</v>
      </c>
      <c r="HY15" s="128">
        <f>'PROJECT TA Y TB KARINA'!$O69/8</f>
        <v>0</v>
      </c>
      <c r="HZ15" s="128">
        <f>'PROJECT TA Y TB KARINA'!$O69/8</f>
        <v>0</v>
      </c>
      <c r="IA15" s="128">
        <f>'PROJECT TA Y TB KARINA'!$O69/8</f>
        <v>0</v>
      </c>
      <c r="IB15" s="128">
        <f>'PROJECT TA Y TB KARINA'!$O69/8</f>
        <v>0</v>
      </c>
      <c r="IC15" s="128">
        <f>'PROJECT TA Y TB KARINA'!$O69/8</f>
        <v>0</v>
      </c>
      <c r="ID15" s="128">
        <f>'PROJECT TA Y TB KARINA'!$O69/8</f>
        <v>0</v>
      </c>
      <c r="IE15" s="128">
        <f>'PROJECT TA Y TB KARINA'!$O69/8</f>
        <v>0</v>
      </c>
      <c r="IF15" s="128">
        <f>'PROJECT TA Y TB KARINA'!$P69/8</f>
        <v>0</v>
      </c>
      <c r="IG15" s="128">
        <f>'PROJECT TA Y TB KARINA'!$P69/8</f>
        <v>0</v>
      </c>
      <c r="IH15" s="128">
        <f>'PROJECT TA Y TB KARINA'!$P69/8</f>
        <v>0</v>
      </c>
      <c r="II15" s="128">
        <f>'PROJECT TA Y TB KARINA'!$P69/8</f>
        <v>0</v>
      </c>
      <c r="IJ15" s="128">
        <f>'PROJECT TA Y TB KARINA'!$P69/8</f>
        <v>0</v>
      </c>
      <c r="IK15" s="128">
        <f>'PROJECT TA Y TB KARINA'!$P69/8</f>
        <v>0</v>
      </c>
      <c r="IL15" s="128">
        <f>'PROJECT TA Y TB KARINA'!$P69/8</f>
        <v>0</v>
      </c>
      <c r="IM15" s="128">
        <f>'PROJECT TA Y TB KARINA'!$P69/8</f>
        <v>0</v>
      </c>
      <c r="IN15" s="128">
        <f>'PROJECT TA Y TB KARINA'!$Q69/8</f>
        <v>0</v>
      </c>
      <c r="IO15" s="128">
        <f>'PROJECT TA Y TB KARINA'!$Q69/8</f>
        <v>0</v>
      </c>
      <c r="IP15" s="128">
        <f>'PROJECT TA Y TB KARINA'!$Q69/8</f>
        <v>0</v>
      </c>
      <c r="IQ15" s="128">
        <f>'PROJECT TA Y TB KARINA'!$Q69/8</f>
        <v>0</v>
      </c>
      <c r="IR15" s="128">
        <f>'PROJECT TA Y TB KARINA'!$Q69/8</f>
        <v>0</v>
      </c>
      <c r="IS15" s="128">
        <f>'PROJECT TA Y TB KARINA'!$Q69/8</f>
        <v>0</v>
      </c>
      <c r="IT15" s="128">
        <f>'PROJECT TA Y TB KARINA'!$Q69/8</f>
        <v>0</v>
      </c>
      <c r="IU15" s="128">
        <f>'PROJECT TA Y TB KARINA'!$Q69/8</f>
        <v>0</v>
      </c>
      <c r="IV15" s="128">
        <f>'PROJECT TA Y TB KARINA'!$R69/8</f>
        <v>0</v>
      </c>
      <c r="IW15" s="128">
        <f>'PROJECT TA Y TB KARINA'!$R69/8</f>
        <v>0</v>
      </c>
      <c r="IX15" s="128">
        <f>'PROJECT TA Y TB KARINA'!$R69/8</f>
        <v>0</v>
      </c>
      <c r="IY15" s="128">
        <f>'PROJECT TA Y TB KARINA'!$R69/8</f>
        <v>0</v>
      </c>
      <c r="IZ15" s="128">
        <f>'PROJECT TA Y TB KARINA'!$R69/8</f>
        <v>0</v>
      </c>
      <c r="JA15" s="128">
        <f>'PROJECT TA Y TB KARINA'!$R69/8</f>
        <v>0</v>
      </c>
      <c r="JB15" s="128">
        <f>'PROJECT TA Y TB KARINA'!$R69/8</f>
        <v>0</v>
      </c>
      <c r="JC15" s="128">
        <f>'PROJECT TA Y TB KARINA'!$R69/8</f>
        <v>0</v>
      </c>
      <c r="JD15" s="128">
        <f>'PROJECT TA Y TB KARINA'!$S69/8</f>
        <v>0</v>
      </c>
      <c r="JE15" s="128">
        <f>'PROJECT TA Y TB KARINA'!$S69/8</f>
        <v>0</v>
      </c>
      <c r="JF15" s="128">
        <f>'PROJECT TA Y TB KARINA'!$S69/8</f>
        <v>0</v>
      </c>
      <c r="JG15" s="128">
        <f>'PROJECT TA Y TB KARINA'!$S69/8</f>
        <v>0</v>
      </c>
      <c r="JH15" s="128">
        <f>'PROJECT TA Y TB KARINA'!$S69/8</f>
        <v>0</v>
      </c>
      <c r="JI15" s="128">
        <f>'PROJECT TA Y TB KARINA'!$S69/8</f>
        <v>0</v>
      </c>
      <c r="JJ15" s="128">
        <f>'PROJECT TA Y TB KARINA'!$S69/8</f>
        <v>0</v>
      </c>
      <c r="JK15" s="128">
        <f>'PROJECT TA Y TB KARINA'!$S69/8</f>
        <v>0</v>
      </c>
      <c r="JL15" s="128">
        <f>'PROJECT TA Y TB KARINA'!$T69/8</f>
        <v>0</v>
      </c>
      <c r="JM15" s="128">
        <f>'PROJECT TA Y TB KARINA'!$T69/8</f>
        <v>0</v>
      </c>
      <c r="JN15" s="128">
        <f>'PROJECT TA Y TB KARINA'!$T69/8</f>
        <v>0</v>
      </c>
      <c r="JO15" s="128">
        <f>'PROJECT TA Y TB KARINA'!$T69/8</f>
        <v>0</v>
      </c>
      <c r="JP15" s="128">
        <f>'PROJECT TA Y TB KARINA'!$T69/8</f>
        <v>0</v>
      </c>
      <c r="JQ15" s="128">
        <f>'PROJECT TA Y TB KARINA'!$T69/8</f>
        <v>0</v>
      </c>
      <c r="JR15" s="128">
        <f>'PROJECT TA Y TB KARINA'!$T69/8</f>
        <v>0</v>
      </c>
      <c r="JS15" s="128">
        <f>'PROJECT TA Y TB KARINA'!$T69/8</f>
        <v>0</v>
      </c>
      <c r="JT15" s="128" t="e">
        <f>'PROJECT TA Y TB KARINA'!#REF!/8</f>
        <v>#REF!</v>
      </c>
      <c r="JU15" s="128" t="e">
        <f>'PROJECT TA Y TB KARINA'!#REF!/8</f>
        <v>#REF!</v>
      </c>
      <c r="JV15" s="128" t="e">
        <f>'PROJECT TA Y TB KARINA'!#REF!/8</f>
        <v>#REF!</v>
      </c>
      <c r="JW15" s="128" t="e">
        <f>'PROJECT TA Y TB KARINA'!#REF!/8</f>
        <v>#REF!</v>
      </c>
      <c r="JX15" s="128" t="e">
        <f>'PROJECT TA Y TB KARINA'!#REF!/8</f>
        <v>#REF!</v>
      </c>
      <c r="JY15" s="128" t="e">
        <f>'PROJECT TA Y TB KARINA'!#REF!/8</f>
        <v>#REF!</v>
      </c>
      <c r="JZ15" s="128" t="e">
        <f>'PROJECT TA Y TB KARINA'!#REF!/8</f>
        <v>#REF!</v>
      </c>
      <c r="KA15" s="128" t="e">
        <f>'PROJECT TA Y TB KARINA'!#REF!/8</f>
        <v>#REF!</v>
      </c>
    </row>
    <row r="16" spans="1:287" ht="21">
      <c r="A16" s="130" t="s">
        <v>469</v>
      </c>
      <c r="B16" s="128" t="e">
        <f>'PROJECT TA Y TB KARINA'!$C$12/8</f>
        <v>#REF!</v>
      </c>
      <c r="C16" s="128" t="e">
        <f>'PROJECT TA Y TB KARINA'!$C$12/8</f>
        <v>#REF!</v>
      </c>
      <c r="D16" s="128" t="e">
        <f>'PROJECT TA Y TB KARINA'!$C$12/8</f>
        <v>#REF!</v>
      </c>
      <c r="E16" s="128" t="e">
        <f>'PROJECT TA Y TB KARINA'!$C$12/8</f>
        <v>#REF!</v>
      </c>
      <c r="F16" s="128" t="e">
        <f>'PROJECT TA Y TB KARINA'!$C$12/8</f>
        <v>#REF!</v>
      </c>
      <c r="G16" s="128" t="e">
        <f>'PROJECT TA Y TB KARINA'!$C$12/8</f>
        <v>#REF!</v>
      </c>
      <c r="H16" s="128" t="e">
        <f>'PROJECT TA Y TB KARINA'!$C$12/8</f>
        <v>#REF!</v>
      </c>
      <c r="I16" s="128" t="e">
        <f>'PROJECT TA Y TB KARINA'!$E12/8</f>
        <v>#REF!</v>
      </c>
      <c r="J16" s="128" t="e">
        <f>'PROJECT TA Y TB KARINA'!$E12/8</f>
        <v>#REF!</v>
      </c>
      <c r="K16" s="128" t="e">
        <f>'PROJECT TA Y TB KARINA'!$E12/8</f>
        <v>#REF!</v>
      </c>
      <c r="L16" s="128" t="e">
        <f>'PROJECT TA Y TB KARINA'!$E12/8</f>
        <v>#REF!</v>
      </c>
      <c r="M16" s="128" t="e">
        <f>'PROJECT TA Y TB KARINA'!$E12/8</f>
        <v>#REF!</v>
      </c>
      <c r="N16" s="128" t="e">
        <f>'PROJECT TA Y TB KARINA'!$E12/8</f>
        <v>#REF!</v>
      </c>
      <c r="O16" s="128" t="e">
        <f>'PROJECT TA Y TB KARINA'!$E12/8</f>
        <v>#REF!</v>
      </c>
      <c r="P16" s="128" t="e">
        <f>'PROJECT TA Y TB KARINA'!$E12/8</f>
        <v>#REF!</v>
      </c>
      <c r="Q16" s="128" t="e">
        <f>'PROJECT TA Y TB KARINA'!$F12/8</f>
        <v>#REF!</v>
      </c>
      <c r="R16" s="128" t="e">
        <f>'PROJECT TA Y TB KARINA'!$F12/8</f>
        <v>#REF!</v>
      </c>
      <c r="S16" s="128" t="e">
        <f>'PROJECT TA Y TB KARINA'!$F12/8</f>
        <v>#REF!</v>
      </c>
      <c r="T16" s="128" t="e">
        <f>'PROJECT TA Y TB KARINA'!$F12/8</f>
        <v>#REF!</v>
      </c>
      <c r="U16" s="128" t="e">
        <f>'PROJECT TA Y TB KARINA'!$F12/8</f>
        <v>#REF!</v>
      </c>
      <c r="V16" s="128" t="e">
        <f>'PROJECT TA Y TB KARINA'!$F12/8</f>
        <v>#REF!</v>
      </c>
      <c r="W16" s="128" t="e">
        <f>'PROJECT TA Y TB KARINA'!$F12/8</f>
        <v>#REF!</v>
      </c>
      <c r="X16" s="128" t="e">
        <f>'PROJECT TA Y TB KARINA'!$F12/8</f>
        <v>#REF!</v>
      </c>
      <c r="Y16" s="128" t="e">
        <f>'PROJECT TA Y TB KARINA'!$G12/8</f>
        <v>#REF!</v>
      </c>
      <c r="Z16" s="128" t="e">
        <f>'PROJECT TA Y TB KARINA'!$G12/8</f>
        <v>#REF!</v>
      </c>
      <c r="AA16" s="128" t="e">
        <f>'PROJECT TA Y TB KARINA'!$G12/8</f>
        <v>#REF!</v>
      </c>
      <c r="AB16" s="128" t="e">
        <f>'PROJECT TA Y TB KARINA'!$G12/8</f>
        <v>#REF!</v>
      </c>
      <c r="AC16" s="128" t="e">
        <f>'PROJECT TA Y TB KARINA'!$G12/8</f>
        <v>#REF!</v>
      </c>
      <c r="AD16" s="128" t="e">
        <f>'PROJECT TA Y TB KARINA'!$G12/8</f>
        <v>#REF!</v>
      </c>
      <c r="AE16" s="128" t="e">
        <f>'PROJECT TA Y TB KARINA'!$G12/8</f>
        <v>#REF!</v>
      </c>
      <c r="AF16" s="128" t="e">
        <f>'PROJECT TA Y TB KARINA'!$G12/8</f>
        <v>#REF!</v>
      </c>
      <c r="AG16" s="128" t="e">
        <f>'PROJECT TA Y TB KARINA'!$H12/8</f>
        <v>#REF!</v>
      </c>
      <c r="AH16" s="128" t="e">
        <f>'PROJECT TA Y TB KARINA'!$H12/8</f>
        <v>#REF!</v>
      </c>
      <c r="AI16" s="128" t="e">
        <f>'PROJECT TA Y TB KARINA'!$H12/8</f>
        <v>#REF!</v>
      </c>
      <c r="AJ16" s="128" t="e">
        <f>'PROJECT TA Y TB KARINA'!$H12/8</f>
        <v>#REF!</v>
      </c>
      <c r="AK16" s="128" t="e">
        <f>'PROJECT TA Y TB KARINA'!$H12/8</f>
        <v>#REF!</v>
      </c>
      <c r="AL16" s="128" t="e">
        <f>'PROJECT TA Y TB KARINA'!$H12/8</f>
        <v>#REF!</v>
      </c>
      <c r="AM16" s="128" t="e">
        <f>'PROJECT TA Y TB KARINA'!$H12/8</f>
        <v>#REF!</v>
      </c>
      <c r="AN16" s="128" t="e">
        <f>'PROJECT TA Y TB KARINA'!$H12/8</f>
        <v>#REF!</v>
      </c>
      <c r="AO16" s="128" t="e">
        <f>'PROJECT TA Y TB KARINA'!$I12/8</f>
        <v>#REF!</v>
      </c>
      <c r="AP16" s="128" t="e">
        <f>'PROJECT TA Y TB KARINA'!$I12/8</f>
        <v>#REF!</v>
      </c>
      <c r="AQ16" s="128" t="e">
        <f>'PROJECT TA Y TB KARINA'!$I12/8</f>
        <v>#REF!</v>
      </c>
      <c r="AR16" s="128" t="e">
        <f>'PROJECT TA Y TB KARINA'!$I12/8</f>
        <v>#REF!</v>
      </c>
      <c r="AS16" s="128" t="e">
        <f>'PROJECT TA Y TB KARINA'!$I12/8</f>
        <v>#REF!</v>
      </c>
      <c r="AT16" s="128" t="e">
        <f>'PROJECT TA Y TB KARINA'!$I12/8</f>
        <v>#REF!</v>
      </c>
      <c r="AU16" s="128" t="e">
        <f>'PROJECT TA Y TB KARINA'!$I12/8</f>
        <v>#REF!</v>
      </c>
      <c r="AV16" s="128" t="e">
        <f>'PROJECT TA Y TB KARINA'!$I12/8</f>
        <v>#REF!</v>
      </c>
      <c r="AW16" s="128" t="e">
        <f>'PROJECT TA Y TB KARINA'!$J12/8</f>
        <v>#REF!</v>
      </c>
      <c r="AX16" s="128" t="e">
        <f>'PROJECT TA Y TB KARINA'!$J12/8</f>
        <v>#REF!</v>
      </c>
      <c r="AY16" s="128" t="e">
        <f>'PROJECT TA Y TB KARINA'!$J12/8</f>
        <v>#REF!</v>
      </c>
      <c r="AZ16" s="128" t="e">
        <f>'PROJECT TA Y TB KARINA'!$J12/8</f>
        <v>#REF!</v>
      </c>
      <c r="BA16" s="128" t="e">
        <f>'PROJECT TA Y TB KARINA'!$J12/8</f>
        <v>#REF!</v>
      </c>
      <c r="BB16" s="128" t="e">
        <f>'PROJECT TA Y TB KARINA'!$J12/8</f>
        <v>#REF!</v>
      </c>
      <c r="BC16" s="128" t="e">
        <f>'PROJECT TA Y TB KARINA'!$J12/8</f>
        <v>#REF!</v>
      </c>
      <c r="BD16" s="128" t="e">
        <f>'PROJECT TA Y TB KARINA'!$J12/8</f>
        <v>#REF!</v>
      </c>
      <c r="BE16" s="128" t="e">
        <f>'PROJECT TA Y TB KARINA'!$K12/8</f>
        <v>#REF!</v>
      </c>
      <c r="BF16" s="128" t="e">
        <f>'PROJECT TA Y TB KARINA'!$K12/8</f>
        <v>#REF!</v>
      </c>
      <c r="BG16" s="128" t="e">
        <f>'PROJECT TA Y TB KARINA'!$K12/8</f>
        <v>#REF!</v>
      </c>
      <c r="BH16" s="128" t="e">
        <f>'PROJECT TA Y TB KARINA'!$K12/8</f>
        <v>#REF!</v>
      </c>
      <c r="BI16" s="128" t="e">
        <f>'PROJECT TA Y TB KARINA'!$K12/8</f>
        <v>#REF!</v>
      </c>
      <c r="BJ16" s="128" t="e">
        <f>'PROJECT TA Y TB KARINA'!$K12/8</f>
        <v>#REF!</v>
      </c>
      <c r="BK16" s="128" t="e">
        <f>'PROJECT TA Y TB KARINA'!$K12/8</f>
        <v>#REF!</v>
      </c>
      <c r="BL16" s="128" t="e">
        <f>'PROJECT TA Y TB KARINA'!$K12/8</f>
        <v>#REF!</v>
      </c>
      <c r="BM16" s="128" t="e">
        <f>'PROJECT TA Y TB KARINA'!$L12/8</f>
        <v>#REF!</v>
      </c>
      <c r="BN16" s="128" t="e">
        <f>'PROJECT TA Y TB KARINA'!$L12/8</f>
        <v>#REF!</v>
      </c>
      <c r="BO16" s="128" t="e">
        <f>'PROJECT TA Y TB KARINA'!$L12/8</f>
        <v>#REF!</v>
      </c>
      <c r="BP16" s="128" t="e">
        <f>'PROJECT TA Y TB KARINA'!$L12/8</f>
        <v>#REF!</v>
      </c>
      <c r="BQ16" s="128" t="e">
        <f>'PROJECT TA Y TB KARINA'!$L12/8</f>
        <v>#REF!</v>
      </c>
      <c r="BR16" s="128" t="e">
        <f>'PROJECT TA Y TB KARINA'!$L12/8</f>
        <v>#REF!</v>
      </c>
      <c r="BS16" s="128" t="e">
        <f>'PROJECT TA Y TB KARINA'!$L12/8</f>
        <v>#REF!</v>
      </c>
      <c r="BT16" s="128" t="e">
        <f>'PROJECT TA Y TB KARINA'!$L12/8</f>
        <v>#REF!</v>
      </c>
      <c r="BU16" s="128" t="e">
        <f>'PROJECT TA Y TB KARINA'!$M12/8</f>
        <v>#REF!</v>
      </c>
      <c r="BV16" s="128" t="e">
        <f>'PROJECT TA Y TB KARINA'!$M12/8</f>
        <v>#REF!</v>
      </c>
      <c r="BW16" s="128" t="e">
        <f>'PROJECT TA Y TB KARINA'!$M12/8</f>
        <v>#REF!</v>
      </c>
      <c r="BX16" s="128" t="e">
        <f>'PROJECT TA Y TB KARINA'!$M12/8</f>
        <v>#REF!</v>
      </c>
      <c r="BY16" s="128" t="e">
        <f>'PROJECT TA Y TB KARINA'!$M12/8</f>
        <v>#REF!</v>
      </c>
      <c r="BZ16" s="128" t="e">
        <f>'PROJECT TA Y TB KARINA'!$M12/8</f>
        <v>#REF!</v>
      </c>
      <c r="CA16" s="128" t="e">
        <f>'PROJECT TA Y TB KARINA'!$M12/8</f>
        <v>#REF!</v>
      </c>
      <c r="CB16" s="128" t="e">
        <f>'PROJECT TA Y TB KARINA'!$M12/8</f>
        <v>#REF!</v>
      </c>
      <c r="CC16" s="128" t="e">
        <f>'PROJECT TA Y TB KARINA'!$N12/8</f>
        <v>#REF!</v>
      </c>
      <c r="CD16" s="128" t="e">
        <f>'PROJECT TA Y TB KARINA'!$N12/8</f>
        <v>#REF!</v>
      </c>
      <c r="CE16" s="128" t="e">
        <f>'PROJECT TA Y TB KARINA'!$N12/8</f>
        <v>#REF!</v>
      </c>
      <c r="CF16" s="128" t="e">
        <f>'PROJECT TA Y TB KARINA'!$N12/8</f>
        <v>#REF!</v>
      </c>
      <c r="CG16" s="128" t="e">
        <f>'PROJECT TA Y TB KARINA'!$N12/8</f>
        <v>#REF!</v>
      </c>
      <c r="CH16" s="128" t="e">
        <f>'PROJECT TA Y TB KARINA'!$N12/8</f>
        <v>#REF!</v>
      </c>
      <c r="CI16" s="128" t="e">
        <f>'PROJECT TA Y TB KARINA'!$N12/8</f>
        <v>#REF!</v>
      </c>
      <c r="CJ16" s="128" t="e">
        <f>'PROJECT TA Y TB KARINA'!$N12/8</f>
        <v>#REF!</v>
      </c>
      <c r="CK16" s="128" t="e">
        <f>'PROJECT TA Y TB KARINA'!$O12/8</f>
        <v>#REF!</v>
      </c>
      <c r="CL16" s="128" t="e">
        <f>'PROJECT TA Y TB KARINA'!$O12/8</f>
        <v>#REF!</v>
      </c>
      <c r="CM16" s="128" t="e">
        <f>'PROJECT TA Y TB KARINA'!$O12/8</f>
        <v>#REF!</v>
      </c>
      <c r="CN16" s="128" t="e">
        <f>'PROJECT TA Y TB KARINA'!$O12/8</f>
        <v>#REF!</v>
      </c>
      <c r="CO16" s="128" t="e">
        <f>'PROJECT TA Y TB KARINA'!$O12/8</f>
        <v>#REF!</v>
      </c>
      <c r="CP16" s="128" t="e">
        <f>'PROJECT TA Y TB KARINA'!$O12/8</f>
        <v>#REF!</v>
      </c>
      <c r="CQ16" s="128" t="e">
        <f>'PROJECT TA Y TB KARINA'!$O12/8</f>
        <v>#REF!</v>
      </c>
      <c r="CR16" s="128" t="e">
        <f>'PROJECT TA Y TB KARINA'!$O12/8</f>
        <v>#REF!</v>
      </c>
      <c r="CS16" s="128" t="e">
        <f>'PROJECT TA Y TB KARINA'!$P12/8</f>
        <v>#REF!</v>
      </c>
      <c r="CT16" s="128" t="e">
        <f>'PROJECT TA Y TB KARINA'!$P12/8</f>
        <v>#REF!</v>
      </c>
      <c r="CU16" s="128" t="e">
        <f>'PROJECT TA Y TB KARINA'!$P12/8</f>
        <v>#REF!</v>
      </c>
      <c r="CV16" s="128" t="e">
        <f>'PROJECT TA Y TB KARINA'!$P12/8</f>
        <v>#REF!</v>
      </c>
      <c r="CW16" s="128" t="e">
        <f>'PROJECT TA Y TB KARINA'!$P12/8</f>
        <v>#REF!</v>
      </c>
      <c r="CX16" s="128" t="e">
        <f>'PROJECT TA Y TB KARINA'!$P12/8</f>
        <v>#REF!</v>
      </c>
      <c r="CY16" s="128" t="e">
        <f>'PROJECT TA Y TB KARINA'!$P12/8</f>
        <v>#REF!</v>
      </c>
      <c r="CZ16" s="128" t="e">
        <f>'PROJECT TA Y TB KARINA'!$P12/8</f>
        <v>#REF!</v>
      </c>
      <c r="DA16" s="128" t="e">
        <f>'PROJECT TA Y TB KARINA'!$Q12/8</f>
        <v>#REF!</v>
      </c>
      <c r="DB16" s="128" t="e">
        <f>'PROJECT TA Y TB KARINA'!$Q12/8</f>
        <v>#REF!</v>
      </c>
      <c r="DC16" s="128" t="e">
        <f>'PROJECT TA Y TB KARINA'!$Q12/8</f>
        <v>#REF!</v>
      </c>
      <c r="DD16" s="128" t="e">
        <f>'PROJECT TA Y TB KARINA'!$Q12/8</f>
        <v>#REF!</v>
      </c>
      <c r="DE16" s="128" t="e">
        <f>'PROJECT TA Y TB KARINA'!$Q12/8</f>
        <v>#REF!</v>
      </c>
      <c r="DF16" s="128" t="e">
        <f>'PROJECT TA Y TB KARINA'!$Q12/8</f>
        <v>#REF!</v>
      </c>
      <c r="DG16" s="128" t="e">
        <f>'PROJECT TA Y TB KARINA'!$Q12/8</f>
        <v>#REF!</v>
      </c>
      <c r="DH16" s="128" t="e">
        <f>'PROJECT TA Y TB KARINA'!$Q12/8</f>
        <v>#REF!</v>
      </c>
      <c r="DI16" s="128" t="e">
        <f>'PROJECT TA Y TB KARINA'!$R12/8</f>
        <v>#REF!</v>
      </c>
      <c r="DJ16" s="128" t="e">
        <f>'PROJECT TA Y TB KARINA'!$R12/8</f>
        <v>#REF!</v>
      </c>
      <c r="DK16" s="128" t="e">
        <f>'PROJECT TA Y TB KARINA'!$R12/8</f>
        <v>#REF!</v>
      </c>
      <c r="DL16" s="128" t="e">
        <f>'PROJECT TA Y TB KARINA'!$R12/8</f>
        <v>#REF!</v>
      </c>
      <c r="DM16" s="128" t="e">
        <f>'PROJECT TA Y TB KARINA'!$R12/8</f>
        <v>#REF!</v>
      </c>
      <c r="DN16" s="128" t="e">
        <f>'PROJECT TA Y TB KARINA'!$R12/8</f>
        <v>#REF!</v>
      </c>
      <c r="DO16" s="128" t="e">
        <f>'PROJECT TA Y TB KARINA'!$R12/8</f>
        <v>#REF!</v>
      </c>
      <c r="DP16" s="128" t="e">
        <f>'PROJECT TA Y TB KARINA'!$R12/8</f>
        <v>#REF!</v>
      </c>
      <c r="DQ16" s="128" t="e">
        <f>'PROJECT TA Y TB KARINA'!$S12/8</f>
        <v>#REF!</v>
      </c>
      <c r="DR16" s="128" t="e">
        <f>'PROJECT TA Y TB KARINA'!$S12/8</f>
        <v>#REF!</v>
      </c>
      <c r="DS16" s="128" t="e">
        <f>'PROJECT TA Y TB KARINA'!$S12/8</f>
        <v>#REF!</v>
      </c>
      <c r="DT16" s="128" t="e">
        <f>'PROJECT TA Y TB KARINA'!$S12/8</f>
        <v>#REF!</v>
      </c>
      <c r="DU16" s="128" t="e">
        <f>'PROJECT TA Y TB KARINA'!$S12/8</f>
        <v>#REF!</v>
      </c>
      <c r="DV16" s="128" t="e">
        <f>'PROJECT TA Y TB KARINA'!$S12/8</f>
        <v>#REF!</v>
      </c>
      <c r="DW16" s="128" t="e">
        <f>'PROJECT TA Y TB KARINA'!$S12/8</f>
        <v>#REF!</v>
      </c>
      <c r="DX16" s="128" t="e">
        <f>'PROJECT TA Y TB KARINA'!$S12/8</f>
        <v>#REF!</v>
      </c>
      <c r="DY16" s="128" t="e">
        <f>'PROJECT TA Y TB KARINA'!$T12/8</f>
        <v>#REF!</v>
      </c>
      <c r="DZ16" s="128" t="e">
        <f>'PROJECT TA Y TB KARINA'!$T12/8</f>
        <v>#REF!</v>
      </c>
      <c r="EA16" s="128" t="e">
        <f>'PROJECT TA Y TB KARINA'!$T12/8</f>
        <v>#REF!</v>
      </c>
      <c r="EB16" s="128" t="e">
        <f>'PROJECT TA Y TB KARINA'!$T12/8</f>
        <v>#REF!</v>
      </c>
      <c r="EC16" s="128" t="e">
        <f>'PROJECT TA Y TB KARINA'!$T12/8</f>
        <v>#REF!</v>
      </c>
      <c r="ED16" s="128" t="e">
        <f>'PROJECT TA Y TB KARINA'!$T12/8</f>
        <v>#REF!</v>
      </c>
      <c r="EE16" s="128" t="e">
        <f>'PROJECT TA Y TB KARINA'!$T12/8</f>
        <v>#REF!</v>
      </c>
      <c r="EF16" s="128" t="e">
        <f>'PROJECT TA Y TB KARINA'!$T12/8</f>
        <v>#REF!</v>
      </c>
      <c r="EG16" s="128" t="e">
        <f>'PROJECT TA Y TB KARINA'!#REF!/8</f>
        <v>#REF!</v>
      </c>
      <c r="EH16" s="128" t="e">
        <f>'PROJECT TA Y TB KARINA'!#REF!/8</f>
        <v>#REF!</v>
      </c>
      <c r="EI16" s="128" t="e">
        <f>'PROJECT TA Y TB KARINA'!#REF!/8</f>
        <v>#REF!</v>
      </c>
      <c r="EJ16" s="128" t="e">
        <f>'PROJECT TA Y TB KARINA'!#REF!/8</f>
        <v>#REF!</v>
      </c>
      <c r="EK16" s="128" t="e">
        <f>'PROJECT TA Y TB KARINA'!#REF!/8</f>
        <v>#REF!</v>
      </c>
      <c r="EL16" s="128" t="e">
        <f>'PROJECT TA Y TB KARINA'!#REF!/8</f>
        <v>#REF!</v>
      </c>
      <c r="EM16" s="128" t="e">
        <f>'PROJECT TA Y TB KARINA'!#REF!/8</f>
        <v>#REF!</v>
      </c>
      <c r="EN16" s="128" t="e">
        <f>'PROJECT TA Y TB KARINA'!#REF!/8</f>
        <v>#REF!</v>
      </c>
      <c r="EO16" s="128">
        <f>'PROJECT TA Y TB KARINA'!$C70/8</f>
        <v>0</v>
      </c>
      <c r="EP16" s="128">
        <f>'PROJECT TA Y TB KARINA'!$C70/8</f>
        <v>0</v>
      </c>
      <c r="EQ16" s="128">
        <f>'PROJECT TA Y TB KARINA'!$C70/8</f>
        <v>0</v>
      </c>
      <c r="ER16" s="128">
        <f>'PROJECT TA Y TB KARINA'!$C70/8</f>
        <v>0</v>
      </c>
      <c r="ES16" s="128">
        <f>'PROJECT TA Y TB KARINA'!$C70/8</f>
        <v>0</v>
      </c>
      <c r="ET16" s="128">
        <f>'PROJECT TA Y TB KARINA'!$C70/8</f>
        <v>0</v>
      </c>
      <c r="EU16" s="128">
        <f>'PROJECT TA Y TB KARINA'!$C70/8</f>
        <v>0</v>
      </c>
      <c r="EV16" s="128">
        <f>'PROJECT TA Y TB KARINA'!$E70/8</f>
        <v>0</v>
      </c>
      <c r="EW16" s="128">
        <f>'PROJECT TA Y TB KARINA'!$E70/8</f>
        <v>0</v>
      </c>
      <c r="EX16" s="128">
        <f>'PROJECT TA Y TB KARINA'!$E70/8</f>
        <v>0</v>
      </c>
      <c r="EY16" s="128">
        <f>'PROJECT TA Y TB KARINA'!$E70/8</f>
        <v>0</v>
      </c>
      <c r="EZ16" s="128">
        <f>'PROJECT TA Y TB KARINA'!$E70/8</f>
        <v>0</v>
      </c>
      <c r="FA16" s="128">
        <f>'PROJECT TA Y TB KARINA'!$E70/8</f>
        <v>0</v>
      </c>
      <c r="FB16" s="128">
        <f>'PROJECT TA Y TB KARINA'!$E70/8</f>
        <v>0</v>
      </c>
      <c r="FC16" s="128">
        <f>'PROJECT TA Y TB KARINA'!$E70/8</f>
        <v>0</v>
      </c>
      <c r="FD16" s="128">
        <f>'PROJECT TA Y TB KARINA'!$F70/8</f>
        <v>0</v>
      </c>
      <c r="FE16" s="128">
        <f>'PROJECT TA Y TB KARINA'!$F70/8</f>
        <v>0</v>
      </c>
      <c r="FF16" s="128">
        <f>'PROJECT TA Y TB KARINA'!$F70/8</f>
        <v>0</v>
      </c>
      <c r="FG16" s="128">
        <f>'PROJECT TA Y TB KARINA'!$F70/8</f>
        <v>0</v>
      </c>
      <c r="FH16" s="128">
        <f>'PROJECT TA Y TB KARINA'!$F70/8</f>
        <v>0</v>
      </c>
      <c r="FI16" s="128">
        <f>'PROJECT TA Y TB KARINA'!$F70/8</f>
        <v>0</v>
      </c>
      <c r="FJ16" s="128">
        <f>'PROJECT TA Y TB KARINA'!$F70/8</f>
        <v>0</v>
      </c>
      <c r="FK16" s="128">
        <f>'PROJECT TA Y TB KARINA'!$F70/8</f>
        <v>0</v>
      </c>
      <c r="FL16" s="128">
        <f>'PROJECT TA Y TB KARINA'!$G70/8</f>
        <v>0</v>
      </c>
      <c r="FM16" s="128">
        <f>'PROJECT TA Y TB KARINA'!$G70/8</f>
        <v>0</v>
      </c>
      <c r="FN16" s="128">
        <f>'PROJECT TA Y TB KARINA'!$G70/8</f>
        <v>0</v>
      </c>
      <c r="FO16" s="128">
        <f>'PROJECT TA Y TB KARINA'!$G70/8</f>
        <v>0</v>
      </c>
      <c r="FP16" s="128">
        <f>'PROJECT TA Y TB KARINA'!$G70/8</f>
        <v>0</v>
      </c>
      <c r="FQ16" s="128">
        <f>'PROJECT TA Y TB KARINA'!$G70/8</f>
        <v>0</v>
      </c>
      <c r="FR16" s="128">
        <f>'PROJECT TA Y TB KARINA'!$G70/8</f>
        <v>0</v>
      </c>
      <c r="FS16" s="128">
        <f>'PROJECT TA Y TB KARINA'!$G70/8</f>
        <v>0</v>
      </c>
      <c r="FT16" s="128">
        <f>'PROJECT TA Y TB KARINA'!$H70/8</f>
        <v>0</v>
      </c>
      <c r="FU16" s="128">
        <f>'PROJECT TA Y TB KARINA'!$H70/8</f>
        <v>0</v>
      </c>
      <c r="FV16" s="128">
        <f>'PROJECT TA Y TB KARINA'!$H70/8</f>
        <v>0</v>
      </c>
      <c r="FW16" s="128">
        <f>'PROJECT TA Y TB KARINA'!$H70/8</f>
        <v>0</v>
      </c>
      <c r="FX16" s="128">
        <f>'PROJECT TA Y TB KARINA'!$H70/8</f>
        <v>0</v>
      </c>
      <c r="FY16" s="128">
        <f>'PROJECT TA Y TB KARINA'!$H70/8</f>
        <v>0</v>
      </c>
      <c r="FZ16" s="128">
        <f>'PROJECT TA Y TB KARINA'!$H70/8</f>
        <v>0</v>
      </c>
      <c r="GA16" s="128">
        <f>'PROJECT TA Y TB KARINA'!$H70/8</f>
        <v>0</v>
      </c>
      <c r="GB16" s="128">
        <f>'PROJECT TA Y TB KARINA'!$I70/8</f>
        <v>0</v>
      </c>
      <c r="GC16" s="128">
        <f>'PROJECT TA Y TB KARINA'!$I70/8</f>
        <v>0</v>
      </c>
      <c r="GD16" s="128">
        <f>'PROJECT TA Y TB KARINA'!$I70/8</f>
        <v>0</v>
      </c>
      <c r="GE16" s="128">
        <f>'PROJECT TA Y TB KARINA'!$I70/8</f>
        <v>0</v>
      </c>
      <c r="GF16" s="128">
        <f>'PROJECT TA Y TB KARINA'!$I70/8</f>
        <v>0</v>
      </c>
      <c r="GG16" s="128">
        <f>'PROJECT TA Y TB KARINA'!$I70/8</f>
        <v>0</v>
      </c>
      <c r="GH16" s="128">
        <f>'PROJECT TA Y TB KARINA'!$I70/8</f>
        <v>0</v>
      </c>
      <c r="GI16" s="128">
        <f>'PROJECT TA Y TB KARINA'!$I70/8</f>
        <v>0</v>
      </c>
      <c r="GJ16" s="128">
        <f>'PROJECT TA Y TB KARINA'!$J70/8</f>
        <v>0</v>
      </c>
      <c r="GK16" s="128">
        <f>'PROJECT TA Y TB KARINA'!$J70/8</f>
        <v>0</v>
      </c>
      <c r="GL16" s="128">
        <f>'PROJECT TA Y TB KARINA'!$J70/8</f>
        <v>0</v>
      </c>
      <c r="GM16" s="128">
        <f>'PROJECT TA Y TB KARINA'!$J70/8</f>
        <v>0</v>
      </c>
      <c r="GN16" s="128">
        <f>'PROJECT TA Y TB KARINA'!$J70/8</f>
        <v>0</v>
      </c>
      <c r="GO16" s="128">
        <f>'PROJECT TA Y TB KARINA'!$J70/8</f>
        <v>0</v>
      </c>
      <c r="GP16" s="128">
        <f>'PROJECT TA Y TB KARINA'!$J70/8</f>
        <v>0</v>
      </c>
      <c r="GQ16" s="128">
        <f>'PROJECT TA Y TB KARINA'!$J70/8</f>
        <v>0</v>
      </c>
      <c r="GR16" s="128">
        <f>'PROJECT TA Y TB KARINA'!$K70/8</f>
        <v>0</v>
      </c>
      <c r="GS16" s="128">
        <f>'PROJECT TA Y TB KARINA'!$K70/8</f>
        <v>0</v>
      </c>
      <c r="GT16" s="128">
        <f>'PROJECT TA Y TB KARINA'!$K70/8</f>
        <v>0</v>
      </c>
      <c r="GU16" s="128">
        <f>'PROJECT TA Y TB KARINA'!$K70/8</f>
        <v>0</v>
      </c>
      <c r="GV16" s="128">
        <f>'PROJECT TA Y TB KARINA'!$K70/8</f>
        <v>0</v>
      </c>
      <c r="GW16" s="128">
        <f>'PROJECT TA Y TB KARINA'!$K70/8</f>
        <v>0</v>
      </c>
      <c r="GX16" s="128">
        <f>'PROJECT TA Y TB KARINA'!$K70/8</f>
        <v>0</v>
      </c>
      <c r="GY16" s="128">
        <f>'PROJECT TA Y TB KARINA'!$K70/8</f>
        <v>0</v>
      </c>
      <c r="GZ16" s="128">
        <f>'PROJECT TA Y TB KARINA'!$L70/8</f>
        <v>0</v>
      </c>
      <c r="HA16" s="128">
        <f>'PROJECT TA Y TB KARINA'!$L70/8</f>
        <v>0</v>
      </c>
      <c r="HB16" s="128">
        <f>'PROJECT TA Y TB KARINA'!$L70/8</f>
        <v>0</v>
      </c>
      <c r="HC16" s="128">
        <f>'PROJECT TA Y TB KARINA'!$L70/8</f>
        <v>0</v>
      </c>
      <c r="HD16" s="128">
        <f>'PROJECT TA Y TB KARINA'!$L70/8</f>
        <v>0</v>
      </c>
      <c r="HE16" s="128">
        <f>'PROJECT TA Y TB KARINA'!$L70/8</f>
        <v>0</v>
      </c>
      <c r="HF16" s="128">
        <f>'PROJECT TA Y TB KARINA'!$L70/8</f>
        <v>0</v>
      </c>
      <c r="HG16" s="128">
        <f>'PROJECT TA Y TB KARINA'!$L70/8</f>
        <v>0</v>
      </c>
      <c r="HH16" s="128">
        <f>'PROJECT TA Y TB KARINA'!$M70/8</f>
        <v>0</v>
      </c>
      <c r="HI16" s="128">
        <f>'PROJECT TA Y TB KARINA'!$M70/8</f>
        <v>0</v>
      </c>
      <c r="HJ16" s="128">
        <f>'PROJECT TA Y TB KARINA'!$M70/8</f>
        <v>0</v>
      </c>
      <c r="HK16" s="128">
        <f>'PROJECT TA Y TB KARINA'!$M70/8</f>
        <v>0</v>
      </c>
      <c r="HL16" s="128">
        <f>'PROJECT TA Y TB KARINA'!$M70/8</f>
        <v>0</v>
      </c>
      <c r="HM16" s="128">
        <f>'PROJECT TA Y TB KARINA'!$M70/8</f>
        <v>0</v>
      </c>
      <c r="HN16" s="128">
        <f>'PROJECT TA Y TB KARINA'!$M70/8</f>
        <v>0</v>
      </c>
      <c r="HO16" s="128">
        <f>'PROJECT TA Y TB KARINA'!$M70/8</f>
        <v>0</v>
      </c>
      <c r="HP16" s="128">
        <f>'PROJECT TA Y TB KARINA'!$N70/8</f>
        <v>0</v>
      </c>
      <c r="HQ16" s="128">
        <f>'PROJECT TA Y TB KARINA'!$N70/8</f>
        <v>0</v>
      </c>
      <c r="HR16" s="128">
        <f>'PROJECT TA Y TB KARINA'!$N70/8</f>
        <v>0</v>
      </c>
      <c r="HS16" s="128">
        <f>'PROJECT TA Y TB KARINA'!$N70/8</f>
        <v>0</v>
      </c>
      <c r="HT16" s="128">
        <f>'PROJECT TA Y TB KARINA'!$N70/8</f>
        <v>0</v>
      </c>
      <c r="HU16" s="128">
        <f>'PROJECT TA Y TB KARINA'!$N70/8</f>
        <v>0</v>
      </c>
      <c r="HV16" s="128">
        <f>'PROJECT TA Y TB KARINA'!$N70/8</f>
        <v>0</v>
      </c>
      <c r="HW16" s="128">
        <f>'PROJECT TA Y TB KARINA'!$N70/8</f>
        <v>0</v>
      </c>
      <c r="HX16" s="128">
        <f>'PROJECT TA Y TB KARINA'!$O70/8</f>
        <v>0</v>
      </c>
      <c r="HY16" s="128">
        <f>'PROJECT TA Y TB KARINA'!$O70/8</f>
        <v>0</v>
      </c>
      <c r="HZ16" s="128">
        <f>'PROJECT TA Y TB KARINA'!$O70/8</f>
        <v>0</v>
      </c>
      <c r="IA16" s="128">
        <f>'PROJECT TA Y TB KARINA'!$O70/8</f>
        <v>0</v>
      </c>
      <c r="IB16" s="128">
        <f>'PROJECT TA Y TB KARINA'!$O70/8</f>
        <v>0</v>
      </c>
      <c r="IC16" s="128">
        <f>'PROJECT TA Y TB KARINA'!$O70/8</f>
        <v>0</v>
      </c>
      <c r="ID16" s="128">
        <f>'PROJECT TA Y TB KARINA'!$O70/8</f>
        <v>0</v>
      </c>
      <c r="IE16" s="128">
        <f>'PROJECT TA Y TB KARINA'!$O70/8</f>
        <v>0</v>
      </c>
      <c r="IF16" s="128">
        <f>'PROJECT TA Y TB KARINA'!$P70/8</f>
        <v>0</v>
      </c>
      <c r="IG16" s="128">
        <f>'PROJECT TA Y TB KARINA'!$P70/8</f>
        <v>0</v>
      </c>
      <c r="IH16" s="128">
        <f>'PROJECT TA Y TB KARINA'!$P70/8</f>
        <v>0</v>
      </c>
      <c r="II16" s="128">
        <f>'PROJECT TA Y TB KARINA'!$P70/8</f>
        <v>0</v>
      </c>
      <c r="IJ16" s="128">
        <f>'PROJECT TA Y TB KARINA'!$P70/8</f>
        <v>0</v>
      </c>
      <c r="IK16" s="128">
        <f>'PROJECT TA Y TB KARINA'!$P70/8</f>
        <v>0</v>
      </c>
      <c r="IL16" s="128">
        <f>'PROJECT TA Y TB KARINA'!$P70/8</f>
        <v>0</v>
      </c>
      <c r="IM16" s="128">
        <f>'PROJECT TA Y TB KARINA'!$P70/8</f>
        <v>0</v>
      </c>
      <c r="IN16" s="128">
        <f>'PROJECT TA Y TB KARINA'!$Q70/8</f>
        <v>0</v>
      </c>
      <c r="IO16" s="128">
        <f>'PROJECT TA Y TB KARINA'!$Q70/8</f>
        <v>0</v>
      </c>
      <c r="IP16" s="128">
        <f>'PROJECT TA Y TB KARINA'!$Q70/8</f>
        <v>0</v>
      </c>
      <c r="IQ16" s="128">
        <f>'PROJECT TA Y TB KARINA'!$Q70/8</f>
        <v>0</v>
      </c>
      <c r="IR16" s="128">
        <f>'PROJECT TA Y TB KARINA'!$Q70/8</f>
        <v>0</v>
      </c>
      <c r="IS16" s="128">
        <f>'PROJECT TA Y TB KARINA'!$Q70/8</f>
        <v>0</v>
      </c>
      <c r="IT16" s="128">
        <f>'PROJECT TA Y TB KARINA'!$Q70/8</f>
        <v>0</v>
      </c>
      <c r="IU16" s="128">
        <f>'PROJECT TA Y TB KARINA'!$Q70/8</f>
        <v>0</v>
      </c>
      <c r="IV16" s="128">
        <f>'PROJECT TA Y TB KARINA'!$R70/8</f>
        <v>0</v>
      </c>
      <c r="IW16" s="128">
        <f>'PROJECT TA Y TB KARINA'!$R70/8</f>
        <v>0</v>
      </c>
      <c r="IX16" s="128">
        <f>'PROJECT TA Y TB KARINA'!$R70/8</f>
        <v>0</v>
      </c>
      <c r="IY16" s="128">
        <f>'PROJECT TA Y TB KARINA'!$R70/8</f>
        <v>0</v>
      </c>
      <c r="IZ16" s="128">
        <f>'PROJECT TA Y TB KARINA'!$R70/8</f>
        <v>0</v>
      </c>
      <c r="JA16" s="128">
        <f>'PROJECT TA Y TB KARINA'!$R70/8</f>
        <v>0</v>
      </c>
      <c r="JB16" s="128">
        <f>'PROJECT TA Y TB KARINA'!$R70/8</f>
        <v>0</v>
      </c>
      <c r="JC16" s="128">
        <f>'PROJECT TA Y TB KARINA'!$R70/8</f>
        <v>0</v>
      </c>
      <c r="JD16" s="128">
        <f>'PROJECT TA Y TB KARINA'!$S70/8</f>
        <v>0</v>
      </c>
      <c r="JE16" s="128">
        <f>'PROJECT TA Y TB KARINA'!$S70/8</f>
        <v>0</v>
      </c>
      <c r="JF16" s="128">
        <f>'PROJECT TA Y TB KARINA'!$S70/8</f>
        <v>0</v>
      </c>
      <c r="JG16" s="128">
        <f>'PROJECT TA Y TB KARINA'!$S70/8</f>
        <v>0</v>
      </c>
      <c r="JH16" s="128">
        <f>'PROJECT TA Y TB KARINA'!$S70/8</f>
        <v>0</v>
      </c>
      <c r="JI16" s="128">
        <f>'PROJECT TA Y TB KARINA'!$S70/8</f>
        <v>0</v>
      </c>
      <c r="JJ16" s="128">
        <f>'PROJECT TA Y TB KARINA'!$S70/8</f>
        <v>0</v>
      </c>
      <c r="JK16" s="128">
        <f>'PROJECT TA Y TB KARINA'!$S70/8</f>
        <v>0</v>
      </c>
      <c r="JL16" s="128">
        <f>'PROJECT TA Y TB KARINA'!$T70/8</f>
        <v>0</v>
      </c>
      <c r="JM16" s="128">
        <f>'PROJECT TA Y TB KARINA'!$T70/8</f>
        <v>0</v>
      </c>
      <c r="JN16" s="128">
        <f>'PROJECT TA Y TB KARINA'!$T70/8</f>
        <v>0</v>
      </c>
      <c r="JO16" s="128">
        <f>'PROJECT TA Y TB KARINA'!$T70/8</f>
        <v>0</v>
      </c>
      <c r="JP16" s="128">
        <f>'PROJECT TA Y TB KARINA'!$T70/8</f>
        <v>0</v>
      </c>
      <c r="JQ16" s="128">
        <f>'PROJECT TA Y TB KARINA'!$T70/8</f>
        <v>0</v>
      </c>
      <c r="JR16" s="128">
        <f>'PROJECT TA Y TB KARINA'!$T70/8</f>
        <v>0</v>
      </c>
      <c r="JS16" s="128">
        <f>'PROJECT TA Y TB KARINA'!$T70/8</f>
        <v>0</v>
      </c>
      <c r="JT16" s="128" t="e">
        <f>'PROJECT TA Y TB KARINA'!#REF!/8</f>
        <v>#REF!</v>
      </c>
      <c r="JU16" s="128" t="e">
        <f>'PROJECT TA Y TB KARINA'!#REF!/8</f>
        <v>#REF!</v>
      </c>
      <c r="JV16" s="128" t="e">
        <f>'PROJECT TA Y TB KARINA'!#REF!/8</f>
        <v>#REF!</v>
      </c>
      <c r="JW16" s="128" t="e">
        <f>'PROJECT TA Y TB KARINA'!#REF!/8</f>
        <v>#REF!</v>
      </c>
      <c r="JX16" s="128" t="e">
        <f>'PROJECT TA Y TB KARINA'!#REF!/8</f>
        <v>#REF!</v>
      </c>
      <c r="JY16" s="128" t="e">
        <f>'PROJECT TA Y TB KARINA'!#REF!/8</f>
        <v>#REF!</v>
      </c>
      <c r="JZ16" s="128" t="e">
        <f>'PROJECT TA Y TB KARINA'!#REF!/8</f>
        <v>#REF!</v>
      </c>
      <c r="KA16" s="128" t="e">
        <f>'PROJECT TA Y TB KARINA'!#REF!/8</f>
        <v>#REF!</v>
      </c>
    </row>
    <row r="17" spans="1:287" ht="21">
      <c r="A17" s="130" t="s">
        <v>470</v>
      </c>
      <c r="B17" s="128" t="e">
        <f>'PROJECT TA Y TB KARINA'!$C$13/8</f>
        <v>#REF!</v>
      </c>
      <c r="C17" s="128" t="e">
        <f>'PROJECT TA Y TB KARINA'!$C$13/8</f>
        <v>#REF!</v>
      </c>
      <c r="D17" s="128" t="e">
        <f>'PROJECT TA Y TB KARINA'!$C$13/8</f>
        <v>#REF!</v>
      </c>
      <c r="E17" s="128" t="e">
        <f>'PROJECT TA Y TB KARINA'!$C$13/8</f>
        <v>#REF!</v>
      </c>
      <c r="F17" s="128" t="e">
        <f>'PROJECT TA Y TB KARINA'!$C$13/8</f>
        <v>#REF!</v>
      </c>
      <c r="G17" s="128" t="e">
        <f>'PROJECT TA Y TB KARINA'!$C$13/8</f>
        <v>#REF!</v>
      </c>
      <c r="H17" s="128" t="e">
        <f>'PROJECT TA Y TB KARINA'!$C$13/8</f>
        <v>#REF!</v>
      </c>
      <c r="I17" s="128" t="e">
        <f>'PROJECT TA Y TB KARINA'!$E13/8</f>
        <v>#REF!</v>
      </c>
      <c r="J17" s="128" t="e">
        <f>'PROJECT TA Y TB KARINA'!$E13/8</f>
        <v>#REF!</v>
      </c>
      <c r="K17" s="128" t="e">
        <f>'PROJECT TA Y TB KARINA'!$E13/8</f>
        <v>#REF!</v>
      </c>
      <c r="L17" s="128" t="e">
        <f>'PROJECT TA Y TB KARINA'!$E13/8</f>
        <v>#REF!</v>
      </c>
      <c r="M17" s="128" t="e">
        <f>'PROJECT TA Y TB KARINA'!$E13/8</f>
        <v>#REF!</v>
      </c>
      <c r="N17" s="128" t="e">
        <f>'PROJECT TA Y TB KARINA'!$E13/8</f>
        <v>#REF!</v>
      </c>
      <c r="O17" s="128" t="e">
        <f>'PROJECT TA Y TB KARINA'!$E13/8</f>
        <v>#REF!</v>
      </c>
      <c r="P17" s="128" t="e">
        <f>'PROJECT TA Y TB KARINA'!$E13/8</f>
        <v>#REF!</v>
      </c>
      <c r="Q17" s="128" t="e">
        <f>'PROJECT TA Y TB KARINA'!$F13/8</f>
        <v>#REF!</v>
      </c>
      <c r="R17" s="128" t="e">
        <f>'PROJECT TA Y TB KARINA'!$F13/8</f>
        <v>#REF!</v>
      </c>
      <c r="S17" s="128" t="e">
        <f>'PROJECT TA Y TB KARINA'!$F13/8</f>
        <v>#REF!</v>
      </c>
      <c r="T17" s="128" t="e">
        <f>'PROJECT TA Y TB KARINA'!$F13/8</f>
        <v>#REF!</v>
      </c>
      <c r="U17" s="128" t="e">
        <f>'PROJECT TA Y TB KARINA'!$F13/8</f>
        <v>#REF!</v>
      </c>
      <c r="V17" s="128" t="e">
        <f>'PROJECT TA Y TB KARINA'!$F13/8</f>
        <v>#REF!</v>
      </c>
      <c r="W17" s="128" t="e">
        <f>'PROJECT TA Y TB KARINA'!$F13/8</f>
        <v>#REF!</v>
      </c>
      <c r="X17" s="128" t="e">
        <f>'PROJECT TA Y TB KARINA'!$F13/8</f>
        <v>#REF!</v>
      </c>
      <c r="Y17" s="128" t="e">
        <f>'PROJECT TA Y TB KARINA'!$G13/8</f>
        <v>#REF!</v>
      </c>
      <c r="Z17" s="128" t="e">
        <f>'PROJECT TA Y TB KARINA'!$G13/8</f>
        <v>#REF!</v>
      </c>
      <c r="AA17" s="128" t="e">
        <f>'PROJECT TA Y TB KARINA'!$G13/8</f>
        <v>#REF!</v>
      </c>
      <c r="AB17" s="128" t="e">
        <f>'PROJECT TA Y TB KARINA'!$G13/8</f>
        <v>#REF!</v>
      </c>
      <c r="AC17" s="128" t="e">
        <f>'PROJECT TA Y TB KARINA'!$G13/8</f>
        <v>#REF!</v>
      </c>
      <c r="AD17" s="128" t="e">
        <f>'PROJECT TA Y TB KARINA'!$G13/8</f>
        <v>#REF!</v>
      </c>
      <c r="AE17" s="128" t="e">
        <f>'PROJECT TA Y TB KARINA'!$G13/8</f>
        <v>#REF!</v>
      </c>
      <c r="AF17" s="128" t="e">
        <f>'PROJECT TA Y TB KARINA'!$G13/8</f>
        <v>#REF!</v>
      </c>
      <c r="AG17" s="128" t="e">
        <f>'PROJECT TA Y TB KARINA'!$H13/8</f>
        <v>#REF!</v>
      </c>
      <c r="AH17" s="128" t="e">
        <f>'PROJECT TA Y TB KARINA'!$H13/8</f>
        <v>#REF!</v>
      </c>
      <c r="AI17" s="128" t="e">
        <f>'PROJECT TA Y TB KARINA'!$H13/8</f>
        <v>#REF!</v>
      </c>
      <c r="AJ17" s="128" t="e">
        <f>'PROJECT TA Y TB KARINA'!$H13/8</f>
        <v>#REF!</v>
      </c>
      <c r="AK17" s="128" t="e">
        <f>'PROJECT TA Y TB KARINA'!$H13/8</f>
        <v>#REF!</v>
      </c>
      <c r="AL17" s="128" t="e">
        <f>'PROJECT TA Y TB KARINA'!$H13/8</f>
        <v>#REF!</v>
      </c>
      <c r="AM17" s="128" t="e">
        <f>'PROJECT TA Y TB KARINA'!$H13/8</f>
        <v>#REF!</v>
      </c>
      <c r="AN17" s="128" t="e">
        <f>'PROJECT TA Y TB KARINA'!$H13/8</f>
        <v>#REF!</v>
      </c>
      <c r="AO17" s="128" t="e">
        <f>'PROJECT TA Y TB KARINA'!$I13/8</f>
        <v>#REF!</v>
      </c>
      <c r="AP17" s="128" t="e">
        <f>'PROJECT TA Y TB KARINA'!$I13/8</f>
        <v>#REF!</v>
      </c>
      <c r="AQ17" s="128" t="e">
        <f>'PROJECT TA Y TB KARINA'!$I13/8</f>
        <v>#REF!</v>
      </c>
      <c r="AR17" s="128" t="e">
        <f>'PROJECT TA Y TB KARINA'!$I13/8</f>
        <v>#REF!</v>
      </c>
      <c r="AS17" s="128" t="e">
        <f>'PROJECT TA Y TB KARINA'!$I13/8</f>
        <v>#REF!</v>
      </c>
      <c r="AT17" s="128" t="e">
        <f>'PROJECT TA Y TB KARINA'!$I13/8</f>
        <v>#REF!</v>
      </c>
      <c r="AU17" s="128" t="e">
        <f>'PROJECT TA Y TB KARINA'!$I13/8</f>
        <v>#REF!</v>
      </c>
      <c r="AV17" s="128" t="e">
        <f>'PROJECT TA Y TB KARINA'!$I13/8</f>
        <v>#REF!</v>
      </c>
      <c r="AW17" s="128" t="e">
        <f>'PROJECT TA Y TB KARINA'!$J13/8</f>
        <v>#REF!</v>
      </c>
      <c r="AX17" s="128" t="e">
        <f>'PROJECT TA Y TB KARINA'!$J13/8</f>
        <v>#REF!</v>
      </c>
      <c r="AY17" s="128" t="e">
        <f>'PROJECT TA Y TB KARINA'!$J13/8</f>
        <v>#REF!</v>
      </c>
      <c r="AZ17" s="128" t="e">
        <f>'PROJECT TA Y TB KARINA'!$J13/8</f>
        <v>#REF!</v>
      </c>
      <c r="BA17" s="128" t="e">
        <f>'PROJECT TA Y TB KARINA'!$J13/8</f>
        <v>#REF!</v>
      </c>
      <c r="BB17" s="128" t="e">
        <f>'PROJECT TA Y TB KARINA'!$J13/8</f>
        <v>#REF!</v>
      </c>
      <c r="BC17" s="128" t="e">
        <f>'PROJECT TA Y TB KARINA'!$J13/8</f>
        <v>#REF!</v>
      </c>
      <c r="BD17" s="128" t="e">
        <f>'PROJECT TA Y TB KARINA'!$J13/8</f>
        <v>#REF!</v>
      </c>
      <c r="BE17" s="128" t="e">
        <f>'PROJECT TA Y TB KARINA'!$K13/8</f>
        <v>#REF!</v>
      </c>
      <c r="BF17" s="128" t="e">
        <f>'PROJECT TA Y TB KARINA'!$K13/8</f>
        <v>#REF!</v>
      </c>
      <c r="BG17" s="128" t="e">
        <f>'PROJECT TA Y TB KARINA'!$K13/8</f>
        <v>#REF!</v>
      </c>
      <c r="BH17" s="128" t="e">
        <f>'PROJECT TA Y TB KARINA'!$K13/8</f>
        <v>#REF!</v>
      </c>
      <c r="BI17" s="128" t="e">
        <f>'PROJECT TA Y TB KARINA'!$K13/8</f>
        <v>#REF!</v>
      </c>
      <c r="BJ17" s="128" t="e">
        <f>'PROJECT TA Y TB KARINA'!$K13/8</f>
        <v>#REF!</v>
      </c>
      <c r="BK17" s="128" t="e">
        <f>'PROJECT TA Y TB KARINA'!$K13/8</f>
        <v>#REF!</v>
      </c>
      <c r="BL17" s="128" t="e">
        <f>'PROJECT TA Y TB KARINA'!$K13/8</f>
        <v>#REF!</v>
      </c>
      <c r="BM17" s="128" t="e">
        <f>'PROJECT TA Y TB KARINA'!$L13/8</f>
        <v>#REF!</v>
      </c>
      <c r="BN17" s="128" t="e">
        <f>'PROJECT TA Y TB KARINA'!$L13/8</f>
        <v>#REF!</v>
      </c>
      <c r="BO17" s="128" t="e">
        <f>'PROJECT TA Y TB KARINA'!$L13/8</f>
        <v>#REF!</v>
      </c>
      <c r="BP17" s="128" t="e">
        <f>'PROJECT TA Y TB KARINA'!$L13/8</f>
        <v>#REF!</v>
      </c>
      <c r="BQ17" s="128" t="e">
        <f>'PROJECT TA Y TB KARINA'!$L13/8</f>
        <v>#REF!</v>
      </c>
      <c r="BR17" s="128" t="e">
        <f>'PROJECT TA Y TB KARINA'!$L13/8</f>
        <v>#REF!</v>
      </c>
      <c r="BS17" s="128" t="e">
        <f>'PROJECT TA Y TB KARINA'!$L13/8</f>
        <v>#REF!</v>
      </c>
      <c r="BT17" s="128" t="e">
        <f>'PROJECT TA Y TB KARINA'!$L13/8</f>
        <v>#REF!</v>
      </c>
      <c r="BU17" s="128" t="e">
        <f>'PROJECT TA Y TB KARINA'!$M13/8</f>
        <v>#REF!</v>
      </c>
      <c r="BV17" s="128" t="e">
        <f>'PROJECT TA Y TB KARINA'!$M13/8</f>
        <v>#REF!</v>
      </c>
      <c r="BW17" s="128" t="e">
        <f>'PROJECT TA Y TB KARINA'!$M13/8</f>
        <v>#REF!</v>
      </c>
      <c r="BX17" s="128" t="e">
        <f>'PROJECT TA Y TB KARINA'!$M13/8</f>
        <v>#REF!</v>
      </c>
      <c r="BY17" s="128" t="e">
        <f>'PROJECT TA Y TB KARINA'!$M13/8</f>
        <v>#REF!</v>
      </c>
      <c r="BZ17" s="128" t="e">
        <f>'PROJECT TA Y TB KARINA'!$M13/8</f>
        <v>#REF!</v>
      </c>
      <c r="CA17" s="128" t="e">
        <f>'PROJECT TA Y TB KARINA'!$M13/8</f>
        <v>#REF!</v>
      </c>
      <c r="CB17" s="128" t="e">
        <f>'PROJECT TA Y TB KARINA'!$M13/8</f>
        <v>#REF!</v>
      </c>
      <c r="CC17" s="128" t="e">
        <f>'PROJECT TA Y TB KARINA'!$N13/8</f>
        <v>#REF!</v>
      </c>
      <c r="CD17" s="128" t="e">
        <f>'PROJECT TA Y TB KARINA'!$N13/8</f>
        <v>#REF!</v>
      </c>
      <c r="CE17" s="128" t="e">
        <f>'PROJECT TA Y TB KARINA'!$N13/8</f>
        <v>#REF!</v>
      </c>
      <c r="CF17" s="128" t="e">
        <f>'PROJECT TA Y TB KARINA'!$N13/8</f>
        <v>#REF!</v>
      </c>
      <c r="CG17" s="128" t="e">
        <f>'PROJECT TA Y TB KARINA'!$N13/8</f>
        <v>#REF!</v>
      </c>
      <c r="CH17" s="128" t="e">
        <f>'PROJECT TA Y TB KARINA'!$N13/8</f>
        <v>#REF!</v>
      </c>
      <c r="CI17" s="128" t="e">
        <f>'PROJECT TA Y TB KARINA'!$N13/8</f>
        <v>#REF!</v>
      </c>
      <c r="CJ17" s="128" t="e">
        <f>'PROJECT TA Y TB KARINA'!$N13/8</f>
        <v>#REF!</v>
      </c>
      <c r="CK17" s="128" t="e">
        <f>'PROJECT TA Y TB KARINA'!$O13/8</f>
        <v>#REF!</v>
      </c>
      <c r="CL17" s="128" t="e">
        <f>'PROJECT TA Y TB KARINA'!$O13/8</f>
        <v>#REF!</v>
      </c>
      <c r="CM17" s="128" t="e">
        <f>'PROJECT TA Y TB KARINA'!$O13/8</f>
        <v>#REF!</v>
      </c>
      <c r="CN17" s="128" t="e">
        <f>'PROJECT TA Y TB KARINA'!$O13/8</f>
        <v>#REF!</v>
      </c>
      <c r="CO17" s="128" t="e">
        <f>'PROJECT TA Y TB KARINA'!$O13/8</f>
        <v>#REF!</v>
      </c>
      <c r="CP17" s="128" t="e">
        <f>'PROJECT TA Y TB KARINA'!$O13/8</f>
        <v>#REF!</v>
      </c>
      <c r="CQ17" s="128" t="e">
        <f>'PROJECT TA Y TB KARINA'!$O13/8</f>
        <v>#REF!</v>
      </c>
      <c r="CR17" s="128" t="e">
        <f>'PROJECT TA Y TB KARINA'!$O13/8</f>
        <v>#REF!</v>
      </c>
      <c r="CS17" s="128" t="e">
        <f>'PROJECT TA Y TB KARINA'!$P13/8</f>
        <v>#REF!</v>
      </c>
      <c r="CT17" s="128" t="e">
        <f>'PROJECT TA Y TB KARINA'!$P13/8</f>
        <v>#REF!</v>
      </c>
      <c r="CU17" s="128" t="e">
        <f>'PROJECT TA Y TB KARINA'!$P13/8</f>
        <v>#REF!</v>
      </c>
      <c r="CV17" s="128" t="e">
        <f>'PROJECT TA Y TB KARINA'!$P13/8</f>
        <v>#REF!</v>
      </c>
      <c r="CW17" s="128" t="e">
        <f>'PROJECT TA Y TB KARINA'!$P13/8</f>
        <v>#REF!</v>
      </c>
      <c r="CX17" s="128" t="e">
        <f>'PROJECT TA Y TB KARINA'!$P13/8</f>
        <v>#REF!</v>
      </c>
      <c r="CY17" s="128" t="e">
        <f>'PROJECT TA Y TB KARINA'!$P13/8</f>
        <v>#REF!</v>
      </c>
      <c r="CZ17" s="128" t="e">
        <f>'PROJECT TA Y TB KARINA'!$P13/8</f>
        <v>#REF!</v>
      </c>
      <c r="DA17" s="128" t="e">
        <f>'PROJECT TA Y TB KARINA'!$Q13/8</f>
        <v>#REF!</v>
      </c>
      <c r="DB17" s="128" t="e">
        <f>'PROJECT TA Y TB KARINA'!$Q13/8</f>
        <v>#REF!</v>
      </c>
      <c r="DC17" s="128" t="e">
        <f>'PROJECT TA Y TB KARINA'!$Q13/8</f>
        <v>#REF!</v>
      </c>
      <c r="DD17" s="128" t="e">
        <f>'PROJECT TA Y TB KARINA'!$Q13/8</f>
        <v>#REF!</v>
      </c>
      <c r="DE17" s="128" t="e">
        <f>'PROJECT TA Y TB KARINA'!$Q13/8</f>
        <v>#REF!</v>
      </c>
      <c r="DF17" s="128" t="e">
        <f>'PROJECT TA Y TB KARINA'!$Q13/8</f>
        <v>#REF!</v>
      </c>
      <c r="DG17" s="128" t="e">
        <f>'PROJECT TA Y TB KARINA'!$Q13/8</f>
        <v>#REF!</v>
      </c>
      <c r="DH17" s="128" t="e">
        <f>'PROJECT TA Y TB KARINA'!$Q13/8</f>
        <v>#REF!</v>
      </c>
      <c r="DI17" s="128" t="e">
        <f>'PROJECT TA Y TB KARINA'!$R13/8</f>
        <v>#REF!</v>
      </c>
      <c r="DJ17" s="128" t="e">
        <f>'PROJECT TA Y TB KARINA'!$R13/8</f>
        <v>#REF!</v>
      </c>
      <c r="DK17" s="128" t="e">
        <f>'PROJECT TA Y TB KARINA'!$R13/8</f>
        <v>#REF!</v>
      </c>
      <c r="DL17" s="128" t="e">
        <f>'PROJECT TA Y TB KARINA'!$R13/8</f>
        <v>#REF!</v>
      </c>
      <c r="DM17" s="128" t="e">
        <f>'PROJECT TA Y TB KARINA'!$R13/8</f>
        <v>#REF!</v>
      </c>
      <c r="DN17" s="128" t="e">
        <f>'PROJECT TA Y TB KARINA'!$R13/8</f>
        <v>#REF!</v>
      </c>
      <c r="DO17" s="128" t="e">
        <f>'PROJECT TA Y TB KARINA'!$R13/8</f>
        <v>#REF!</v>
      </c>
      <c r="DP17" s="128" t="e">
        <f>'PROJECT TA Y TB KARINA'!$R13/8</f>
        <v>#REF!</v>
      </c>
      <c r="DQ17" s="128" t="e">
        <f>'PROJECT TA Y TB KARINA'!$S13/8</f>
        <v>#REF!</v>
      </c>
      <c r="DR17" s="128" t="e">
        <f>'PROJECT TA Y TB KARINA'!$S13/8</f>
        <v>#REF!</v>
      </c>
      <c r="DS17" s="128" t="e">
        <f>'PROJECT TA Y TB KARINA'!$S13/8</f>
        <v>#REF!</v>
      </c>
      <c r="DT17" s="128" t="e">
        <f>'PROJECT TA Y TB KARINA'!$S13/8</f>
        <v>#REF!</v>
      </c>
      <c r="DU17" s="128" t="e">
        <f>'PROJECT TA Y TB KARINA'!$S13/8</f>
        <v>#REF!</v>
      </c>
      <c r="DV17" s="128" t="e">
        <f>'PROJECT TA Y TB KARINA'!$S13/8</f>
        <v>#REF!</v>
      </c>
      <c r="DW17" s="128" t="e">
        <f>'PROJECT TA Y TB KARINA'!$S13/8</f>
        <v>#REF!</v>
      </c>
      <c r="DX17" s="128" t="e">
        <f>'PROJECT TA Y TB KARINA'!$S13/8</f>
        <v>#REF!</v>
      </c>
      <c r="DY17" s="128" t="e">
        <f>'PROJECT TA Y TB KARINA'!$T13/8</f>
        <v>#REF!</v>
      </c>
      <c r="DZ17" s="128" t="e">
        <f>'PROJECT TA Y TB KARINA'!$T13/8</f>
        <v>#REF!</v>
      </c>
      <c r="EA17" s="128" t="e">
        <f>'PROJECT TA Y TB KARINA'!$T13/8</f>
        <v>#REF!</v>
      </c>
      <c r="EB17" s="128" t="e">
        <f>'PROJECT TA Y TB KARINA'!$T13/8</f>
        <v>#REF!</v>
      </c>
      <c r="EC17" s="128" t="e">
        <f>'PROJECT TA Y TB KARINA'!$T13/8</f>
        <v>#REF!</v>
      </c>
      <c r="ED17" s="128" t="e">
        <f>'PROJECT TA Y TB KARINA'!$T13/8</f>
        <v>#REF!</v>
      </c>
      <c r="EE17" s="128" t="e">
        <f>'PROJECT TA Y TB KARINA'!$T13/8</f>
        <v>#REF!</v>
      </c>
      <c r="EF17" s="128" t="e">
        <f>'PROJECT TA Y TB KARINA'!$T13/8</f>
        <v>#REF!</v>
      </c>
      <c r="EG17" s="128" t="e">
        <f>'PROJECT TA Y TB KARINA'!#REF!/8</f>
        <v>#REF!</v>
      </c>
      <c r="EH17" s="128" t="e">
        <f>'PROJECT TA Y TB KARINA'!#REF!/8</f>
        <v>#REF!</v>
      </c>
      <c r="EI17" s="128" t="e">
        <f>'PROJECT TA Y TB KARINA'!#REF!/8</f>
        <v>#REF!</v>
      </c>
      <c r="EJ17" s="128" t="e">
        <f>'PROJECT TA Y TB KARINA'!#REF!/8</f>
        <v>#REF!</v>
      </c>
      <c r="EK17" s="128" t="e">
        <f>'PROJECT TA Y TB KARINA'!#REF!/8</f>
        <v>#REF!</v>
      </c>
      <c r="EL17" s="128" t="e">
        <f>'PROJECT TA Y TB KARINA'!#REF!/8</f>
        <v>#REF!</v>
      </c>
      <c r="EM17" s="128" t="e">
        <f>'PROJECT TA Y TB KARINA'!#REF!/8</f>
        <v>#REF!</v>
      </c>
      <c r="EN17" s="128" t="e">
        <f>'PROJECT TA Y TB KARINA'!#REF!/8</f>
        <v>#REF!</v>
      </c>
      <c r="EO17" s="128">
        <f>'PROJECT TA Y TB KARINA'!$C71/8</f>
        <v>0</v>
      </c>
      <c r="EP17" s="128">
        <f>'PROJECT TA Y TB KARINA'!$C71/8</f>
        <v>0</v>
      </c>
      <c r="EQ17" s="128">
        <f>'PROJECT TA Y TB KARINA'!$C71/8</f>
        <v>0</v>
      </c>
      <c r="ER17" s="128">
        <f>'PROJECT TA Y TB KARINA'!$C71/8</f>
        <v>0</v>
      </c>
      <c r="ES17" s="128">
        <f>'PROJECT TA Y TB KARINA'!$C71/8</f>
        <v>0</v>
      </c>
      <c r="ET17" s="128">
        <f>'PROJECT TA Y TB KARINA'!$C71/8</f>
        <v>0</v>
      </c>
      <c r="EU17" s="128">
        <f>'PROJECT TA Y TB KARINA'!$C71/8</f>
        <v>0</v>
      </c>
      <c r="EV17" s="128">
        <f>'PROJECT TA Y TB KARINA'!$E71/8</f>
        <v>0</v>
      </c>
      <c r="EW17" s="128">
        <f>'PROJECT TA Y TB KARINA'!$E71/8</f>
        <v>0</v>
      </c>
      <c r="EX17" s="128">
        <f>'PROJECT TA Y TB KARINA'!$E71/8</f>
        <v>0</v>
      </c>
      <c r="EY17" s="128">
        <f>'PROJECT TA Y TB KARINA'!$E71/8</f>
        <v>0</v>
      </c>
      <c r="EZ17" s="128">
        <f>'PROJECT TA Y TB KARINA'!$E71/8</f>
        <v>0</v>
      </c>
      <c r="FA17" s="128">
        <f>'PROJECT TA Y TB KARINA'!$E71/8</f>
        <v>0</v>
      </c>
      <c r="FB17" s="128">
        <f>'PROJECT TA Y TB KARINA'!$E71/8</f>
        <v>0</v>
      </c>
      <c r="FC17" s="128">
        <f>'PROJECT TA Y TB KARINA'!$E71/8</f>
        <v>0</v>
      </c>
      <c r="FD17" s="128">
        <f>'PROJECT TA Y TB KARINA'!$F71/8</f>
        <v>0</v>
      </c>
      <c r="FE17" s="128">
        <f>'PROJECT TA Y TB KARINA'!$F71/8</f>
        <v>0</v>
      </c>
      <c r="FF17" s="128">
        <f>'PROJECT TA Y TB KARINA'!$F71/8</f>
        <v>0</v>
      </c>
      <c r="FG17" s="128">
        <f>'PROJECT TA Y TB KARINA'!$F71/8</f>
        <v>0</v>
      </c>
      <c r="FH17" s="128">
        <f>'PROJECT TA Y TB KARINA'!$F71/8</f>
        <v>0</v>
      </c>
      <c r="FI17" s="128">
        <f>'PROJECT TA Y TB KARINA'!$F71/8</f>
        <v>0</v>
      </c>
      <c r="FJ17" s="128">
        <f>'PROJECT TA Y TB KARINA'!$F71/8</f>
        <v>0</v>
      </c>
      <c r="FK17" s="128">
        <f>'PROJECT TA Y TB KARINA'!$F71/8</f>
        <v>0</v>
      </c>
      <c r="FL17" s="128">
        <f>'PROJECT TA Y TB KARINA'!$G71/8</f>
        <v>0</v>
      </c>
      <c r="FM17" s="128">
        <f>'PROJECT TA Y TB KARINA'!$G71/8</f>
        <v>0</v>
      </c>
      <c r="FN17" s="128">
        <f>'PROJECT TA Y TB KARINA'!$G71/8</f>
        <v>0</v>
      </c>
      <c r="FO17" s="128">
        <f>'PROJECT TA Y TB KARINA'!$G71/8</f>
        <v>0</v>
      </c>
      <c r="FP17" s="128">
        <f>'PROJECT TA Y TB KARINA'!$G71/8</f>
        <v>0</v>
      </c>
      <c r="FQ17" s="128">
        <f>'PROJECT TA Y TB KARINA'!$G71/8</f>
        <v>0</v>
      </c>
      <c r="FR17" s="128">
        <f>'PROJECT TA Y TB KARINA'!$G71/8</f>
        <v>0</v>
      </c>
      <c r="FS17" s="128">
        <f>'PROJECT TA Y TB KARINA'!$G71/8</f>
        <v>0</v>
      </c>
      <c r="FT17" s="128">
        <f>'PROJECT TA Y TB KARINA'!$H71/8</f>
        <v>0</v>
      </c>
      <c r="FU17" s="128">
        <f>'PROJECT TA Y TB KARINA'!$H71/8</f>
        <v>0</v>
      </c>
      <c r="FV17" s="128">
        <f>'PROJECT TA Y TB KARINA'!$H71/8</f>
        <v>0</v>
      </c>
      <c r="FW17" s="128">
        <f>'PROJECT TA Y TB KARINA'!$H71/8</f>
        <v>0</v>
      </c>
      <c r="FX17" s="128">
        <f>'PROJECT TA Y TB KARINA'!$H71/8</f>
        <v>0</v>
      </c>
      <c r="FY17" s="128">
        <f>'PROJECT TA Y TB KARINA'!$H71/8</f>
        <v>0</v>
      </c>
      <c r="FZ17" s="128">
        <f>'PROJECT TA Y TB KARINA'!$H71/8</f>
        <v>0</v>
      </c>
      <c r="GA17" s="128">
        <f>'PROJECT TA Y TB KARINA'!$H71/8</f>
        <v>0</v>
      </c>
      <c r="GB17" s="128">
        <f>'PROJECT TA Y TB KARINA'!$I71/8</f>
        <v>0</v>
      </c>
      <c r="GC17" s="128">
        <f>'PROJECT TA Y TB KARINA'!$I71/8</f>
        <v>0</v>
      </c>
      <c r="GD17" s="128">
        <f>'PROJECT TA Y TB KARINA'!$I71/8</f>
        <v>0</v>
      </c>
      <c r="GE17" s="128">
        <f>'PROJECT TA Y TB KARINA'!$I71/8</f>
        <v>0</v>
      </c>
      <c r="GF17" s="128">
        <f>'PROJECT TA Y TB KARINA'!$I71/8</f>
        <v>0</v>
      </c>
      <c r="GG17" s="128">
        <f>'PROJECT TA Y TB KARINA'!$I71/8</f>
        <v>0</v>
      </c>
      <c r="GH17" s="128">
        <f>'PROJECT TA Y TB KARINA'!$I71/8</f>
        <v>0</v>
      </c>
      <c r="GI17" s="128">
        <f>'PROJECT TA Y TB KARINA'!$I71/8</f>
        <v>0</v>
      </c>
      <c r="GJ17" s="128">
        <f>'PROJECT TA Y TB KARINA'!$J71/8</f>
        <v>0</v>
      </c>
      <c r="GK17" s="128">
        <f>'PROJECT TA Y TB KARINA'!$J71/8</f>
        <v>0</v>
      </c>
      <c r="GL17" s="128">
        <f>'PROJECT TA Y TB KARINA'!$J71/8</f>
        <v>0</v>
      </c>
      <c r="GM17" s="128">
        <f>'PROJECT TA Y TB KARINA'!$J71/8</f>
        <v>0</v>
      </c>
      <c r="GN17" s="128">
        <f>'PROJECT TA Y TB KARINA'!$J71/8</f>
        <v>0</v>
      </c>
      <c r="GO17" s="128">
        <f>'PROJECT TA Y TB KARINA'!$J71/8</f>
        <v>0</v>
      </c>
      <c r="GP17" s="128">
        <f>'PROJECT TA Y TB KARINA'!$J71/8</f>
        <v>0</v>
      </c>
      <c r="GQ17" s="128">
        <f>'PROJECT TA Y TB KARINA'!$J71/8</f>
        <v>0</v>
      </c>
      <c r="GR17" s="128">
        <f>'PROJECT TA Y TB KARINA'!$K71/8</f>
        <v>0</v>
      </c>
      <c r="GS17" s="128">
        <f>'PROJECT TA Y TB KARINA'!$K71/8</f>
        <v>0</v>
      </c>
      <c r="GT17" s="128">
        <f>'PROJECT TA Y TB KARINA'!$K71/8</f>
        <v>0</v>
      </c>
      <c r="GU17" s="128">
        <f>'PROJECT TA Y TB KARINA'!$K71/8</f>
        <v>0</v>
      </c>
      <c r="GV17" s="128">
        <f>'PROJECT TA Y TB KARINA'!$K71/8</f>
        <v>0</v>
      </c>
      <c r="GW17" s="128">
        <f>'PROJECT TA Y TB KARINA'!$K71/8</f>
        <v>0</v>
      </c>
      <c r="GX17" s="128">
        <f>'PROJECT TA Y TB KARINA'!$K71/8</f>
        <v>0</v>
      </c>
      <c r="GY17" s="128">
        <f>'PROJECT TA Y TB KARINA'!$K71/8</f>
        <v>0</v>
      </c>
      <c r="GZ17" s="128">
        <f>'PROJECT TA Y TB KARINA'!$L71/8</f>
        <v>0</v>
      </c>
      <c r="HA17" s="128">
        <f>'PROJECT TA Y TB KARINA'!$L71/8</f>
        <v>0</v>
      </c>
      <c r="HB17" s="128">
        <f>'PROJECT TA Y TB KARINA'!$L71/8</f>
        <v>0</v>
      </c>
      <c r="HC17" s="128">
        <f>'PROJECT TA Y TB KARINA'!$L71/8</f>
        <v>0</v>
      </c>
      <c r="HD17" s="128">
        <f>'PROJECT TA Y TB KARINA'!$L71/8</f>
        <v>0</v>
      </c>
      <c r="HE17" s="128">
        <f>'PROJECT TA Y TB KARINA'!$L71/8</f>
        <v>0</v>
      </c>
      <c r="HF17" s="128">
        <f>'PROJECT TA Y TB KARINA'!$L71/8</f>
        <v>0</v>
      </c>
      <c r="HG17" s="128">
        <f>'PROJECT TA Y TB KARINA'!$L71/8</f>
        <v>0</v>
      </c>
      <c r="HH17" s="128">
        <f>'PROJECT TA Y TB KARINA'!$M71/8</f>
        <v>0</v>
      </c>
      <c r="HI17" s="128">
        <f>'PROJECT TA Y TB KARINA'!$M71/8</f>
        <v>0</v>
      </c>
      <c r="HJ17" s="128">
        <f>'PROJECT TA Y TB KARINA'!$M71/8</f>
        <v>0</v>
      </c>
      <c r="HK17" s="128">
        <f>'PROJECT TA Y TB KARINA'!$M71/8</f>
        <v>0</v>
      </c>
      <c r="HL17" s="128">
        <f>'PROJECT TA Y TB KARINA'!$M71/8</f>
        <v>0</v>
      </c>
      <c r="HM17" s="128">
        <f>'PROJECT TA Y TB KARINA'!$M71/8</f>
        <v>0</v>
      </c>
      <c r="HN17" s="128">
        <f>'PROJECT TA Y TB KARINA'!$M71/8</f>
        <v>0</v>
      </c>
      <c r="HO17" s="128">
        <f>'PROJECT TA Y TB KARINA'!$M71/8</f>
        <v>0</v>
      </c>
      <c r="HP17" s="128">
        <f>'PROJECT TA Y TB KARINA'!$N71/8</f>
        <v>0</v>
      </c>
      <c r="HQ17" s="128">
        <f>'PROJECT TA Y TB KARINA'!$N71/8</f>
        <v>0</v>
      </c>
      <c r="HR17" s="128">
        <f>'PROJECT TA Y TB KARINA'!$N71/8</f>
        <v>0</v>
      </c>
      <c r="HS17" s="128">
        <f>'PROJECT TA Y TB KARINA'!$N71/8</f>
        <v>0</v>
      </c>
      <c r="HT17" s="128">
        <f>'PROJECT TA Y TB KARINA'!$N71/8</f>
        <v>0</v>
      </c>
      <c r="HU17" s="128">
        <f>'PROJECT TA Y TB KARINA'!$N71/8</f>
        <v>0</v>
      </c>
      <c r="HV17" s="128">
        <f>'PROJECT TA Y TB KARINA'!$N71/8</f>
        <v>0</v>
      </c>
      <c r="HW17" s="128">
        <f>'PROJECT TA Y TB KARINA'!$N71/8</f>
        <v>0</v>
      </c>
      <c r="HX17" s="128">
        <f>'PROJECT TA Y TB KARINA'!$O71/8</f>
        <v>0</v>
      </c>
      <c r="HY17" s="128">
        <f>'PROJECT TA Y TB KARINA'!$O71/8</f>
        <v>0</v>
      </c>
      <c r="HZ17" s="128">
        <f>'PROJECT TA Y TB KARINA'!$O71/8</f>
        <v>0</v>
      </c>
      <c r="IA17" s="128">
        <f>'PROJECT TA Y TB KARINA'!$O71/8</f>
        <v>0</v>
      </c>
      <c r="IB17" s="128">
        <f>'PROJECT TA Y TB KARINA'!$O71/8</f>
        <v>0</v>
      </c>
      <c r="IC17" s="128">
        <f>'PROJECT TA Y TB KARINA'!$O71/8</f>
        <v>0</v>
      </c>
      <c r="ID17" s="128">
        <f>'PROJECT TA Y TB KARINA'!$O71/8</f>
        <v>0</v>
      </c>
      <c r="IE17" s="128">
        <f>'PROJECT TA Y TB KARINA'!$O71/8</f>
        <v>0</v>
      </c>
      <c r="IF17" s="128">
        <f>'PROJECT TA Y TB KARINA'!$P71/8</f>
        <v>0</v>
      </c>
      <c r="IG17" s="128">
        <f>'PROJECT TA Y TB KARINA'!$P71/8</f>
        <v>0</v>
      </c>
      <c r="IH17" s="128">
        <f>'PROJECT TA Y TB KARINA'!$P71/8</f>
        <v>0</v>
      </c>
      <c r="II17" s="128">
        <f>'PROJECT TA Y TB KARINA'!$P71/8</f>
        <v>0</v>
      </c>
      <c r="IJ17" s="128">
        <f>'PROJECT TA Y TB KARINA'!$P71/8</f>
        <v>0</v>
      </c>
      <c r="IK17" s="128">
        <f>'PROJECT TA Y TB KARINA'!$P71/8</f>
        <v>0</v>
      </c>
      <c r="IL17" s="128">
        <f>'PROJECT TA Y TB KARINA'!$P71/8</f>
        <v>0</v>
      </c>
      <c r="IM17" s="128">
        <f>'PROJECT TA Y TB KARINA'!$P71/8</f>
        <v>0</v>
      </c>
      <c r="IN17" s="128">
        <f>'PROJECT TA Y TB KARINA'!$Q71/8</f>
        <v>0</v>
      </c>
      <c r="IO17" s="128">
        <f>'PROJECT TA Y TB KARINA'!$Q71/8</f>
        <v>0</v>
      </c>
      <c r="IP17" s="128">
        <f>'PROJECT TA Y TB KARINA'!$Q71/8</f>
        <v>0</v>
      </c>
      <c r="IQ17" s="128">
        <f>'PROJECT TA Y TB KARINA'!$Q71/8</f>
        <v>0</v>
      </c>
      <c r="IR17" s="128">
        <f>'PROJECT TA Y TB KARINA'!$Q71/8</f>
        <v>0</v>
      </c>
      <c r="IS17" s="128">
        <f>'PROJECT TA Y TB KARINA'!$Q71/8</f>
        <v>0</v>
      </c>
      <c r="IT17" s="128">
        <f>'PROJECT TA Y TB KARINA'!$Q71/8</f>
        <v>0</v>
      </c>
      <c r="IU17" s="128">
        <f>'PROJECT TA Y TB KARINA'!$Q71/8</f>
        <v>0</v>
      </c>
      <c r="IV17" s="128">
        <f>'PROJECT TA Y TB KARINA'!$R71/8</f>
        <v>0</v>
      </c>
      <c r="IW17" s="128">
        <f>'PROJECT TA Y TB KARINA'!$R71/8</f>
        <v>0</v>
      </c>
      <c r="IX17" s="128">
        <f>'PROJECT TA Y TB KARINA'!$R71/8</f>
        <v>0</v>
      </c>
      <c r="IY17" s="128">
        <f>'PROJECT TA Y TB KARINA'!$R71/8</f>
        <v>0</v>
      </c>
      <c r="IZ17" s="128">
        <f>'PROJECT TA Y TB KARINA'!$R71/8</f>
        <v>0</v>
      </c>
      <c r="JA17" s="128">
        <f>'PROJECT TA Y TB KARINA'!$R71/8</f>
        <v>0</v>
      </c>
      <c r="JB17" s="128">
        <f>'PROJECT TA Y TB KARINA'!$R71/8</f>
        <v>0</v>
      </c>
      <c r="JC17" s="128">
        <f>'PROJECT TA Y TB KARINA'!$R71/8</f>
        <v>0</v>
      </c>
      <c r="JD17" s="128">
        <f>'PROJECT TA Y TB KARINA'!$S71/8</f>
        <v>0</v>
      </c>
      <c r="JE17" s="128">
        <f>'PROJECT TA Y TB KARINA'!$S71/8</f>
        <v>0</v>
      </c>
      <c r="JF17" s="128">
        <f>'PROJECT TA Y TB KARINA'!$S71/8</f>
        <v>0</v>
      </c>
      <c r="JG17" s="128">
        <f>'PROJECT TA Y TB KARINA'!$S71/8</f>
        <v>0</v>
      </c>
      <c r="JH17" s="128">
        <f>'PROJECT TA Y TB KARINA'!$S71/8</f>
        <v>0</v>
      </c>
      <c r="JI17" s="128">
        <f>'PROJECT TA Y TB KARINA'!$S71/8</f>
        <v>0</v>
      </c>
      <c r="JJ17" s="128">
        <f>'PROJECT TA Y TB KARINA'!$S71/8</f>
        <v>0</v>
      </c>
      <c r="JK17" s="128">
        <f>'PROJECT TA Y TB KARINA'!$S71/8</f>
        <v>0</v>
      </c>
      <c r="JL17" s="128">
        <f>'PROJECT TA Y TB KARINA'!$T71/8</f>
        <v>0</v>
      </c>
      <c r="JM17" s="128">
        <f>'PROJECT TA Y TB KARINA'!$T71/8</f>
        <v>0</v>
      </c>
      <c r="JN17" s="128">
        <f>'PROJECT TA Y TB KARINA'!$T71/8</f>
        <v>0</v>
      </c>
      <c r="JO17" s="128">
        <f>'PROJECT TA Y TB KARINA'!$T71/8</f>
        <v>0</v>
      </c>
      <c r="JP17" s="128">
        <f>'PROJECT TA Y TB KARINA'!$T71/8</f>
        <v>0</v>
      </c>
      <c r="JQ17" s="128">
        <f>'PROJECT TA Y TB KARINA'!$T71/8</f>
        <v>0</v>
      </c>
      <c r="JR17" s="128">
        <f>'PROJECT TA Y TB KARINA'!$T71/8</f>
        <v>0</v>
      </c>
      <c r="JS17" s="128">
        <f>'PROJECT TA Y TB KARINA'!$T71/8</f>
        <v>0</v>
      </c>
      <c r="JT17" s="128" t="e">
        <f>'PROJECT TA Y TB KARINA'!#REF!/8</f>
        <v>#REF!</v>
      </c>
      <c r="JU17" s="128" t="e">
        <f>'PROJECT TA Y TB KARINA'!#REF!/8</f>
        <v>#REF!</v>
      </c>
      <c r="JV17" s="128" t="e">
        <f>'PROJECT TA Y TB KARINA'!#REF!/8</f>
        <v>#REF!</v>
      </c>
      <c r="JW17" s="128" t="e">
        <f>'PROJECT TA Y TB KARINA'!#REF!/8</f>
        <v>#REF!</v>
      </c>
      <c r="JX17" s="128" t="e">
        <f>'PROJECT TA Y TB KARINA'!#REF!/8</f>
        <v>#REF!</v>
      </c>
      <c r="JY17" s="128" t="e">
        <f>'PROJECT TA Y TB KARINA'!#REF!/8</f>
        <v>#REF!</v>
      </c>
      <c r="JZ17" s="128" t="e">
        <f>'PROJECT TA Y TB KARINA'!#REF!/8</f>
        <v>#REF!</v>
      </c>
      <c r="KA17" s="128" t="e">
        <f>'PROJECT TA Y TB KARINA'!#REF!/8</f>
        <v>#REF!</v>
      </c>
    </row>
    <row r="18" spans="1:287" ht="21">
      <c r="A18" s="130" t="s">
        <v>471</v>
      </c>
      <c r="B18" s="128" t="e">
        <f>'PROJECT TA Y TB KARINA'!$C$14/8</f>
        <v>#REF!</v>
      </c>
      <c r="C18" s="128" t="e">
        <f>'PROJECT TA Y TB KARINA'!$C$14/8</f>
        <v>#REF!</v>
      </c>
      <c r="D18" s="128" t="e">
        <f>'PROJECT TA Y TB KARINA'!$C$14/8</f>
        <v>#REF!</v>
      </c>
      <c r="E18" s="128" t="e">
        <f>'PROJECT TA Y TB KARINA'!$C$14/8</f>
        <v>#REF!</v>
      </c>
      <c r="F18" s="128" t="e">
        <f>'PROJECT TA Y TB KARINA'!$C$14/8</f>
        <v>#REF!</v>
      </c>
      <c r="G18" s="128" t="e">
        <f>'PROJECT TA Y TB KARINA'!$C$14/8</f>
        <v>#REF!</v>
      </c>
      <c r="H18" s="128" t="e">
        <f>'PROJECT TA Y TB KARINA'!$C$14/8</f>
        <v>#REF!</v>
      </c>
      <c r="I18" s="128" t="e">
        <f>'PROJECT TA Y TB KARINA'!$E14/8</f>
        <v>#REF!</v>
      </c>
      <c r="J18" s="128" t="e">
        <f>'PROJECT TA Y TB KARINA'!$E14/8</f>
        <v>#REF!</v>
      </c>
      <c r="K18" s="128" t="e">
        <f>'PROJECT TA Y TB KARINA'!$E14/8</f>
        <v>#REF!</v>
      </c>
      <c r="L18" s="128" t="e">
        <f>'PROJECT TA Y TB KARINA'!$E14/8</f>
        <v>#REF!</v>
      </c>
      <c r="M18" s="128" t="e">
        <f>'PROJECT TA Y TB KARINA'!$E14/8</f>
        <v>#REF!</v>
      </c>
      <c r="N18" s="128" t="e">
        <f>'PROJECT TA Y TB KARINA'!$E14/8</f>
        <v>#REF!</v>
      </c>
      <c r="O18" s="128" t="e">
        <f>'PROJECT TA Y TB KARINA'!$E14/8</f>
        <v>#REF!</v>
      </c>
      <c r="P18" s="128" t="e">
        <f>'PROJECT TA Y TB KARINA'!$E14/8</f>
        <v>#REF!</v>
      </c>
      <c r="Q18" s="128" t="e">
        <f>'PROJECT TA Y TB KARINA'!$F14/8</f>
        <v>#REF!</v>
      </c>
      <c r="R18" s="128" t="e">
        <f>'PROJECT TA Y TB KARINA'!$F14/8</f>
        <v>#REF!</v>
      </c>
      <c r="S18" s="128" t="e">
        <f>'PROJECT TA Y TB KARINA'!$F14/8</f>
        <v>#REF!</v>
      </c>
      <c r="T18" s="128" t="e">
        <f>'PROJECT TA Y TB KARINA'!$F14/8</f>
        <v>#REF!</v>
      </c>
      <c r="U18" s="128" t="e">
        <f>'PROJECT TA Y TB KARINA'!$F14/8</f>
        <v>#REF!</v>
      </c>
      <c r="V18" s="128" t="e">
        <f>'PROJECT TA Y TB KARINA'!$F14/8</f>
        <v>#REF!</v>
      </c>
      <c r="W18" s="128" t="e">
        <f>'PROJECT TA Y TB KARINA'!$F14/8</f>
        <v>#REF!</v>
      </c>
      <c r="X18" s="128" t="e">
        <f>'PROJECT TA Y TB KARINA'!$F14/8</f>
        <v>#REF!</v>
      </c>
      <c r="Y18" s="128" t="e">
        <f>'PROJECT TA Y TB KARINA'!$G14/8</f>
        <v>#REF!</v>
      </c>
      <c r="Z18" s="128" t="e">
        <f>'PROJECT TA Y TB KARINA'!$G14/8</f>
        <v>#REF!</v>
      </c>
      <c r="AA18" s="128" t="e">
        <f>'PROJECT TA Y TB KARINA'!$G14/8</f>
        <v>#REF!</v>
      </c>
      <c r="AB18" s="128" t="e">
        <f>'PROJECT TA Y TB KARINA'!$G14/8</f>
        <v>#REF!</v>
      </c>
      <c r="AC18" s="128" t="e">
        <f>'PROJECT TA Y TB KARINA'!$G14/8</f>
        <v>#REF!</v>
      </c>
      <c r="AD18" s="128" t="e">
        <f>'PROJECT TA Y TB KARINA'!$G14/8</f>
        <v>#REF!</v>
      </c>
      <c r="AE18" s="128" t="e">
        <f>'PROJECT TA Y TB KARINA'!$G14/8</f>
        <v>#REF!</v>
      </c>
      <c r="AF18" s="128" t="e">
        <f>'PROJECT TA Y TB KARINA'!$G14/8</f>
        <v>#REF!</v>
      </c>
      <c r="AG18" s="128" t="e">
        <f>'PROJECT TA Y TB KARINA'!$H14/8</f>
        <v>#REF!</v>
      </c>
      <c r="AH18" s="128" t="e">
        <f>'PROJECT TA Y TB KARINA'!$H14/8</f>
        <v>#REF!</v>
      </c>
      <c r="AI18" s="128" t="e">
        <f>'PROJECT TA Y TB KARINA'!$H14/8</f>
        <v>#REF!</v>
      </c>
      <c r="AJ18" s="128" t="e">
        <f>'PROJECT TA Y TB KARINA'!$H14/8</f>
        <v>#REF!</v>
      </c>
      <c r="AK18" s="128" t="e">
        <f>'PROJECT TA Y TB KARINA'!$H14/8</f>
        <v>#REF!</v>
      </c>
      <c r="AL18" s="128" t="e">
        <f>'PROJECT TA Y TB KARINA'!$H14/8</f>
        <v>#REF!</v>
      </c>
      <c r="AM18" s="128" t="e">
        <f>'PROJECT TA Y TB KARINA'!$H14/8</f>
        <v>#REF!</v>
      </c>
      <c r="AN18" s="128" t="e">
        <f>'PROJECT TA Y TB KARINA'!$H14/8</f>
        <v>#REF!</v>
      </c>
      <c r="AO18" s="128" t="e">
        <f>'PROJECT TA Y TB KARINA'!$I14/8</f>
        <v>#REF!</v>
      </c>
      <c r="AP18" s="128" t="e">
        <f>'PROJECT TA Y TB KARINA'!$I14/8</f>
        <v>#REF!</v>
      </c>
      <c r="AQ18" s="128" t="e">
        <f>'PROJECT TA Y TB KARINA'!$I14/8</f>
        <v>#REF!</v>
      </c>
      <c r="AR18" s="128" t="e">
        <f>'PROJECT TA Y TB KARINA'!$I14/8</f>
        <v>#REF!</v>
      </c>
      <c r="AS18" s="128" t="e">
        <f>'PROJECT TA Y TB KARINA'!$I14/8</f>
        <v>#REF!</v>
      </c>
      <c r="AT18" s="128" t="e">
        <f>'PROJECT TA Y TB KARINA'!$I14/8</f>
        <v>#REF!</v>
      </c>
      <c r="AU18" s="128" t="e">
        <f>'PROJECT TA Y TB KARINA'!$I14/8</f>
        <v>#REF!</v>
      </c>
      <c r="AV18" s="128" t="e">
        <f>'PROJECT TA Y TB KARINA'!$I14/8</f>
        <v>#REF!</v>
      </c>
      <c r="AW18" s="128" t="e">
        <f>'PROJECT TA Y TB KARINA'!$J14/8</f>
        <v>#REF!</v>
      </c>
      <c r="AX18" s="128" t="e">
        <f>'PROJECT TA Y TB KARINA'!$J14/8</f>
        <v>#REF!</v>
      </c>
      <c r="AY18" s="128" t="e">
        <f>'PROJECT TA Y TB KARINA'!$J14/8</f>
        <v>#REF!</v>
      </c>
      <c r="AZ18" s="128" t="e">
        <f>'PROJECT TA Y TB KARINA'!$J14/8</f>
        <v>#REF!</v>
      </c>
      <c r="BA18" s="128" t="e">
        <f>'PROJECT TA Y TB KARINA'!$J14/8</f>
        <v>#REF!</v>
      </c>
      <c r="BB18" s="128" t="e">
        <f>'PROJECT TA Y TB KARINA'!$J14/8</f>
        <v>#REF!</v>
      </c>
      <c r="BC18" s="128" t="e">
        <f>'PROJECT TA Y TB KARINA'!$J14/8</f>
        <v>#REF!</v>
      </c>
      <c r="BD18" s="128" t="e">
        <f>'PROJECT TA Y TB KARINA'!$J14/8</f>
        <v>#REF!</v>
      </c>
      <c r="BE18" s="128" t="e">
        <f>'PROJECT TA Y TB KARINA'!$K14/8</f>
        <v>#REF!</v>
      </c>
      <c r="BF18" s="128" t="e">
        <f>'PROJECT TA Y TB KARINA'!$K14/8</f>
        <v>#REF!</v>
      </c>
      <c r="BG18" s="128" t="e">
        <f>'PROJECT TA Y TB KARINA'!$K14/8</f>
        <v>#REF!</v>
      </c>
      <c r="BH18" s="128" t="e">
        <f>'PROJECT TA Y TB KARINA'!$K14/8</f>
        <v>#REF!</v>
      </c>
      <c r="BI18" s="128" t="e">
        <f>'PROJECT TA Y TB KARINA'!$K14/8</f>
        <v>#REF!</v>
      </c>
      <c r="BJ18" s="128" t="e">
        <f>'PROJECT TA Y TB KARINA'!$K14/8</f>
        <v>#REF!</v>
      </c>
      <c r="BK18" s="128" t="e">
        <f>'PROJECT TA Y TB KARINA'!$K14/8</f>
        <v>#REF!</v>
      </c>
      <c r="BL18" s="128" t="e">
        <f>'PROJECT TA Y TB KARINA'!$K14/8</f>
        <v>#REF!</v>
      </c>
      <c r="BM18" s="128" t="e">
        <f>'PROJECT TA Y TB KARINA'!$L14/8</f>
        <v>#REF!</v>
      </c>
      <c r="BN18" s="128" t="e">
        <f>'PROJECT TA Y TB KARINA'!$L14/8</f>
        <v>#REF!</v>
      </c>
      <c r="BO18" s="128" t="e">
        <f>'PROJECT TA Y TB KARINA'!$L14/8</f>
        <v>#REF!</v>
      </c>
      <c r="BP18" s="128" t="e">
        <f>'PROJECT TA Y TB KARINA'!$L14/8</f>
        <v>#REF!</v>
      </c>
      <c r="BQ18" s="128" t="e">
        <f>'PROJECT TA Y TB KARINA'!$L14/8</f>
        <v>#REF!</v>
      </c>
      <c r="BR18" s="128" t="e">
        <f>'PROJECT TA Y TB KARINA'!$L14/8</f>
        <v>#REF!</v>
      </c>
      <c r="BS18" s="128" t="e">
        <f>'PROJECT TA Y TB KARINA'!$L14/8</f>
        <v>#REF!</v>
      </c>
      <c r="BT18" s="128" t="e">
        <f>'PROJECT TA Y TB KARINA'!$L14/8</f>
        <v>#REF!</v>
      </c>
      <c r="BU18" s="128" t="e">
        <f>'PROJECT TA Y TB KARINA'!$M14/8</f>
        <v>#REF!</v>
      </c>
      <c r="BV18" s="128" t="e">
        <f>'PROJECT TA Y TB KARINA'!$M14/8</f>
        <v>#REF!</v>
      </c>
      <c r="BW18" s="128" t="e">
        <f>'PROJECT TA Y TB KARINA'!$M14/8</f>
        <v>#REF!</v>
      </c>
      <c r="BX18" s="128" t="e">
        <f>'PROJECT TA Y TB KARINA'!$M14/8</f>
        <v>#REF!</v>
      </c>
      <c r="BY18" s="128" t="e">
        <f>'PROJECT TA Y TB KARINA'!$M14/8</f>
        <v>#REF!</v>
      </c>
      <c r="BZ18" s="128" t="e">
        <f>'PROJECT TA Y TB KARINA'!$M14/8</f>
        <v>#REF!</v>
      </c>
      <c r="CA18" s="128" t="e">
        <f>'PROJECT TA Y TB KARINA'!$M14/8</f>
        <v>#REF!</v>
      </c>
      <c r="CB18" s="128" t="e">
        <f>'PROJECT TA Y TB KARINA'!$M14/8</f>
        <v>#REF!</v>
      </c>
      <c r="CC18" s="128" t="e">
        <f>'PROJECT TA Y TB KARINA'!$N14/8</f>
        <v>#REF!</v>
      </c>
      <c r="CD18" s="128" t="e">
        <f>'PROJECT TA Y TB KARINA'!$N14/8</f>
        <v>#REF!</v>
      </c>
      <c r="CE18" s="128" t="e">
        <f>'PROJECT TA Y TB KARINA'!$N14/8</f>
        <v>#REF!</v>
      </c>
      <c r="CF18" s="128" t="e">
        <f>'PROJECT TA Y TB KARINA'!$N14/8</f>
        <v>#REF!</v>
      </c>
      <c r="CG18" s="128" t="e">
        <f>'PROJECT TA Y TB KARINA'!$N14/8</f>
        <v>#REF!</v>
      </c>
      <c r="CH18" s="128" t="e">
        <f>'PROJECT TA Y TB KARINA'!$N14/8</f>
        <v>#REF!</v>
      </c>
      <c r="CI18" s="128" t="e">
        <f>'PROJECT TA Y TB KARINA'!$N14/8</f>
        <v>#REF!</v>
      </c>
      <c r="CJ18" s="128" t="e">
        <f>'PROJECT TA Y TB KARINA'!$N14/8</f>
        <v>#REF!</v>
      </c>
      <c r="CK18" s="128" t="e">
        <f>'PROJECT TA Y TB KARINA'!$O14/8</f>
        <v>#REF!</v>
      </c>
      <c r="CL18" s="128" t="e">
        <f>'PROJECT TA Y TB KARINA'!$O14/8</f>
        <v>#REF!</v>
      </c>
      <c r="CM18" s="128" t="e">
        <f>'PROJECT TA Y TB KARINA'!$O14/8</f>
        <v>#REF!</v>
      </c>
      <c r="CN18" s="128" t="e">
        <f>'PROJECT TA Y TB KARINA'!$O14/8</f>
        <v>#REF!</v>
      </c>
      <c r="CO18" s="128" t="e">
        <f>'PROJECT TA Y TB KARINA'!$O14/8</f>
        <v>#REF!</v>
      </c>
      <c r="CP18" s="128" t="e">
        <f>'PROJECT TA Y TB KARINA'!$O14/8</f>
        <v>#REF!</v>
      </c>
      <c r="CQ18" s="128" t="e">
        <f>'PROJECT TA Y TB KARINA'!$O14/8</f>
        <v>#REF!</v>
      </c>
      <c r="CR18" s="128" t="e">
        <f>'PROJECT TA Y TB KARINA'!$O14/8</f>
        <v>#REF!</v>
      </c>
      <c r="CS18" s="128" t="e">
        <f>'PROJECT TA Y TB KARINA'!$P14/8</f>
        <v>#REF!</v>
      </c>
      <c r="CT18" s="128" t="e">
        <f>'PROJECT TA Y TB KARINA'!$P14/8</f>
        <v>#REF!</v>
      </c>
      <c r="CU18" s="128" t="e">
        <f>'PROJECT TA Y TB KARINA'!$P14/8</f>
        <v>#REF!</v>
      </c>
      <c r="CV18" s="128" t="e">
        <f>'PROJECT TA Y TB KARINA'!$P14/8</f>
        <v>#REF!</v>
      </c>
      <c r="CW18" s="128" t="e">
        <f>'PROJECT TA Y TB KARINA'!$P14/8</f>
        <v>#REF!</v>
      </c>
      <c r="CX18" s="128" t="e">
        <f>'PROJECT TA Y TB KARINA'!$P14/8</f>
        <v>#REF!</v>
      </c>
      <c r="CY18" s="128" t="e">
        <f>'PROJECT TA Y TB KARINA'!$P14/8</f>
        <v>#REF!</v>
      </c>
      <c r="CZ18" s="128" t="e">
        <f>'PROJECT TA Y TB KARINA'!$P14/8</f>
        <v>#REF!</v>
      </c>
      <c r="DA18" s="128" t="e">
        <f>'PROJECT TA Y TB KARINA'!$Q14/8</f>
        <v>#REF!</v>
      </c>
      <c r="DB18" s="128" t="e">
        <f>'PROJECT TA Y TB KARINA'!$Q14/8</f>
        <v>#REF!</v>
      </c>
      <c r="DC18" s="128" t="e">
        <f>'PROJECT TA Y TB KARINA'!$Q14/8</f>
        <v>#REF!</v>
      </c>
      <c r="DD18" s="128" t="e">
        <f>'PROJECT TA Y TB KARINA'!$Q14/8</f>
        <v>#REF!</v>
      </c>
      <c r="DE18" s="128" t="e">
        <f>'PROJECT TA Y TB KARINA'!$Q14/8</f>
        <v>#REF!</v>
      </c>
      <c r="DF18" s="128" t="e">
        <f>'PROJECT TA Y TB KARINA'!$Q14/8</f>
        <v>#REF!</v>
      </c>
      <c r="DG18" s="128" t="e">
        <f>'PROJECT TA Y TB KARINA'!$Q14/8</f>
        <v>#REF!</v>
      </c>
      <c r="DH18" s="128" t="e">
        <f>'PROJECT TA Y TB KARINA'!$Q14/8</f>
        <v>#REF!</v>
      </c>
      <c r="DI18" s="128" t="e">
        <f>'PROJECT TA Y TB KARINA'!$R14/8</f>
        <v>#REF!</v>
      </c>
      <c r="DJ18" s="128" t="e">
        <f>'PROJECT TA Y TB KARINA'!$R14/8</f>
        <v>#REF!</v>
      </c>
      <c r="DK18" s="128" t="e">
        <f>'PROJECT TA Y TB KARINA'!$R14/8</f>
        <v>#REF!</v>
      </c>
      <c r="DL18" s="128" t="e">
        <f>'PROJECT TA Y TB KARINA'!$R14/8</f>
        <v>#REF!</v>
      </c>
      <c r="DM18" s="128" t="e">
        <f>'PROJECT TA Y TB KARINA'!$R14/8</f>
        <v>#REF!</v>
      </c>
      <c r="DN18" s="128" t="e">
        <f>'PROJECT TA Y TB KARINA'!$R14/8</f>
        <v>#REF!</v>
      </c>
      <c r="DO18" s="128" t="e">
        <f>'PROJECT TA Y TB KARINA'!$R14/8</f>
        <v>#REF!</v>
      </c>
      <c r="DP18" s="128" t="e">
        <f>'PROJECT TA Y TB KARINA'!$R14/8</f>
        <v>#REF!</v>
      </c>
      <c r="DQ18" s="128" t="e">
        <f>'PROJECT TA Y TB KARINA'!$S14/8</f>
        <v>#REF!</v>
      </c>
      <c r="DR18" s="128" t="e">
        <f>'PROJECT TA Y TB KARINA'!$S14/8</f>
        <v>#REF!</v>
      </c>
      <c r="DS18" s="128" t="e">
        <f>'PROJECT TA Y TB KARINA'!$S14/8</f>
        <v>#REF!</v>
      </c>
      <c r="DT18" s="128" t="e">
        <f>'PROJECT TA Y TB KARINA'!$S14/8</f>
        <v>#REF!</v>
      </c>
      <c r="DU18" s="128" t="e">
        <f>'PROJECT TA Y TB KARINA'!$S14/8</f>
        <v>#REF!</v>
      </c>
      <c r="DV18" s="128" t="e">
        <f>'PROJECT TA Y TB KARINA'!$S14/8</f>
        <v>#REF!</v>
      </c>
      <c r="DW18" s="128" t="e">
        <f>'PROJECT TA Y TB KARINA'!$S14/8</f>
        <v>#REF!</v>
      </c>
      <c r="DX18" s="128" t="e">
        <f>'PROJECT TA Y TB KARINA'!$S14/8</f>
        <v>#REF!</v>
      </c>
      <c r="DY18" s="128" t="e">
        <f>'PROJECT TA Y TB KARINA'!$T14/8</f>
        <v>#REF!</v>
      </c>
      <c r="DZ18" s="128" t="e">
        <f>'PROJECT TA Y TB KARINA'!$T14/8</f>
        <v>#REF!</v>
      </c>
      <c r="EA18" s="128" t="e">
        <f>'PROJECT TA Y TB KARINA'!$T14/8</f>
        <v>#REF!</v>
      </c>
      <c r="EB18" s="128" t="e">
        <f>'PROJECT TA Y TB KARINA'!$T14/8</f>
        <v>#REF!</v>
      </c>
      <c r="EC18" s="128" t="e">
        <f>'PROJECT TA Y TB KARINA'!$T14/8</f>
        <v>#REF!</v>
      </c>
      <c r="ED18" s="128" t="e">
        <f>'PROJECT TA Y TB KARINA'!$T14/8</f>
        <v>#REF!</v>
      </c>
      <c r="EE18" s="128" t="e">
        <f>'PROJECT TA Y TB KARINA'!$T14/8</f>
        <v>#REF!</v>
      </c>
      <c r="EF18" s="128" t="e">
        <f>'PROJECT TA Y TB KARINA'!$T14/8</f>
        <v>#REF!</v>
      </c>
      <c r="EG18" s="128" t="e">
        <f>'PROJECT TA Y TB KARINA'!#REF!/8</f>
        <v>#REF!</v>
      </c>
      <c r="EH18" s="128" t="e">
        <f>'PROJECT TA Y TB KARINA'!#REF!/8</f>
        <v>#REF!</v>
      </c>
      <c r="EI18" s="128" t="e">
        <f>'PROJECT TA Y TB KARINA'!#REF!/8</f>
        <v>#REF!</v>
      </c>
      <c r="EJ18" s="128" t="e">
        <f>'PROJECT TA Y TB KARINA'!#REF!/8</f>
        <v>#REF!</v>
      </c>
      <c r="EK18" s="128" t="e">
        <f>'PROJECT TA Y TB KARINA'!#REF!/8</f>
        <v>#REF!</v>
      </c>
      <c r="EL18" s="128" t="e">
        <f>'PROJECT TA Y TB KARINA'!#REF!/8</f>
        <v>#REF!</v>
      </c>
      <c r="EM18" s="128" t="e">
        <f>'PROJECT TA Y TB KARINA'!#REF!/8</f>
        <v>#REF!</v>
      </c>
      <c r="EN18" s="128" t="e">
        <f>'PROJECT TA Y TB KARINA'!#REF!/8</f>
        <v>#REF!</v>
      </c>
      <c r="EO18" s="128">
        <f>'PROJECT TA Y TB KARINA'!$C72/8</f>
        <v>0</v>
      </c>
      <c r="EP18" s="128">
        <f>'PROJECT TA Y TB KARINA'!$C72/8</f>
        <v>0</v>
      </c>
      <c r="EQ18" s="128">
        <f>'PROJECT TA Y TB KARINA'!$C72/8</f>
        <v>0</v>
      </c>
      <c r="ER18" s="128">
        <f>'PROJECT TA Y TB KARINA'!$C72/8</f>
        <v>0</v>
      </c>
      <c r="ES18" s="128">
        <f>'PROJECT TA Y TB KARINA'!$C72/8</f>
        <v>0</v>
      </c>
      <c r="ET18" s="128">
        <f>'PROJECT TA Y TB KARINA'!$C72/8</f>
        <v>0</v>
      </c>
      <c r="EU18" s="128">
        <f>'PROJECT TA Y TB KARINA'!$C72/8</f>
        <v>0</v>
      </c>
      <c r="EV18" s="128">
        <f>'PROJECT TA Y TB KARINA'!$E72/8</f>
        <v>0</v>
      </c>
      <c r="EW18" s="128">
        <f>'PROJECT TA Y TB KARINA'!$E72/8</f>
        <v>0</v>
      </c>
      <c r="EX18" s="128">
        <f>'PROJECT TA Y TB KARINA'!$E72/8</f>
        <v>0</v>
      </c>
      <c r="EY18" s="128">
        <f>'PROJECT TA Y TB KARINA'!$E72/8</f>
        <v>0</v>
      </c>
      <c r="EZ18" s="128">
        <f>'PROJECT TA Y TB KARINA'!$E72/8</f>
        <v>0</v>
      </c>
      <c r="FA18" s="128">
        <f>'PROJECT TA Y TB KARINA'!$E72/8</f>
        <v>0</v>
      </c>
      <c r="FB18" s="128">
        <f>'PROJECT TA Y TB KARINA'!$E72/8</f>
        <v>0</v>
      </c>
      <c r="FC18" s="128">
        <f>'PROJECT TA Y TB KARINA'!$E72/8</f>
        <v>0</v>
      </c>
      <c r="FD18" s="128">
        <f>'PROJECT TA Y TB KARINA'!$F72/8</f>
        <v>0</v>
      </c>
      <c r="FE18" s="128">
        <f>'PROJECT TA Y TB KARINA'!$F72/8</f>
        <v>0</v>
      </c>
      <c r="FF18" s="128">
        <f>'PROJECT TA Y TB KARINA'!$F72/8</f>
        <v>0</v>
      </c>
      <c r="FG18" s="128">
        <f>'PROJECT TA Y TB KARINA'!$F72/8</f>
        <v>0</v>
      </c>
      <c r="FH18" s="128">
        <f>'PROJECT TA Y TB KARINA'!$F72/8</f>
        <v>0</v>
      </c>
      <c r="FI18" s="128">
        <f>'PROJECT TA Y TB KARINA'!$F72/8</f>
        <v>0</v>
      </c>
      <c r="FJ18" s="128">
        <f>'PROJECT TA Y TB KARINA'!$F72/8</f>
        <v>0</v>
      </c>
      <c r="FK18" s="128">
        <f>'PROJECT TA Y TB KARINA'!$F72/8</f>
        <v>0</v>
      </c>
      <c r="FL18" s="128">
        <f>'PROJECT TA Y TB KARINA'!$G72/8</f>
        <v>0</v>
      </c>
      <c r="FM18" s="128">
        <f>'PROJECT TA Y TB KARINA'!$G72/8</f>
        <v>0</v>
      </c>
      <c r="FN18" s="128">
        <f>'PROJECT TA Y TB KARINA'!$G72/8</f>
        <v>0</v>
      </c>
      <c r="FO18" s="128">
        <f>'PROJECT TA Y TB KARINA'!$G72/8</f>
        <v>0</v>
      </c>
      <c r="FP18" s="128">
        <f>'PROJECT TA Y TB KARINA'!$G72/8</f>
        <v>0</v>
      </c>
      <c r="FQ18" s="128">
        <f>'PROJECT TA Y TB KARINA'!$G72/8</f>
        <v>0</v>
      </c>
      <c r="FR18" s="128">
        <f>'PROJECT TA Y TB KARINA'!$G72/8</f>
        <v>0</v>
      </c>
      <c r="FS18" s="128">
        <f>'PROJECT TA Y TB KARINA'!$G72/8</f>
        <v>0</v>
      </c>
      <c r="FT18" s="128">
        <f>'PROJECT TA Y TB KARINA'!$H72/8</f>
        <v>0</v>
      </c>
      <c r="FU18" s="128">
        <f>'PROJECT TA Y TB KARINA'!$H72/8</f>
        <v>0</v>
      </c>
      <c r="FV18" s="128">
        <f>'PROJECT TA Y TB KARINA'!$H72/8</f>
        <v>0</v>
      </c>
      <c r="FW18" s="128">
        <f>'PROJECT TA Y TB KARINA'!$H72/8</f>
        <v>0</v>
      </c>
      <c r="FX18" s="128">
        <f>'PROJECT TA Y TB KARINA'!$H72/8</f>
        <v>0</v>
      </c>
      <c r="FY18" s="128">
        <f>'PROJECT TA Y TB KARINA'!$H72/8</f>
        <v>0</v>
      </c>
      <c r="FZ18" s="128">
        <f>'PROJECT TA Y TB KARINA'!$H72/8</f>
        <v>0</v>
      </c>
      <c r="GA18" s="128">
        <f>'PROJECT TA Y TB KARINA'!$H72/8</f>
        <v>0</v>
      </c>
      <c r="GB18" s="128">
        <f>'PROJECT TA Y TB KARINA'!$I72/8</f>
        <v>0</v>
      </c>
      <c r="GC18" s="128">
        <f>'PROJECT TA Y TB KARINA'!$I72/8</f>
        <v>0</v>
      </c>
      <c r="GD18" s="128">
        <f>'PROJECT TA Y TB KARINA'!$I72/8</f>
        <v>0</v>
      </c>
      <c r="GE18" s="128">
        <f>'PROJECT TA Y TB KARINA'!$I72/8</f>
        <v>0</v>
      </c>
      <c r="GF18" s="128">
        <f>'PROJECT TA Y TB KARINA'!$I72/8</f>
        <v>0</v>
      </c>
      <c r="GG18" s="128">
        <f>'PROJECT TA Y TB KARINA'!$I72/8</f>
        <v>0</v>
      </c>
      <c r="GH18" s="128">
        <f>'PROJECT TA Y TB KARINA'!$I72/8</f>
        <v>0</v>
      </c>
      <c r="GI18" s="128">
        <f>'PROJECT TA Y TB KARINA'!$I72/8</f>
        <v>0</v>
      </c>
      <c r="GJ18" s="128">
        <f>'PROJECT TA Y TB KARINA'!$J72/8</f>
        <v>0</v>
      </c>
      <c r="GK18" s="128">
        <f>'PROJECT TA Y TB KARINA'!$J72/8</f>
        <v>0</v>
      </c>
      <c r="GL18" s="128">
        <f>'PROJECT TA Y TB KARINA'!$J72/8</f>
        <v>0</v>
      </c>
      <c r="GM18" s="128">
        <f>'PROJECT TA Y TB KARINA'!$J72/8</f>
        <v>0</v>
      </c>
      <c r="GN18" s="128">
        <f>'PROJECT TA Y TB KARINA'!$J72/8</f>
        <v>0</v>
      </c>
      <c r="GO18" s="128">
        <f>'PROJECT TA Y TB KARINA'!$J72/8</f>
        <v>0</v>
      </c>
      <c r="GP18" s="128">
        <f>'PROJECT TA Y TB KARINA'!$J72/8</f>
        <v>0</v>
      </c>
      <c r="GQ18" s="128">
        <f>'PROJECT TA Y TB KARINA'!$J72/8</f>
        <v>0</v>
      </c>
      <c r="GR18" s="128">
        <f>'PROJECT TA Y TB KARINA'!$K72/8</f>
        <v>0</v>
      </c>
      <c r="GS18" s="128">
        <f>'PROJECT TA Y TB KARINA'!$K72/8</f>
        <v>0</v>
      </c>
      <c r="GT18" s="128">
        <f>'PROJECT TA Y TB KARINA'!$K72/8</f>
        <v>0</v>
      </c>
      <c r="GU18" s="128">
        <f>'PROJECT TA Y TB KARINA'!$K72/8</f>
        <v>0</v>
      </c>
      <c r="GV18" s="128">
        <f>'PROJECT TA Y TB KARINA'!$K72/8</f>
        <v>0</v>
      </c>
      <c r="GW18" s="128">
        <f>'PROJECT TA Y TB KARINA'!$K72/8</f>
        <v>0</v>
      </c>
      <c r="GX18" s="128">
        <f>'PROJECT TA Y TB KARINA'!$K72/8</f>
        <v>0</v>
      </c>
      <c r="GY18" s="128">
        <f>'PROJECT TA Y TB KARINA'!$K72/8</f>
        <v>0</v>
      </c>
      <c r="GZ18" s="128">
        <f>'PROJECT TA Y TB KARINA'!$L72/8</f>
        <v>0</v>
      </c>
      <c r="HA18" s="128">
        <f>'PROJECT TA Y TB KARINA'!$L72/8</f>
        <v>0</v>
      </c>
      <c r="HB18" s="128">
        <f>'PROJECT TA Y TB KARINA'!$L72/8</f>
        <v>0</v>
      </c>
      <c r="HC18" s="128">
        <f>'PROJECT TA Y TB KARINA'!$L72/8</f>
        <v>0</v>
      </c>
      <c r="HD18" s="128">
        <f>'PROJECT TA Y TB KARINA'!$L72/8</f>
        <v>0</v>
      </c>
      <c r="HE18" s="128">
        <f>'PROJECT TA Y TB KARINA'!$L72/8</f>
        <v>0</v>
      </c>
      <c r="HF18" s="128">
        <f>'PROJECT TA Y TB KARINA'!$L72/8</f>
        <v>0</v>
      </c>
      <c r="HG18" s="128">
        <f>'PROJECT TA Y TB KARINA'!$L72/8</f>
        <v>0</v>
      </c>
      <c r="HH18" s="128">
        <f>'PROJECT TA Y TB KARINA'!$M72/8</f>
        <v>0</v>
      </c>
      <c r="HI18" s="128">
        <f>'PROJECT TA Y TB KARINA'!$M72/8</f>
        <v>0</v>
      </c>
      <c r="HJ18" s="128">
        <f>'PROJECT TA Y TB KARINA'!$M72/8</f>
        <v>0</v>
      </c>
      <c r="HK18" s="128">
        <f>'PROJECT TA Y TB KARINA'!$M72/8</f>
        <v>0</v>
      </c>
      <c r="HL18" s="128">
        <f>'PROJECT TA Y TB KARINA'!$M72/8</f>
        <v>0</v>
      </c>
      <c r="HM18" s="128">
        <f>'PROJECT TA Y TB KARINA'!$M72/8</f>
        <v>0</v>
      </c>
      <c r="HN18" s="128">
        <f>'PROJECT TA Y TB KARINA'!$M72/8</f>
        <v>0</v>
      </c>
      <c r="HO18" s="128">
        <f>'PROJECT TA Y TB KARINA'!$M72/8</f>
        <v>0</v>
      </c>
      <c r="HP18" s="128">
        <f>'PROJECT TA Y TB KARINA'!$N72/8</f>
        <v>0</v>
      </c>
      <c r="HQ18" s="128">
        <f>'PROJECT TA Y TB KARINA'!$N72/8</f>
        <v>0</v>
      </c>
      <c r="HR18" s="128">
        <f>'PROJECT TA Y TB KARINA'!$N72/8</f>
        <v>0</v>
      </c>
      <c r="HS18" s="128">
        <f>'PROJECT TA Y TB KARINA'!$N72/8</f>
        <v>0</v>
      </c>
      <c r="HT18" s="128">
        <f>'PROJECT TA Y TB KARINA'!$N72/8</f>
        <v>0</v>
      </c>
      <c r="HU18" s="128">
        <f>'PROJECT TA Y TB KARINA'!$N72/8</f>
        <v>0</v>
      </c>
      <c r="HV18" s="128">
        <f>'PROJECT TA Y TB KARINA'!$N72/8</f>
        <v>0</v>
      </c>
      <c r="HW18" s="128">
        <f>'PROJECT TA Y TB KARINA'!$N72/8</f>
        <v>0</v>
      </c>
      <c r="HX18" s="128">
        <f>'PROJECT TA Y TB KARINA'!$O72/8</f>
        <v>0</v>
      </c>
      <c r="HY18" s="128">
        <f>'PROJECT TA Y TB KARINA'!$O72/8</f>
        <v>0</v>
      </c>
      <c r="HZ18" s="128">
        <f>'PROJECT TA Y TB KARINA'!$O72/8</f>
        <v>0</v>
      </c>
      <c r="IA18" s="128">
        <f>'PROJECT TA Y TB KARINA'!$O72/8</f>
        <v>0</v>
      </c>
      <c r="IB18" s="128">
        <f>'PROJECT TA Y TB KARINA'!$O72/8</f>
        <v>0</v>
      </c>
      <c r="IC18" s="128">
        <f>'PROJECT TA Y TB KARINA'!$O72/8</f>
        <v>0</v>
      </c>
      <c r="ID18" s="128">
        <f>'PROJECT TA Y TB KARINA'!$O72/8</f>
        <v>0</v>
      </c>
      <c r="IE18" s="128">
        <f>'PROJECT TA Y TB KARINA'!$O72/8</f>
        <v>0</v>
      </c>
      <c r="IF18" s="128">
        <f>'PROJECT TA Y TB KARINA'!$P72/8</f>
        <v>0</v>
      </c>
      <c r="IG18" s="128">
        <f>'PROJECT TA Y TB KARINA'!$P72/8</f>
        <v>0</v>
      </c>
      <c r="IH18" s="128">
        <f>'PROJECT TA Y TB KARINA'!$P72/8</f>
        <v>0</v>
      </c>
      <c r="II18" s="128">
        <f>'PROJECT TA Y TB KARINA'!$P72/8</f>
        <v>0</v>
      </c>
      <c r="IJ18" s="128">
        <f>'PROJECT TA Y TB KARINA'!$P72/8</f>
        <v>0</v>
      </c>
      <c r="IK18" s="128">
        <f>'PROJECT TA Y TB KARINA'!$P72/8</f>
        <v>0</v>
      </c>
      <c r="IL18" s="128">
        <f>'PROJECT TA Y TB KARINA'!$P72/8</f>
        <v>0</v>
      </c>
      <c r="IM18" s="128">
        <f>'PROJECT TA Y TB KARINA'!$P72/8</f>
        <v>0</v>
      </c>
      <c r="IN18" s="128">
        <f>'PROJECT TA Y TB KARINA'!$Q72/8</f>
        <v>0</v>
      </c>
      <c r="IO18" s="128">
        <f>'PROJECT TA Y TB KARINA'!$Q72/8</f>
        <v>0</v>
      </c>
      <c r="IP18" s="128">
        <f>'PROJECT TA Y TB KARINA'!$Q72/8</f>
        <v>0</v>
      </c>
      <c r="IQ18" s="128">
        <f>'PROJECT TA Y TB KARINA'!$Q72/8</f>
        <v>0</v>
      </c>
      <c r="IR18" s="128">
        <f>'PROJECT TA Y TB KARINA'!$Q72/8</f>
        <v>0</v>
      </c>
      <c r="IS18" s="128">
        <f>'PROJECT TA Y TB KARINA'!$Q72/8</f>
        <v>0</v>
      </c>
      <c r="IT18" s="128">
        <f>'PROJECT TA Y TB KARINA'!$Q72/8</f>
        <v>0</v>
      </c>
      <c r="IU18" s="128">
        <f>'PROJECT TA Y TB KARINA'!$Q72/8</f>
        <v>0</v>
      </c>
      <c r="IV18" s="128">
        <f>'PROJECT TA Y TB KARINA'!$R72/8</f>
        <v>0</v>
      </c>
      <c r="IW18" s="128">
        <f>'PROJECT TA Y TB KARINA'!$R72/8</f>
        <v>0</v>
      </c>
      <c r="IX18" s="128">
        <f>'PROJECT TA Y TB KARINA'!$R72/8</f>
        <v>0</v>
      </c>
      <c r="IY18" s="128">
        <f>'PROJECT TA Y TB KARINA'!$R72/8</f>
        <v>0</v>
      </c>
      <c r="IZ18" s="128">
        <f>'PROJECT TA Y TB KARINA'!$R72/8</f>
        <v>0</v>
      </c>
      <c r="JA18" s="128">
        <f>'PROJECT TA Y TB KARINA'!$R72/8</f>
        <v>0</v>
      </c>
      <c r="JB18" s="128">
        <f>'PROJECT TA Y TB KARINA'!$R72/8</f>
        <v>0</v>
      </c>
      <c r="JC18" s="128">
        <f>'PROJECT TA Y TB KARINA'!$R72/8</f>
        <v>0</v>
      </c>
      <c r="JD18" s="128">
        <f>'PROJECT TA Y TB KARINA'!$S72/8</f>
        <v>0</v>
      </c>
      <c r="JE18" s="128">
        <f>'PROJECT TA Y TB KARINA'!$S72/8</f>
        <v>0</v>
      </c>
      <c r="JF18" s="128">
        <f>'PROJECT TA Y TB KARINA'!$S72/8</f>
        <v>0</v>
      </c>
      <c r="JG18" s="128">
        <f>'PROJECT TA Y TB KARINA'!$S72/8</f>
        <v>0</v>
      </c>
      <c r="JH18" s="128">
        <f>'PROJECT TA Y TB KARINA'!$S72/8</f>
        <v>0</v>
      </c>
      <c r="JI18" s="128">
        <f>'PROJECT TA Y TB KARINA'!$S72/8</f>
        <v>0</v>
      </c>
      <c r="JJ18" s="128">
        <f>'PROJECT TA Y TB KARINA'!$S72/8</f>
        <v>0</v>
      </c>
      <c r="JK18" s="128">
        <f>'PROJECT TA Y TB KARINA'!$S72/8</f>
        <v>0</v>
      </c>
      <c r="JL18" s="128">
        <f>'PROJECT TA Y TB KARINA'!$T72/8</f>
        <v>0</v>
      </c>
      <c r="JM18" s="128">
        <f>'PROJECT TA Y TB KARINA'!$T72/8</f>
        <v>0</v>
      </c>
      <c r="JN18" s="128">
        <f>'PROJECT TA Y TB KARINA'!$T72/8</f>
        <v>0</v>
      </c>
      <c r="JO18" s="128">
        <f>'PROJECT TA Y TB KARINA'!$T72/8</f>
        <v>0</v>
      </c>
      <c r="JP18" s="128">
        <f>'PROJECT TA Y TB KARINA'!$T72/8</f>
        <v>0</v>
      </c>
      <c r="JQ18" s="128">
        <f>'PROJECT TA Y TB KARINA'!$T72/8</f>
        <v>0</v>
      </c>
      <c r="JR18" s="128">
        <f>'PROJECT TA Y TB KARINA'!$T72/8</f>
        <v>0</v>
      </c>
      <c r="JS18" s="128">
        <f>'PROJECT TA Y TB KARINA'!$T72/8</f>
        <v>0</v>
      </c>
      <c r="JT18" s="128" t="e">
        <f>'PROJECT TA Y TB KARINA'!#REF!/8</f>
        <v>#REF!</v>
      </c>
      <c r="JU18" s="128" t="e">
        <f>'PROJECT TA Y TB KARINA'!#REF!/8</f>
        <v>#REF!</v>
      </c>
      <c r="JV18" s="128" t="e">
        <f>'PROJECT TA Y TB KARINA'!#REF!/8</f>
        <v>#REF!</v>
      </c>
      <c r="JW18" s="128" t="e">
        <f>'PROJECT TA Y TB KARINA'!#REF!/8</f>
        <v>#REF!</v>
      </c>
      <c r="JX18" s="128" t="e">
        <f>'PROJECT TA Y TB KARINA'!#REF!/8</f>
        <v>#REF!</v>
      </c>
      <c r="JY18" s="128" t="e">
        <f>'PROJECT TA Y TB KARINA'!#REF!/8</f>
        <v>#REF!</v>
      </c>
      <c r="JZ18" s="128" t="e">
        <f>'PROJECT TA Y TB KARINA'!#REF!/8</f>
        <v>#REF!</v>
      </c>
      <c r="KA18" s="128" t="e">
        <f>'PROJECT TA Y TB KARINA'!#REF!/8</f>
        <v>#REF!</v>
      </c>
    </row>
    <row r="19" spans="1:287" ht="21">
      <c r="A19" s="130" t="s">
        <v>472</v>
      </c>
      <c r="B19" s="128" t="e">
        <f>'PROJECT TA Y TB KARINA'!$C$15/8</f>
        <v>#REF!</v>
      </c>
      <c r="C19" s="128" t="e">
        <f>'PROJECT TA Y TB KARINA'!$C$15/8</f>
        <v>#REF!</v>
      </c>
      <c r="D19" s="128" t="e">
        <f>'PROJECT TA Y TB KARINA'!$C$15/8</f>
        <v>#REF!</v>
      </c>
      <c r="E19" s="128" t="e">
        <f>'PROJECT TA Y TB KARINA'!$C$15/8</f>
        <v>#REF!</v>
      </c>
      <c r="F19" s="128" t="e">
        <f>'PROJECT TA Y TB KARINA'!$C$15/8</f>
        <v>#REF!</v>
      </c>
      <c r="G19" s="128" t="e">
        <f>'PROJECT TA Y TB KARINA'!$C$15/8</f>
        <v>#REF!</v>
      </c>
      <c r="H19" s="128" t="e">
        <f>'PROJECT TA Y TB KARINA'!$C$15/8</f>
        <v>#REF!</v>
      </c>
      <c r="I19" s="128" t="e">
        <f>'PROJECT TA Y TB KARINA'!$E15/8</f>
        <v>#REF!</v>
      </c>
      <c r="J19" s="128" t="e">
        <f>'PROJECT TA Y TB KARINA'!$E15/8</f>
        <v>#REF!</v>
      </c>
      <c r="K19" s="128" t="e">
        <f>'PROJECT TA Y TB KARINA'!$E15/8</f>
        <v>#REF!</v>
      </c>
      <c r="L19" s="128" t="e">
        <f>'PROJECT TA Y TB KARINA'!$E15/8</f>
        <v>#REF!</v>
      </c>
      <c r="M19" s="128" t="e">
        <f>'PROJECT TA Y TB KARINA'!$E15/8</f>
        <v>#REF!</v>
      </c>
      <c r="N19" s="128" t="e">
        <f>'PROJECT TA Y TB KARINA'!$E15/8</f>
        <v>#REF!</v>
      </c>
      <c r="O19" s="128" t="e">
        <f>'PROJECT TA Y TB KARINA'!$E15/8</f>
        <v>#REF!</v>
      </c>
      <c r="P19" s="128" t="e">
        <f>'PROJECT TA Y TB KARINA'!$E15/8</f>
        <v>#REF!</v>
      </c>
      <c r="Q19" s="128" t="e">
        <f>'PROJECT TA Y TB KARINA'!$F15/8</f>
        <v>#REF!</v>
      </c>
      <c r="R19" s="128" t="e">
        <f>'PROJECT TA Y TB KARINA'!$F15/8</f>
        <v>#REF!</v>
      </c>
      <c r="S19" s="128" t="e">
        <f>'PROJECT TA Y TB KARINA'!$F15/8</f>
        <v>#REF!</v>
      </c>
      <c r="T19" s="128" t="e">
        <f>'PROJECT TA Y TB KARINA'!$F15/8</f>
        <v>#REF!</v>
      </c>
      <c r="U19" s="128" t="e">
        <f>'PROJECT TA Y TB KARINA'!$F15/8</f>
        <v>#REF!</v>
      </c>
      <c r="V19" s="128" t="e">
        <f>'PROJECT TA Y TB KARINA'!$F15/8</f>
        <v>#REF!</v>
      </c>
      <c r="W19" s="128" t="e">
        <f>'PROJECT TA Y TB KARINA'!$F15/8</f>
        <v>#REF!</v>
      </c>
      <c r="X19" s="128" t="e">
        <f>'PROJECT TA Y TB KARINA'!$F15/8</f>
        <v>#REF!</v>
      </c>
      <c r="Y19" s="128" t="e">
        <f>'PROJECT TA Y TB KARINA'!$G15/8</f>
        <v>#REF!</v>
      </c>
      <c r="Z19" s="128" t="e">
        <f>'PROJECT TA Y TB KARINA'!$G15/8</f>
        <v>#REF!</v>
      </c>
      <c r="AA19" s="128" t="e">
        <f>'PROJECT TA Y TB KARINA'!$G15/8</f>
        <v>#REF!</v>
      </c>
      <c r="AB19" s="128" t="e">
        <f>'PROJECT TA Y TB KARINA'!$G15/8</f>
        <v>#REF!</v>
      </c>
      <c r="AC19" s="128" t="e">
        <f>'PROJECT TA Y TB KARINA'!$G15/8</f>
        <v>#REF!</v>
      </c>
      <c r="AD19" s="128" t="e">
        <f>'PROJECT TA Y TB KARINA'!$G15/8</f>
        <v>#REF!</v>
      </c>
      <c r="AE19" s="128" t="e">
        <f>'PROJECT TA Y TB KARINA'!$G15/8</f>
        <v>#REF!</v>
      </c>
      <c r="AF19" s="128" t="e">
        <f>'PROJECT TA Y TB KARINA'!$G15/8</f>
        <v>#REF!</v>
      </c>
      <c r="AG19" s="128" t="e">
        <f>'PROJECT TA Y TB KARINA'!$H15/8</f>
        <v>#REF!</v>
      </c>
      <c r="AH19" s="128" t="e">
        <f>'PROJECT TA Y TB KARINA'!$H15/8</f>
        <v>#REF!</v>
      </c>
      <c r="AI19" s="128" t="e">
        <f>'PROJECT TA Y TB KARINA'!$H15/8</f>
        <v>#REF!</v>
      </c>
      <c r="AJ19" s="128" t="e">
        <f>'PROJECT TA Y TB KARINA'!$H15/8</f>
        <v>#REF!</v>
      </c>
      <c r="AK19" s="128" t="e">
        <f>'PROJECT TA Y TB KARINA'!$H15/8</f>
        <v>#REF!</v>
      </c>
      <c r="AL19" s="128" t="e">
        <f>'PROJECT TA Y TB KARINA'!$H15/8</f>
        <v>#REF!</v>
      </c>
      <c r="AM19" s="128" t="e">
        <f>'PROJECT TA Y TB KARINA'!$H15/8</f>
        <v>#REF!</v>
      </c>
      <c r="AN19" s="128" t="e">
        <f>'PROJECT TA Y TB KARINA'!$H15/8</f>
        <v>#REF!</v>
      </c>
      <c r="AO19" s="128" t="e">
        <f>'PROJECT TA Y TB KARINA'!$I15/8</f>
        <v>#REF!</v>
      </c>
      <c r="AP19" s="128" t="e">
        <f>'PROJECT TA Y TB KARINA'!$I15/8</f>
        <v>#REF!</v>
      </c>
      <c r="AQ19" s="128" t="e">
        <f>'PROJECT TA Y TB KARINA'!$I15/8</f>
        <v>#REF!</v>
      </c>
      <c r="AR19" s="128" t="e">
        <f>'PROJECT TA Y TB KARINA'!$I15/8</f>
        <v>#REF!</v>
      </c>
      <c r="AS19" s="128" t="e">
        <f>'PROJECT TA Y TB KARINA'!$I15/8</f>
        <v>#REF!</v>
      </c>
      <c r="AT19" s="128" t="e">
        <f>'PROJECT TA Y TB KARINA'!$I15/8</f>
        <v>#REF!</v>
      </c>
      <c r="AU19" s="128" t="e">
        <f>'PROJECT TA Y TB KARINA'!$I15/8</f>
        <v>#REF!</v>
      </c>
      <c r="AV19" s="128" t="e">
        <f>'PROJECT TA Y TB KARINA'!$I15/8</f>
        <v>#REF!</v>
      </c>
      <c r="AW19" s="128" t="e">
        <f>'PROJECT TA Y TB KARINA'!$J15/8</f>
        <v>#REF!</v>
      </c>
      <c r="AX19" s="128" t="e">
        <f>'PROJECT TA Y TB KARINA'!$J15/8</f>
        <v>#REF!</v>
      </c>
      <c r="AY19" s="128" t="e">
        <f>'PROJECT TA Y TB KARINA'!$J15/8</f>
        <v>#REF!</v>
      </c>
      <c r="AZ19" s="128" t="e">
        <f>'PROJECT TA Y TB KARINA'!$J15/8</f>
        <v>#REF!</v>
      </c>
      <c r="BA19" s="128" t="e">
        <f>'PROJECT TA Y TB KARINA'!$J15/8</f>
        <v>#REF!</v>
      </c>
      <c r="BB19" s="128" t="e">
        <f>'PROJECT TA Y TB KARINA'!$J15/8</f>
        <v>#REF!</v>
      </c>
      <c r="BC19" s="128" t="e">
        <f>'PROJECT TA Y TB KARINA'!$J15/8</f>
        <v>#REF!</v>
      </c>
      <c r="BD19" s="128" t="e">
        <f>'PROJECT TA Y TB KARINA'!$J15/8</f>
        <v>#REF!</v>
      </c>
      <c r="BE19" s="128" t="e">
        <f>'PROJECT TA Y TB KARINA'!$K15/8</f>
        <v>#REF!</v>
      </c>
      <c r="BF19" s="128" t="e">
        <f>'PROJECT TA Y TB KARINA'!$K15/8</f>
        <v>#REF!</v>
      </c>
      <c r="BG19" s="128" t="e">
        <f>'PROJECT TA Y TB KARINA'!$K15/8</f>
        <v>#REF!</v>
      </c>
      <c r="BH19" s="128" t="e">
        <f>'PROJECT TA Y TB KARINA'!$K15/8</f>
        <v>#REF!</v>
      </c>
      <c r="BI19" s="128" t="e">
        <f>'PROJECT TA Y TB KARINA'!$K15/8</f>
        <v>#REF!</v>
      </c>
      <c r="BJ19" s="128" t="e">
        <f>'PROJECT TA Y TB KARINA'!$K15/8</f>
        <v>#REF!</v>
      </c>
      <c r="BK19" s="128" t="e">
        <f>'PROJECT TA Y TB KARINA'!$K15/8</f>
        <v>#REF!</v>
      </c>
      <c r="BL19" s="128" t="e">
        <f>'PROJECT TA Y TB KARINA'!$K15/8</f>
        <v>#REF!</v>
      </c>
      <c r="BM19" s="128" t="e">
        <f>'PROJECT TA Y TB KARINA'!$L15/8</f>
        <v>#REF!</v>
      </c>
      <c r="BN19" s="128" t="e">
        <f>'PROJECT TA Y TB KARINA'!$L15/8</f>
        <v>#REF!</v>
      </c>
      <c r="BO19" s="128" t="e">
        <f>'PROJECT TA Y TB KARINA'!$L15/8</f>
        <v>#REF!</v>
      </c>
      <c r="BP19" s="128" t="e">
        <f>'PROJECT TA Y TB KARINA'!$L15/8</f>
        <v>#REF!</v>
      </c>
      <c r="BQ19" s="128" t="e">
        <f>'PROJECT TA Y TB KARINA'!$L15/8</f>
        <v>#REF!</v>
      </c>
      <c r="BR19" s="128" t="e">
        <f>'PROJECT TA Y TB KARINA'!$L15/8</f>
        <v>#REF!</v>
      </c>
      <c r="BS19" s="128" t="e">
        <f>'PROJECT TA Y TB KARINA'!$L15/8</f>
        <v>#REF!</v>
      </c>
      <c r="BT19" s="128" t="e">
        <f>'PROJECT TA Y TB KARINA'!$L15/8</f>
        <v>#REF!</v>
      </c>
      <c r="BU19" s="128" t="e">
        <f>'PROJECT TA Y TB KARINA'!$M15/8</f>
        <v>#REF!</v>
      </c>
      <c r="BV19" s="128" t="e">
        <f>'PROJECT TA Y TB KARINA'!$M15/8</f>
        <v>#REF!</v>
      </c>
      <c r="BW19" s="128" t="e">
        <f>'PROJECT TA Y TB KARINA'!$M15/8</f>
        <v>#REF!</v>
      </c>
      <c r="BX19" s="128" t="e">
        <f>'PROJECT TA Y TB KARINA'!$M15/8</f>
        <v>#REF!</v>
      </c>
      <c r="BY19" s="128" t="e">
        <f>'PROJECT TA Y TB KARINA'!$M15/8</f>
        <v>#REF!</v>
      </c>
      <c r="BZ19" s="128" t="e">
        <f>'PROJECT TA Y TB KARINA'!$M15/8</f>
        <v>#REF!</v>
      </c>
      <c r="CA19" s="128" t="e">
        <f>'PROJECT TA Y TB KARINA'!$M15/8</f>
        <v>#REF!</v>
      </c>
      <c r="CB19" s="128" t="e">
        <f>'PROJECT TA Y TB KARINA'!$M15/8</f>
        <v>#REF!</v>
      </c>
      <c r="CC19" s="128" t="e">
        <f>'PROJECT TA Y TB KARINA'!$N15/8</f>
        <v>#REF!</v>
      </c>
      <c r="CD19" s="128" t="e">
        <f>'PROJECT TA Y TB KARINA'!$N15/8</f>
        <v>#REF!</v>
      </c>
      <c r="CE19" s="128" t="e">
        <f>'PROJECT TA Y TB KARINA'!$N15/8</f>
        <v>#REF!</v>
      </c>
      <c r="CF19" s="128" t="e">
        <f>'PROJECT TA Y TB KARINA'!$N15/8</f>
        <v>#REF!</v>
      </c>
      <c r="CG19" s="128" t="e">
        <f>'PROJECT TA Y TB KARINA'!$N15/8</f>
        <v>#REF!</v>
      </c>
      <c r="CH19" s="128" t="e">
        <f>'PROJECT TA Y TB KARINA'!$N15/8</f>
        <v>#REF!</v>
      </c>
      <c r="CI19" s="128" t="e">
        <f>'PROJECT TA Y TB KARINA'!$N15/8</f>
        <v>#REF!</v>
      </c>
      <c r="CJ19" s="128" t="e">
        <f>'PROJECT TA Y TB KARINA'!$N15/8</f>
        <v>#REF!</v>
      </c>
      <c r="CK19" s="128" t="e">
        <f>'PROJECT TA Y TB KARINA'!$O15/8</f>
        <v>#REF!</v>
      </c>
      <c r="CL19" s="128" t="e">
        <f>'PROJECT TA Y TB KARINA'!$O15/8</f>
        <v>#REF!</v>
      </c>
      <c r="CM19" s="128" t="e">
        <f>'PROJECT TA Y TB KARINA'!$O15/8</f>
        <v>#REF!</v>
      </c>
      <c r="CN19" s="128" t="e">
        <f>'PROJECT TA Y TB KARINA'!$O15/8</f>
        <v>#REF!</v>
      </c>
      <c r="CO19" s="128" t="e">
        <f>'PROJECT TA Y TB KARINA'!$O15/8</f>
        <v>#REF!</v>
      </c>
      <c r="CP19" s="128" t="e">
        <f>'PROJECT TA Y TB KARINA'!$O15/8</f>
        <v>#REF!</v>
      </c>
      <c r="CQ19" s="128" t="e">
        <f>'PROJECT TA Y TB KARINA'!$O15/8</f>
        <v>#REF!</v>
      </c>
      <c r="CR19" s="128" t="e">
        <f>'PROJECT TA Y TB KARINA'!$O15/8</f>
        <v>#REF!</v>
      </c>
      <c r="CS19" s="128" t="e">
        <f>'PROJECT TA Y TB KARINA'!$P15/8</f>
        <v>#REF!</v>
      </c>
      <c r="CT19" s="128" t="e">
        <f>'PROJECT TA Y TB KARINA'!$P15/8</f>
        <v>#REF!</v>
      </c>
      <c r="CU19" s="128" t="e">
        <f>'PROJECT TA Y TB KARINA'!$P15/8</f>
        <v>#REF!</v>
      </c>
      <c r="CV19" s="128" t="e">
        <f>'PROJECT TA Y TB KARINA'!$P15/8</f>
        <v>#REF!</v>
      </c>
      <c r="CW19" s="128" t="e">
        <f>'PROJECT TA Y TB KARINA'!$P15/8</f>
        <v>#REF!</v>
      </c>
      <c r="CX19" s="128" t="e">
        <f>'PROJECT TA Y TB KARINA'!$P15/8</f>
        <v>#REF!</v>
      </c>
      <c r="CY19" s="128" t="e">
        <f>'PROJECT TA Y TB KARINA'!$P15/8</f>
        <v>#REF!</v>
      </c>
      <c r="CZ19" s="128" t="e">
        <f>'PROJECT TA Y TB KARINA'!$P15/8</f>
        <v>#REF!</v>
      </c>
      <c r="DA19" s="128" t="e">
        <f>'PROJECT TA Y TB KARINA'!$Q15/8</f>
        <v>#REF!</v>
      </c>
      <c r="DB19" s="128" t="e">
        <f>'PROJECT TA Y TB KARINA'!$Q15/8</f>
        <v>#REF!</v>
      </c>
      <c r="DC19" s="128" t="e">
        <f>'PROJECT TA Y TB KARINA'!$Q15/8</f>
        <v>#REF!</v>
      </c>
      <c r="DD19" s="128" t="e">
        <f>'PROJECT TA Y TB KARINA'!$Q15/8</f>
        <v>#REF!</v>
      </c>
      <c r="DE19" s="128" t="e">
        <f>'PROJECT TA Y TB KARINA'!$Q15/8</f>
        <v>#REF!</v>
      </c>
      <c r="DF19" s="128" t="e">
        <f>'PROJECT TA Y TB KARINA'!$Q15/8</f>
        <v>#REF!</v>
      </c>
      <c r="DG19" s="128" t="e">
        <f>'PROJECT TA Y TB KARINA'!$Q15/8</f>
        <v>#REF!</v>
      </c>
      <c r="DH19" s="128" t="e">
        <f>'PROJECT TA Y TB KARINA'!$Q15/8</f>
        <v>#REF!</v>
      </c>
      <c r="DI19" s="128" t="e">
        <f>'PROJECT TA Y TB KARINA'!$R15/8</f>
        <v>#REF!</v>
      </c>
      <c r="DJ19" s="128" t="e">
        <f>'PROJECT TA Y TB KARINA'!$R15/8</f>
        <v>#REF!</v>
      </c>
      <c r="DK19" s="128" t="e">
        <f>'PROJECT TA Y TB KARINA'!$R15/8</f>
        <v>#REF!</v>
      </c>
      <c r="DL19" s="128" t="e">
        <f>'PROJECT TA Y TB KARINA'!$R15/8</f>
        <v>#REF!</v>
      </c>
      <c r="DM19" s="128" t="e">
        <f>'PROJECT TA Y TB KARINA'!$R15/8</f>
        <v>#REF!</v>
      </c>
      <c r="DN19" s="128" t="e">
        <f>'PROJECT TA Y TB KARINA'!$R15/8</f>
        <v>#REF!</v>
      </c>
      <c r="DO19" s="128" t="e">
        <f>'PROJECT TA Y TB KARINA'!$R15/8</f>
        <v>#REF!</v>
      </c>
      <c r="DP19" s="128" t="e">
        <f>'PROJECT TA Y TB KARINA'!$R15/8</f>
        <v>#REF!</v>
      </c>
      <c r="DQ19" s="128" t="e">
        <f>'PROJECT TA Y TB KARINA'!$S15/8</f>
        <v>#REF!</v>
      </c>
      <c r="DR19" s="128" t="e">
        <f>'PROJECT TA Y TB KARINA'!$S15/8</f>
        <v>#REF!</v>
      </c>
      <c r="DS19" s="128" t="e">
        <f>'PROJECT TA Y TB KARINA'!$S15/8</f>
        <v>#REF!</v>
      </c>
      <c r="DT19" s="128" t="e">
        <f>'PROJECT TA Y TB KARINA'!$S15/8</f>
        <v>#REF!</v>
      </c>
      <c r="DU19" s="128" t="e">
        <f>'PROJECT TA Y TB KARINA'!$S15/8</f>
        <v>#REF!</v>
      </c>
      <c r="DV19" s="128" t="e">
        <f>'PROJECT TA Y TB KARINA'!$S15/8</f>
        <v>#REF!</v>
      </c>
      <c r="DW19" s="128" t="e">
        <f>'PROJECT TA Y TB KARINA'!$S15/8</f>
        <v>#REF!</v>
      </c>
      <c r="DX19" s="128" t="e">
        <f>'PROJECT TA Y TB KARINA'!$S15/8</f>
        <v>#REF!</v>
      </c>
      <c r="DY19" s="128" t="e">
        <f>'PROJECT TA Y TB KARINA'!$T15/8</f>
        <v>#REF!</v>
      </c>
      <c r="DZ19" s="128" t="e">
        <f>'PROJECT TA Y TB KARINA'!$T15/8</f>
        <v>#REF!</v>
      </c>
      <c r="EA19" s="128" t="e">
        <f>'PROJECT TA Y TB KARINA'!$T15/8</f>
        <v>#REF!</v>
      </c>
      <c r="EB19" s="128" t="e">
        <f>'PROJECT TA Y TB KARINA'!$T15/8</f>
        <v>#REF!</v>
      </c>
      <c r="EC19" s="128" t="e">
        <f>'PROJECT TA Y TB KARINA'!$T15/8</f>
        <v>#REF!</v>
      </c>
      <c r="ED19" s="128" t="e">
        <f>'PROJECT TA Y TB KARINA'!$T15/8</f>
        <v>#REF!</v>
      </c>
      <c r="EE19" s="128" t="e">
        <f>'PROJECT TA Y TB KARINA'!$T15/8</f>
        <v>#REF!</v>
      </c>
      <c r="EF19" s="128" t="e">
        <f>'PROJECT TA Y TB KARINA'!$T15/8</f>
        <v>#REF!</v>
      </c>
      <c r="EG19" s="128" t="e">
        <f>'PROJECT TA Y TB KARINA'!#REF!/8</f>
        <v>#REF!</v>
      </c>
      <c r="EH19" s="128" t="e">
        <f>'PROJECT TA Y TB KARINA'!#REF!/8</f>
        <v>#REF!</v>
      </c>
      <c r="EI19" s="128" t="e">
        <f>'PROJECT TA Y TB KARINA'!#REF!/8</f>
        <v>#REF!</v>
      </c>
      <c r="EJ19" s="128" t="e">
        <f>'PROJECT TA Y TB KARINA'!#REF!/8</f>
        <v>#REF!</v>
      </c>
      <c r="EK19" s="128" t="e">
        <f>'PROJECT TA Y TB KARINA'!#REF!/8</f>
        <v>#REF!</v>
      </c>
      <c r="EL19" s="128" t="e">
        <f>'PROJECT TA Y TB KARINA'!#REF!/8</f>
        <v>#REF!</v>
      </c>
      <c r="EM19" s="128" t="e">
        <f>'PROJECT TA Y TB KARINA'!#REF!/8</f>
        <v>#REF!</v>
      </c>
      <c r="EN19" s="128" t="e">
        <f>'PROJECT TA Y TB KARINA'!#REF!/8</f>
        <v>#REF!</v>
      </c>
      <c r="EO19" s="128">
        <f>'PROJECT TA Y TB KARINA'!$C73/8</f>
        <v>0</v>
      </c>
      <c r="EP19" s="128">
        <f>'PROJECT TA Y TB KARINA'!$C73/8</f>
        <v>0</v>
      </c>
      <c r="EQ19" s="128">
        <f>'PROJECT TA Y TB KARINA'!$C73/8</f>
        <v>0</v>
      </c>
      <c r="ER19" s="128">
        <f>'PROJECT TA Y TB KARINA'!$C73/8</f>
        <v>0</v>
      </c>
      <c r="ES19" s="128">
        <f>'PROJECT TA Y TB KARINA'!$C73/8</f>
        <v>0</v>
      </c>
      <c r="ET19" s="128">
        <f>'PROJECT TA Y TB KARINA'!$C73/8</f>
        <v>0</v>
      </c>
      <c r="EU19" s="128">
        <f>'PROJECT TA Y TB KARINA'!$C73/8</f>
        <v>0</v>
      </c>
      <c r="EV19" s="128">
        <f>'PROJECT TA Y TB KARINA'!$E73/8</f>
        <v>0</v>
      </c>
      <c r="EW19" s="128">
        <f>'PROJECT TA Y TB KARINA'!$E73/8</f>
        <v>0</v>
      </c>
      <c r="EX19" s="128">
        <f>'PROJECT TA Y TB KARINA'!$E73/8</f>
        <v>0</v>
      </c>
      <c r="EY19" s="128">
        <f>'PROJECT TA Y TB KARINA'!$E73/8</f>
        <v>0</v>
      </c>
      <c r="EZ19" s="128">
        <f>'PROJECT TA Y TB KARINA'!$E73/8</f>
        <v>0</v>
      </c>
      <c r="FA19" s="128">
        <f>'PROJECT TA Y TB KARINA'!$E73/8</f>
        <v>0</v>
      </c>
      <c r="FB19" s="128">
        <f>'PROJECT TA Y TB KARINA'!$E73/8</f>
        <v>0</v>
      </c>
      <c r="FC19" s="128">
        <f>'PROJECT TA Y TB KARINA'!$E73/8</f>
        <v>0</v>
      </c>
      <c r="FD19" s="128">
        <f>'PROJECT TA Y TB KARINA'!$F73/8</f>
        <v>0</v>
      </c>
      <c r="FE19" s="128">
        <f>'PROJECT TA Y TB KARINA'!$F73/8</f>
        <v>0</v>
      </c>
      <c r="FF19" s="128">
        <f>'PROJECT TA Y TB KARINA'!$F73/8</f>
        <v>0</v>
      </c>
      <c r="FG19" s="128">
        <f>'PROJECT TA Y TB KARINA'!$F73/8</f>
        <v>0</v>
      </c>
      <c r="FH19" s="128">
        <f>'PROJECT TA Y TB KARINA'!$F73/8</f>
        <v>0</v>
      </c>
      <c r="FI19" s="128">
        <f>'PROJECT TA Y TB KARINA'!$F73/8</f>
        <v>0</v>
      </c>
      <c r="FJ19" s="128">
        <f>'PROJECT TA Y TB KARINA'!$F73/8</f>
        <v>0</v>
      </c>
      <c r="FK19" s="128">
        <f>'PROJECT TA Y TB KARINA'!$F73/8</f>
        <v>0</v>
      </c>
      <c r="FL19" s="128">
        <f>'PROJECT TA Y TB KARINA'!$G73/8</f>
        <v>0</v>
      </c>
      <c r="FM19" s="128">
        <f>'PROJECT TA Y TB KARINA'!$G73/8</f>
        <v>0</v>
      </c>
      <c r="FN19" s="128">
        <f>'PROJECT TA Y TB KARINA'!$G73/8</f>
        <v>0</v>
      </c>
      <c r="FO19" s="128">
        <f>'PROJECT TA Y TB KARINA'!$G73/8</f>
        <v>0</v>
      </c>
      <c r="FP19" s="128">
        <f>'PROJECT TA Y TB KARINA'!$G73/8</f>
        <v>0</v>
      </c>
      <c r="FQ19" s="128">
        <f>'PROJECT TA Y TB KARINA'!$G73/8</f>
        <v>0</v>
      </c>
      <c r="FR19" s="128">
        <f>'PROJECT TA Y TB KARINA'!$G73/8</f>
        <v>0</v>
      </c>
      <c r="FS19" s="128">
        <f>'PROJECT TA Y TB KARINA'!$G73/8</f>
        <v>0</v>
      </c>
      <c r="FT19" s="128">
        <f>'PROJECT TA Y TB KARINA'!$H73/8</f>
        <v>0</v>
      </c>
      <c r="FU19" s="128">
        <f>'PROJECT TA Y TB KARINA'!$H73/8</f>
        <v>0</v>
      </c>
      <c r="FV19" s="128">
        <f>'PROJECT TA Y TB KARINA'!$H73/8</f>
        <v>0</v>
      </c>
      <c r="FW19" s="128">
        <f>'PROJECT TA Y TB KARINA'!$H73/8</f>
        <v>0</v>
      </c>
      <c r="FX19" s="128">
        <f>'PROJECT TA Y TB KARINA'!$H73/8</f>
        <v>0</v>
      </c>
      <c r="FY19" s="128">
        <f>'PROJECT TA Y TB KARINA'!$H73/8</f>
        <v>0</v>
      </c>
      <c r="FZ19" s="128">
        <f>'PROJECT TA Y TB KARINA'!$H73/8</f>
        <v>0</v>
      </c>
      <c r="GA19" s="128">
        <f>'PROJECT TA Y TB KARINA'!$H73/8</f>
        <v>0</v>
      </c>
      <c r="GB19" s="128">
        <f>'PROJECT TA Y TB KARINA'!$I73/8</f>
        <v>0</v>
      </c>
      <c r="GC19" s="128">
        <f>'PROJECT TA Y TB KARINA'!$I73/8</f>
        <v>0</v>
      </c>
      <c r="GD19" s="128">
        <f>'PROJECT TA Y TB KARINA'!$I73/8</f>
        <v>0</v>
      </c>
      <c r="GE19" s="128">
        <f>'PROJECT TA Y TB KARINA'!$I73/8</f>
        <v>0</v>
      </c>
      <c r="GF19" s="128">
        <f>'PROJECT TA Y TB KARINA'!$I73/8</f>
        <v>0</v>
      </c>
      <c r="GG19" s="128">
        <f>'PROJECT TA Y TB KARINA'!$I73/8</f>
        <v>0</v>
      </c>
      <c r="GH19" s="128">
        <f>'PROJECT TA Y TB KARINA'!$I73/8</f>
        <v>0</v>
      </c>
      <c r="GI19" s="128">
        <f>'PROJECT TA Y TB KARINA'!$I73/8</f>
        <v>0</v>
      </c>
      <c r="GJ19" s="128">
        <f>'PROJECT TA Y TB KARINA'!$J73/8</f>
        <v>0</v>
      </c>
      <c r="GK19" s="128">
        <f>'PROJECT TA Y TB KARINA'!$J73/8</f>
        <v>0</v>
      </c>
      <c r="GL19" s="128">
        <f>'PROJECT TA Y TB KARINA'!$J73/8</f>
        <v>0</v>
      </c>
      <c r="GM19" s="128">
        <f>'PROJECT TA Y TB KARINA'!$J73/8</f>
        <v>0</v>
      </c>
      <c r="GN19" s="128">
        <f>'PROJECT TA Y TB KARINA'!$J73/8</f>
        <v>0</v>
      </c>
      <c r="GO19" s="128">
        <f>'PROJECT TA Y TB KARINA'!$J73/8</f>
        <v>0</v>
      </c>
      <c r="GP19" s="128">
        <f>'PROJECT TA Y TB KARINA'!$J73/8</f>
        <v>0</v>
      </c>
      <c r="GQ19" s="128">
        <f>'PROJECT TA Y TB KARINA'!$J73/8</f>
        <v>0</v>
      </c>
      <c r="GR19" s="128">
        <f>'PROJECT TA Y TB KARINA'!$K73/8</f>
        <v>0</v>
      </c>
      <c r="GS19" s="128">
        <f>'PROJECT TA Y TB KARINA'!$K73/8</f>
        <v>0</v>
      </c>
      <c r="GT19" s="128">
        <f>'PROJECT TA Y TB KARINA'!$K73/8</f>
        <v>0</v>
      </c>
      <c r="GU19" s="128">
        <f>'PROJECT TA Y TB KARINA'!$K73/8</f>
        <v>0</v>
      </c>
      <c r="GV19" s="128">
        <f>'PROJECT TA Y TB KARINA'!$K73/8</f>
        <v>0</v>
      </c>
      <c r="GW19" s="128">
        <f>'PROJECT TA Y TB KARINA'!$K73/8</f>
        <v>0</v>
      </c>
      <c r="GX19" s="128">
        <f>'PROJECT TA Y TB KARINA'!$K73/8</f>
        <v>0</v>
      </c>
      <c r="GY19" s="128">
        <f>'PROJECT TA Y TB KARINA'!$K73/8</f>
        <v>0</v>
      </c>
      <c r="GZ19" s="128">
        <f>'PROJECT TA Y TB KARINA'!$L73/8</f>
        <v>0</v>
      </c>
      <c r="HA19" s="128">
        <f>'PROJECT TA Y TB KARINA'!$L73/8</f>
        <v>0</v>
      </c>
      <c r="HB19" s="128">
        <f>'PROJECT TA Y TB KARINA'!$L73/8</f>
        <v>0</v>
      </c>
      <c r="HC19" s="128">
        <f>'PROJECT TA Y TB KARINA'!$L73/8</f>
        <v>0</v>
      </c>
      <c r="HD19" s="128">
        <f>'PROJECT TA Y TB KARINA'!$L73/8</f>
        <v>0</v>
      </c>
      <c r="HE19" s="128">
        <f>'PROJECT TA Y TB KARINA'!$L73/8</f>
        <v>0</v>
      </c>
      <c r="HF19" s="128">
        <f>'PROJECT TA Y TB KARINA'!$L73/8</f>
        <v>0</v>
      </c>
      <c r="HG19" s="128">
        <f>'PROJECT TA Y TB KARINA'!$L73/8</f>
        <v>0</v>
      </c>
      <c r="HH19" s="128">
        <f>'PROJECT TA Y TB KARINA'!$M73/8</f>
        <v>0</v>
      </c>
      <c r="HI19" s="128">
        <f>'PROJECT TA Y TB KARINA'!$M73/8</f>
        <v>0</v>
      </c>
      <c r="HJ19" s="128">
        <f>'PROJECT TA Y TB KARINA'!$M73/8</f>
        <v>0</v>
      </c>
      <c r="HK19" s="128">
        <f>'PROJECT TA Y TB KARINA'!$M73/8</f>
        <v>0</v>
      </c>
      <c r="HL19" s="128">
        <f>'PROJECT TA Y TB KARINA'!$M73/8</f>
        <v>0</v>
      </c>
      <c r="HM19" s="128">
        <f>'PROJECT TA Y TB KARINA'!$M73/8</f>
        <v>0</v>
      </c>
      <c r="HN19" s="128">
        <f>'PROJECT TA Y TB KARINA'!$M73/8</f>
        <v>0</v>
      </c>
      <c r="HO19" s="128">
        <f>'PROJECT TA Y TB KARINA'!$M73/8</f>
        <v>0</v>
      </c>
      <c r="HP19" s="128">
        <f>'PROJECT TA Y TB KARINA'!$N73/8</f>
        <v>0</v>
      </c>
      <c r="HQ19" s="128">
        <f>'PROJECT TA Y TB KARINA'!$N73/8</f>
        <v>0</v>
      </c>
      <c r="HR19" s="128">
        <f>'PROJECT TA Y TB KARINA'!$N73/8</f>
        <v>0</v>
      </c>
      <c r="HS19" s="128">
        <f>'PROJECT TA Y TB KARINA'!$N73/8</f>
        <v>0</v>
      </c>
      <c r="HT19" s="128">
        <f>'PROJECT TA Y TB KARINA'!$N73/8</f>
        <v>0</v>
      </c>
      <c r="HU19" s="128">
        <f>'PROJECT TA Y TB KARINA'!$N73/8</f>
        <v>0</v>
      </c>
      <c r="HV19" s="128">
        <f>'PROJECT TA Y TB KARINA'!$N73/8</f>
        <v>0</v>
      </c>
      <c r="HW19" s="128">
        <f>'PROJECT TA Y TB KARINA'!$N73/8</f>
        <v>0</v>
      </c>
      <c r="HX19" s="128">
        <f>'PROJECT TA Y TB KARINA'!$O73/8</f>
        <v>0</v>
      </c>
      <c r="HY19" s="128">
        <f>'PROJECT TA Y TB KARINA'!$O73/8</f>
        <v>0</v>
      </c>
      <c r="HZ19" s="128">
        <f>'PROJECT TA Y TB KARINA'!$O73/8</f>
        <v>0</v>
      </c>
      <c r="IA19" s="128">
        <f>'PROJECT TA Y TB KARINA'!$O73/8</f>
        <v>0</v>
      </c>
      <c r="IB19" s="128">
        <f>'PROJECT TA Y TB KARINA'!$O73/8</f>
        <v>0</v>
      </c>
      <c r="IC19" s="128">
        <f>'PROJECT TA Y TB KARINA'!$O73/8</f>
        <v>0</v>
      </c>
      <c r="ID19" s="128">
        <f>'PROJECT TA Y TB KARINA'!$O73/8</f>
        <v>0</v>
      </c>
      <c r="IE19" s="128">
        <f>'PROJECT TA Y TB KARINA'!$O73/8</f>
        <v>0</v>
      </c>
      <c r="IF19" s="128">
        <f>'PROJECT TA Y TB KARINA'!$P73/8</f>
        <v>0</v>
      </c>
      <c r="IG19" s="128">
        <f>'PROJECT TA Y TB KARINA'!$P73/8</f>
        <v>0</v>
      </c>
      <c r="IH19" s="128">
        <f>'PROJECT TA Y TB KARINA'!$P73/8</f>
        <v>0</v>
      </c>
      <c r="II19" s="128">
        <f>'PROJECT TA Y TB KARINA'!$P73/8</f>
        <v>0</v>
      </c>
      <c r="IJ19" s="128">
        <f>'PROJECT TA Y TB KARINA'!$P73/8</f>
        <v>0</v>
      </c>
      <c r="IK19" s="128">
        <f>'PROJECT TA Y TB KARINA'!$P73/8</f>
        <v>0</v>
      </c>
      <c r="IL19" s="128">
        <f>'PROJECT TA Y TB KARINA'!$P73/8</f>
        <v>0</v>
      </c>
      <c r="IM19" s="128">
        <f>'PROJECT TA Y TB KARINA'!$P73/8</f>
        <v>0</v>
      </c>
      <c r="IN19" s="128">
        <f>'PROJECT TA Y TB KARINA'!$Q73/8</f>
        <v>0</v>
      </c>
      <c r="IO19" s="128">
        <f>'PROJECT TA Y TB KARINA'!$Q73/8</f>
        <v>0</v>
      </c>
      <c r="IP19" s="128">
        <f>'PROJECT TA Y TB KARINA'!$Q73/8</f>
        <v>0</v>
      </c>
      <c r="IQ19" s="128">
        <f>'PROJECT TA Y TB KARINA'!$Q73/8</f>
        <v>0</v>
      </c>
      <c r="IR19" s="128">
        <f>'PROJECT TA Y TB KARINA'!$Q73/8</f>
        <v>0</v>
      </c>
      <c r="IS19" s="128">
        <f>'PROJECT TA Y TB KARINA'!$Q73/8</f>
        <v>0</v>
      </c>
      <c r="IT19" s="128">
        <f>'PROJECT TA Y TB KARINA'!$Q73/8</f>
        <v>0</v>
      </c>
      <c r="IU19" s="128">
        <f>'PROJECT TA Y TB KARINA'!$Q73/8</f>
        <v>0</v>
      </c>
      <c r="IV19" s="128">
        <f>'PROJECT TA Y TB KARINA'!$R73/8</f>
        <v>0</v>
      </c>
      <c r="IW19" s="128">
        <f>'PROJECT TA Y TB KARINA'!$R73/8</f>
        <v>0</v>
      </c>
      <c r="IX19" s="128">
        <f>'PROJECT TA Y TB KARINA'!$R73/8</f>
        <v>0</v>
      </c>
      <c r="IY19" s="128">
        <f>'PROJECT TA Y TB KARINA'!$R73/8</f>
        <v>0</v>
      </c>
      <c r="IZ19" s="128">
        <f>'PROJECT TA Y TB KARINA'!$R73/8</f>
        <v>0</v>
      </c>
      <c r="JA19" s="128">
        <f>'PROJECT TA Y TB KARINA'!$R73/8</f>
        <v>0</v>
      </c>
      <c r="JB19" s="128">
        <f>'PROJECT TA Y TB KARINA'!$R73/8</f>
        <v>0</v>
      </c>
      <c r="JC19" s="128">
        <f>'PROJECT TA Y TB KARINA'!$R73/8</f>
        <v>0</v>
      </c>
      <c r="JD19" s="128">
        <f>'PROJECT TA Y TB KARINA'!$S73/8</f>
        <v>0</v>
      </c>
      <c r="JE19" s="128">
        <f>'PROJECT TA Y TB KARINA'!$S73/8</f>
        <v>0</v>
      </c>
      <c r="JF19" s="128">
        <f>'PROJECT TA Y TB KARINA'!$S73/8</f>
        <v>0</v>
      </c>
      <c r="JG19" s="128">
        <f>'PROJECT TA Y TB KARINA'!$S73/8</f>
        <v>0</v>
      </c>
      <c r="JH19" s="128">
        <f>'PROJECT TA Y TB KARINA'!$S73/8</f>
        <v>0</v>
      </c>
      <c r="JI19" s="128">
        <f>'PROJECT TA Y TB KARINA'!$S73/8</f>
        <v>0</v>
      </c>
      <c r="JJ19" s="128">
        <f>'PROJECT TA Y TB KARINA'!$S73/8</f>
        <v>0</v>
      </c>
      <c r="JK19" s="128">
        <f>'PROJECT TA Y TB KARINA'!$S73/8</f>
        <v>0</v>
      </c>
      <c r="JL19" s="128">
        <f>'PROJECT TA Y TB KARINA'!$T73/8</f>
        <v>0</v>
      </c>
      <c r="JM19" s="128">
        <f>'PROJECT TA Y TB KARINA'!$T73/8</f>
        <v>0</v>
      </c>
      <c r="JN19" s="128">
        <f>'PROJECT TA Y TB KARINA'!$T73/8</f>
        <v>0</v>
      </c>
      <c r="JO19" s="128">
        <f>'PROJECT TA Y TB KARINA'!$T73/8</f>
        <v>0</v>
      </c>
      <c r="JP19" s="128">
        <f>'PROJECT TA Y TB KARINA'!$T73/8</f>
        <v>0</v>
      </c>
      <c r="JQ19" s="128">
        <f>'PROJECT TA Y TB KARINA'!$T73/8</f>
        <v>0</v>
      </c>
      <c r="JR19" s="128">
        <f>'PROJECT TA Y TB KARINA'!$T73/8</f>
        <v>0</v>
      </c>
      <c r="JS19" s="128">
        <f>'PROJECT TA Y TB KARINA'!$T73/8</f>
        <v>0</v>
      </c>
      <c r="JT19" s="128" t="e">
        <f>'PROJECT TA Y TB KARINA'!#REF!/8</f>
        <v>#REF!</v>
      </c>
      <c r="JU19" s="128" t="e">
        <f>'PROJECT TA Y TB KARINA'!#REF!/8</f>
        <v>#REF!</v>
      </c>
      <c r="JV19" s="128" t="e">
        <f>'PROJECT TA Y TB KARINA'!#REF!/8</f>
        <v>#REF!</v>
      </c>
      <c r="JW19" s="128" t="e">
        <f>'PROJECT TA Y TB KARINA'!#REF!/8</f>
        <v>#REF!</v>
      </c>
      <c r="JX19" s="128" t="e">
        <f>'PROJECT TA Y TB KARINA'!#REF!/8</f>
        <v>#REF!</v>
      </c>
      <c r="JY19" s="128" t="e">
        <f>'PROJECT TA Y TB KARINA'!#REF!/8</f>
        <v>#REF!</v>
      </c>
      <c r="JZ19" s="128" t="e">
        <f>'PROJECT TA Y TB KARINA'!#REF!/8</f>
        <v>#REF!</v>
      </c>
      <c r="KA19" s="128" t="e">
        <f>'PROJECT TA Y TB KARINA'!#REF!/8</f>
        <v>#REF!</v>
      </c>
    </row>
    <row r="20" spans="1:287" ht="21">
      <c r="A20" s="130" t="s">
        <v>473</v>
      </c>
      <c r="B20" s="128" t="e">
        <f>'PROJECT TA Y TB KARINA'!$C$16/8</f>
        <v>#REF!</v>
      </c>
      <c r="C20" s="128" t="e">
        <f>'PROJECT TA Y TB KARINA'!$C$16/8</f>
        <v>#REF!</v>
      </c>
      <c r="D20" s="128" t="e">
        <f>'PROJECT TA Y TB KARINA'!$C$16/8</f>
        <v>#REF!</v>
      </c>
      <c r="E20" s="128" t="e">
        <f>'PROJECT TA Y TB KARINA'!$C$16/8</f>
        <v>#REF!</v>
      </c>
      <c r="F20" s="128" t="e">
        <f>'PROJECT TA Y TB KARINA'!$C$16/8</f>
        <v>#REF!</v>
      </c>
      <c r="G20" s="128" t="e">
        <f>'PROJECT TA Y TB KARINA'!$C$16/8</f>
        <v>#REF!</v>
      </c>
      <c r="H20" s="128" t="e">
        <f>'PROJECT TA Y TB KARINA'!$C$16/8</f>
        <v>#REF!</v>
      </c>
      <c r="I20" s="128" t="e">
        <f>'PROJECT TA Y TB KARINA'!$E16/8</f>
        <v>#REF!</v>
      </c>
      <c r="J20" s="128" t="e">
        <f>'PROJECT TA Y TB KARINA'!$E16/8</f>
        <v>#REF!</v>
      </c>
      <c r="K20" s="128" t="e">
        <f>'PROJECT TA Y TB KARINA'!$E16/8</f>
        <v>#REF!</v>
      </c>
      <c r="L20" s="128" t="e">
        <f>'PROJECT TA Y TB KARINA'!$E16/8</f>
        <v>#REF!</v>
      </c>
      <c r="M20" s="128" t="e">
        <f>'PROJECT TA Y TB KARINA'!$E16/8</f>
        <v>#REF!</v>
      </c>
      <c r="N20" s="128" t="e">
        <f>'PROJECT TA Y TB KARINA'!$E16/8</f>
        <v>#REF!</v>
      </c>
      <c r="O20" s="128" t="e">
        <f>'PROJECT TA Y TB KARINA'!$E16/8</f>
        <v>#REF!</v>
      </c>
      <c r="P20" s="128" t="e">
        <f>'PROJECT TA Y TB KARINA'!$E16/8</f>
        <v>#REF!</v>
      </c>
      <c r="Q20" s="128" t="e">
        <f>'PROJECT TA Y TB KARINA'!$F16/8</f>
        <v>#REF!</v>
      </c>
      <c r="R20" s="128" t="e">
        <f>'PROJECT TA Y TB KARINA'!$F16/8</f>
        <v>#REF!</v>
      </c>
      <c r="S20" s="128" t="e">
        <f>'PROJECT TA Y TB KARINA'!$F16/8</f>
        <v>#REF!</v>
      </c>
      <c r="T20" s="128" t="e">
        <f>'PROJECT TA Y TB KARINA'!$F16/8</f>
        <v>#REF!</v>
      </c>
      <c r="U20" s="128" t="e">
        <f>'PROJECT TA Y TB KARINA'!$F16/8</f>
        <v>#REF!</v>
      </c>
      <c r="V20" s="128" t="e">
        <f>'PROJECT TA Y TB KARINA'!$F16/8</f>
        <v>#REF!</v>
      </c>
      <c r="W20" s="128" t="e">
        <f>'PROJECT TA Y TB KARINA'!$F16/8</f>
        <v>#REF!</v>
      </c>
      <c r="X20" s="128" t="e">
        <f>'PROJECT TA Y TB KARINA'!$F16/8</f>
        <v>#REF!</v>
      </c>
      <c r="Y20" s="128" t="e">
        <f>'PROJECT TA Y TB KARINA'!$G16/8</f>
        <v>#REF!</v>
      </c>
      <c r="Z20" s="128" t="e">
        <f>'PROJECT TA Y TB KARINA'!$G16/8</f>
        <v>#REF!</v>
      </c>
      <c r="AA20" s="128" t="e">
        <f>'PROJECT TA Y TB KARINA'!$G16/8</f>
        <v>#REF!</v>
      </c>
      <c r="AB20" s="128" t="e">
        <f>'PROJECT TA Y TB KARINA'!$G16/8</f>
        <v>#REF!</v>
      </c>
      <c r="AC20" s="128" t="e">
        <f>'PROJECT TA Y TB KARINA'!$G16/8</f>
        <v>#REF!</v>
      </c>
      <c r="AD20" s="128" t="e">
        <f>'PROJECT TA Y TB KARINA'!$G16/8</f>
        <v>#REF!</v>
      </c>
      <c r="AE20" s="128" t="e">
        <f>'PROJECT TA Y TB KARINA'!$G16/8</f>
        <v>#REF!</v>
      </c>
      <c r="AF20" s="128" t="e">
        <f>'PROJECT TA Y TB KARINA'!$G16/8</f>
        <v>#REF!</v>
      </c>
      <c r="AG20" s="128" t="e">
        <f>'PROJECT TA Y TB KARINA'!$H16/8</f>
        <v>#REF!</v>
      </c>
      <c r="AH20" s="128" t="e">
        <f>'PROJECT TA Y TB KARINA'!$H16/8</f>
        <v>#REF!</v>
      </c>
      <c r="AI20" s="128" t="e">
        <f>'PROJECT TA Y TB KARINA'!$H16/8</f>
        <v>#REF!</v>
      </c>
      <c r="AJ20" s="128" t="e">
        <f>'PROJECT TA Y TB KARINA'!$H16/8</f>
        <v>#REF!</v>
      </c>
      <c r="AK20" s="128" t="e">
        <f>'PROJECT TA Y TB KARINA'!$H16/8</f>
        <v>#REF!</v>
      </c>
      <c r="AL20" s="128" t="e">
        <f>'PROJECT TA Y TB KARINA'!$H16/8</f>
        <v>#REF!</v>
      </c>
      <c r="AM20" s="128" t="e">
        <f>'PROJECT TA Y TB KARINA'!$H16/8</f>
        <v>#REF!</v>
      </c>
      <c r="AN20" s="128" t="e">
        <f>'PROJECT TA Y TB KARINA'!$H16/8</f>
        <v>#REF!</v>
      </c>
      <c r="AO20" s="128" t="e">
        <f>'PROJECT TA Y TB KARINA'!$I16/8</f>
        <v>#REF!</v>
      </c>
      <c r="AP20" s="128" t="e">
        <f>'PROJECT TA Y TB KARINA'!$I16/8</f>
        <v>#REF!</v>
      </c>
      <c r="AQ20" s="128" t="e">
        <f>'PROJECT TA Y TB KARINA'!$I16/8</f>
        <v>#REF!</v>
      </c>
      <c r="AR20" s="128" t="e">
        <f>'PROJECT TA Y TB KARINA'!$I16/8</f>
        <v>#REF!</v>
      </c>
      <c r="AS20" s="128" t="e">
        <f>'PROJECT TA Y TB KARINA'!$I16/8</f>
        <v>#REF!</v>
      </c>
      <c r="AT20" s="128" t="e">
        <f>'PROJECT TA Y TB KARINA'!$I16/8</f>
        <v>#REF!</v>
      </c>
      <c r="AU20" s="128" t="e">
        <f>'PROJECT TA Y TB KARINA'!$I16/8</f>
        <v>#REF!</v>
      </c>
      <c r="AV20" s="128" t="e">
        <f>'PROJECT TA Y TB KARINA'!$I16/8</f>
        <v>#REF!</v>
      </c>
      <c r="AW20" s="128" t="e">
        <f>'PROJECT TA Y TB KARINA'!$J16/8</f>
        <v>#REF!</v>
      </c>
      <c r="AX20" s="128" t="e">
        <f>'PROJECT TA Y TB KARINA'!$J16/8</f>
        <v>#REF!</v>
      </c>
      <c r="AY20" s="128" t="e">
        <f>'PROJECT TA Y TB KARINA'!$J16/8</f>
        <v>#REF!</v>
      </c>
      <c r="AZ20" s="128" t="e">
        <f>'PROJECT TA Y TB KARINA'!$J16/8</f>
        <v>#REF!</v>
      </c>
      <c r="BA20" s="128" t="e">
        <f>'PROJECT TA Y TB KARINA'!$J16/8</f>
        <v>#REF!</v>
      </c>
      <c r="BB20" s="128" t="e">
        <f>'PROJECT TA Y TB KARINA'!$J16/8</f>
        <v>#REF!</v>
      </c>
      <c r="BC20" s="128" t="e">
        <f>'PROJECT TA Y TB KARINA'!$J16/8</f>
        <v>#REF!</v>
      </c>
      <c r="BD20" s="128" t="e">
        <f>'PROJECT TA Y TB KARINA'!$J16/8</f>
        <v>#REF!</v>
      </c>
      <c r="BE20" s="128" t="e">
        <f>'PROJECT TA Y TB KARINA'!$K16/8</f>
        <v>#REF!</v>
      </c>
      <c r="BF20" s="128" t="e">
        <f>'PROJECT TA Y TB KARINA'!$K16/8</f>
        <v>#REF!</v>
      </c>
      <c r="BG20" s="128" t="e">
        <f>'PROJECT TA Y TB KARINA'!$K16/8</f>
        <v>#REF!</v>
      </c>
      <c r="BH20" s="128" t="e">
        <f>'PROJECT TA Y TB KARINA'!$K16/8</f>
        <v>#REF!</v>
      </c>
      <c r="BI20" s="128" t="e">
        <f>'PROJECT TA Y TB KARINA'!$K16/8</f>
        <v>#REF!</v>
      </c>
      <c r="BJ20" s="128" t="e">
        <f>'PROJECT TA Y TB KARINA'!$K16/8</f>
        <v>#REF!</v>
      </c>
      <c r="BK20" s="128" t="e">
        <f>'PROJECT TA Y TB KARINA'!$K16/8</f>
        <v>#REF!</v>
      </c>
      <c r="BL20" s="128" t="e">
        <f>'PROJECT TA Y TB KARINA'!$K16/8</f>
        <v>#REF!</v>
      </c>
      <c r="BM20" s="128" t="e">
        <f>'PROJECT TA Y TB KARINA'!$L16/8</f>
        <v>#REF!</v>
      </c>
      <c r="BN20" s="128" t="e">
        <f>'PROJECT TA Y TB KARINA'!$L16/8</f>
        <v>#REF!</v>
      </c>
      <c r="BO20" s="128" t="e">
        <f>'PROJECT TA Y TB KARINA'!$L16/8</f>
        <v>#REF!</v>
      </c>
      <c r="BP20" s="128" t="e">
        <f>'PROJECT TA Y TB KARINA'!$L16/8</f>
        <v>#REF!</v>
      </c>
      <c r="BQ20" s="128" t="e">
        <f>'PROJECT TA Y TB KARINA'!$L16/8</f>
        <v>#REF!</v>
      </c>
      <c r="BR20" s="128" t="e">
        <f>'PROJECT TA Y TB KARINA'!$L16/8</f>
        <v>#REF!</v>
      </c>
      <c r="BS20" s="128" t="e">
        <f>'PROJECT TA Y TB KARINA'!$L16/8</f>
        <v>#REF!</v>
      </c>
      <c r="BT20" s="128" t="e">
        <f>'PROJECT TA Y TB KARINA'!$L16/8</f>
        <v>#REF!</v>
      </c>
      <c r="BU20" s="128" t="e">
        <f>'PROJECT TA Y TB KARINA'!$M16/8</f>
        <v>#REF!</v>
      </c>
      <c r="BV20" s="128" t="e">
        <f>'PROJECT TA Y TB KARINA'!$M16/8</f>
        <v>#REF!</v>
      </c>
      <c r="BW20" s="128" t="e">
        <f>'PROJECT TA Y TB KARINA'!$M16/8</f>
        <v>#REF!</v>
      </c>
      <c r="BX20" s="128" t="e">
        <f>'PROJECT TA Y TB KARINA'!$M16/8</f>
        <v>#REF!</v>
      </c>
      <c r="BY20" s="128" t="e">
        <f>'PROJECT TA Y TB KARINA'!$M16/8</f>
        <v>#REF!</v>
      </c>
      <c r="BZ20" s="128" t="e">
        <f>'PROJECT TA Y TB KARINA'!$M16/8</f>
        <v>#REF!</v>
      </c>
      <c r="CA20" s="128" t="e">
        <f>'PROJECT TA Y TB KARINA'!$M16/8</f>
        <v>#REF!</v>
      </c>
      <c r="CB20" s="128" t="e">
        <f>'PROJECT TA Y TB KARINA'!$M16/8</f>
        <v>#REF!</v>
      </c>
      <c r="CC20" s="128" t="e">
        <f>'PROJECT TA Y TB KARINA'!$N16/8</f>
        <v>#REF!</v>
      </c>
      <c r="CD20" s="128" t="e">
        <f>'PROJECT TA Y TB KARINA'!$N16/8</f>
        <v>#REF!</v>
      </c>
      <c r="CE20" s="128" t="e">
        <f>'PROJECT TA Y TB KARINA'!$N16/8</f>
        <v>#REF!</v>
      </c>
      <c r="CF20" s="128" t="e">
        <f>'PROJECT TA Y TB KARINA'!$N16/8</f>
        <v>#REF!</v>
      </c>
      <c r="CG20" s="128" t="e">
        <f>'PROJECT TA Y TB KARINA'!$N16/8</f>
        <v>#REF!</v>
      </c>
      <c r="CH20" s="128" t="e">
        <f>'PROJECT TA Y TB KARINA'!$N16/8</f>
        <v>#REF!</v>
      </c>
      <c r="CI20" s="128" t="e">
        <f>'PROJECT TA Y TB KARINA'!$N16/8</f>
        <v>#REF!</v>
      </c>
      <c r="CJ20" s="128" t="e">
        <f>'PROJECT TA Y TB KARINA'!$N16/8</f>
        <v>#REF!</v>
      </c>
      <c r="CK20" s="128" t="e">
        <f>'PROJECT TA Y TB KARINA'!$O16/8</f>
        <v>#REF!</v>
      </c>
      <c r="CL20" s="128" t="e">
        <f>'PROJECT TA Y TB KARINA'!$O16/8</f>
        <v>#REF!</v>
      </c>
      <c r="CM20" s="128" t="e">
        <f>'PROJECT TA Y TB KARINA'!$O16/8</f>
        <v>#REF!</v>
      </c>
      <c r="CN20" s="128" t="e">
        <f>'PROJECT TA Y TB KARINA'!$O16/8</f>
        <v>#REF!</v>
      </c>
      <c r="CO20" s="128" t="e">
        <f>'PROJECT TA Y TB KARINA'!$O16/8</f>
        <v>#REF!</v>
      </c>
      <c r="CP20" s="128" t="e">
        <f>'PROJECT TA Y TB KARINA'!$O16/8</f>
        <v>#REF!</v>
      </c>
      <c r="CQ20" s="128" t="e">
        <f>'PROJECT TA Y TB KARINA'!$O16/8</f>
        <v>#REF!</v>
      </c>
      <c r="CR20" s="128" t="e">
        <f>'PROJECT TA Y TB KARINA'!$O16/8</f>
        <v>#REF!</v>
      </c>
      <c r="CS20" s="128" t="e">
        <f>'PROJECT TA Y TB KARINA'!$P16/8</f>
        <v>#REF!</v>
      </c>
      <c r="CT20" s="128" t="e">
        <f>'PROJECT TA Y TB KARINA'!$P16/8</f>
        <v>#REF!</v>
      </c>
      <c r="CU20" s="128" t="e">
        <f>'PROJECT TA Y TB KARINA'!$P16/8</f>
        <v>#REF!</v>
      </c>
      <c r="CV20" s="128" t="e">
        <f>'PROJECT TA Y TB KARINA'!$P16/8</f>
        <v>#REF!</v>
      </c>
      <c r="CW20" s="128" t="e">
        <f>'PROJECT TA Y TB KARINA'!$P16/8</f>
        <v>#REF!</v>
      </c>
      <c r="CX20" s="128" t="e">
        <f>'PROJECT TA Y TB KARINA'!$P16/8</f>
        <v>#REF!</v>
      </c>
      <c r="CY20" s="128" t="e">
        <f>'PROJECT TA Y TB KARINA'!$P16/8</f>
        <v>#REF!</v>
      </c>
      <c r="CZ20" s="128" t="e">
        <f>'PROJECT TA Y TB KARINA'!$P16/8</f>
        <v>#REF!</v>
      </c>
      <c r="DA20" s="128" t="e">
        <f>'PROJECT TA Y TB KARINA'!$Q16/8</f>
        <v>#REF!</v>
      </c>
      <c r="DB20" s="128" t="e">
        <f>'PROJECT TA Y TB KARINA'!$Q16/8</f>
        <v>#REF!</v>
      </c>
      <c r="DC20" s="128" t="e">
        <f>'PROJECT TA Y TB KARINA'!$Q16/8</f>
        <v>#REF!</v>
      </c>
      <c r="DD20" s="128" t="e">
        <f>'PROJECT TA Y TB KARINA'!$Q16/8</f>
        <v>#REF!</v>
      </c>
      <c r="DE20" s="128" t="e">
        <f>'PROJECT TA Y TB KARINA'!$Q16/8</f>
        <v>#REF!</v>
      </c>
      <c r="DF20" s="128" t="e">
        <f>'PROJECT TA Y TB KARINA'!$Q16/8</f>
        <v>#REF!</v>
      </c>
      <c r="DG20" s="128" t="e">
        <f>'PROJECT TA Y TB KARINA'!$Q16/8</f>
        <v>#REF!</v>
      </c>
      <c r="DH20" s="128" t="e">
        <f>'PROJECT TA Y TB KARINA'!$Q16/8</f>
        <v>#REF!</v>
      </c>
      <c r="DI20" s="128" t="e">
        <f>'PROJECT TA Y TB KARINA'!$R16/8</f>
        <v>#REF!</v>
      </c>
      <c r="DJ20" s="128" t="e">
        <f>'PROJECT TA Y TB KARINA'!$R16/8</f>
        <v>#REF!</v>
      </c>
      <c r="DK20" s="128" t="e">
        <f>'PROJECT TA Y TB KARINA'!$R16/8</f>
        <v>#REF!</v>
      </c>
      <c r="DL20" s="128" t="e">
        <f>'PROJECT TA Y TB KARINA'!$R16/8</f>
        <v>#REF!</v>
      </c>
      <c r="DM20" s="128" t="e">
        <f>'PROJECT TA Y TB KARINA'!$R16/8</f>
        <v>#REF!</v>
      </c>
      <c r="DN20" s="128" t="e">
        <f>'PROJECT TA Y TB KARINA'!$R16/8</f>
        <v>#REF!</v>
      </c>
      <c r="DO20" s="128" t="e">
        <f>'PROJECT TA Y TB KARINA'!$R16/8</f>
        <v>#REF!</v>
      </c>
      <c r="DP20" s="128" t="e">
        <f>'PROJECT TA Y TB KARINA'!$R16/8</f>
        <v>#REF!</v>
      </c>
      <c r="DQ20" s="128" t="e">
        <f>'PROJECT TA Y TB KARINA'!$S16/8</f>
        <v>#REF!</v>
      </c>
      <c r="DR20" s="128" t="e">
        <f>'PROJECT TA Y TB KARINA'!$S16/8</f>
        <v>#REF!</v>
      </c>
      <c r="DS20" s="128" t="e">
        <f>'PROJECT TA Y TB KARINA'!$S16/8</f>
        <v>#REF!</v>
      </c>
      <c r="DT20" s="128" t="e">
        <f>'PROJECT TA Y TB KARINA'!$S16/8</f>
        <v>#REF!</v>
      </c>
      <c r="DU20" s="128" t="e">
        <f>'PROJECT TA Y TB KARINA'!$S16/8</f>
        <v>#REF!</v>
      </c>
      <c r="DV20" s="128" t="e">
        <f>'PROJECT TA Y TB KARINA'!$S16/8</f>
        <v>#REF!</v>
      </c>
      <c r="DW20" s="128" t="e">
        <f>'PROJECT TA Y TB KARINA'!$S16/8</f>
        <v>#REF!</v>
      </c>
      <c r="DX20" s="128" t="e">
        <f>'PROJECT TA Y TB KARINA'!$S16/8</f>
        <v>#REF!</v>
      </c>
      <c r="DY20" s="128" t="e">
        <f>'PROJECT TA Y TB KARINA'!$T16/8</f>
        <v>#REF!</v>
      </c>
      <c r="DZ20" s="128" t="e">
        <f>'PROJECT TA Y TB KARINA'!$T16/8</f>
        <v>#REF!</v>
      </c>
      <c r="EA20" s="128" t="e">
        <f>'PROJECT TA Y TB KARINA'!$T16/8</f>
        <v>#REF!</v>
      </c>
      <c r="EB20" s="128" t="e">
        <f>'PROJECT TA Y TB KARINA'!$T16/8</f>
        <v>#REF!</v>
      </c>
      <c r="EC20" s="128" t="e">
        <f>'PROJECT TA Y TB KARINA'!$T16/8</f>
        <v>#REF!</v>
      </c>
      <c r="ED20" s="128" t="e">
        <f>'PROJECT TA Y TB KARINA'!$T16/8</f>
        <v>#REF!</v>
      </c>
      <c r="EE20" s="128" t="e">
        <f>'PROJECT TA Y TB KARINA'!$T16/8</f>
        <v>#REF!</v>
      </c>
      <c r="EF20" s="128" t="e">
        <f>'PROJECT TA Y TB KARINA'!$T16/8</f>
        <v>#REF!</v>
      </c>
      <c r="EG20" s="128" t="e">
        <f>'PROJECT TA Y TB KARINA'!#REF!/8</f>
        <v>#REF!</v>
      </c>
      <c r="EH20" s="128" t="e">
        <f>'PROJECT TA Y TB KARINA'!#REF!/8</f>
        <v>#REF!</v>
      </c>
      <c r="EI20" s="128" t="e">
        <f>'PROJECT TA Y TB KARINA'!#REF!/8</f>
        <v>#REF!</v>
      </c>
      <c r="EJ20" s="128" t="e">
        <f>'PROJECT TA Y TB KARINA'!#REF!/8</f>
        <v>#REF!</v>
      </c>
      <c r="EK20" s="128" t="e">
        <f>'PROJECT TA Y TB KARINA'!#REF!/8</f>
        <v>#REF!</v>
      </c>
      <c r="EL20" s="128" t="e">
        <f>'PROJECT TA Y TB KARINA'!#REF!/8</f>
        <v>#REF!</v>
      </c>
      <c r="EM20" s="128" t="e">
        <f>'PROJECT TA Y TB KARINA'!#REF!/8</f>
        <v>#REF!</v>
      </c>
      <c r="EN20" s="128" t="e">
        <f>'PROJECT TA Y TB KARINA'!#REF!/8</f>
        <v>#REF!</v>
      </c>
      <c r="EO20" s="128">
        <f>'PROJECT TA Y TB KARINA'!$C74/8</f>
        <v>0</v>
      </c>
      <c r="EP20" s="128">
        <f>'PROJECT TA Y TB KARINA'!$C74/8</f>
        <v>0</v>
      </c>
      <c r="EQ20" s="128">
        <f>'PROJECT TA Y TB KARINA'!$C74/8</f>
        <v>0</v>
      </c>
      <c r="ER20" s="128">
        <f>'PROJECT TA Y TB KARINA'!$C74/8</f>
        <v>0</v>
      </c>
      <c r="ES20" s="128">
        <f>'PROJECT TA Y TB KARINA'!$C74/8</f>
        <v>0</v>
      </c>
      <c r="ET20" s="128">
        <f>'PROJECT TA Y TB KARINA'!$C74/8</f>
        <v>0</v>
      </c>
      <c r="EU20" s="128">
        <f>'PROJECT TA Y TB KARINA'!$C74/8</f>
        <v>0</v>
      </c>
      <c r="EV20" s="128">
        <f>'PROJECT TA Y TB KARINA'!$E74/8</f>
        <v>0</v>
      </c>
      <c r="EW20" s="128">
        <f>'PROJECT TA Y TB KARINA'!$E74/8</f>
        <v>0</v>
      </c>
      <c r="EX20" s="128">
        <f>'PROJECT TA Y TB KARINA'!$E74/8</f>
        <v>0</v>
      </c>
      <c r="EY20" s="128">
        <f>'PROJECT TA Y TB KARINA'!$E74/8</f>
        <v>0</v>
      </c>
      <c r="EZ20" s="128">
        <f>'PROJECT TA Y TB KARINA'!$E74/8</f>
        <v>0</v>
      </c>
      <c r="FA20" s="128">
        <f>'PROJECT TA Y TB KARINA'!$E74/8</f>
        <v>0</v>
      </c>
      <c r="FB20" s="128">
        <f>'PROJECT TA Y TB KARINA'!$E74/8</f>
        <v>0</v>
      </c>
      <c r="FC20" s="128">
        <f>'PROJECT TA Y TB KARINA'!$E74/8</f>
        <v>0</v>
      </c>
      <c r="FD20" s="128">
        <f>'PROJECT TA Y TB KARINA'!$F74/8</f>
        <v>0</v>
      </c>
      <c r="FE20" s="128">
        <f>'PROJECT TA Y TB KARINA'!$F74/8</f>
        <v>0</v>
      </c>
      <c r="FF20" s="128">
        <f>'PROJECT TA Y TB KARINA'!$F74/8</f>
        <v>0</v>
      </c>
      <c r="FG20" s="128">
        <f>'PROJECT TA Y TB KARINA'!$F74/8</f>
        <v>0</v>
      </c>
      <c r="FH20" s="128">
        <f>'PROJECT TA Y TB KARINA'!$F74/8</f>
        <v>0</v>
      </c>
      <c r="FI20" s="128">
        <f>'PROJECT TA Y TB KARINA'!$F74/8</f>
        <v>0</v>
      </c>
      <c r="FJ20" s="128">
        <f>'PROJECT TA Y TB KARINA'!$F74/8</f>
        <v>0</v>
      </c>
      <c r="FK20" s="128">
        <f>'PROJECT TA Y TB KARINA'!$F74/8</f>
        <v>0</v>
      </c>
      <c r="FL20" s="128">
        <f>'PROJECT TA Y TB KARINA'!$G74/8</f>
        <v>0</v>
      </c>
      <c r="FM20" s="128">
        <f>'PROJECT TA Y TB KARINA'!$G74/8</f>
        <v>0</v>
      </c>
      <c r="FN20" s="128">
        <f>'PROJECT TA Y TB KARINA'!$G74/8</f>
        <v>0</v>
      </c>
      <c r="FO20" s="128">
        <f>'PROJECT TA Y TB KARINA'!$G74/8</f>
        <v>0</v>
      </c>
      <c r="FP20" s="128">
        <f>'PROJECT TA Y TB KARINA'!$G74/8</f>
        <v>0</v>
      </c>
      <c r="FQ20" s="128">
        <f>'PROJECT TA Y TB KARINA'!$G74/8</f>
        <v>0</v>
      </c>
      <c r="FR20" s="128">
        <f>'PROJECT TA Y TB KARINA'!$G74/8</f>
        <v>0</v>
      </c>
      <c r="FS20" s="128">
        <f>'PROJECT TA Y TB KARINA'!$G74/8</f>
        <v>0</v>
      </c>
      <c r="FT20" s="128">
        <f>'PROJECT TA Y TB KARINA'!$H74/8</f>
        <v>0</v>
      </c>
      <c r="FU20" s="128">
        <f>'PROJECT TA Y TB KARINA'!$H74/8</f>
        <v>0</v>
      </c>
      <c r="FV20" s="128">
        <f>'PROJECT TA Y TB KARINA'!$H74/8</f>
        <v>0</v>
      </c>
      <c r="FW20" s="128">
        <f>'PROJECT TA Y TB KARINA'!$H74/8</f>
        <v>0</v>
      </c>
      <c r="FX20" s="128">
        <f>'PROJECT TA Y TB KARINA'!$H74/8</f>
        <v>0</v>
      </c>
      <c r="FY20" s="128">
        <f>'PROJECT TA Y TB KARINA'!$H74/8</f>
        <v>0</v>
      </c>
      <c r="FZ20" s="128">
        <f>'PROJECT TA Y TB KARINA'!$H74/8</f>
        <v>0</v>
      </c>
      <c r="GA20" s="128">
        <f>'PROJECT TA Y TB KARINA'!$H74/8</f>
        <v>0</v>
      </c>
      <c r="GB20" s="128">
        <f>'PROJECT TA Y TB KARINA'!$I74/8</f>
        <v>0</v>
      </c>
      <c r="GC20" s="128">
        <f>'PROJECT TA Y TB KARINA'!$I74/8</f>
        <v>0</v>
      </c>
      <c r="GD20" s="128">
        <f>'PROJECT TA Y TB KARINA'!$I74/8</f>
        <v>0</v>
      </c>
      <c r="GE20" s="128">
        <f>'PROJECT TA Y TB KARINA'!$I74/8</f>
        <v>0</v>
      </c>
      <c r="GF20" s="128">
        <f>'PROJECT TA Y TB KARINA'!$I74/8</f>
        <v>0</v>
      </c>
      <c r="GG20" s="128">
        <f>'PROJECT TA Y TB KARINA'!$I74/8</f>
        <v>0</v>
      </c>
      <c r="GH20" s="128">
        <f>'PROJECT TA Y TB KARINA'!$I74/8</f>
        <v>0</v>
      </c>
      <c r="GI20" s="128">
        <f>'PROJECT TA Y TB KARINA'!$I74/8</f>
        <v>0</v>
      </c>
      <c r="GJ20" s="128">
        <f>'PROJECT TA Y TB KARINA'!$J74/8</f>
        <v>0</v>
      </c>
      <c r="GK20" s="128">
        <f>'PROJECT TA Y TB KARINA'!$J74/8</f>
        <v>0</v>
      </c>
      <c r="GL20" s="128">
        <f>'PROJECT TA Y TB KARINA'!$J74/8</f>
        <v>0</v>
      </c>
      <c r="GM20" s="128">
        <f>'PROJECT TA Y TB KARINA'!$J74/8</f>
        <v>0</v>
      </c>
      <c r="GN20" s="128">
        <f>'PROJECT TA Y TB KARINA'!$J74/8</f>
        <v>0</v>
      </c>
      <c r="GO20" s="128">
        <f>'PROJECT TA Y TB KARINA'!$J74/8</f>
        <v>0</v>
      </c>
      <c r="GP20" s="128">
        <f>'PROJECT TA Y TB KARINA'!$J74/8</f>
        <v>0</v>
      </c>
      <c r="GQ20" s="128">
        <f>'PROJECT TA Y TB KARINA'!$J74/8</f>
        <v>0</v>
      </c>
      <c r="GR20" s="128">
        <f>'PROJECT TA Y TB KARINA'!$K74/8</f>
        <v>0</v>
      </c>
      <c r="GS20" s="128">
        <f>'PROJECT TA Y TB KARINA'!$K74/8</f>
        <v>0</v>
      </c>
      <c r="GT20" s="128">
        <f>'PROJECT TA Y TB KARINA'!$K74/8</f>
        <v>0</v>
      </c>
      <c r="GU20" s="128">
        <f>'PROJECT TA Y TB KARINA'!$K74/8</f>
        <v>0</v>
      </c>
      <c r="GV20" s="128">
        <f>'PROJECT TA Y TB KARINA'!$K74/8</f>
        <v>0</v>
      </c>
      <c r="GW20" s="128">
        <f>'PROJECT TA Y TB KARINA'!$K74/8</f>
        <v>0</v>
      </c>
      <c r="GX20" s="128">
        <f>'PROJECT TA Y TB KARINA'!$K74/8</f>
        <v>0</v>
      </c>
      <c r="GY20" s="128">
        <f>'PROJECT TA Y TB KARINA'!$K74/8</f>
        <v>0</v>
      </c>
      <c r="GZ20" s="128">
        <f>'PROJECT TA Y TB KARINA'!$L74/8</f>
        <v>0</v>
      </c>
      <c r="HA20" s="128">
        <f>'PROJECT TA Y TB KARINA'!$L74/8</f>
        <v>0</v>
      </c>
      <c r="HB20" s="128">
        <f>'PROJECT TA Y TB KARINA'!$L74/8</f>
        <v>0</v>
      </c>
      <c r="HC20" s="128">
        <f>'PROJECT TA Y TB KARINA'!$L74/8</f>
        <v>0</v>
      </c>
      <c r="HD20" s="128">
        <f>'PROJECT TA Y TB KARINA'!$L74/8</f>
        <v>0</v>
      </c>
      <c r="HE20" s="128">
        <f>'PROJECT TA Y TB KARINA'!$L74/8</f>
        <v>0</v>
      </c>
      <c r="HF20" s="128">
        <f>'PROJECT TA Y TB KARINA'!$L74/8</f>
        <v>0</v>
      </c>
      <c r="HG20" s="128">
        <f>'PROJECT TA Y TB KARINA'!$L74/8</f>
        <v>0</v>
      </c>
      <c r="HH20" s="128">
        <f>'PROJECT TA Y TB KARINA'!$M74/8</f>
        <v>0</v>
      </c>
      <c r="HI20" s="128">
        <f>'PROJECT TA Y TB KARINA'!$M74/8</f>
        <v>0</v>
      </c>
      <c r="HJ20" s="128">
        <f>'PROJECT TA Y TB KARINA'!$M74/8</f>
        <v>0</v>
      </c>
      <c r="HK20" s="128">
        <f>'PROJECT TA Y TB KARINA'!$M74/8</f>
        <v>0</v>
      </c>
      <c r="HL20" s="128">
        <f>'PROJECT TA Y TB KARINA'!$M74/8</f>
        <v>0</v>
      </c>
      <c r="HM20" s="128">
        <f>'PROJECT TA Y TB KARINA'!$M74/8</f>
        <v>0</v>
      </c>
      <c r="HN20" s="128">
        <f>'PROJECT TA Y TB KARINA'!$M74/8</f>
        <v>0</v>
      </c>
      <c r="HO20" s="128">
        <f>'PROJECT TA Y TB KARINA'!$M74/8</f>
        <v>0</v>
      </c>
      <c r="HP20" s="128">
        <f>'PROJECT TA Y TB KARINA'!$N74/8</f>
        <v>0</v>
      </c>
      <c r="HQ20" s="128">
        <f>'PROJECT TA Y TB KARINA'!$N74/8</f>
        <v>0</v>
      </c>
      <c r="HR20" s="128">
        <f>'PROJECT TA Y TB KARINA'!$N74/8</f>
        <v>0</v>
      </c>
      <c r="HS20" s="128">
        <f>'PROJECT TA Y TB KARINA'!$N74/8</f>
        <v>0</v>
      </c>
      <c r="HT20" s="128">
        <f>'PROJECT TA Y TB KARINA'!$N74/8</f>
        <v>0</v>
      </c>
      <c r="HU20" s="128">
        <f>'PROJECT TA Y TB KARINA'!$N74/8</f>
        <v>0</v>
      </c>
      <c r="HV20" s="128">
        <f>'PROJECT TA Y TB KARINA'!$N74/8</f>
        <v>0</v>
      </c>
      <c r="HW20" s="128">
        <f>'PROJECT TA Y TB KARINA'!$N74/8</f>
        <v>0</v>
      </c>
      <c r="HX20" s="128">
        <f>'PROJECT TA Y TB KARINA'!$O74/8</f>
        <v>0</v>
      </c>
      <c r="HY20" s="128">
        <f>'PROJECT TA Y TB KARINA'!$O74/8</f>
        <v>0</v>
      </c>
      <c r="HZ20" s="128">
        <f>'PROJECT TA Y TB KARINA'!$O74/8</f>
        <v>0</v>
      </c>
      <c r="IA20" s="128">
        <f>'PROJECT TA Y TB KARINA'!$O74/8</f>
        <v>0</v>
      </c>
      <c r="IB20" s="128">
        <f>'PROJECT TA Y TB KARINA'!$O74/8</f>
        <v>0</v>
      </c>
      <c r="IC20" s="128">
        <f>'PROJECT TA Y TB KARINA'!$O74/8</f>
        <v>0</v>
      </c>
      <c r="ID20" s="128">
        <f>'PROJECT TA Y TB KARINA'!$O74/8</f>
        <v>0</v>
      </c>
      <c r="IE20" s="128">
        <f>'PROJECT TA Y TB KARINA'!$O74/8</f>
        <v>0</v>
      </c>
      <c r="IF20" s="128">
        <f>'PROJECT TA Y TB KARINA'!$P74/8</f>
        <v>0</v>
      </c>
      <c r="IG20" s="128">
        <f>'PROJECT TA Y TB KARINA'!$P74/8</f>
        <v>0</v>
      </c>
      <c r="IH20" s="128">
        <f>'PROJECT TA Y TB KARINA'!$P74/8</f>
        <v>0</v>
      </c>
      <c r="II20" s="128">
        <f>'PROJECT TA Y TB KARINA'!$P74/8</f>
        <v>0</v>
      </c>
      <c r="IJ20" s="128">
        <f>'PROJECT TA Y TB KARINA'!$P74/8</f>
        <v>0</v>
      </c>
      <c r="IK20" s="128">
        <f>'PROJECT TA Y TB KARINA'!$P74/8</f>
        <v>0</v>
      </c>
      <c r="IL20" s="128">
        <f>'PROJECT TA Y TB KARINA'!$P74/8</f>
        <v>0</v>
      </c>
      <c r="IM20" s="128">
        <f>'PROJECT TA Y TB KARINA'!$P74/8</f>
        <v>0</v>
      </c>
      <c r="IN20" s="128">
        <f>'PROJECT TA Y TB KARINA'!$Q74/8</f>
        <v>0</v>
      </c>
      <c r="IO20" s="128">
        <f>'PROJECT TA Y TB KARINA'!$Q74/8</f>
        <v>0</v>
      </c>
      <c r="IP20" s="128">
        <f>'PROJECT TA Y TB KARINA'!$Q74/8</f>
        <v>0</v>
      </c>
      <c r="IQ20" s="128">
        <f>'PROJECT TA Y TB KARINA'!$Q74/8</f>
        <v>0</v>
      </c>
      <c r="IR20" s="128">
        <f>'PROJECT TA Y TB KARINA'!$Q74/8</f>
        <v>0</v>
      </c>
      <c r="IS20" s="128">
        <f>'PROJECT TA Y TB KARINA'!$Q74/8</f>
        <v>0</v>
      </c>
      <c r="IT20" s="128">
        <f>'PROJECT TA Y TB KARINA'!$Q74/8</f>
        <v>0</v>
      </c>
      <c r="IU20" s="128">
        <f>'PROJECT TA Y TB KARINA'!$Q74/8</f>
        <v>0</v>
      </c>
      <c r="IV20" s="128">
        <f>'PROJECT TA Y TB KARINA'!$R74/8</f>
        <v>0</v>
      </c>
      <c r="IW20" s="128">
        <f>'PROJECT TA Y TB KARINA'!$R74/8</f>
        <v>0</v>
      </c>
      <c r="IX20" s="128">
        <f>'PROJECT TA Y TB KARINA'!$R74/8</f>
        <v>0</v>
      </c>
      <c r="IY20" s="128">
        <f>'PROJECT TA Y TB KARINA'!$R74/8</f>
        <v>0</v>
      </c>
      <c r="IZ20" s="128">
        <f>'PROJECT TA Y TB KARINA'!$R74/8</f>
        <v>0</v>
      </c>
      <c r="JA20" s="128">
        <f>'PROJECT TA Y TB KARINA'!$R74/8</f>
        <v>0</v>
      </c>
      <c r="JB20" s="128">
        <f>'PROJECT TA Y TB KARINA'!$R74/8</f>
        <v>0</v>
      </c>
      <c r="JC20" s="128">
        <f>'PROJECT TA Y TB KARINA'!$R74/8</f>
        <v>0</v>
      </c>
      <c r="JD20" s="128">
        <f>'PROJECT TA Y TB KARINA'!$S74/8</f>
        <v>0</v>
      </c>
      <c r="JE20" s="128">
        <f>'PROJECT TA Y TB KARINA'!$S74/8</f>
        <v>0</v>
      </c>
      <c r="JF20" s="128">
        <f>'PROJECT TA Y TB KARINA'!$S74/8</f>
        <v>0</v>
      </c>
      <c r="JG20" s="128">
        <f>'PROJECT TA Y TB KARINA'!$S74/8</f>
        <v>0</v>
      </c>
      <c r="JH20" s="128">
        <f>'PROJECT TA Y TB KARINA'!$S74/8</f>
        <v>0</v>
      </c>
      <c r="JI20" s="128">
        <f>'PROJECT TA Y TB KARINA'!$S74/8</f>
        <v>0</v>
      </c>
      <c r="JJ20" s="128">
        <f>'PROJECT TA Y TB KARINA'!$S74/8</f>
        <v>0</v>
      </c>
      <c r="JK20" s="128">
        <f>'PROJECT TA Y TB KARINA'!$S74/8</f>
        <v>0</v>
      </c>
      <c r="JL20" s="128">
        <f>'PROJECT TA Y TB KARINA'!$T74/8</f>
        <v>0</v>
      </c>
      <c r="JM20" s="128">
        <f>'PROJECT TA Y TB KARINA'!$T74/8</f>
        <v>0</v>
      </c>
      <c r="JN20" s="128">
        <f>'PROJECT TA Y TB KARINA'!$T74/8</f>
        <v>0</v>
      </c>
      <c r="JO20" s="128">
        <f>'PROJECT TA Y TB KARINA'!$T74/8</f>
        <v>0</v>
      </c>
      <c r="JP20" s="128">
        <f>'PROJECT TA Y TB KARINA'!$T74/8</f>
        <v>0</v>
      </c>
      <c r="JQ20" s="128">
        <f>'PROJECT TA Y TB KARINA'!$T74/8</f>
        <v>0</v>
      </c>
      <c r="JR20" s="128">
        <f>'PROJECT TA Y TB KARINA'!$T74/8</f>
        <v>0</v>
      </c>
      <c r="JS20" s="128">
        <f>'PROJECT TA Y TB KARINA'!$T74/8</f>
        <v>0</v>
      </c>
      <c r="JT20" s="128" t="e">
        <f>'PROJECT TA Y TB KARINA'!#REF!/8</f>
        <v>#REF!</v>
      </c>
      <c r="JU20" s="128" t="e">
        <f>'PROJECT TA Y TB KARINA'!#REF!/8</f>
        <v>#REF!</v>
      </c>
      <c r="JV20" s="128" t="e">
        <f>'PROJECT TA Y TB KARINA'!#REF!/8</f>
        <v>#REF!</v>
      </c>
      <c r="JW20" s="128" t="e">
        <f>'PROJECT TA Y TB KARINA'!#REF!/8</f>
        <v>#REF!</v>
      </c>
      <c r="JX20" s="128" t="e">
        <f>'PROJECT TA Y TB KARINA'!#REF!/8</f>
        <v>#REF!</v>
      </c>
      <c r="JY20" s="128" t="e">
        <f>'PROJECT TA Y TB KARINA'!#REF!/8</f>
        <v>#REF!</v>
      </c>
      <c r="JZ20" s="128" t="e">
        <f>'PROJECT TA Y TB KARINA'!#REF!/8</f>
        <v>#REF!</v>
      </c>
      <c r="KA20" s="128" t="e">
        <f>'PROJECT TA Y TB KARINA'!#REF!/8</f>
        <v>#REF!</v>
      </c>
    </row>
    <row r="21" spans="1:287" ht="21">
      <c r="A21" s="130" t="s">
        <v>474</v>
      </c>
      <c r="B21" s="128" t="e">
        <f>'PROJECT TA Y TB KARINA'!$C$17/8</f>
        <v>#REF!</v>
      </c>
      <c r="C21" s="128" t="e">
        <f>'PROJECT TA Y TB KARINA'!$C$17/8</f>
        <v>#REF!</v>
      </c>
      <c r="D21" s="128" t="e">
        <f>'PROJECT TA Y TB KARINA'!$C$17/8</f>
        <v>#REF!</v>
      </c>
      <c r="E21" s="128" t="e">
        <f>'PROJECT TA Y TB KARINA'!$C$17/8</f>
        <v>#REF!</v>
      </c>
      <c r="F21" s="128" t="e">
        <f>'PROJECT TA Y TB KARINA'!$C$17/8</f>
        <v>#REF!</v>
      </c>
      <c r="G21" s="128" t="e">
        <f>'PROJECT TA Y TB KARINA'!$C$17/8</f>
        <v>#REF!</v>
      </c>
      <c r="H21" s="128" t="e">
        <f>'PROJECT TA Y TB KARINA'!$C$17/8</f>
        <v>#REF!</v>
      </c>
      <c r="I21" s="128" t="e">
        <f>'PROJECT TA Y TB KARINA'!$E17/8</f>
        <v>#REF!</v>
      </c>
      <c r="J21" s="128" t="e">
        <f>'PROJECT TA Y TB KARINA'!$E17/8</f>
        <v>#REF!</v>
      </c>
      <c r="K21" s="128" t="e">
        <f>'PROJECT TA Y TB KARINA'!$E17/8</f>
        <v>#REF!</v>
      </c>
      <c r="L21" s="128" t="e">
        <f>'PROJECT TA Y TB KARINA'!$E17/8</f>
        <v>#REF!</v>
      </c>
      <c r="M21" s="128" t="e">
        <f>'PROJECT TA Y TB KARINA'!$E17/8</f>
        <v>#REF!</v>
      </c>
      <c r="N21" s="128" t="e">
        <f>'PROJECT TA Y TB KARINA'!$E17/8</f>
        <v>#REF!</v>
      </c>
      <c r="O21" s="128" t="e">
        <f>'PROJECT TA Y TB KARINA'!$E17/8</f>
        <v>#REF!</v>
      </c>
      <c r="P21" s="128" t="e">
        <f>'PROJECT TA Y TB KARINA'!$E17/8</f>
        <v>#REF!</v>
      </c>
      <c r="Q21" s="128" t="e">
        <f>'PROJECT TA Y TB KARINA'!$F17/8</f>
        <v>#REF!</v>
      </c>
      <c r="R21" s="128" t="e">
        <f>'PROJECT TA Y TB KARINA'!$F17/8</f>
        <v>#REF!</v>
      </c>
      <c r="S21" s="128" t="e">
        <f>'PROJECT TA Y TB KARINA'!$F17/8</f>
        <v>#REF!</v>
      </c>
      <c r="T21" s="128" t="e">
        <f>'PROJECT TA Y TB KARINA'!$F17/8</f>
        <v>#REF!</v>
      </c>
      <c r="U21" s="128" t="e">
        <f>'PROJECT TA Y TB KARINA'!$F17/8</f>
        <v>#REF!</v>
      </c>
      <c r="V21" s="128" t="e">
        <f>'PROJECT TA Y TB KARINA'!$F17/8</f>
        <v>#REF!</v>
      </c>
      <c r="W21" s="128" t="e">
        <f>'PROJECT TA Y TB KARINA'!$F17/8</f>
        <v>#REF!</v>
      </c>
      <c r="X21" s="128" t="e">
        <f>'PROJECT TA Y TB KARINA'!$F17/8</f>
        <v>#REF!</v>
      </c>
      <c r="Y21" s="128" t="e">
        <f>'PROJECT TA Y TB KARINA'!$G17/8</f>
        <v>#REF!</v>
      </c>
      <c r="Z21" s="128" t="e">
        <f>'PROJECT TA Y TB KARINA'!$G17/8</f>
        <v>#REF!</v>
      </c>
      <c r="AA21" s="128" t="e">
        <f>'PROJECT TA Y TB KARINA'!$G17/8</f>
        <v>#REF!</v>
      </c>
      <c r="AB21" s="128" t="e">
        <f>'PROJECT TA Y TB KARINA'!$G17/8</f>
        <v>#REF!</v>
      </c>
      <c r="AC21" s="128" t="e">
        <f>'PROJECT TA Y TB KARINA'!$G17/8</f>
        <v>#REF!</v>
      </c>
      <c r="AD21" s="128" t="e">
        <f>'PROJECT TA Y TB KARINA'!$G17/8</f>
        <v>#REF!</v>
      </c>
      <c r="AE21" s="128" t="e">
        <f>'PROJECT TA Y TB KARINA'!$G17/8</f>
        <v>#REF!</v>
      </c>
      <c r="AF21" s="128" t="e">
        <f>'PROJECT TA Y TB KARINA'!$G17/8</f>
        <v>#REF!</v>
      </c>
      <c r="AG21" s="128" t="e">
        <f>'PROJECT TA Y TB KARINA'!$H17/8</f>
        <v>#REF!</v>
      </c>
      <c r="AH21" s="128" t="e">
        <f>'PROJECT TA Y TB KARINA'!$H17/8</f>
        <v>#REF!</v>
      </c>
      <c r="AI21" s="128" t="e">
        <f>'PROJECT TA Y TB KARINA'!$H17/8</f>
        <v>#REF!</v>
      </c>
      <c r="AJ21" s="128" t="e">
        <f>'PROJECT TA Y TB KARINA'!$H17/8</f>
        <v>#REF!</v>
      </c>
      <c r="AK21" s="128" t="e">
        <f>'PROJECT TA Y TB KARINA'!$H17/8</f>
        <v>#REF!</v>
      </c>
      <c r="AL21" s="128" t="e">
        <f>'PROJECT TA Y TB KARINA'!$H17/8</f>
        <v>#REF!</v>
      </c>
      <c r="AM21" s="128" t="e">
        <f>'PROJECT TA Y TB KARINA'!$H17/8</f>
        <v>#REF!</v>
      </c>
      <c r="AN21" s="128" t="e">
        <f>'PROJECT TA Y TB KARINA'!$H17/8</f>
        <v>#REF!</v>
      </c>
      <c r="AO21" s="128" t="e">
        <f>'PROJECT TA Y TB KARINA'!$I17/8</f>
        <v>#REF!</v>
      </c>
      <c r="AP21" s="128" t="e">
        <f>'PROJECT TA Y TB KARINA'!$I17/8</f>
        <v>#REF!</v>
      </c>
      <c r="AQ21" s="128" t="e">
        <f>'PROJECT TA Y TB KARINA'!$I17/8</f>
        <v>#REF!</v>
      </c>
      <c r="AR21" s="128" t="e">
        <f>'PROJECT TA Y TB KARINA'!$I17/8</f>
        <v>#REF!</v>
      </c>
      <c r="AS21" s="128" t="e">
        <f>'PROJECT TA Y TB KARINA'!$I17/8</f>
        <v>#REF!</v>
      </c>
      <c r="AT21" s="128" t="e">
        <f>'PROJECT TA Y TB KARINA'!$I17/8</f>
        <v>#REF!</v>
      </c>
      <c r="AU21" s="128" t="e">
        <f>'PROJECT TA Y TB KARINA'!$I17/8</f>
        <v>#REF!</v>
      </c>
      <c r="AV21" s="128" t="e">
        <f>'PROJECT TA Y TB KARINA'!$I17/8</f>
        <v>#REF!</v>
      </c>
      <c r="AW21" s="128" t="e">
        <f>'PROJECT TA Y TB KARINA'!$J17/8</f>
        <v>#REF!</v>
      </c>
      <c r="AX21" s="128" t="e">
        <f>'PROJECT TA Y TB KARINA'!$J17/8</f>
        <v>#REF!</v>
      </c>
      <c r="AY21" s="128" t="e">
        <f>'PROJECT TA Y TB KARINA'!$J17/8</f>
        <v>#REF!</v>
      </c>
      <c r="AZ21" s="128" t="e">
        <f>'PROJECT TA Y TB KARINA'!$J17/8</f>
        <v>#REF!</v>
      </c>
      <c r="BA21" s="128" t="e">
        <f>'PROJECT TA Y TB KARINA'!$J17/8</f>
        <v>#REF!</v>
      </c>
      <c r="BB21" s="128" t="e">
        <f>'PROJECT TA Y TB KARINA'!$J17/8</f>
        <v>#REF!</v>
      </c>
      <c r="BC21" s="128" t="e">
        <f>'PROJECT TA Y TB KARINA'!$J17/8</f>
        <v>#REF!</v>
      </c>
      <c r="BD21" s="128" t="e">
        <f>'PROJECT TA Y TB KARINA'!$J17/8</f>
        <v>#REF!</v>
      </c>
      <c r="BE21" s="128" t="e">
        <f>'PROJECT TA Y TB KARINA'!$K17/8</f>
        <v>#REF!</v>
      </c>
      <c r="BF21" s="128" t="e">
        <f>'PROJECT TA Y TB KARINA'!$K17/8</f>
        <v>#REF!</v>
      </c>
      <c r="BG21" s="128" t="e">
        <f>'PROJECT TA Y TB KARINA'!$K17/8</f>
        <v>#REF!</v>
      </c>
      <c r="BH21" s="128" t="e">
        <f>'PROJECT TA Y TB KARINA'!$K17/8</f>
        <v>#REF!</v>
      </c>
      <c r="BI21" s="128" t="e">
        <f>'PROJECT TA Y TB KARINA'!$K17/8</f>
        <v>#REF!</v>
      </c>
      <c r="BJ21" s="128" t="e">
        <f>'PROJECT TA Y TB KARINA'!$K17/8</f>
        <v>#REF!</v>
      </c>
      <c r="BK21" s="128" t="e">
        <f>'PROJECT TA Y TB KARINA'!$K17/8</f>
        <v>#REF!</v>
      </c>
      <c r="BL21" s="128" t="e">
        <f>'PROJECT TA Y TB KARINA'!$K17/8</f>
        <v>#REF!</v>
      </c>
      <c r="BM21" s="128" t="e">
        <f>'PROJECT TA Y TB KARINA'!$L17/8</f>
        <v>#REF!</v>
      </c>
      <c r="BN21" s="128" t="e">
        <f>'PROJECT TA Y TB KARINA'!$L17/8</f>
        <v>#REF!</v>
      </c>
      <c r="BO21" s="128" t="e">
        <f>'PROJECT TA Y TB KARINA'!$L17/8</f>
        <v>#REF!</v>
      </c>
      <c r="BP21" s="128" t="e">
        <f>'PROJECT TA Y TB KARINA'!$L17/8</f>
        <v>#REF!</v>
      </c>
      <c r="BQ21" s="128" t="e">
        <f>'PROJECT TA Y TB KARINA'!$L17/8</f>
        <v>#REF!</v>
      </c>
      <c r="BR21" s="128" t="e">
        <f>'PROJECT TA Y TB KARINA'!$L17/8</f>
        <v>#REF!</v>
      </c>
      <c r="BS21" s="128" t="e">
        <f>'PROJECT TA Y TB KARINA'!$L17/8</f>
        <v>#REF!</v>
      </c>
      <c r="BT21" s="128" t="e">
        <f>'PROJECT TA Y TB KARINA'!$L17/8</f>
        <v>#REF!</v>
      </c>
      <c r="BU21" s="128" t="e">
        <f>'PROJECT TA Y TB KARINA'!$M17/8</f>
        <v>#REF!</v>
      </c>
      <c r="BV21" s="128" t="e">
        <f>'PROJECT TA Y TB KARINA'!$M17/8</f>
        <v>#REF!</v>
      </c>
      <c r="BW21" s="128" t="e">
        <f>'PROJECT TA Y TB KARINA'!$M17/8</f>
        <v>#REF!</v>
      </c>
      <c r="BX21" s="128" t="e">
        <f>'PROJECT TA Y TB KARINA'!$M17/8</f>
        <v>#REF!</v>
      </c>
      <c r="BY21" s="128" t="e">
        <f>'PROJECT TA Y TB KARINA'!$M17/8</f>
        <v>#REF!</v>
      </c>
      <c r="BZ21" s="128" t="e">
        <f>'PROJECT TA Y TB KARINA'!$M17/8</f>
        <v>#REF!</v>
      </c>
      <c r="CA21" s="128" t="e">
        <f>'PROJECT TA Y TB KARINA'!$M17/8</f>
        <v>#REF!</v>
      </c>
      <c r="CB21" s="128" t="e">
        <f>'PROJECT TA Y TB KARINA'!$M17/8</f>
        <v>#REF!</v>
      </c>
      <c r="CC21" s="128" t="e">
        <f>'PROJECT TA Y TB KARINA'!$N17/8</f>
        <v>#REF!</v>
      </c>
      <c r="CD21" s="128" t="e">
        <f>'PROJECT TA Y TB KARINA'!$N17/8</f>
        <v>#REF!</v>
      </c>
      <c r="CE21" s="128" t="e">
        <f>'PROJECT TA Y TB KARINA'!$N17/8</f>
        <v>#REF!</v>
      </c>
      <c r="CF21" s="128" t="e">
        <f>'PROJECT TA Y TB KARINA'!$N17/8</f>
        <v>#REF!</v>
      </c>
      <c r="CG21" s="128" t="e">
        <f>'PROJECT TA Y TB KARINA'!$N17/8</f>
        <v>#REF!</v>
      </c>
      <c r="CH21" s="128" t="e">
        <f>'PROJECT TA Y TB KARINA'!$N17/8</f>
        <v>#REF!</v>
      </c>
      <c r="CI21" s="128" t="e">
        <f>'PROJECT TA Y TB KARINA'!$N17/8</f>
        <v>#REF!</v>
      </c>
      <c r="CJ21" s="128" t="e">
        <f>'PROJECT TA Y TB KARINA'!$N17/8</f>
        <v>#REF!</v>
      </c>
      <c r="CK21" s="128" t="e">
        <f>'PROJECT TA Y TB KARINA'!$O17/8</f>
        <v>#REF!</v>
      </c>
      <c r="CL21" s="128" t="e">
        <f>'PROJECT TA Y TB KARINA'!$O17/8</f>
        <v>#REF!</v>
      </c>
      <c r="CM21" s="128" t="e">
        <f>'PROJECT TA Y TB KARINA'!$O17/8</f>
        <v>#REF!</v>
      </c>
      <c r="CN21" s="128" t="e">
        <f>'PROJECT TA Y TB KARINA'!$O17/8</f>
        <v>#REF!</v>
      </c>
      <c r="CO21" s="128" t="e">
        <f>'PROJECT TA Y TB KARINA'!$O17/8</f>
        <v>#REF!</v>
      </c>
      <c r="CP21" s="128" t="e">
        <f>'PROJECT TA Y TB KARINA'!$O17/8</f>
        <v>#REF!</v>
      </c>
      <c r="CQ21" s="128" t="e">
        <f>'PROJECT TA Y TB KARINA'!$O17/8</f>
        <v>#REF!</v>
      </c>
      <c r="CR21" s="128" t="e">
        <f>'PROJECT TA Y TB KARINA'!$O17/8</f>
        <v>#REF!</v>
      </c>
      <c r="CS21" s="128" t="e">
        <f>'PROJECT TA Y TB KARINA'!$P17/8</f>
        <v>#REF!</v>
      </c>
      <c r="CT21" s="128" t="e">
        <f>'PROJECT TA Y TB KARINA'!$P17/8</f>
        <v>#REF!</v>
      </c>
      <c r="CU21" s="128" t="e">
        <f>'PROJECT TA Y TB KARINA'!$P17/8</f>
        <v>#REF!</v>
      </c>
      <c r="CV21" s="128" t="e">
        <f>'PROJECT TA Y TB KARINA'!$P17/8</f>
        <v>#REF!</v>
      </c>
      <c r="CW21" s="128" t="e">
        <f>'PROJECT TA Y TB KARINA'!$P17/8</f>
        <v>#REF!</v>
      </c>
      <c r="CX21" s="128" t="e">
        <f>'PROJECT TA Y TB KARINA'!$P17/8</f>
        <v>#REF!</v>
      </c>
      <c r="CY21" s="128" t="e">
        <f>'PROJECT TA Y TB KARINA'!$P17/8</f>
        <v>#REF!</v>
      </c>
      <c r="CZ21" s="128" t="e">
        <f>'PROJECT TA Y TB KARINA'!$P17/8</f>
        <v>#REF!</v>
      </c>
      <c r="DA21" s="128" t="e">
        <f>'PROJECT TA Y TB KARINA'!$Q17/8</f>
        <v>#REF!</v>
      </c>
      <c r="DB21" s="128" t="e">
        <f>'PROJECT TA Y TB KARINA'!$Q17/8</f>
        <v>#REF!</v>
      </c>
      <c r="DC21" s="128" t="e">
        <f>'PROJECT TA Y TB KARINA'!$Q17/8</f>
        <v>#REF!</v>
      </c>
      <c r="DD21" s="128" t="e">
        <f>'PROJECT TA Y TB KARINA'!$Q17/8</f>
        <v>#REF!</v>
      </c>
      <c r="DE21" s="128" t="e">
        <f>'PROJECT TA Y TB KARINA'!$Q17/8</f>
        <v>#REF!</v>
      </c>
      <c r="DF21" s="128" t="e">
        <f>'PROJECT TA Y TB KARINA'!$Q17/8</f>
        <v>#REF!</v>
      </c>
      <c r="DG21" s="128" t="e">
        <f>'PROJECT TA Y TB KARINA'!$Q17/8</f>
        <v>#REF!</v>
      </c>
      <c r="DH21" s="128" t="e">
        <f>'PROJECT TA Y TB KARINA'!$Q17/8</f>
        <v>#REF!</v>
      </c>
      <c r="DI21" s="128" t="e">
        <f>'PROJECT TA Y TB KARINA'!$R17/8</f>
        <v>#REF!</v>
      </c>
      <c r="DJ21" s="128" t="e">
        <f>'PROJECT TA Y TB KARINA'!$R17/8</f>
        <v>#REF!</v>
      </c>
      <c r="DK21" s="128" t="e">
        <f>'PROJECT TA Y TB KARINA'!$R17/8</f>
        <v>#REF!</v>
      </c>
      <c r="DL21" s="128" t="e">
        <f>'PROJECT TA Y TB KARINA'!$R17/8</f>
        <v>#REF!</v>
      </c>
      <c r="DM21" s="128" t="e">
        <f>'PROJECT TA Y TB KARINA'!$R17/8</f>
        <v>#REF!</v>
      </c>
      <c r="DN21" s="128" t="e">
        <f>'PROJECT TA Y TB KARINA'!$R17/8</f>
        <v>#REF!</v>
      </c>
      <c r="DO21" s="128" t="e">
        <f>'PROJECT TA Y TB KARINA'!$R17/8</f>
        <v>#REF!</v>
      </c>
      <c r="DP21" s="128" t="e">
        <f>'PROJECT TA Y TB KARINA'!$R17/8</f>
        <v>#REF!</v>
      </c>
      <c r="DQ21" s="128" t="e">
        <f>'PROJECT TA Y TB KARINA'!$S17/8</f>
        <v>#REF!</v>
      </c>
      <c r="DR21" s="128" t="e">
        <f>'PROJECT TA Y TB KARINA'!$S17/8</f>
        <v>#REF!</v>
      </c>
      <c r="DS21" s="128" t="e">
        <f>'PROJECT TA Y TB KARINA'!$S17/8</f>
        <v>#REF!</v>
      </c>
      <c r="DT21" s="128" t="e">
        <f>'PROJECT TA Y TB KARINA'!$S17/8</f>
        <v>#REF!</v>
      </c>
      <c r="DU21" s="128" t="e">
        <f>'PROJECT TA Y TB KARINA'!$S17/8</f>
        <v>#REF!</v>
      </c>
      <c r="DV21" s="128" t="e">
        <f>'PROJECT TA Y TB KARINA'!$S17/8</f>
        <v>#REF!</v>
      </c>
      <c r="DW21" s="128" t="e">
        <f>'PROJECT TA Y TB KARINA'!$S17/8</f>
        <v>#REF!</v>
      </c>
      <c r="DX21" s="128" t="e">
        <f>'PROJECT TA Y TB KARINA'!$S17/8</f>
        <v>#REF!</v>
      </c>
      <c r="DY21" s="128" t="e">
        <f>'PROJECT TA Y TB KARINA'!$T17/8</f>
        <v>#REF!</v>
      </c>
      <c r="DZ21" s="128" t="e">
        <f>'PROJECT TA Y TB KARINA'!$T17/8</f>
        <v>#REF!</v>
      </c>
      <c r="EA21" s="128" t="e">
        <f>'PROJECT TA Y TB KARINA'!$T17/8</f>
        <v>#REF!</v>
      </c>
      <c r="EB21" s="128" t="e">
        <f>'PROJECT TA Y TB KARINA'!$T17/8</f>
        <v>#REF!</v>
      </c>
      <c r="EC21" s="128" t="e">
        <f>'PROJECT TA Y TB KARINA'!$T17/8</f>
        <v>#REF!</v>
      </c>
      <c r="ED21" s="128" t="e">
        <f>'PROJECT TA Y TB KARINA'!$T17/8</f>
        <v>#REF!</v>
      </c>
      <c r="EE21" s="128" t="e">
        <f>'PROJECT TA Y TB KARINA'!$T17/8</f>
        <v>#REF!</v>
      </c>
      <c r="EF21" s="128" t="e">
        <f>'PROJECT TA Y TB KARINA'!$T17/8</f>
        <v>#REF!</v>
      </c>
      <c r="EG21" s="128" t="e">
        <f>'PROJECT TA Y TB KARINA'!#REF!/8</f>
        <v>#REF!</v>
      </c>
      <c r="EH21" s="128" t="e">
        <f>'PROJECT TA Y TB KARINA'!#REF!/8</f>
        <v>#REF!</v>
      </c>
      <c r="EI21" s="128" t="e">
        <f>'PROJECT TA Y TB KARINA'!#REF!/8</f>
        <v>#REF!</v>
      </c>
      <c r="EJ21" s="128" t="e">
        <f>'PROJECT TA Y TB KARINA'!#REF!/8</f>
        <v>#REF!</v>
      </c>
      <c r="EK21" s="128" t="e">
        <f>'PROJECT TA Y TB KARINA'!#REF!/8</f>
        <v>#REF!</v>
      </c>
      <c r="EL21" s="128" t="e">
        <f>'PROJECT TA Y TB KARINA'!#REF!/8</f>
        <v>#REF!</v>
      </c>
      <c r="EM21" s="128" t="e">
        <f>'PROJECT TA Y TB KARINA'!#REF!/8</f>
        <v>#REF!</v>
      </c>
      <c r="EN21" s="128" t="e">
        <f>'PROJECT TA Y TB KARINA'!#REF!/8</f>
        <v>#REF!</v>
      </c>
      <c r="EO21" s="128">
        <f>'PROJECT TA Y TB KARINA'!$C75/8</f>
        <v>0</v>
      </c>
      <c r="EP21" s="128">
        <f>'PROJECT TA Y TB KARINA'!$C75/8</f>
        <v>0</v>
      </c>
      <c r="EQ21" s="128">
        <f>'PROJECT TA Y TB KARINA'!$C75/8</f>
        <v>0</v>
      </c>
      <c r="ER21" s="128">
        <f>'PROJECT TA Y TB KARINA'!$C75/8</f>
        <v>0</v>
      </c>
      <c r="ES21" s="128">
        <f>'PROJECT TA Y TB KARINA'!$C75/8</f>
        <v>0</v>
      </c>
      <c r="ET21" s="128">
        <f>'PROJECT TA Y TB KARINA'!$C75/8</f>
        <v>0</v>
      </c>
      <c r="EU21" s="128">
        <f>'PROJECT TA Y TB KARINA'!$C75/8</f>
        <v>0</v>
      </c>
      <c r="EV21" s="128">
        <f>'PROJECT TA Y TB KARINA'!$E75/8</f>
        <v>0</v>
      </c>
      <c r="EW21" s="128">
        <f>'PROJECT TA Y TB KARINA'!$E75/8</f>
        <v>0</v>
      </c>
      <c r="EX21" s="128">
        <f>'PROJECT TA Y TB KARINA'!$E75/8</f>
        <v>0</v>
      </c>
      <c r="EY21" s="128">
        <f>'PROJECT TA Y TB KARINA'!$E75/8</f>
        <v>0</v>
      </c>
      <c r="EZ21" s="128">
        <f>'PROJECT TA Y TB KARINA'!$E75/8</f>
        <v>0</v>
      </c>
      <c r="FA21" s="128">
        <f>'PROJECT TA Y TB KARINA'!$E75/8</f>
        <v>0</v>
      </c>
      <c r="FB21" s="128">
        <f>'PROJECT TA Y TB KARINA'!$E75/8</f>
        <v>0</v>
      </c>
      <c r="FC21" s="128">
        <f>'PROJECT TA Y TB KARINA'!$E75/8</f>
        <v>0</v>
      </c>
      <c r="FD21" s="128">
        <f>'PROJECT TA Y TB KARINA'!$F75/8</f>
        <v>0</v>
      </c>
      <c r="FE21" s="128">
        <f>'PROJECT TA Y TB KARINA'!$F75/8</f>
        <v>0</v>
      </c>
      <c r="FF21" s="128">
        <f>'PROJECT TA Y TB KARINA'!$F75/8</f>
        <v>0</v>
      </c>
      <c r="FG21" s="128">
        <f>'PROJECT TA Y TB KARINA'!$F75/8</f>
        <v>0</v>
      </c>
      <c r="FH21" s="128">
        <f>'PROJECT TA Y TB KARINA'!$F75/8</f>
        <v>0</v>
      </c>
      <c r="FI21" s="128">
        <f>'PROJECT TA Y TB KARINA'!$F75/8</f>
        <v>0</v>
      </c>
      <c r="FJ21" s="128">
        <f>'PROJECT TA Y TB KARINA'!$F75/8</f>
        <v>0</v>
      </c>
      <c r="FK21" s="128">
        <f>'PROJECT TA Y TB KARINA'!$F75/8</f>
        <v>0</v>
      </c>
      <c r="FL21" s="128">
        <f>'PROJECT TA Y TB KARINA'!$G75/8</f>
        <v>0</v>
      </c>
      <c r="FM21" s="128">
        <f>'PROJECT TA Y TB KARINA'!$G75/8</f>
        <v>0</v>
      </c>
      <c r="FN21" s="128">
        <f>'PROJECT TA Y TB KARINA'!$G75/8</f>
        <v>0</v>
      </c>
      <c r="FO21" s="128">
        <f>'PROJECT TA Y TB KARINA'!$G75/8</f>
        <v>0</v>
      </c>
      <c r="FP21" s="128">
        <f>'PROJECT TA Y TB KARINA'!$G75/8</f>
        <v>0</v>
      </c>
      <c r="FQ21" s="128">
        <f>'PROJECT TA Y TB KARINA'!$G75/8</f>
        <v>0</v>
      </c>
      <c r="FR21" s="128">
        <f>'PROJECT TA Y TB KARINA'!$G75/8</f>
        <v>0</v>
      </c>
      <c r="FS21" s="128">
        <f>'PROJECT TA Y TB KARINA'!$G75/8</f>
        <v>0</v>
      </c>
      <c r="FT21" s="128">
        <f>'PROJECT TA Y TB KARINA'!$H75/8</f>
        <v>0</v>
      </c>
      <c r="FU21" s="128">
        <f>'PROJECT TA Y TB KARINA'!$H75/8</f>
        <v>0</v>
      </c>
      <c r="FV21" s="128">
        <f>'PROJECT TA Y TB KARINA'!$H75/8</f>
        <v>0</v>
      </c>
      <c r="FW21" s="128">
        <f>'PROJECT TA Y TB KARINA'!$H75/8</f>
        <v>0</v>
      </c>
      <c r="FX21" s="128">
        <f>'PROJECT TA Y TB KARINA'!$H75/8</f>
        <v>0</v>
      </c>
      <c r="FY21" s="128">
        <f>'PROJECT TA Y TB KARINA'!$H75/8</f>
        <v>0</v>
      </c>
      <c r="FZ21" s="128">
        <f>'PROJECT TA Y TB KARINA'!$H75/8</f>
        <v>0</v>
      </c>
      <c r="GA21" s="128">
        <f>'PROJECT TA Y TB KARINA'!$H75/8</f>
        <v>0</v>
      </c>
      <c r="GB21" s="128">
        <f>'PROJECT TA Y TB KARINA'!$I75/8</f>
        <v>0</v>
      </c>
      <c r="GC21" s="128">
        <f>'PROJECT TA Y TB KARINA'!$I75/8</f>
        <v>0</v>
      </c>
      <c r="GD21" s="128">
        <f>'PROJECT TA Y TB KARINA'!$I75/8</f>
        <v>0</v>
      </c>
      <c r="GE21" s="128">
        <f>'PROJECT TA Y TB KARINA'!$I75/8</f>
        <v>0</v>
      </c>
      <c r="GF21" s="128">
        <f>'PROJECT TA Y TB KARINA'!$I75/8</f>
        <v>0</v>
      </c>
      <c r="GG21" s="128">
        <f>'PROJECT TA Y TB KARINA'!$I75/8</f>
        <v>0</v>
      </c>
      <c r="GH21" s="128">
        <f>'PROJECT TA Y TB KARINA'!$I75/8</f>
        <v>0</v>
      </c>
      <c r="GI21" s="128">
        <f>'PROJECT TA Y TB KARINA'!$I75/8</f>
        <v>0</v>
      </c>
      <c r="GJ21" s="128">
        <f>'PROJECT TA Y TB KARINA'!$J75/8</f>
        <v>0</v>
      </c>
      <c r="GK21" s="128">
        <f>'PROJECT TA Y TB KARINA'!$J75/8</f>
        <v>0</v>
      </c>
      <c r="GL21" s="128">
        <f>'PROJECT TA Y TB KARINA'!$J75/8</f>
        <v>0</v>
      </c>
      <c r="GM21" s="128">
        <f>'PROJECT TA Y TB KARINA'!$J75/8</f>
        <v>0</v>
      </c>
      <c r="GN21" s="128">
        <f>'PROJECT TA Y TB KARINA'!$J75/8</f>
        <v>0</v>
      </c>
      <c r="GO21" s="128">
        <f>'PROJECT TA Y TB KARINA'!$J75/8</f>
        <v>0</v>
      </c>
      <c r="GP21" s="128">
        <f>'PROJECT TA Y TB KARINA'!$J75/8</f>
        <v>0</v>
      </c>
      <c r="GQ21" s="128">
        <f>'PROJECT TA Y TB KARINA'!$J75/8</f>
        <v>0</v>
      </c>
      <c r="GR21" s="128">
        <f>'PROJECT TA Y TB KARINA'!$K75/8</f>
        <v>0</v>
      </c>
      <c r="GS21" s="128">
        <f>'PROJECT TA Y TB KARINA'!$K75/8</f>
        <v>0</v>
      </c>
      <c r="GT21" s="128">
        <f>'PROJECT TA Y TB KARINA'!$K75/8</f>
        <v>0</v>
      </c>
      <c r="GU21" s="128">
        <f>'PROJECT TA Y TB KARINA'!$K75/8</f>
        <v>0</v>
      </c>
      <c r="GV21" s="128">
        <f>'PROJECT TA Y TB KARINA'!$K75/8</f>
        <v>0</v>
      </c>
      <c r="GW21" s="128">
        <f>'PROJECT TA Y TB KARINA'!$K75/8</f>
        <v>0</v>
      </c>
      <c r="GX21" s="128">
        <f>'PROJECT TA Y TB KARINA'!$K75/8</f>
        <v>0</v>
      </c>
      <c r="GY21" s="128">
        <f>'PROJECT TA Y TB KARINA'!$K75/8</f>
        <v>0</v>
      </c>
      <c r="GZ21" s="128">
        <f>'PROJECT TA Y TB KARINA'!$L75/8</f>
        <v>0</v>
      </c>
      <c r="HA21" s="128">
        <f>'PROJECT TA Y TB KARINA'!$L75/8</f>
        <v>0</v>
      </c>
      <c r="HB21" s="128">
        <f>'PROJECT TA Y TB KARINA'!$L75/8</f>
        <v>0</v>
      </c>
      <c r="HC21" s="128">
        <f>'PROJECT TA Y TB KARINA'!$L75/8</f>
        <v>0</v>
      </c>
      <c r="HD21" s="128">
        <f>'PROJECT TA Y TB KARINA'!$L75/8</f>
        <v>0</v>
      </c>
      <c r="HE21" s="128">
        <f>'PROJECT TA Y TB KARINA'!$L75/8</f>
        <v>0</v>
      </c>
      <c r="HF21" s="128">
        <f>'PROJECT TA Y TB KARINA'!$L75/8</f>
        <v>0</v>
      </c>
      <c r="HG21" s="128">
        <f>'PROJECT TA Y TB KARINA'!$L75/8</f>
        <v>0</v>
      </c>
      <c r="HH21" s="128">
        <f>'PROJECT TA Y TB KARINA'!$M75/8</f>
        <v>0</v>
      </c>
      <c r="HI21" s="128">
        <f>'PROJECT TA Y TB KARINA'!$M75/8</f>
        <v>0</v>
      </c>
      <c r="HJ21" s="128">
        <f>'PROJECT TA Y TB KARINA'!$M75/8</f>
        <v>0</v>
      </c>
      <c r="HK21" s="128">
        <f>'PROJECT TA Y TB KARINA'!$M75/8</f>
        <v>0</v>
      </c>
      <c r="HL21" s="128">
        <f>'PROJECT TA Y TB KARINA'!$M75/8</f>
        <v>0</v>
      </c>
      <c r="HM21" s="128">
        <f>'PROJECT TA Y TB KARINA'!$M75/8</f>
        <v>0</v>
      </c>
      <c r="HN21" s="128">
        <f>'PROJECT TA Y TB KARINA'!$M75/8</f>
        <v>0</v>
      </c>
      <c r="HO21" s="128">
        <f>'PROJECT TA Y TB KARINA'!$M75/8</f>
        <v>0</v>
      </c>
      <c r="HP21" s="128">
        <f>'PROJECT TA Y TB KARINA'!$N75/8</f>
        <v>0</v>
      </c>
      <c r="HQ21" s="128">
        <f>'PROJECT TA Y TB KARINA'!$N75/8</f>
        <v>0</v>
      </c>
      <c r="HR21" s="128">
        <f>'PROJECT TA Y TB KARINA'!$N75/8</f>
        <v>0</v>
      </c>
      <c r="HS21" s="128">
        <f>'PROJECT TA Y TB KARINA'!$N75/8</f>
        <v>0</v>
      </c>
      <c r="HT21" s="128">
        <f>'PROJECT TA Y TB KARINA'!$N75/8</f>
        <v>0</v>
      </c>
      <c r="HU21" s="128">
        <f>'PROJECT TA Y TB KARINA'!$N75/8</f>
        <v>0</v>
      </c>
      <c r="HV21" s="128">
        <f>'PROJECT TA Y TB KARINA'!$N75/8</f>
        <v>0</v>
      </c>
      <c r="HW21" s="128">
        <f>'PROJECT TA Y TB KARINA'!$N75/8</f>
        <v>0</v>
      </c>
      <c r="HX21" s="128">
        <f>'PROJECT TA Y TB KARINA'!$O75/8</f>
        <v>0</v>
      </c>
      <c r="HY21" s="128">
        <f>'PROJECT TA Y TB KARINA'!$O75/8</f>
        <v>0</v>
      </c>
      <c r="HZ21" s="128">
        <f>'PROJECT TA Y TB KARINA'!$O75/8</f>
        <v>0</v>
      </c>
      <c r="IA21" s="128">
        <f>'PROJECT TA Y TB KARINA'!$O75/8</f>
        <v>0</v>
      </c>
      <c r="IB21" s="128">
        <f>'PROJECT TA Y TB KARINA'!$O75/8</f>
        <v>0</v>
      </c>
      <c r="IC21" s="128">
        <f>'PROJECT TA Y TB KARINA'!$O75/8</f>
        <v>0</v>
      </c>
      <c r="ID21" s="128">
        <f>'PROJECT TA Y TB KARINA'!$O75/8</f>
        <v>0</v>
      </c>
      <c r="IE21" s="128">
        <f>'PROJECT TA Y TB KARINA'!$O75/8</f>
        <v>0</v>
      </c>
      <c r="IF21" s="128">
        <f>'PROJECT TA Y TB KARINA'!$P75/8</f>
        <v>0</v>
      </c>
      <c r="IG21" s="128">
        <f>'PROJECT TA Y TB KARINA'!$P75/8</f>
        <v>0</v>
      </c>
      <c r="IH21" s="128">
        <f>'PROJECT TA Y TB KARINA'!$P75/8</f>
        <v>0</v>
      </c>
      <c r="II21" s="128">
        <f>'PROJECT TA Y TB KARINA'!$P75/8</f>
        <v>0</v>
      </c>
      <c r="IJ21" s="128">
        <f>'PROJECT TA Y TB KARINA'!$P75/8</f>
        <v>0</v>
      </c>
      <c r="IK21" s="128">
        <f>'PROJECT TA Y TB KARINA'!$P75/8</f>
        <v>0</v>
      </c>
      <c r="IL21" s="128">
        <f>'PROJECT TA Y TB KARINA'!$P75/8</f>
        <v>0</v>
      </c>
      <c r="IM21" s="128">
        <f>'PROJECT TA Y TB KARINA'!$P75/8</f>
        <v>0</v>
      </c>
      <c r="IN21" s="128">
        <f>'PROJECT TA Y TB KARINA'!$Q75/8</f>
        <v>0</v>
      </c>
      <c r="IO21" s="128">
        <f>'PROJECT TA Y TB KARINA'!$Q75/8</f>
        <v>0</v>
      </c>
      <c r="IP21" s="128">
        <f>'PROJECT TA Y TB KARINA'!$Q75/8</f>
        <v>0</v>
      </c>
      <c r="IQ21" s="128">
        <f>'PROJECT TA Y TB KARINA'!$Q75/8</f>
        <v>0</v>
      </c>
      <c r="IR21" s="128">
        <f>'PROJECT TA Y TB KARINA'!$Q75/8</f>
        <v>0</v>
      </c>
      <c r="IS21" s="128">
        <f>'PROJECT TA Y TB KARINA'!$Q75/8</f>
        <v>0</v>
      </c>
      <c r="IT21" s="128">
        <f>'PROJECT TA Y TB KARINA'!$Q75/8</f>
        <v>0</v>
      </c>
      <c r="IU21" s="128">
        <f>'PROJECT TA Y TB KARINA'!$Q75/8</f>
        <v>0</v>
      </c>
      <c r="IV21" s="128">
        <f>'PROJECT TA Y TB KARINA'!$R75/8</f>
        <v>0</v>
      </c>
      <c r="IW21" s="128">
        <f>'PROJECT TA Y TB KARINA'!$R75/8</f>
        <v>0</v>
      </c>
      <c r="IX21" s="128">
        <f>'PROJECT TA Y TB KARINA'!$R75/8</f>
        <v>0</v>
      </c>
      <c r="IY21" s="128">
        <f>'PROJECT TA Y TB KARINA'!$R75/8</f>
        <v>0</v>
      </c>
      <c r="IZ21" s="128">
        <f>'PROJECT TA Y TB KARINA'!$R75/8</f>
        <v>0</v>
      </c>
      <c r="JA21" s="128">
        <f>'PROJECT TA Y TB KARINA'!$R75/8</f>
        <v>0</v>
      </c>
      <c r="JB21" s="128">
        <f>'PROJECT TA Y TB KARINA'!$R75/8</f>
        <v>0</v>
      </c>
      <c r="JC21" s="128">
        <f>'PROJECT TA Y TB KARINA'!$R75/8</f>
        <v>0</v>
      </c>
      <c r="JD21" s="128">
        <f>'PROJECT TA Y TB KARINA'!$S75/8</f>
        <v>0</v>
      </c>
      <c r="JE21" s="128">
        <f>'PROJECT TA Y TB KARINA'!$S75/8</f>
        <v>0</v>
      </c>
      <c r="JF21" s="128">
        <f>'PROJECT TA Y TB KARINA'!$S75/8</f>
        <v>0</v>
      </c>
      <c r="JG21" s="128">
        <f>'PROJECT TA Y TB KARINA'!$S75/8</f>
        <v>0</v>
      </c>
      <c r="JH21" s="128">
        <f>'PROJECT TA Y TB KARINA'!$S75/8</f>
        <v>0</v>
      </c>
      <c r="JI21" s="128">
        <f>'PROJECT TA Y TB KARINA'!$S75/8</f>
        <v>0</v>
      </c>
      <c r="JJ21" s="128">
        <f>'PROJECT TA Y TB KARINA'!$S75/8</f>
        <v>0</v>
      </c>
      <c r="JK21" s="128">
        <f>'PROJECT TA Y TB KARINA'!$S75/8</f>
        <v>0</v>
      </c>
      <c r="JL21" s="128">
        <f>'PROJECT TA Y TB KARINA'!$T75/8</f>
        <v>0</v>
      </c>
      <c r="JM21" s="128">
        <f>'PROJECT TA Y TB KARINA'!$T75/8</f>
        <v>0</v>
      </c>
      <c r="JN21" s="128">
        <f>'PROJECT TA Y TB KARINA'!$T75/8</f>
        <v>0</v>
      </c>
      <c r="JO21" s="128">
        <f>'PROJECT TA Y TB KARINA'!$T75/8</f>
        <v>0</v>
      </c>
      <c r="JP21" s="128">
        <f>'PROJECT TA Y TB KARINA'!$T75/8</f>
        <v>0</v>
      </c>
      <c r="JQ21" s="128">
        <f>'PROJECT TA Y TB KARINA'!$T75/8</f>
        <v>0</v>
      </c>
      <c r="JR21" s="128">
        <f>'PROJECT TA Y TB KARINA'!$T75/8</f>
        <v>0</v>
      </c>
      <c r="JS21" s="128">
        <f>'PROJECT TA Y TB KARINA'!$T75/8</f>
        <v>0</v>
      </c>
      <c r="JT21" s="128" t="e">
        <f>'PROJECT TA Y TB KARINA'!#REF!/8</f>
        <v>#REF!</v>
      </c>
      <c r="JU21" s="128" t="e">
        <f>'PROJECT TA Y TB KARINA'!#REF!/8</f>
        <v>#REF!</v>
      </c>
      <c r="JV21" s="128" t="e">
        <f>'PROJECT TA Y TB KARINA'!#REF!/8</f>
        <v>#REF!</v>
      </c>
      <c r="JW21" s="128" t="e">
        <f>'PROJECT TA Y TB KARINA'!#REF!/8</f>
        <v>#REF!</v>
      </c>
      <c r="JX21" s="128" t="e">
        <f>'PROJECT TA Y TB KARINA'!#REF!/8</f>
        <v>#REF!</v>
      </c>
      <c r="JY21" s="128" t="e">
        <f>'PROJECT TA Y TB KARINA'!#REF!/8</f>
        <v>#REF!</v>
      </c>
      <c r="JZ21" s="128" t="e">
        <f>'PROJECT TA Y TB KARINA'!#REF!/8</f>
        <v>#REF!</v>
      </c>
      <c r="KA21" s="128" t="e">
        <f>'PROJECT TA Y TB KARINA'!#REF!/8</f>
        <v>#REF!</v>
      </c>
    </row>
    <row r="22" spans="1:287" ht="21">
      <c r="A22" s="130" t="s">
        <v>475</v>
      </c>
      <c r="B22" s="128" t="e">
        <f>'PROJECT TA Y TB KARINA'!$C$18/8</f>
        <v>#REF!</v>
      </c>
      <c r="C22" s="128" t="e">
        <f>'PROJECT TA Y TB KARINA'!$C$18/8</f>
        <v>#REF!</v>
      </c>
      <c r="D22" s="128" t="e">
        <f>'PROJECT TA Y TB KARINA'!$C$18/8</f>
        <v>#REF!</v>
      </c>
      <c r="E22" s="128" t="e">
        <f>'PROJECT TA Y TB KARINA'!$C$18/8</f>
        <v>#REF!</v>
      </c>
      <c r="F22" s="128" t="e">
        <f>'PROJECT TA Y TB KARINA'!$C$18/8</f>
        <v>#REF!</v>
      </c>
      <c r="G22" s="128" t="e">
        <f>'PROJECT TA Y TB KARINA'!$C$18/8</f>
        <v>#REF!</v>
      </c>
      <c r="H22" s="128" t="e">
        <f>'PROJECT TA Y TB KARINA'!$C$18/8</f>
        <v>#REF!</v>
      </c>
      <c r="I22" s="128" t="e">
        <f>'PROJECT TA Y TB KARINA'!$E18/8</f>
        <v>#REF!</v>
      </c>
      <c r="J22" s="128" t="e">
        <f>'PROJECT TA Y TB KARINA'!$E18/8</f>
        <v>#REF!</v>
      </c>
      <c r="K22" s="128" t="e">
        <f>'PROJECT TA Y TB KARINA'!$E18/8</f>
        <v>#REF!</v>
      </c>
      <c r="L22" s="128" t="e">
        <f>'PROJECT TA Y TB KARINA'!$E18/8</f>
        <v>#REF!</v>
      </c>
      <c r="M22" s="128" t="e">
        <f>'PROJECT TA Y TB KARINA'!$E18/8</f>
        <v>#REF!</v>
      </c>
      <c r="N22" s="128" t="e">
        <f>'PROJECT TA Y TB KARINA'!$E18/8</f>
        <v>#REF!</v>
      </c>
      <c r="O22" s="128" t="e">
        <f>'PROJECT TA Y TB KARINA'!$E18/8</f>
        <v>#REF!</v>
      </c>
      <c r="P22" s="128" t="e">
        <f>'PROJECT TA Y TB KARINA'!$E18/8</f>
        <v>#REF!</v>
      </c>
      <c r="Q22" s="128" t="e">
        <f>'PROJECT TA Y TB KARINA'!$F18/8</f>
        <v>#REF!</v>
      </c>
      <c r="R22" s="128" t="e">
        <f>'PROJECT TA Y TB KARINA'!$F18/8</f>
        <v>#REF!</v>
      </c>
      <c r="S22" s="128" t="e">
        <f>'PROJECT TA Y TB KARINA'!$F18/8</f>
        <v>#REF!</v>
      </c>
      <c r="T22" s="128" t="e">
        <f>'PROJECT TA Y TB KARINA'!$F18/8</f>
        <v>#REF!</v>
      </c>
      <c r="U22" s="128" t="e">
        <f>'PROJECT TA Y TB KARINA'!$F18/8</f>
        <v>#REF!</v>
      </c>
      <c r="V22" s="128" t="e">
        <f>'PROJECT TA Y TB KARINA'!$F18/8</f>
        <v>#REF!</v>
      </c>
      <c r="W22" s="128" t="e">
        <f>'PROJECT TA Y TB KARINA'!$F18/8</f>
        <v>#REF!</v>
      </c>
      <c r="X22" s="128" t="e">
        <f>'PROJECT TA Y TB KARINA'!$F18/8</f>
        <v>#REF!</v>
      </c>
      <c r="Y22" s="128" t="e">
        <f>'PROJECT TA Y TB KARINA'!$G18/8</f>
        <v>#REF!</v>
      </c>
      <c r="Z22" s="128" t="e">
        <f>'PROJECT TA Y TB KARINA'!$G18/8</f>
        <v>#REF!</v>
      </c>
      <c r="AA22" s="128" t="e">
        <f>'PROJECT TA Y TB KARINA'!$G18/8</f>
        <v>#REF!</v>
      </c>
      <c r="AB22" s="128" t="e">
        <f>'PROJECT TA Y TB KARINA'!$G18/8</f>
        <v>#REF!</v>
      </c>
      <c r="AC22" s="128" t="e">
        <f>'PROJECT TA Y TB KARINA'!$G18/8</f>
        <v>#REF!</v>
      </c>
      <c r="AD22" s="128" t="e">
        <f>'PROJECT TA Y TB KARINA'!$G18/8</f>
        <v>#REF!</v>
      </c>
      <c r="AE22" s="128" t="e">
        <f>'PROJECT TA Y TB KARINA'!$G18/8</f>
        <v>#REF!</v>
      </c>
      <c r="AF22" s="128" t="e">
        <f>'PROJECT TA Y TB KARINA'!$G18/8</f>
        <v>#REF!</v>
      </c>
      <c r="AG22" s="128" t="e">
        <f>'PROJECT TA Y TB KARINA'!$H18/8</f>
        <v>#REF!</v>
      </c>
      <c r="AH22" s="128" t="e">
        <f>'PROJECT TA Y TB KARINA'!$H18/8</f>
        <v>#REF!</v>
      </c>
      <c r="AI22" s="128" t="e">
        <f>'PROJECT TA Y TB KARINA'!$H18/8</f>
        <v>#REF!</v>
      </c>
      <c r="AJ22" s="128" t="e">
        <f>'PROJECT TA Y TB KARINA'!$H18/8</f>
        <v>#REF!</v>
      </c>
      <c r="AK22" s="128" t="e">
        <f>'PROJECT TA Y TB KARINA'!$H18/8</f>
        <v>#REF!</v>
      </c>
      <c r="AL22" s="128" t="e">
        <f>'PROJECT TA Y TB KARINA'!$H18/8</f>
        <v>#REF!</v>
      </c>
      <c r="AM22" s="128" t="e">
        <f>'PROJECT TA Y TB KARINA'!$H18/8</f>
        <v>#REF!</v>
      </c>
      <c r="AN22" s="128" t="e">
        <f>'PROJECT TA Y TB KARINA'!$H18/8</f>
        <v>#REF!</v>
      </c>
      <c r="AO22" s="128" t="e">
        <f>'PROJECT TA Y TB KARINA'!$I18/8</f>
        <v>#REF!</v>
      </c>
      <c r="AP22" s="128" t="e">
        <f>'PROJECT TA Y TB KARINA'!$I18/8</f>
        <v>#REF!</v>
      </c>
      <c r="AQ22" s="128" t="e">
        <f>'PROJECT TA Y TB KARINA'!$I18/8</f>
        <v>#REF!</v>
      </c>
      <c r="AR22" s="128" t="e">
        <f>'PROJECT TA Y TB KARINA'!$I18/8</f>
        <v>#REF!</v>
      </c>
      <c r="AS22" s="128" t="e">
        <f>'PROJECT TA Y TB KARINA'!$I18/8</f>
        <v>#REF!</v>
      </c>
      <c r="AT22" s="128" t="e">
        <f>'PROJECT TA Y TB KARINA'!$I18/8</f>
        <v>#REF!</v>
      </c>
      <c r="AU22" s="128" t="e">
        <f>'PROJECT TA Y TB KARINA'!$I18/8</f>
        <v>#REF!</v>
      </c>
      <c r="AV22" s="128" t="e">
        <f>'PROJECT TA Y TB KARINA'!$I18/8</f>
        <v>#REF!</v>
      </c>
      <c r="AW22" s="128" t="e">
        <f>'PROJECT TA Y TB KARINA'!$J18/8</f>
        <v>#REF!</v>
      </c>
      <c r="AX22" s="128" t="e">
        <f>'PROJECT TA Y TB KARINA'!$J18/8</f>
        <v>#REF!</v>
      </c>
      <c r="AY22" s="128" t="e">
        <f>'PROJECT TA Y TB KARINA'!$J18/8</f>
        <v>#REF!</v>
      </c>
      <c r="AZ22" s="128" t="e">
        <f>'PROJECT TA Y TB KARINA'!$J18/8</f>
        <v>#REF!</v>
      </c>
      <c r="BA22" s="128" t="e">
        <f>'PROJECT TA Y TB KARINA'!$J18/8</f>
        <v>#REF!</v>
      </c>
      <c r="BB22" s="128" t="e">
        <f>'PROJECT TA Y TB KARINA'!$J18/8</f>
        <v>#REF!</v>
      </c>
      <c r="BC22" s="128" t="e">
        <f>'PROJECT TA Y TB KARINA'!$J18/8</f>
        <v>#REF!</v>
      </c>
      <c r="BD22" s="128" t="e">
        <f>'PROJECT TA Y TB KARINA'!$J18/8</f>
        <v>#REF!</v>
      </c>
      <c r="BE22" s="128" t="e">
        <f>'PROJECT TA Y TB KARINA'!$K18/8</f>
        <v>#REF!</v>
      </c>
      <c r="BF22" s="128" t="e">
        <f>'PROJECT TA Y TB KARINA'!$K18/8</f>
        <v>#REF!</v>
      </c>
      <c r="BG22" s="128" t="e">
        <f>'PROJECT TA Y TB KARINA'!$K18/8</f>
        <v>#REF!</v>
      </c>
      <c r="BH22" s="128" t="e">
        <f>'PROJECT TA Y TB KARINA'!$K18/8</f>
        <v>#REF!</v>
      </c>
      <c r="BI22" s="128" t="e">
        <f>'PROJECT TA Y TB KARINA'!$K18/8</f>
        <v>#REF!</v>
      </c>
      <c r="BJ22" s="128" t="e">
        <f>'PROJECT TA Y TB KARINA'!$K18/8</f>
        <v>#REF!</v>
      </c>
      <c r="BK22" s="128" t="e">
        <f>'PROJECT TA Y TB KARINA'!$K18/8</f>
        <v>#REF!</v>
      </c>
      <c r="BL22" s="128" t="e">
        <f>'PROJECT TA Y TB KARINA'!$K18/8</f>
        <v>#REF!</v>
      </c>
      <c r="BM22" s="128" t="e">
        <f>'PROJECT TA Y TB KARINA'!$L18/8</f>
        <v>#REF!</v>
      </c>
      <c r="BN22" s="128" t="e">
        <f>'PROJECT TA Y TB KARINA'!$L18/8</f>
        <v>#REF!</v>
      </c>
      <c r="BO22" s="128" t="e">
        <f>'PROJECT TA Y TB KARINA'!$L18/8</f>
        <v>#REF!</v>
      </c>
      <c r="BP22" s="128" t="e">
        <f>'PROJECT TA Y TB KARINA'!$L18/8</f>
        <v>#REF!</v>
      </c>
      <c r="BQ22" s="128" t="e">
        <f>'PROJECT TA Y TB KARINA'!$L18/8</f>
        <v>#REF!</v>
      </c>
      <c r="BR22" s="128" t="e">
        <f>'PROJECT TA Y TB KARINA'!$L18/8</f>
        <v>#REF!</v>
      </c>
      <c r="BS22" s="128" t="e">
        <f>'PROJECT TA Y TB KARINA'!$L18/8</f>
        <v>#REF!</v>
      </c>
      <c r="BT22" s="128" t="e">
        <f>'PROJECT TA Y TB KARINA'!$L18/8</f>
        <v>#REF!</v>
      </c>
      <c r="BU22" s="128" t="e">
        <f>'PROJECT TA Y TB KARINA'!$M18/8</f>
        <v>#REF!</v>
      </c>
      <c r="BV22" s="128" t="e">
        <f>'PROJECT TA Y TB KARINA'!$M18/8</f>
        <v>#REF!</v>
      </c>
      <c r="BW22" s="128" t="e">
        <f>'PROJECT TA Y TB KARINA'!$M18/8</f>
        <v>#REF!</v>
      </c>
      <c r="BX22" s="128" t="e">
        <f>'PROJECT TA Y TB KARINA'!$M18/8</f>
        <v>#REF!</v>
      </c>
      <c r="BY22" s="128" t="e">
        <f>'PROJECT TA Y TB KARINA'!$M18/8</f>
        <v>#REF!</v>
      </c>
      <c r="BZ22" s="128" t="e">
        <f>'PROJECT TA Y TB KARINA'!$M18/8</f>
        <v>#REF!</v>
      </c>
      <c r="CA22" s="128" t="e">
        <f>'PROJECT TA Y TB KARINA'!$M18/8</f>
        <v>#REF!</v>
      </c>
      <c r="CB22" s="128" t="e">
        <f>'PROJECT TA Y TB KARINA'!$M18/8</f>
        <v>#REF!</v>
      </c>
      <c r="CC22" s="128" t="e">
        <f>'PROJECT TA Y TB KARINA'!$N18/8</f>
        <v>#REF!</v>
      </c>
      <c r="CD22" s="128" t="e">
        <f>'PROJECT TA Y TB KARINA'!$N18/8</f>
        <v>#REF!</v>
      </c>
      <c r="CE22" s="128" t="e">
        <f>'PROJECT TA Y TB KARINA'!$N18/8</f>
        <v>#REF!</v>
      </c>
      <c r="CF22" s="128" t="e">
        <f>'PROJECT TA Y TB KARINA'!$N18/8</f>
        <v>#REF!</v>
      </c>
      <c r="CG22" s="128" t="e">
        <f>'PROJECT TA Y TB KARINA'!$N18/8</f>
        <v>#REF!</v>
      </c>
      <c r="CH22" s="128" t="e">
        <f>'PROJECT TA Y TB KARINA'!$N18/8</f>
        <v>#REF!</v>
      </c>
      <c r="CI22" s="128" t="e">
        <f>'PROJECT TA Y TB KARINA'!$N18/8</f>
        <v>#REF!</v>
      </c>
      <c r="CJ22" s="128" t="e">
        <f>'PROJECT TA Y TB KARINA'!$N18/8</f>
        <v>#REF!</v>
      </c>
      <c r="CK22" s="128" t="e">
        <f>'PROJECT TA Y TB KARINA'!$O18/8</f>
        <v>#REF!</v>
      </c>
      <c r="CL22" s="128" t="e">
        <f>'PROJECT TA Y TB KARINA'!$O18/8</f>
        <v>#REF!</v>
      </c>
      <c r="CM22" s="128" t="e">
        <f>'PROJECT TA Y TB KARINA'!$O18/8</f>
        <v>#REF!</v>
      </c>
      <c r="CN22" s="128" t="e">
        <f>'PROJECT TA Y TB KARINA'!$O18/8</f>
        <v>#REF!</v>
      </c>
      <c r="CO22" s="128" t="e">
        <f>'PROJECT TA Y TB KARINA'!$O18/8</f>
        <v>#REF!</v>
      </c>
      <c r="CP22" s="128" t="e">
        <f>'PROJECT TA Y TB KARINA'!$O18/8</f>
        <v>#REF!</v>
      </c>
      <c r="CQ22" s="128" t="e">
        <f>'PROJECT TA Y TB KARINA'!$O18/8</f>
        <v>#REF!</v>
      </c>
      <c r="CR22" s="128" t="e">
        <f>'PROJECT TA Y TB KARINA'!$O18/8</f>
        <v>#REF!</v>
      </c>
      <c r="CS22" s="128" t="e">
        <f>'PROJECT TA Y TB KARINA'!$P18/8</f>
        <v>#REF!</v>
      </c>
      <c r="CT22" s="128" t="e">
        <f>'PROJECT TA Y TB KARINA'!$P18/8</f>
        <v>#REF!</v>
      </c>
      <c r="CU22" s="128" t="e">
        <f>'PROJECT TA Y TB KARINA'!$P18/8</f>
        <v>#REF!</v>
      </c>
      <c r="CV22" s="128" t="e">
        <f>'PROJECT TA Y TB KARINA'!$P18/8</f>
        <v>#REF!</v>
      </c>
      <c r="CW22" s="128" t="e">
        <f>'PROJECT TA Y TB KARINA'!$P18/8</f>
        <v>#REF!</v>
      </c>
      <c r="CX22" s="128" t="e">
        <f>'PROJECT TA Y TB KARINA'!$P18/8</f>
        <v>#REF!</v>
      </c>
      <c r="CY22" s="128" t="e">
        <f>'PROJECT TA Y TB KARINA'!$P18/8</f>
        <v>#REF!</v>
      </c>
      <c r="CZ22" s="128" t="e">
        <f>'PROJECT TA Y TB KARINA'!$P18/8</f>
        <v>#REF!</v>
      </c>
      <c r="DA22" s="128" t="e">
        <f>'PROJECT TA Y TB KARINA'!$Q18/8</f>
        <v>#REF!</v>
      </c>
      <c r="DB22" s="128" t="e">
        <f>'PROJECT TA Y TB KARINA'!$Q18/8</f>
        <v>#REF!</v>
      </c>
      <c r="DC22" s="128" t="e">
        <f>'PROJECT TA Y TB KARINA'!$Q18/8</f>
        <v>#REF!</v>
      </c>
      <c r="DD22" s="128" t="e">
        <f>'PROJECT TA Y TB KARINA'!$Q18/8</f>
        <v>#REF!</v>
      </c>
      <c r="DE22" s="128" t="e">
        <f>'PROJECT TA Y TB KARINA'!$Q18/8</f>
        <v>#REF!</v>
      </c>
      <c r="DF22" s="128" t="e">
        <f>'PROJECT TA Y TB KARINA'!$Q18/8</f>
        <v>#REF!</v>
      </c>
      <c r="DG22" s="128" t="e">
        <f>'PROJECT TA Y TB KARINA'!$Q18/8</f>
        <v>#REF!</v>
      </c>
      <c r="DH22" s="128" t="e">
        <f>'PROJECT TA Y TB KARINA'!$Q18/8</f>
        <v>#REF!</v>
      </c>
      <c r="DI22" s="128" t="e">
        <f>'PROJECT TA Y TB KARINA'!$R18/8</f>
        <v>#REF!</v>
      </c>
      <c r="DJ22" s="128" t="e">
        <f>'PROJECT TA Y TB KARINA'!$R18/8</f>
        <v>#REF!</v>
      </c>
      <c r="DK22" s="128" t="e">
        <f>'PROJECT TA Y TB KARINA'!$R18/8</f>
        <v>#REF!</v>
      </c>
      <c r="DL22" s="128" t="e">
        <f>'PROJECT TA Y TB KARINA'!$R18/8</f>
        <v>#REF!</v>
      </c>
      <c r="DM22" s="128" t="e">
        <f>'PROJECT TA Y TB KARINA'!$R18/8</f>
        <v>#REF!</v>
      </c>
      <c r="DN22" s="128" t="e">
        <f>'PROJECT TA Y TB KARINA'!$R18/8</f>
        <v>#REF!</v>
      </c>
      <c r="DO22" s="128" t="e">
        <f>'PROJECT TA Y TB KARINA'!$R18/8</f>
        <v>#REF!</v>
      </c>
      <c r="DP22" s="128" t="e">
        <f>'PROJECT TA Y TB KARINA'!$R18/8</f>
        <v>#REF!</v>
      </c>
      <c r="DQ22" s="128" t="e">
        <f>'PROJECT TA Y TB KARINA'!$S18/8</f>
        <v>#REF!</v>
      </c>
      <c r="DR22" s="128" t="e">
        <f>'PROJECT TA Y TB KARINA'!$S18/8</f>
        <v>#REF!</v>
      </c>
      <c r="DS22" s="128" t="e">
        <f>'PROJECT TA Y TB KARINA'!$S18/8</f>
        <v>#REF!</v>
      </c>
      <c r="DT22" s="128" t="e">
        <f>'PROJECT TA Y TB KARINA'!$S18/8</f>
        <v>#REF!</v>
      </c>
      <c r="DU22" s="128" t="e">
        <f>'PROJECT TA Y TB KARINA'!$S18/8</f>
        <v>#REF!</v>
      </c>
      <c r="DV22" s="128" t="e">
        <f>'PROJECT TA Y TB KARINA'!$S18/8</f>
        <v>#REF!</v>
      </c>
      <c r="DW22" s="128" t="e">
        <f>'PROJECT TA Y TB KARINA'!$S18/8</f>
        <v>#REF!</v>
      </c>
      <c r="DX22" s="128" t="e">
        <f>'PROJECT TA Y TB KARINA'!$S18/8</f>
        <v>#REF!</v>
      </c>
      <c r="DY22" s="128" t="e">
        <f>'PROJECT TA Y TB KARINA'!$T18/8</f>
        <v>#REF!</v>
      </c>
      <c r="DZ22" s="128" t="e">
        <f>'PROJECT TA Y TB KARINA'!$T18/8</f>
        <v>#REF!</v>
      </c>
      <c r="EA22" s="128" t="e">
        <f>'PROJECT TA Y TB KARINA'!$T18/8</f>
        <v>#REF!</v>
      </c>
      <c r="EB22" s="128" t="e">
        <f>'PROJECT TA Y TB KARINA'!$T18/8</f>
        <v>#REF!</v>
      </c>
      <c r="EC22" s="128" t="e">
        <f>'PROJECT TA Y TB KARINA'!$T18/8</f>
        <v>#REF!</v>
      </c>
      <c r="ED22" s="128" t="e">
        <f>'PROJECT TA Y TB KARINA'!$T18/8</f>
        <v>#REF!</v>
      </c>
      <c r="EE22" s="128" t="e">
        <f>'PROJECT TA Y TB KARINA'!$T18/8</f>
        <v>#REF!</v>
      </c>
      <c r="EF22" s="128" t="e">
        <f>'PROJECT TA Y TB KARINA'!$T18/8</f>
        <v>#REF!</v>
      </c>
      <c r="EG22" s="128" t="e">
        <f>'PROJECT TA Y TB KARINA'!#REF!/8</f>
        <v>#REF!</v>
      </c>
      <c r="EH22" s="128" t="e">
        <f>'PROJECT TA Y TB KARINA'!#REF!/8</f>
        <v>#REF!</v>
      </c>
      <c r="EI22" s="128" t="e">
        <f>'PROJECT TA Y TB KARINA'!#REF!/8</f>
        <v>#REF!</v>
      </c>
      <c r="EJ22" s="128" t="e">
        <f>'PROJECT TA Y TB KARINA'!#REF!/8</f>
        <v>#REF!</v>
      </c>
      <c r="EK22" s="128" t="e">
        <f>'PROJECT TA Y TB KARINA'!#REF!/8</f>
        <v>#REF!</v>
      </c>
      <c r="EL22" s="128" t="e">
        <f>'PROJECT TA Y TB KARINA'!#REF!/8</f>
        <v>#REF!</v>
      </c>
      <c r="EM22" s="128" t="e">
        <f>'PROJECT TA Y TB KARINA'!#REF!/8</f>
        <v>#REF!</v>
      </c>
      <c r="EN22" s="128" t="e">
        <f>'PROJECT TA Y TB KARINA'!#REF!/8</f>
        <v>#REF!</v>
      </c>
      <c r="EO22" s="128">
        <f>'PROJECT TA Y TB KARINA'!$C76/8</f>
        <v>0</v>
      </c>
      <c r="EP22" s="128">
        <f>'PROJECT TA Y TB KARINA'!$C76/8</f>
        <v>0</v>
      </c>
      <c r="EQ22" s="128">
        <f>'PROJECT TA Y TB KARINA'!$C76/8</f>
        <v>0</v>
      </c>
      <c r="ER22" s="128">
        <f>'PROJECT TA Y TB KARINA'!$C76/8</f>
        <v>0</v>
      </c>
      <c r="ES22" s="128">
        <f>'PROJECT TA Y TB KARINA'!$C76/8</f>
        <v>0</v>
      </c>
      <c r="ET22" s="128">
        <f>'PROJECT TA Y TB KARINA'!$C76/8</f>
        <v>0</v>
      </c>
      <c r="EU22" s="128">
        <f>'PROJECT TA Y TB KARINA'!$C76/8</f>
        <v>0</v>
      </c>
      <c r="EV22" s="128">
        <f>'PROJECT TA Y TB KARINA'!$E76/8</f>
        <v>0</v>
      </c>
      <c r="EW22" s="128">
        <f>'PROJECT TA Y TB KARINA'!$E76/8</f>
        <v>0</v>
      </c>
      <c r="EX22" s="128">
        <f>'PROJECT TA Y TB KARINA'!$E76/8</f>
        <v>0</v>
      </c>
      <c r="EY22" s="128">
        <f>'PROJECT TA Y TB KARINA'!$E76/8</f>
        <v>0</v>
      </c>
      <c r="EZ22" s="128">
        <f>'PROJECT TA Y TB KARINA'!$E76/8</f>
        <v>0</v>
      </c>
      <c r="FA22" s="128">
        <f>'PROJECT TA Y TB KARINA'!$E76/8</f>
        <v>0</v>
      </c>
      <c r="FB22" s="128">
        <f>'PROJECT TA Y TB KARINA'!$E76/8</f>
        <v>0</v>
      </c>
      <c r="FC22" s="128">
        <f>'PROJECT TA Y TB KARINA'!$E76/8</f>
        <v>0</v>
      </c>
      <c r="FD22" s="128">
        <f>'PROJECT TA Y TB KARINA'!$F76/8</f>
        <v>0</v>
      </c>
      <c r="FE22" s="128">
        <f>'PROJECT TA Y TB KARINA'!$F76/8</f>
        <v>0</v>
      </c>
      <c r="FF22" s="128">
        <f>'PROJECT TA Y TB KARINA'!$F76/8</f>
        <v>0</v>
      </c>
      <c r="FG22" s="128">
        <f>'PROJECT TA Y TB KARINA'!$F76/8</f>
        <v>0</v>
      </c>
      <c r="FH22" s="128">
        <f>'PROJECT TA Y TB KARINA'!$F76/8</f>
        <v>0</v>
      </c>
      <c r="FI22" s="128">
        <f>'PROJECT TA Y TB KARINA'!$F76/8</f>
        <v>0</v>
      </c>
      <c r="FJ22" s="128">
        <f>'PROJECT TA Y TB KARINA'!$F76/8</f>
        <v>0</v>
      </c>
      <c r="FK22" s="128">
        <f>'PROJECT TA Y TB KARINA'!$F76/8</f>
        <v>0</v>
      </c>
      <c r="FL22" s="128">
        <f>'PROJECT TA Y TB KARINA'!$G76/8</f>
        <v>0</v>
      </c>
      <c r="FM22" s="128">
        <f>'PROJECT TA Y TB KARINA'!$G76/8</f>
        <v>0</v>
      </c>
      <c r="FN22" s="128">
        <f>'PROJECT TA Y TB KARINA'!$G76/8</f>
        <v>0</v>
      </c>
      <c r="FO22" s="128">
        <f>'PROJECT TA Y TB KARINA'!$G76/8</f>
        <v>0</v>
      </c>
      <c r="FP22" s="128">
        <f>'PROJECT TA Y TB KARINA'!$G76/8</f>
        <v>0</v>
      </c>
      <c r="FQ22" s="128">
        <f>'PROJECT TA Y TB KARINA'!$G76/8</f>
        <v>0</v>
      </c>
      <c r="FR22" s="128">
        <f>'PROJECT TA Y TB KARINA'!$G76/8</f>
        <v>0</v>
      </c>
      <c r="FS22" s="128">
        <f>'PROJECT TA Y TB KARINA'!$G76/8</f>
        <v>0</v>
      </c>
      <c r="FT22" s="128">
        <f>'PROJECT TA Y TB KARINA'!$H76/8</f>
        <v>0</v>
      </c>
      <c r="FU22" s="128">
        <f>'PROJECT TA Y TB KARINA'!$H76/8</f>
        <v>0</v>
      </c>
      <c r="FV22" s="128">
        <f>'PROJECT TA Y TB KARINA'!$H76/8</f>
        <v>0</v>
      </c>
      <c r="FW22" s="128">
        <f>'PROJECT TA Y TB KARINA'!$H76/8</f>
        <v>0</v>
      </c>
      <c r="FX22" s="128">
        <f>'PROJECT TA Y TB KARINA'!$H76/8</f>
        <v>0</v>
      </c>
      <c r="FY22" s="128">
        <f>'PROJECT TA Y TB KARINA'!$H76/8</f>
        <v>0</v>
      </c>
      <c r="FZ22" s="128">
        <f>'PROJECT TA Y TB KARINA'!$H76/8</f>
        <v>0</v>
      </c>
      <c r="GA22" s="128">
        <f>'PROJECT TA Y TB KARINA'!$H76/8</f>
        <v>0</v>
      </c>
      <c r="GB22" s="128">
        <f>'PROJECT TA Y TB KARINA'!$I76/8</f>
        <v>0</v>
      </c>
      <c r="GC22" s="128">
        <f>'PROJECT TA Y TB KARINA'!$I76/8</f>
        <v>0</v>
      </c>
      <c r="GD22" s="128">
        <f>'PROJECT TA Y TB KARINA'!$I76/8</f>
        <v>0</v>
      </c>
      <c r="GE22" s="128">
        <f>'PROJECT TA Y TB KARINA'!$I76/8</f>
        <v>0</v>
      </c>
      <c r="GF22" s="128">
        <f>'PROJECT TA Y TB KARINA'!$I76/8</f>
        <v>0</v>
      </c>
      <c r="GG22" s="128">
        <f>'PROJECT TA Y TB KARINA'!$I76/8</f>
        <v>0</v>
      </c>
      <c r="GH22" s="128">
        <f>'PROJECT TA Y TB KARINA'!$I76/8</f>
        <v>0</v>
      </c>
      <c r="GI22" s="128">
        <f>'PROJECT TA Y TB KARINA'!$I76/8</f>
        <v>0</v>
      </c>
      <c r="GJ22" s="128">
        <f>'PROJECT TA Y TB KARINA'!$J76/8</f>
        <v>0</v>
      </c>
      <c r="GK22" s="128">
        <f>'PROJECT TA Y TB KARINA'!$J76/8</f>
        <v>0</v>
      </c>
      <c r="GL22" s="128">
        <f>'PROJECT TA Y TB KARINA'!$J76/8</f>
        <v>0</v>
      </c>
      <c r="GM22" s="128">
        <f>'PROJECT TA Y TB KARINA'!$J76/8</f>
        <v>0</v>
      </c>
      <c r="GN22" s="128">
        <f>'PROJECT TA Y TB KARINA'!$J76/8</f>
        <v>0</v>
      </c>
      <c r="GO22" s="128">
        <f>'PROJECT TA Y TB KARINA'!$J76/8</f>
        <v>0</v>
      </c>
      <c r="GP22" s="128">
        <f>'PROJECT TA Y TB KARINA'!$J76/8</f>
        <v>0</v>
      </c>
      <c r="GQ22" s="128">
        <f>'PROJECT TA Y TB KARINA'!$J76/8</f>
        <v>0</v>
      </c>
      <c r="GR22" s="128">
        <f>'PROJECT TA Y TB KARINA'!$K76/8</f>
        <v>0</v>
      </c>
      <c r="GS22" s="128">
        <f>'PROJECT TA Y TB KARINA'!$K76/8</f>
        <v>0</v>
      </c>
      <c r="GT22" s="128">
        <f>'PROJECT TA Y TB KARINA'!$K76/8</f>
        <v>0</v>
      </c>
      <c r="GU22" s="128">
        <f>'PROJECT TA Y TB KARINA'!$K76/8</f>
        <v>0</v>
      </c>
      <c r="GV22" s="128">
        <f>'PROJECT TA Y TB KARINA'!$K76/8</f>
        <v>0</v>
      </c>
      <c r="GW22" s="128">
        <f>'PROJECT TA Y TB KARINA'!$K76/8</f>
        <v>0</v>
      </c>
      <c r="GX22" s="128">
        <f>'PROJECT TA Y TB KARINA'!$K76/8</f>
        <v>0</v>
      </c>
      <c r="GY22" s="128">
        <f>'PROJECT TA Y TB KARINA'!$K76/8</f>
        <v>0</v>
      </c>
      <c r="GZ22" s="128">
        <f>'PROJECT TA Y TB KARINA'!$L76/8</f>
        <v>0</v>
      </c>
      <c r="HA22" s="128">
        <f>'PROJECT TA Y TB KARINA'!$L76/8</f>
        <v>0</v>
      </c>
      <c r="HB22" s="128">
        <f>'PROJECT TA Y TB KARINA'!$L76/8</f>
        <v>0</v>
      </c>
      <c r="HC22" s="128">
        <f>'PROJECT TA Y TB KARINA'!$L76/8</f>
        <v>0</v>
      </c>
      <c r="HD22" s="128">
        <f>'PROJECT TA Y TB KARINA'!$L76/8</f>
        <v>0</v>
      </c>
      <c r="HE22" s="128">
        <f>'PROJECT TA Y TB KARINA'!$L76/8</f>
        <v>0</v>
      </c>
      <c r="HF22" s="128">
        <f>'PROJECT TA Y TB KARINA'!$L76/8</f>
        <v>0</v>
      </c>
      <c r="HG22" s="128">
        <f>'PROJECT TA Y TB KARINA'!$L76/8</f>
        <v>0</v>
      </c>
      <c r="HH22" s="128">
        <f>'PROJECT TA Y TB KARINA'!$M76/8</f>
        <v>0</v>
      </c>
      <c r="HI22" s="128">
        <f>'PROJECT TA Y TB KARINA'!$M76/8</f>
        <v>0</v>
      </c>
      <c r="HJ22" s="128">
        <f>'PROJECT TA Y TB KARINA'!$M76/8</f>
        <v>0</v>
      </c>
      <c r="HK22" s="128">
        <f>'PROJECT TA Y TB KARINA'!$M76/8</f>
        <v>0</v>
      </c>
      <c r="HL22" s="128">
        <f>'PROJECT TA Y TB KARINA'!$M76/8</f>
        <v>0</v>
      </c>
      <c r="HM22" s="128">
        <f>'PROJECT TA Y TB KARINA'!$M76/8</f>
        <v>0</v>
      </c>
      <c r="HN22" s="128">
        <f>'PROJECT TA Y TB KARINA'!$M76/8</f>
        <v>0</v>
      </c>
      <c r="HO22" s="128">
        <f>'PROJECT TA Y TB KARINA'!$M76/8</f>
        <v>0</v>
      </c>
      <c r="HP22" s="128">
        <f>'PROJECT TA Y TB KARINA'!$N76/8</f>
        <v>0</v>
      </c>
      <c r="HQ22" s="128">
        <f>'PROJECT TA Y TB KARINA'!$N76/8</f>
        <v>0</v>
      </c>
      <c r="HR22" s="128">
        <f>'PROJECT TA Y TB KARINA'!$N76/8</f>
        <v>0</v>
      </c>
      <c r="HS22" s="128">
        <f>'PROJECT TA Y TB KARINA'!$N76/8</f>
        <v>0</v>
      </c>
      <c r="HT22" s="128">
        <f>'PROJECT TA Y TB KARINA'!$N76/8</f>
        <v>0</v>
      </c>
      <c r="HU22" s="128">
        <f>'PROJECT TA Y TB KARINA'!$N76/8</f>
        <v>0</v>
      </c>
      <c r="HV22" s="128">
        <f>'PROJECT TA Y TB KARINA'!$N76/8</f>
        <v>0</v>
      </c>
      <c r="HW22" s="128">
        <f>'PROJECT TA Y TB KARINA'!$N76/8</f>
        <v>0</v>
      </c>
      <c r="HX22" s="128">
        <f>'PROJECT TA Y TB KARINA'!$O76/8</f>
        <v>0</v>
      </c>
      <c r="HY22" s="128">
        <f>'PROJECT TA Y TB KARINA'!$O76/8</f>
        <v>0</v>
      </c>
      <c r="HZ22" s="128">
        <f>'PROJECT TA Y TB KARINA'!$O76/8</f>
        <v>0</v>
      </c>
      <c r="IA22" s="128">
        <f>'PROJECT TA Y TB KARINA'!$O76/8</f>
        <v>0</v>
      </c>
      <c r="IB22" s="128">
        <f>'PROJECT TA Y TB KARINA'!$O76/8</f>
        <v>0</v>
      </c>
      <c r="IC22" s="128">
        <f>'PROJECT TA Y TB KARINA'!$O76/8</f>
        <v>0</v>
      </c>
      <c r="ID22" s="128">
        <f>'PROJECT TA Y TB KARINA'!$O76/8</f>
        <v>0</v>
      </c>
      <c r="IE22" s="128">
        <f>'PROJECT TA Y TB KARINA'!$O76/8</f>
        <v>0</v>
      </c>
      <c r="IF22" s="128">
        <f>'PROJECT TA Y TB KARINA'!$P76/8</f>
        <v>0</v>
      </c>
      <c r="IG22" s="128">
        <f>'PROJECT TA Y TB KARINA'!$P76/8</f>
        <v>0</v>
      </c>
      <c r="IH22" s="128">
        <f>'PROJECT TA Y TB KARINA'!$P76/8</f>
        <v>0</v>
      </c>
      <c r="II22" s="128">
        <f>'PROJECT TA Y TB KARINA'!$P76/8</f>
        <v>0</v>
      </c>
      <c r="IJ22" s="128">
        <f>'PROJECT TA Y TB KARINA'!$P76/8</f>
        <v>0</v>
      </c>
      <c r="IK22" s="128">
        <f>'PROJECT TA Y TB KARINA'!$P76/8</f>
        <v>0</v>
      </c>
      <c r="IL22" s="128">
        <f>'PROJECT TA Y TB KARINA'!$P76/8</f>
        <v>0</v>
      </c>
      <c r="IM22" s="128">
        <f>'PROJECT TA Y TB KARINA'!$P76/8</f>
        <v>0</v>
      </c>
      <c r="IN22" s="128">
        <f>'PROJECT TA Y TB KARINA'!$Q76/8</f>
        <v>0</v>
      </c>
      <c r="IO22" s="128">
        <f>'PROJECT TA Y TB KARINA'!$Q76/8</f>
        <v>0</v>
      </c>
      <c r="IP22" s="128">
        <f>'PROJECT TA Y TB KARINA'!$Q76/8</f>
        <v>0</v>
      </c>
      <c r="IQ22" s="128">
        <f>'PROJECT TA Y TB KARINA'!$Q76/8</f>
        <v>0</v>
      </c>
      <c r="IR22" s="128">
        <f>'PROJECT TA Y TB KARINA'!$Q76/8</f>
        <v>0</v>
      </c>
      <c r="IS22" s="128">
        <f>'PROJECT TA Y TB KARINA'!$Q76/8</f>
        <v>0</v>
      </c>
      <c r="IT22" s="128">
        <f>'PROJECT TA Y TB KARINA'!$Q76/8</f>
        <v>0</v>
      </c>
      <c r="IU22" s="128">
        <f>'PROJECT TA Y TB KARINA'!$Q76/8</f>
        <v>0</v>
      </c>
      <c r="IV22" s="128">
        <f>'PROJECT TA Y TB KARINA'!$R76/8</f>
        <v>0</v>
      </c>
      <c r="IW22" s="128">
        <f>'PROJECT TA Y TB KARINA'!$R76/8</f>
        <v>0</v>
      </c>
      <c r="IX22" s="128">
        <f>'PROJECT TA Y TB KARINA'!$R76/8</f>
        <v>0</v>
      </c>
      <c r="IY22" s="128">
        <f>'PROJECT TA Y TB KARINA'!$R76/8</f>
        <v>0</v>
      </c>
      <c r="IZ22" s="128">
        <f>'PROJECT TA Y TB KARINA'!$R76/8</f>
        <v>0</v>
      </c>
      <c r="JA22" s="128">
        <f>'PROJECT TA Y TB KARINA'!$R76/8</f>
        <v>0</v>
      </c>
      <c r="JB22" s="128">
        <f>'PROJECT TA Y TB KARINA'!$R76/8</f>
        <v>0</v>
      </c>
      <c r="JC22" s="128">
        <f>'PROJECT TA Y TB KARINA'!$R76/8</f>
        <v>0</v>
      </c>
      <c r="JD22" s="128">
        <f>'PROJECT TA Y TB KARINA'!$S76/8</f>
        <v>0</v>
      </c>
      <c r="JE22" s="128">
        <f>'PROJECT TA Y TB KARINA'!$S76/8</f>
        <v>0</v>
      </c>
      <c r="JF22" s="128">
        <f>'PROJECT TA Y TB KARINA'!$S76/8</f>
        <v>0</v>
      </c>
      <c r="JG22" s="128">
        <f>'PROJECT TA Y TB KARINA'!$S76/8</f>
        <v>0</v>
      </c>
      <c r="JH22" s="128">
        <f>'PROJECT TA Y TB KARINA'!$S76/8</f>
        <v>0</v>
      </c>
      <c r="JI22" s="128">
        <f>'PROJECT TA Y TB KARINA'!$S76/8</f>
        <v>0</v>
      </c>
      <c r="JJ22" s="128">
        <f>'PROJECT TA Y TB KARINA'!$S76/8</f>
        <v>0</v>
      </c>
      <c r="JK22" s="128">
        <f>'PROJECT TA Y TB KARINA'!$S76/8</f>
        <v>0</v>
      </c>
      <c r="JL22" s="128">
        <f>'PROJECT TA Y TB KARINA'!$T76/8</f>
        <v>0</v>
      </c>
      <c r="JM22" s="128">
        <f>'PROJECT TA Y TB KARINA'!$T76/8</f>
        <v>0</v>
      </c>
      <c r="JN22" s="128">
        <f>'PROJECT TA Y TB KARINA'!$T76/8</f>
        <v>0</v>
      </c>
      <c r="JO22" s="128">
        <f>'PROJECT TA Y TB KARINA'!$T76/8</f>
        <v>0</v>
      </c>
      <c r="JP22" s="128">
        <f>'PROJECT TA Y TB KARINA'!$T76/8</f>
        <v>0</v>
      </c>
      <c r="JQ22" s="128">
        <f>'PROJECT TA Y TB KARINA'!$T76/8</f>
        <v>0</v>
      </c>
      <c r="JR22" s="128">
        <f>'PROJECT TA Y TB KARINA'!$T76/8</f>
        <v>0</v>
      </c>
      <c r="JS22" s="128">
        <f>'PROJECT TA Y TB KARINA'!$T76/8</f>
        <v>0</v>
      </c>
      <c r="JT22" s="128" t="e">
        <f>'PROJECT TA Y TB KARINA'!#REF!/8</f>
        <v>#REF!</v>
      </c>
      <c r="JU22" s="128" t="e">
        <f>'PROJECT TA Y TB KARINA'!#REF!/8</f>
        <v>#REF!</v>
      </c>
      <c r="JV22" s="128" t="e">
        <f>'PROJECT TA Y TB KARINA'!#REF!/8</f>
        <v>#REF!</v>
      </c>
      <c r="JW22" s="128" t="e">
        <f>'PROJECT TA Y TB KARINA'!#REF!/8</f>
        <v>#REF!</v>
      </c>
      <c r="JX22" s="128" t="e">
        <f>'PROJECT TA Y TB KARINA'!#REF!/8</f>
        <v>#REF!</v>
      </c>
      <c r="JY22" s="128" t="e">
        <f>'PROJECT TA Y TB KARINA'!#REF!/8</f>
        <v>#REF!</v>
      </c>
      <c r="JZ22" s="128" t="e">
        <f>'PROJECT TA Y TB KARINA'!#REF!/8</f>
        <v>#REF!</v>
      </c>
      <c r="KA22" s="128" t="e">
        <f>'PROJECT TA Y TB KARINA'!#REF!/8</f>
        <v>#REF!</v>
      </c>
    </row>
    <row r="23" spans="1:287" ht="21">
      <c r="A23" s="130" t="s">
        <v>476</v>
      </c>
      <c r="B23" s="128" t="e">
        <f>'PROJECT TA Y TB KARINA'!$C$19/8</f>
        <v>#REF!</v>
      </c>
      <c r="C23" s="128" t="e">
        <f>'PROJECT TA Y TB KARINA'!$C$19/8</f>
        <v>#REF!</v>
      </c>
      <c r="D23" s="128" t="e">
        <f>'PROJECT TA Y TB KARINA'!$C$19/8</f>
        <v>#REF!</v>
      </c>
      <c r="E23" s="128" t="e">
        <f>'PROJECT TA Y TB KARINA'!$C$19/8</f>
        <v>#REF!</v>
      </c>
      <c r="F23" s="128" t="e">
        <f>'PROJECT TA Y TB KARINA'!$C$19/8</f>
        <v>#REF!</v>
      </c>
      <c r="G23" s="128" t="e">
        <f>'PROJECT TA Y TB KARINA'!$C$19/8</f>
        <v>#REF!</v>
      </c>
      <c r="H23" s="128" t="e">
        <f>'PROJECT TA Y TB KARINA'!$C$19/8</f>
        <v>#REF!</v>
      </c>
      <c r="I23" s="128" t="e">
        <f>'PROJECT TA Y TB KARINA'!$E19/8</f>
        <v>#REF!</v>
      </c>
      <c r="J23" s="128" t="e">
        <f>'PROJECT TA Y TB KARINA'!$E19/8</f>
        <v>#REF!</v>
      </c>
      <c r="K23" s="128" t="e">
        <f>'PROJECT TA Y TB KARINA'!$E19/8</f>
        <v>#REF!</v>
      </c>
      <c r="L23" s="128" t="e">
        <f>'PROJECT TA Y TB KARINA'!$E19/8</f>
        <v>#REF!</v>
      </c>
      <c r="M23" s="128" t="e">
        <f>'PROJECT TA Y TB KARINA'!$E19/8</f>
        <v>#REF!</v>
      </c>
      <c r="N23" s="128" t="e">
        <f>'PROJECT TA Y TB KARINA'!$E19/8</f>
        <v>#REF!</v>
      </c>
      <c r="O23" s="128" t="e">
        <f>'PROJECT TA Y TB KARINA'!$E19/8</f>
        <v>#REF!</v>
      </c>
      <c r="P23" s="128" t="e">
        <f>'PROJECT TA Y TB KARINA'!$E19/8</f>
        <v>#REF!</v>
      </c>
      <c r="Q23" s="128" t="e">
        <f>'PROJECT TA Y TB KARINA'!$F19/8</f>
        <v>#REF!</v>
      </c>
      <c r="R23" s="128" t="e">
        <f>'PROJECT TA Y TB KARINA'!$F19/8</f>
        <v>#REF!</v>
      </c>
      <c r="S23" s="128" t="e">
        <f>'PROJECT TA Y TB KARINA'!$F19/8</f>
        <v>#REF!</v>
      </c>
      <c r="T23" s="128" t="e">
        <f>'PROJECT TA Y TB KARINA'!$F19/8</f>
        <v>#REF!</v>
      </c>
      <c r="U23" s="128" t="e">
        <f>'PROJECT TA Y TB KARINA'!$F19/8</f>
        <v>#REF!</v>
      </c>
      <c r="V23" s="128" t="e">
        <f>'PROJECT TA Y TB KARINA'!$F19/8</f>
        <v>#REF!</v>
      </c>
      <c r="W23" s="128" t="e">
        <f>'PROJECT TA Y TB KARINA'!$F19/8</f>
        <v>#REF!</v>
      </c>
      <c r="X23" s="128" t="e">
        <f>'PROJECT TA Y TB KARINA'!$F19/8</f>
        <v>#REF!</v>
      </c>
      <c r="Y23" s="128" t="e">
        <f>'PROJECT TA Y TB KARINA'!$G19/8</f>
        <v>#REF!</v>
      </c>
      <c r="Z23" s="128" t="e">
        <f>'PROJECT TA Y TB KARINA'!$G19/8</f>
        <v>#REF!</v>
      </c>
      <c r="AA23" s="128" t="e">
        <f>'PROJECT TA Y TB KARINA'!$G19/8</f>
        <v>#REF!</v>
      </c>
      <c r="AB23" s="128" t="e">
        <f>'PROJECT TA Y TB KARINA'!$G19/8</f>
        <v>#REF!</v>
      </c>
      <c r="AC23" s="128" t="e">
        <f>'PROJECT TA Y TB KARINA'!$G19/8</f>
        <v>#REF!</v>
      </c>
      <c r="AD23" s="128" t="e">
        <f>'PROJECT TA Y TB KARINA'!$G19/8</f>
        <v>#REF!</v>
      </c>
      <c r="AE23" s="128" t="e">
        <f>'PROJECT TA Y TB KARINA'!$G19/8</f>
        <v>#REF!</v>
      </c>
      <c r="AF23" s="128" t="e">
        <f>'PROJECT TA Y TB KARINA'!$G19/8</f>
        <v>#REF!</v>
      </c>
      <c r="AG23" s="128" t="e">
        <f>'PROJECT TA Y TB KARINA'!$H19/8</f>
        <v>#REF!</v>
      </c>
      <c r="AH23" s="128" t="e">
        <f>'PROJECT TA Y TB KARINA'!$H19/8</f>
        <v>#REF!</v>
      </c>
      <c r="AI23" s="128" t="e">
        <f>'PROJECT TA Y TB KARINA'!$H19/8</f>
        <v>#REF!</v>
      </c>
      <c r="AJ23" s="128" t="e">
        <f>'PROJECT TA Y TB KARINA'!$H19/8</f>
        <v>#REF!</v>
      </c>
      <c r="AK23" s="128" t="e">
        <f>'PROJECT TA Y TB KARINA'!$H19/8</f>
        <v>#REF!</v>
      </c>
      <c r="AL23" s="128" t="e">
        <f>'PROJECT TA Y TB KARINA'!$H19/8</f>
        <v>#REF!</v>
      </c>
      <c r="AM23" s="128" t="e">
        <f>'PROJECT TA Y TB KARINA'!$H19/8</f>
        <v>#REF!</v>
      </c>
      <c r="AN23" s="128" t="e">
        <f>'PROJECT TA Y TB KARINA'!$H19/8</f>
        <v>#REF!</v>
      </c>
      <c r="AO23" s="128" t="e">
        <f>'PROJECT TA Y TB KARINA'!$I19/8</f>
        <v>#REF!</v>
      </c>
      <c r="AP23" s="128" t="e">
        <f>'PROJECT TA Y TB KARINA'!$I19/8</f>
        <v>#REF!</v>
      </c>
      <c r="AQ23" s="128" t="e">
        <f>'PROJECT TA Y TB KARINA'!$I19/8</f>
        <v>#REF!</v>
      </c>
      <c r="AR23" s="128" t="e">
        <f>'PROJECT TA Y TB KARINA'!$I19/8</f>
        <v>#REF!</v>
      </c>
      <c r="AS23" s="128" t="e">
        <f>'PROJECT TA Y TB KARINA'!$I19/8</f>
        <v>#REF!</v>
      </c>
      <c r="AT23" s="128" t="e">
        <f>'PROJECT TA Y TB KARINA'!$I19/8</f>
        <v>#REF!</v>
      </c>
      <c r="AU23" s="128" t="e">
        <f>'PROJECT TA Y TB KARINA'!$I19/8</f>
        <v>#REF!</v>
      </c>
      <c r="AV23" s="128" t="e">
        <f>'PROJECT TA Y TB KARINA'!$I19/8</f>
        <v>#REF!</v>
      </c>
      <c r="AW23" s="128" t="e">
        <f>'PROJECT TA Y TB KARINA'!$J19/8</f>
        <v>#REF!</v>
      </c>
      <c r="AX23" s="128" t="e">
        <f>'PROJECT TA Y TB KARINA'!$J19/8</f>
        <v>#REF!</v>
      </c>
      <c r="AY23" s="128" t="e">
        <f>'PROJECT TA Y TB KARINA'!$J19/8</f>
        <v>#REF!</v>
      </c>
      <c r="AZ23" s="128" t="e">
        <f>'PROJECT TA Y TB KARINA'!$J19/8</f>
        <v>#REF!</v>
      </c>
      <c r="BA23" s="128" t="e">
        <f>'PROJECT TA Y TB KARINA'!$J19/8</f>
        <v>#REF!</v>
      </c>
      <c r="BB23" s="128" t="e">
        <f>'PROJECT TA Y TB KARINA'!$J19/8</f>
        <v>#REF!</v>
      </c>
      <c r="BC23" s="128" t="e">
        <f>'PROJECT TA Y TB KARINA'!$J19/8</f>
        <v>#REF!</v>
      </c>
      <c r="BD23" s="128" t="e">
        <f>'PROJECT TA Y TB KARINA'!$J19/8</f>
        <v>#REF!</v>
      </c>
      <c r="BE23" s="128" t="e">
        <f>'PROJECT TA Y TB KARINA'!$K19/8</f>
        <v>#REF!</v>
      </c>
      <c r="BF23" s="128" t="e">
        <f>'PROJECT TA Y TB KARINA'!$K19/8</f>
        <v>#REF!</v>
      </c>
      <c r="BG23" s="128" t="e">
        <f>'PROJECT TA Y TB KARINA'!$K19/8</f>
        <v>#REF!</v>
      </c>
      <c r="BH23" s="128" t="e">
        <f>'PROJECT TA Y TB KARINA'!$K19/8</f>
        <v>#REF!</v>
      </c>
      <c r="BI23" s="128" t="e">
        <f>'PROJECT TA Y TB KARINA'!$K19/8</f>
        <v>#REF!</v>
      </c>
      <c r="BJ23" s="128" t="e">
        <f>'PROJECT TA Y TB KARINA'!$K19/8</f>
        <v>#REF!</v>
      </c>
      <c r="BK23" s="128" t="e">
        <f>'PROJECT TA Y TB KARINA'!$K19/8</f>
        <v>#REF!</v>
      </c>
      <c r="BL23" s="128" t="e">
        <f>'PROJECT TA Y TB KARINA'!$K19/8</f>
        <v>#REF!</v>
      </c>
      <c r="BM23" s="128" t="e">
        <f>'PROJECT TA Y TB KARINA'!$L19/8</f>
        <v>#REF!</v>
      </c>
      <c r="BN23" s="128" t="e">
        <f>'PROJECT TA Y TB KARINA'!$L19/8</f>
        <v>#REF!</v>
      </c>
      <c r="BO23" s="128" t="e">
        <f>'PROJECT TA Y TB KARINA'!$L19/8</f>
        <v>#REF!</v>
      </c>
      <c r="BP23" s="128" t="e">
        <f>'PROJECT TA Y TB KARINA'!$L19/8</f>
        <v>#REF!</v>
      </c>
      <c r="BQ23" s="128" t="e">
        <f>'PROJECT TA Y TB KARINA'!$L19/8</f>
        <v>#REF!</v>
      </c>
      <c r="BR23" s="128" t="e">
        <f>'PROJECT TA Y TB KARINA'!$L19/8</f>
        <v>#REF!</v>
      </c>
      <c r="BS23" s="128" t="e">
        <f>'PROJECT TA Y TB KARINA'!$L19/8</f>
        <v>#REF!</v>
      </c>
      <c r="BT23" s="128" t="e">
        <f>'PROJECT TA Y TB KARINA'!$L19/8</f>
        <v>#REF!</v>
      </c>
      <c r="BU23" s="128" t="e">
        <f>'PROJECT TA Y TB KARINA'!$M19/8</f>
        <v>#REF!</v>
      </c>
      <c r="BV23" s="128" t="e">
        <f>'PROJECT TA Y TB KARINA'!$M19/8</f>
        <v>#REF!</v>
      </c>
      <c r="BW23" s="128" t="e">
        <f>'PROJECT TA Y TB KARINA'!$M19/8</f>
        <v>#REF!</v>
      </c>
      <c r="BX23" s="128" t="e">
        <f>'PROJECT TA Y TB KARINA'!$M19/8</f>
        <v>#REF!</v>
      </c>
      <c r="BY23" s="128" t="e">
        <f>'PROJECT TA Y TB KARINA'!$M19/8</f>
        <v>#REF!</v>
      </c>
      <c r="BZ23" s="128" t="e">
        <f>'PROJECT TA Y TB KARINA'!$M19/8</f>
        <v>#REF!</v>
      </c>
      <c r="CA23" s="128" t="e">
        <f>'PROJECT TA Y TB KARINA'!$M19/8</f>
        <v>#REF!</v>
      </c>
      <c r="CB23" s="128" t="e">
        <f>'PROJECT TA Y TB KARINA'!$M19/8</f>
        <v>#REF!</v>
      </c>
      <c r="CC23" s="128" t="e">
        <f>'PROJECT TA Y TB KARINA'!$N19/8</f>
        <v>#REF!</v>
      </c>
      <c r="CD23" s="128" t="e">
        <f>'PROJECT TA Y TB KARINA'!$N19/8</f>
        <v>#REF!</v>
      </c>
      <c r="CE23" s="128" t="e">
        <f>'PROJECT TA Y TB KARINA'!$N19/8</f>
        <v>#REF!</v>
      </c>
      <c r="CF23" s="128" t="e">
        <f>'PROJECT TA Y TB KARINA'!$N19/8</f>
        <v>#REF!</v>
      </c>
      <c r="CG23" s="128" t="e">
        <f>'PROJECT TA Y TB KARINA'!$N19/8</f>
        <v>#REF!</v>
      </c>
      <c r="CH23" s="128" t="e">
        <f>'PROJECT TA Y TB KARINA'!$N19/8</f>
        <v>#REF!</v>
      </c>
      <c r="CI23" s="128" t="e">
        <f>'PROJECT TA Y TB KARINA'!$N19/8</f>
        <v>#REF!</v>
      </c>
      <c r="CJ23" s="128" t="e">
        <f>'PROJECT TA Y TB KARINA'!$N19/8</f>
        <v>#REF!</v>
      </c>
      <c r="CK23" s="128" t="e">
        <f>'PROJECT TA Y TB KARINA'!$O19/8</f>
        <v>#REF!</v>
      </c>
      <c r="CL23" s="128" t="e">
        <f>'PROJECT TA Y TB KARINA'!$O19/8</f>
        <v>#REF!</v>
      </c>
      <c r="CM23" s="128" t="e">
        <f>'PROJECT TA Y TB KARINA'!$O19/8</f>
        <v>#REF!</v>
      </c>
      <c r="CN23" s="128" t="e">
        <f>'PROJECT TA Y TB KARINA'!$O19/8</f>
        <v>#REF!</v>
      </c>
      <c r="CO23" s="128" t="e">
        <f>'PROJECT TA Y TB KARINA'!$O19/8</f>
        <v>#REF!</v>
      </c>
      <c r="CP23" s="128" t="e">
        <f>'PROJECT TA Y TB KARINA'!$O19/8</f>
        <v>#REF!</v>
      </c>
      <c r="CQ23" s="128" t="e">
        <f>'PROJECT TA Y TB KARINA'!$O19/8</f>
        <v>#REF!</v>
      </c>
      <c r="CR23" s="128" t="e">
        <f>'PROJECT TA Y TB KARINA'!$O19/8</f>
        <v>#REF!</v>
      </c>
      <c r="CS23" s="128" t="e">
        <f>'PROJECT TA Y TB KARINA'!$P19/8</f>
        <v>#REF!</v>
      </c>
      <c r="CT23" s="128" t="e">
        <f>'PROJECT TA Y TB KARINA'!$P19/8</f>
        <v>#REF!</v>
      </c>
      <c r="CU23" s="128" t="e">
        <f>'PROJECT TA Y TB KARINA'!$P19/8</f>
        <v>#REF!</v>
      </c>
      <c r="CV23" s="128" t="e">
        <f>'PROJECT TA Y TB KARINA'!$P19/8</f>
        <v>#REF!</v>
      </c>
      <c r="CW23" s="128" t="e">
        <f>'PROJECT TA Y TB KARINA'!$P19/8</f>
        <v>#REF!</v>
      </c>
      <c r="CX23" s="128" t="e">
        <f>'PROJECT TA Y TB KARINA'!$P19/8</f>
        <v>#REF!</v>
      </c>
      <c r="CY23" s="128" t="e">
        <f>'PROJECT TA Y TB KARINA'!$P19/8</f>
        <v>#REF!</v>
      </c>
      <c r="CZ23" s="128" t="e">
        <f>'PROJECT TA Y TB KARINA'!$P19/8</f>
        <v>#REF!</v>
      </c>
      <c r="DA23" s="128" t="e">
        <f>'PROJECT TA Y TB KARINA'!$Q19/8</f>
        <v>#REF!</v>
      </c>
      <c r="DB23" s="128" t="e">
        <f>'PROJECT TA Y TB KARINA'!$Q19/8</f>
        <v>#REF!</v>
      </c>
      <c r="DC23" s="128" t="e">
        <f>'PROJECT TA Y TB KARINA'!$Q19/8</f>
        <v>#REF!</v>
      </c>
      <c r="DD23" s="128" t="e">
        <f>'PROJECT TA Y TB KARINA'!$Q19/8</f>
        <v>#REF!</v>
      </c>
      <c r="DE23" s="128" t="e">
        <f>'PROJECT TA Y TB KARINA'!$Q19/8</f>
        <v>#REF!</v>
      </c>
      <c r="DF23" s="128" t="e">
        <f>'PROJECT TA Y TB KARINA'!$Q19/8</f>
        <v>#REF!</v>
      </c>
      <c r="DG23" s="128" t="e">
        <f>'PROJECT TA Y TB KARINA'!$Q19/8</f>
        <v>#REF!</v>
      </c>
      <c r="DH23" s="128" t="e">
        <f>'PROJECT TA Y TB KARINA'!$Q19/8</f>
        <v>#REF!</v>
      </c>
      <c r="DI23" s="128" t="e">
        <f>'PROJECT TA Y TB KARINA'!$R19/8</f>
        <v>#REF!</v>
      </c>
      <c r="DJ23" s="128" t="e">
        <f>'PROJECT TA Y TB KARINA'!$R19/8</f>
        <v>#REF!</v>
      </c>
      <c r="DK23" s="128" t="e">
        <f>'PROJECT TA Y TB KARINA'!$R19/8</f>
        <v>#REF!</v>
      </c>
      <c r="DL23" s="128" t="e">
        <f>'PROJECT TA Y TB KARINA'!$R19/8</f>
        <v>#REF!</v>
      </c>
      <c r="DM23" s="128" t="e">
        <f>'PROJECT TA Y TB KARINA'!$R19/8</f>
        <v>#REF!</v>
      </c>
      <c r="DN23" s="128" t="e">
        <f>'PROJECT TA Y TB KARINA'!$R19/8</f>
        <v>#REF!</v>
      </c>
      <c r="DO23" s="128" t="e">
        <f>'PROJECT TA Y TB KARINA'!$R19/8</f>
        <v>#REF!</v>
      </c>
      <c r="DP23" s="128" t="e">
        <f>'PROJECT TA Y TB KARINA'!$R19/8</f>
        <v>#REF!</v>
      </c>
      <c r="DQ23" s="128" t="e">
        <f>'PROJECT TA Y TB KARINA'!$S19/8</f>
        <v>#REF!</v>
      </c>
      <c r="DR23" s="128" t="e">
        <f>'PROJECT TA Y TB KARINA'!$S19/8</f>
        <v>#REF!</v>
      </c>
      <c r="DS23" s="128" t="e">
        <f>'PROJECT TA Y TB KARINA'!$S19/8</f>
        <v>#REF!</v>
      </c>
      <c r="DT23" s="128" t="e">
        <f>'PROJECT TA Y TB KARINA'!$S19/8</f>
        <v>#REF!</v>
      </c>
      <c r="DU23" s="128" t="e">
        <f>'PROJECT TA Y TB KARINA'!$S19/8</f>
        <v>#REF!</v>
      </c>
      <c r="DV23" s="128" t="e">
        <f>'PROJECT TA Y TB KARINA'!$S19/8</f>
        <v>#REF!</v>
      </c>
      <c r="DW23" s="128" t="e">
        <f>'PROJECT TA Y TB KARINA'!$S19/8</f>
        <v>#REF!</v>
      </c>
      <c r="DX23" s="128" t="e">
        <f>'PROJECT TA Y TB KARINA'!$S19/8</f>
        <v>#REF!</v>
      </c>
      <c r="DY23" s="128" t="e">
        <f>'PROJECT TA Y TB KARINA'!$T19/8</f>
        <v>#REF!</v>
      </c>
      <c r="DZ23" s="128" t="e">
        <f>'PROJECT TA Y TB KARINA'!$T19/8</f>
        <v>#REF!</v>
      </c>
      <c r="EA23" s="128" t="e">
        <f>'PROJECT TA Y TB KARINA'!$T19/8</f>
        <v>#REF!</v>
      </c>
      <c r="EB23" s="128" t="e">
        <f>'PROJECT TA Y TB KARINA'!$T19/8</f>
        <v>#REF!</v>
      </c>
      <c r="EC23" s="128" t="e">
        <f>'PROJECT TA Y TB KARINA'!$T19/8</f>
        <v>#REF!</v>
      </c>
      <c r="ED23" s="128" t="e">
        <f>'PROJECT TA Y TB KARINA'!$T19/8</f>
        <v>#REF!</v>
      </c>
      <c r="EE23" s="128" t="e">
        <f>'PROJECT TA Y TB KARINA'!$T19/8</f>
        <v>#REF!</v>
      </c>
      <c r="EF23" s="128" t="e">
        <f>'PROJECT TA Y TB KARINA'!$T19/8</f>
        <v>#REF!</v>
      </c>
      <c r="EG23" s="128" t="e">
        <f>'PROJECT TA Y TB KARINA'!#REF!/8</f>
        <v>#REF!</v>
      </c>
      <c r="EH23" s="128" t="e">
        <f>'PROJECT TA Y TB KARINA'!#REF!/8</f>
        <v>#REF!</v>
      </c>
      <c r="EI23" s="128" t="e">
        <f>'PROJECT TA Y TB KARINA'!#REF!/8</f>
        <v>#REF!</v>
      </c>
      <c r="EJ23" s="128" t="e">
        <f>'PROJECT TA Y TB KARINA'!#REF!/8</f>
        <v>#REF!</v>
      </c>
      <c r="EK23" s="128" t="e">
        <f>'PROJECT TA Y TB KARINA'!#REF!/8</f>
        <v>#REF!</v>
      </c>
      <c r="EL23" s="128" t="e">
        <f>'PROJECT TA Y TB KARINA'!#REF!/8</f>
        <v>#REF!</v>
      </c>
      <c r="EM23" s="128" t="e">
        <f>'PROJECT TA Y TB KARINA'!#REF!/8</f>
        <v>#REF!</v>
      </c>
      <c r="EN23" s="128" t="e">
        <f>'PROJECT TA Y TB KARINA'!#REF!/8</f>
        <v>#REF!</v>
      </c>
      <c r="EO23" s="128">
        <f>'PROJECT TA Y TB KARINA'!$C77/8</f>
        <v>0</v>
      </c>
      <c r="EP23" s="128">
        <f>'PROJECT TA Y TB KARINA'!$C77/8</f>
        <v>0</v>
      </c>
      <c r="EQ23" s="128">
        <f>'PROJECT TA Y TB KARINA'!$C77/8</f>
        <v>0</v>
      </c>
      <c r="ER23" s="128">
        <f>'PROJECT TA Y TB KARINA'!$C77/8</f>
        <v>0</v>
      </c>
      <c r="ES23" s="128">
        <f>'PROJECT TA Y TB KARINA'!$C77/8</f>
        <v>0</v>
      </c>
      <c r="ET23" s="128">
        <f>'PROJECT TA Y TB KARINA'!$C77/8</f>
        <v>0</v>
      </c>
      <c r="EU23" s="128">
        <f>'PROJECT TA Y TB KARINA'!$C77/8</f>
        <v>0</v>
      </c>
      <c r="EV23" s="128">
        <f>'PROJECT TA Y TB KARINA'!$E77/8</f>
        <v>0</v>
      </c>
      <c r="EW23" s="128">
        <f>'PROJECT TA Y TB KARINA'!$E77/8</f>
        <v>0</v>
      </c>
      <c r="EX23" s="128">
        <f>'PROJECT TA Y TB KARINA'!$E77/8</f>
        <v>0</v>
      </c>
      <c r="EY23" s="128">
        <f>'PROJECT TA Y TB KARINA'!$E77/8</f>
        <v>0</v>
      </c>
      <c r="EZ23" s="128">
        <f>'PROJECT TA Y TB KARINA'!$E77/8</f>
        <v>0</v>
      </c>
      <c r="FA23" s="128">
        <f>'PROJECT TA Y TB KARINA'!$E77/8</f>
        <v>0</v>
      </c>
      <c r="FB23" s="128">
        <f>'PROJECT TA Y TB KARINA'!$E77/8</f>
        <v>0</v>
      </c>
      <c r="FC23" s="128">
        <f>'PROJECT TA Y TB KARINA'!$E77/8</f>
        <v>0</v>
      </c>
      <c r="FD23" s="128">
        <f>'PROJECT TA Y TB KARINA'!$F77/8</f>
        <v>0</v>
      </c>
      <c r="FE23" s="128">
        <f>'PROJECT TA Y TB KARINA'!$F77/8</f>
        <v>0</v>
      </c>
      <c r="FF23" s="128">
        <f>'PROJECT TA Y TB KARINA'!$F77/8</f>
        <v>0</v>
      </c>
      <c r="FG23" s="128">
        <f>'PROJECT TA Y TB KARINA'!$F77/8</f>
        <v>0</v>
      </c>
      <c r="FH23" s="128">
        <f>'PROJECT TA Y TB KARINA'!$F77/8</f>
        <v>0</v>
      </c>
      <c r="FI23" s="128">
        <f>'PROJECT TA Y TB KARINA'!$F77/8</f>
        <v>0</v>
      </c>
      <c r="FJ23" s="128">
        <f>'PROJECT TA Y TB KARINA'!$F77/8</f>
        <v>0</v>
      </c>
      <c r="FK23" s="128">
        <f>'PROJECT TA Y TB KARINA'!$F77/8</f>
        <v>0</v>
      </c>
      <c r="FL23" s="128">
        <f>'PROJECT TA Y TB KARINA'!$G77/8</f>
        <v>0</v>
      </c>
      <c r="FM23" s="128">
        <f>'PROJECT TA Y TB KARINA'!$G77/8</f>
        <v>0</v>
      </c>
      <c r="FN23" s="128">
        <f>'PROJECT TA Y TB KARINA'!$G77/8</f>
        <v>0</v>
      </c>
      <c r="FO23" s="128">
        <f>'PROJECT TA Y TB KARINA'!$G77/8</f>
        <v>0</v>
      </c>
      <c r="FP23" s="128">
        <f>'PROJECT TA Y TB KARINA'!$G77/8</f>
        <v>0</v>
      </c>
      <c r="FQ23" s="128">
        <f>'PROJECT TA Y TB KARINA'!$G77/8</f>
        <v>0</v>
      </c>
      <c r="FR23" s="128">
        <f>'PROJECT TA Y TB KARINA'!$G77/8</f>
        <v>0</v>
      </c>
      <c r="FS23" s="128">
        <f>'PROJECT TA Y TB KARINA'!$G77/8</f>
        <v>0</v>
      </c>
      <c r="FT23" s="128">
        <f>'PROJECT TA Y TB KARINA'!$H77/8</f>
        <v>0</v>
      </c>
      <c r="FU23" s="128">
        <f>'PROJECT TA Y TB KARINA'!$H77/8</f>
        <v>0</v>
      </c>
      <c r="FV23" s="128">
        <f>'PROJECT TA Y TB KARINA'!$H77/8</f>
        <v>0</v>
      </c>
      <c r="FW23" s="128">
        <f>'PROJECT TA Y TB KARINA'!$H77/8</f>
        <v>0</v>
      </c>
      <c r="FX23" s="128">
        <f>'PROJECT TA Y TB KARINA'!$H77/8</f>
        <v>0</v>
      </c>
      <c r="FY23" s="128">
        <f>'PROJECT TA Y TB KARINA'!$H77/8</f>
        <v>0</v>
      </c>
      <c r="FZ23" s="128">
        <f>'PROJECT TA Y TB KARINA'!$H77/8</f>
        <v>0</v>
      </c>
      <c r="GA23" s="128">
        <f>'PROJECT TA Y TB KARINA'!$H77/8</f>
        <v>0</v>
      </c>
      <c r="GB23" s="128">
        <f>'PROJECT TA Y TB KARINA'!$I77/8</f>
        <v>0</v>
      </c>
      <c r="GC23" s="128">
        <f>'PROJECT TA Y TB KARINA'!$I77/8</f>
        <v>0</v>
      </c>
      <c r="GD23" s="128">
        <f>'PROJECT TA Y TB KARINA'!$I77/8</f>
        <v>0</v>
      </c>
      <c r="GE23" s="128">
        <f>'PROJECT TA Y TB KARINA'!$I77/8</f>
        <v>0</v>
      </c>
      <c r="GF23" s="128">
        <f>'PROJECT TA Y TB KARINA'!$I77/8</f>
        <v>0</v>
      </c>
      <c r="GG23" s="128">
        <f>'PROJECT TA Y TB KARINA'!$I77/8</f>
        <v>0</v>
      </c>
      <c r="GH23" s="128">
        <f>'PROJECT TA Y TB KARINA'!$I77/8</f>
        <v>0</v>
      </c>
      <c r="GI23" s="128">
        <f>'PROJECT TA Y TB KARINA'!$I77/8</f>
        <v>0</v>
      </c>
      <c r="GJ23" s="128">
        <f>'PROJECT TA Y TB KARINA'!$J77/8</f>
        <v>0</v>
      </c>
      <c r="GK23" s="128">
        <f>'PROJECT TA Y TB KARINA'!$J77/8</f>
        <v>0</v>
      </c>
      <c r="GL23" s="128">
        <f>'PROJECT TA Y TB KARINA'!$J77/8</f>
        <v>0</v>
      </c>
      <c r="GM23" s="128">
        <f>'PROJECT TA Y TB KARINA'!$J77/8</f>
        <v>0</v>
      </c>
      <c r="GN23" s="128">
        <f>'PROJECT TA Y TB KARINA'!$J77/8</f>
        <v>0</v>
      </c>
      <c r="GO23" s="128">
        <f>'PROJECT TA Y TB KARINA'!$J77/8</f>
        <v>0</v>
      </c>
      <c r="GP23" s="128">
        <f>'PROJECT TA Y TB KARINA'!$J77/8</f>
        <v>0</v>
      </c>
      <c r="GQ23" s="128">
        <f>'PROJECT TA Y TB KARINA'!$J77/8</f>
        <v>0</v>
      </c>
      <c r="GR23" s="128">
        <f>'PROJECT TA Y TB KARINA'!$K77/8</f>
        <v>0</v>
      </c>
      <c r="GS23" s="128">
        <f>'PROJECT TA Y TB KARINA'!$K77/8</f>
        <v>0</v>
      </c>
      <c r="GT23" s="128">
        <f>'PROJECT TA Y TB KARINA'!$K77/8</f>
        <v>0</v>
      </c>
      <c r="GU23" s="128">
        <f>'PROJECT TA Y TB KARINA'!$K77/8</f>
        <v>0</v>
      </c>
      <c r="GV23" s="128">
        <f>'PROJECT TA Y TB KARINA'!$K77/8</f>
        <v>0</v>
      </c>
      <c r="GW23" s="128">
        <f>'PROJECT TA Y TB KARINA'!$K77/8</f>
        <v>0</v>
      </c>
      <c r="GX23" s="128">
        <f>'PROJECT TA Y TB KARINA'!$K77/8</f>
        <v>0</v>
      </c>
      <c r="GY23" s="128">
        <f>'PROJECT TA Y TB KARINA'!$K77/8</f>
        <v>0</v>
      </c>
      <c r="GZ23" s="128">
        <f>'PROJECT TA Y TB KARINA'!$L77/8</f>
        <v>0</v>
      </c>
      <c r="HA23" s="128">
        <f>'PROJECT TA Y TB KARINA'!$L77/8</f>
        <v>0</v>
      </c>
      <c r="HB23" s="128">
        <f>'PROJECT TA Y TB KARINA'!$L77/8</f>
        <v>0</v>
      </c>
      <c r="HC23" s="128">
        <f>'PROJECT TA Y TB KARINA'!$L77/8</f>
        <v>0</v>
      </c>
      <c r="HD23" s="128">
        <f>'PROJECT TA Y TB KARINA'!$L77/8</f>
        <v>0</v>
      </c>
      <c r="HE23" s="128">
        <f>'PROJECT TA Y TB KARINA'!$L77/8</f>
        <v>0</v>
      </c>
      <c r="HF23" s="128">
        <f>'PROJECT TA Y TB KARINA'!$L77/8</f>
        <v>0</v>
      </c>
      <c r="HG23" s="128">
        <f>'PROJECT TA Y TB KARINA'!$L77/8</f>
        <v>0</v>
      </c>
      <c r="HH23" s="128">
        <f>'PROJECT TA Y TB KARINA'!$M77/8</f>
        <v>0</v>
      </c>
      <c r="HI23" s="128">
        <f>'PROJECT TA Y TB KARINA'!$M77/8</f>
        <v>0</v>
      </c>
      <c r="HJ23" s="128">
        <f>'PROJECT TA Y TB KARINA'!$M77/8</f>
        <v>0</v>
      </c>
      <c r="HK23" s="128">
        <f>'PROJECT TA Y TB KARINA'!$M77/8</f>
        <v>0</v>
      </c>
      <c r="HL23" s="128">
        <f>'PROJECT TA Y TB KARINA'!$M77/8</f>
        <v>0</v>
      </c>
      <c r="HM23" s="128">
        <f>'PROJECT TA Y TB KARINA'!$M77/8</f>
        <v>0</v>
      </c>
      <c r="HN23" s="128">
        <f>'PROJECT TA Y TB KARINA'!$M77/8</f>
        <v>0</v>
      </c>
      <c r="HO23" s="128">
        <f>'PROJECT TA Y TB KARINA'!$M77/8</f>
        <v>0</v>
      </c>
      <c r="HP23" s="128">
        <f>'PROJECT TA Y TB KARINA'!$N77/8</f>
        <v>0</v>
      </c>
      <c r="HQ23" s="128">
        <f>'PROJECT TA Y TB KARINA'!$N77/8</f>
        <v>0</v>
      </c>
      <c r="HR23" s="128">
        <f>'PROJECT TA Y TB KARINA'!$N77/8</f>
        <v>0</v>
      </c>
      <c r="HS23" s="128">
        <f>'PROJECT TA Y TB KARINA'!$N77/8</f>
        <v>0</v>
      </c>
      <c r="HT23" s="128">
        <f>'PROJECT TA Y TB KARINA'!$N77/8</f>
        <v>0</v>
      </c>
      <c r="HU23" s="128">
        <f>'PROJECT TA Y TB KARINA'!$N77/8</f>
        <v>0</v>
      </c>
      <c r="HV23" s="128">
        <f>'PROJECT TA Y TB KARINA'!$N77/8</f>
        <v>0</v>
      </c>
      <c r="HW23" s="128">
        <f>'PROJECT TA Y TB KARINA'!$N77/8</f>
        <v>0</v>
      </c>
      <c r="HX23" s="128">
        <f>'PROJECT TA Y TB KARINA'!$O77/8</f>
        <v>0</v>
      </c>
      <c r="HY23" s="128">
        <f>'PROJECT TA Y TB KARINA'!$O77/8</f>
        <v>0</v>
      </c>
      <c r="HZ23" s="128">
        <f>'PROJECT TA Y TB KARINA'!$O77/8</f>
        <v>0</v>
      </c>
      <c r="IA23" s="128">
        <f>'PROJECT TA Y TB KARINA'!$O77/8</f>
        <v>0</v>
      </c>
      <c r="IB23" s="128">
        <f>'PROJECT TA Y TB KARINA'!$O77/8</f>
        <v>0</v>
      </c>
      <c r="IC23" s="128">
        <f>'PROJECT TA Y TB KARINA'!$O77/8</f>
        <v>0</v>
      </c>
      <c r="ID23" s="128">
        <f>'PROJECT TA Y TB KARINA'!$O77/8</f>
        <v>0</v>
      </c>
      <c r="IE23" s="128">
        <f>'PROJECT TA Y TB KARINA'!$O77/8</f>
        <v>0</v>
      </c>
      <c r="IF23" s="128">
        <f>'PROJECT TA Y TB KARINA'!$P77/8</f>
        <v>0</v>
      </c>
      <c r="IG23" s="128">
        <f>'PROJECT TA Y TB KARINA'!$P77/8</f>
        <v>0</v>
      </c>
      <c r="IH23" s="128">
        <f>'PROJECT TA Y TB KARINA'!$P77/8</f>
        <v>0</v>
      </c>
      <c r="II23" s="128">
        <f>'PROJECT TA Y TB KARINA'!$P77/8</f>
        <v>0</v>
      </c>
      <c r="IJ23" s="128">
        <f>'PROJECT TA Y TB KARINA'!$P77/8</f>
        <v>0</v>
      </c>
      <c r="IK23" s="128">
        <f>'PROJECT TA Y TB KARINA'!$P77/8</f>
        <v>0</v>
      </c>
      <c r="IL23" s="128">
        <f>'PROJECT TA Y TB KARINA'!$P77/8</f>
        <v>0</v>
      </c>
      <c r="IM23" s="128">
        <f>'PROJECT TA Y TB KARINA'!$P77/8</f>
        <v>0</v>
      </c>
      <c r="IN23" s="128">
        <f>'PROJECT TA Y TB KARINA'!$Q77/8</f>
        <v>0</v>
      </c>
      <c r="IO23" s="128">
        <f>'PROJECT TA Y TB KARINA'!$Q77/8</f>
        <v>0</v>
      </c>
      <c r="IP23" s="128">
        <f>'PROJECT TA Y TB KARINA'!$Q77/8</f>
        <v>0</v>
      </c>
      <c r="IQ23" s="128">
        <f>'PROJECT TA Y TB KARINA'!$Q77/8</f>
        <v>0</v>
      </c>
      <c r="IR23" s="128">
        <f>'PROJECT TA Y TB KARINA'!$Q77/8</f>
        <v>0</v>
      </c>
      <c r="IS23" s="128">
        <f>'PROJECT TA Y TB KARINA'!$Q77/8</f>
        <v>0</v>
      </c>
      <c r="IT23" s="128">
        <f>'PROJECT TA Y TB KARINA'!$Q77/8</f>
        <v>0</v>
      </c>
      <c r="IU23" s="128">
        <f>'PROJECT TA Y TB KARINA'!$Q77/8</f>
        <v>0</v>
      </c>
      <c r="IV23" s="128">
        <f>'PROJECT TA Y TB KARINA'!$R77/8</f>
        <v>0</v>
      </c>
      <c r="IW23" s="128">
        <f>'PROJECT TA Y TB KARINA'!$R77/8</f>
        <v>0</v>
      </c>
      <c r="IX23" s="128">
        <f>'PROJECT TA Y TB KARINA'!$R77/8</f>
        <v>0</v>
      </c>
      <c r="IY23" s="128">
        <f>'PROJECT TA Y TB KARINA'!$R77/8</f>
        <v>0</v>
      </c>
      <c r="IZ23" s="128">
        <f>'PROJECT TA Y TB KARINA'!$R77/8</f>
        <v>0</v>
      </c>
      <c r="JA23" s="128">
        <f>'PROJECT TA Y TB KARINA'!$R77/8</f>
        <v>0</v>
      </c>
      <c r="JB23" s="128">
        <f>'PROJECT TA Y TB KARINA'!$R77/8</f>
        <v>0</v>
      </c>
      <c r="JC23" s="128">
        <f>'PROJECT TA Y TB KARINA'!$R77/8</f>
        <v>0</v>
      </c>
      <c r="JD23" s="128">
        <f>'PROJECT TA Y TB KARINA'!$S77/8</f>
        <v>0</v>
      </c>
      <c r="JE23" s="128">
        <f>'PROJECT TA Y TB KARINA'!$S77/8</f>
        <v>0</v>
      </c>
      <c r="JF23" s="128">
        <f>'PROJECT TA Y TB KARINA'!$S77/8</f>
        <v>0</v>
      </c>
      <c r="JG23" s="128">
        <f>'PROJECT TA Y TB KARINA'!$S77/8</f>
        <v>0</v>
      </c>
      <c r="JH23" s="128">
        <f>'PROJECT TA Y TB KARINA'!$S77/8</f>
        <v>0</v>
      </c>
      <c r="JI23" s="128">
        <f>'PROJECT TA Y TB KARINA'!$S77/8</f>
        <v>0</v>
      </c>
      <c r="JJ23" s="128">
        <f>'PROJECT TA Y TB KARINA'!$S77/8</f>
        <v>0</v>
      </c>
      <c r="JK23" s="128">
        <f>'PROJECT TA Y TB KARINA'!$S77/8</f>
        <v>0</v>
      </c>
      <c r="JL23" s="128">
        <f>'PROJECT TA Y TB KARINA'!$T77/8</f>
        <v>0</v>
      </c>
      <c r="JM23" s="128">
        <f>'PROJECT TA Y TB KARINA'!$T77/8</f>
        <v>0</v>
      </c>
      <c r="JN23" s="128">
        <f>'PROJECT TA Y TB KARINA'!$T77/8</f>
        <v>0</v>
      </c>
      <c r="JO23" s="128">
        <f>'PROJECT TA Y TB KARINA'!$T77/8</f>
        <v>0</v>
      </c>
      <c r="JP23" s="128">
        <f>'PROJECT TA Y TB KARINA'!$T77/8</f>
        <v>0</v>
      </c>
      <c r="JQ23" s="128">
        <f>'PROJECT TA Y TB KARINA'!$T77/8</f>
        <v>0</v>
      </c>
      <c r="JR23" s="128">
        <f>'PROJECT TA Y TB KARINA'!$T77/8</f>
        <v>0</v>
      </c>
      <c r="JS23" s="128">
        <f>'PROJECT TA Y TB KARINA'!$T77/8</f>
        <v>0</v>
      </c>
      <c r="JT23" s="128" t="e">
        <f>'PROJECT TA Y TB KARINA'!#REF!/8</f>
        <v>#REF!</v>
      </c>
      <c r="JU23" s="128" t="e">
        <f>'PROJECT TA Y TB KARINA'!#REF!/8</f>
        <v>#REF!</v>
      </c>
      <c r="JV23" s="128" t="e">
        <f>'PROJECT TA Y TB KARINA'!#REF!/8</f>
        <v>#REF!</v>
      </c>
      <c r="JW23" s="128" t="e">
        <f>'PROJECT TA Y TB KARINA'!#REF!/8</f>
        <v>#REF!</v>
      </c>
      <c r="JX23" s="128" t="e">
        <f>'PROJECT TA Y TB KARINA'!#REF!/8</f>
        <v>#REF!</v>
      </c>
      <c r="JY23" s="128" t="e">
        <f>'PROJECT TA Y TB KARINA'!#REF!/8</f>
        <v>#REF!</v>
      </c>
      <c r="JZ23" s="128" t="e">
        <f>'PROJECT TA Y TB KARINA'!#REF!/8</f>
        <v>#REF!</v>
      </c>
      <c r="KA23" s="128" t="e">
        <f>'PROJECT TA Y TB KARINA'!#REF!/8</f>
        <v>#REF!</v>
      </c>
    </row>
    <row r="24" spans="1:287" ht="21">
      <c r="A24" s="130" t="s">
        <v>477</v>
      </c>
      <c r="B24" s="128" t="e">
        <f>'PROJECT TA Y TB KARINA'!$C$20/8</f>
        <v>#REF!</v>
      </c>
      <c r="C24" s="128" t="e">
        <f>'PROJECT TA Y TB KARINA'!$C$20/8</f>
        <v>#REF!</v>
      </c>
      <c r="D24" s="128" t="e">
        <f>'PROJECT TA Y TB KARINA'!$C$20/8</f>
        <v>#REF!</v>
      </c>
      <c r="E24" s="128" t="e">
        <f>'PROJECT TA Y TB KARINA'!$C$20/8</f>
        <v>#REF!</v>
      </c>
      <c r="F24" s="128" t="e">
        <f>'PROJECT TA Y TB KARINA'!$C$20/8</f>
        <v>#REF!</v>
      </c>
      <c r="G24" s="128" t="e">
        <f>'PROJECT TA Y TB KARINA'!$C$20/8</f>
        <v>#REF!</v>
      </c>
      <c r="H24" s="128" t="e">
        <f>'PROJECT TA Y TB KARINA'!$C$20/8</f>
        <v>#REF!</v>
      </c>
      <c r="I24" s="128" t="e">
        <f>'PROJECT TA Y TB KARINA'!$E20/8</f>
        <v>#REF!</v>
      </c>
      <c r="J24" s="128" t="e">
        <f>'PROJECT TA Y TB KARINA'!$E20/8</f>
        <v>#REF!</v>
      </c>
      <c r="K24" s="128" t="e">
        <f>'PROJECT TA Y TB KARINA'!$E20/8</f>
        <v>#REF!</v>
      </c>
      <c r="L24" s="128" t="e">
        <f>'PROJECT TA Y TB KARINA'!$E20/8</f>
        <v>#REF!</v>
      </c>
      <c r="M24" s="128" t="e">
        <f>'PROJECT TA Y TB KARINA'!$E20/8</f>
        <v>#REF!</v>
      </c>
      <c r="N24" s="128" t="e">
        <f>'PROJECT TA Y TB KARINA'!$E20/8</f>
        <v>#REF!</v>
      </c>
      <c r="O24" s="128" t="e">
        <f>'PROJECT TA Y TB KARINA'!$E20/8</f>
        <v>#REF!</v>
      </c>
      <c r="P24" s="128" t="e">
        <f>'PROJECT TA Y TB KARINA'!$E20/8</f>
        <v>#REF!</v>
      </c>
      <c r="Q24" s="128" t="e">
        <f>'PROJECT TA Y TB KARINA'!$F20/8</f>
        <v>#REF!</v>
      </c>
      <c r="R24" s="128" t="e">
        <f>'PROJECT TA Y TB KARINA'!$F20/8</f>
        <v>#REF!</v>
      </c>
      <c r="S24" s="128" t="e">
        <f>'PROJECT TA Y TB KARINA'!$F20/8</f>
        <v>#REF!</v>
      </c>
      <c r="T24" s="128" t="e">
        <f>'PROJECT TA Y TB KARINA'!$F20/8</f>
        <v>#REF!</v>
      </c>
      <c r="U24" s="128" t="e">
        <f>'PROJECT TA Y TB KARINA'!$F20/8</f>
        <v>#REF!</v>
      </c>
      <c r="V24" s="128" t="e">
        <f>'PROJECT TA Y TB KARINA'!$F20/8</f>
        <v>#REF!</v>
      </c>
      <c r="W24" s="128" t="e">
        <f>'PROJECT TA Y TB KARINA'!$F20/8</f>
        <v>#REF!</v>
      </c>
      <c r="X24" s="128" t="e">
        <f>'PROJECT TA Y TB KARINA'!$F20/8</f>
        <v>#REF!</v>
      </c>
      <c r="Y24" s="128" t="e">
        <f>'PROJECT TA Y TB KARINA'!$G20/8</f>
        <v>#REF!</v>
      </c>
      <c r="Z24" s="128" t="e">
        <f>'PROJECT TA Y TB KARINA'!$G20/8</f>
        <v>#REF!</v>
      </c>
      <c r="AA24" s="128" t="e">
        <f>'PROJECT TA Y TB KARINA'!$G20/8</f>
        <v>#REF!</v>
      </c>
      <c r="AB24" s="128" t="e">
        <f>'PROJECT TA Y TB KARINA'!$G20/8</f>
        <v>#REF!</v>
      </c>
      <c r="AC24" s="128" t="e">
        <f>'PROJECT TA Y TB KARINA'!$G20/8</f>
        <v>#REF!</v>
      </c>
      <c r="AD24" s="128" t="e">
        <f>'PROJECT TA Y TB KARINA'!$G20/8</f>
        <v>#REF!</v>
      </c>
      <c r="AE24" s="128" t="e">
        <f>'PROJECT TA Y TB KARINA'!$G20/8</f>
        <v>#REF!</v>
      </c>
      <c r="AF24" s="128" t="e">
        <f>'PROJECT TA Y TB KARINA'!$G20/8</f>
        <v>#REF!</v>
      </c>
      <c r="AG24" s="128" t="e">
        <f>'PROJECT TA Y TB KARINA'!$H20/8</f>
        <v>#REF!</v>
      </c>
      <c r="AH24" s="128" t="e">
        <f>'PROJECT TA Y TB KARINA'!$H20/8</f>
        <v>#REF!</v>
      </c>
      <c r="AI24" s="128" t="e">
        <f>'PROJECT TA Y TB KARINA'!$H20/8</f>
        <v>#REF!</v>
      </c>
      <c r="AJ24" s="128" t="e">
        <f>'PROJECT TA Y TB KARINA'!$H20/8</f>
        <v>#REF!</v>
      </c>
      <c r="AK24" s="128" t="e">
        <f>'PROJECT TA Y TB KARINA'!$H20/8</f>
        <v>#REF!</v>
      </c>
      <c r="AL24" s="128" t="e">
        <f>'PROJECT TA Y TB KARINA'!$H20/8</f>
        <v>#REF!</v>
      </c>
      <c r="AM24" s="128" t="e">
        <f>'PROJECT TA Y TB KARINA'!$H20/8</f>
        <v>#REF!</v>
      </c>
      <c r="AN24" s="128" t="e">
        <f>'PROJECT TA Y TB KARINA'!$H20/8</f>
        <v>#REF!</v>
      </c>
      <c r="AO24" s="128" t="e">
        <f>'PROJECT TA Y TB KARINA'!$I20/8</f>
        <v>#REF!</v>
      </c>
      <c r="AP24" s="128" t="e">
        <f>'PROJECT TA Y TB KARINA'!$I20/8</f>
        <v>#REF!</v>
      </c>
      <c r="AQ24" s="128" t="e">
        <f>'PROJECT TA Y TB KARINA'!$I20/8</f>
        <v>#REF!</v>
      </c>
      <c r="AR24" s="128" t="e">
        <f>'PROJECT TA Y TB KARINA'!$I20/8</f>
        <v>#REF!</v>
      </c>
      <c r="AS24" s="128" t="e">
        <f>'PROJECT TA Y TB KARINA'!$I20/8</f>
        <v>#REF!</v>
      </c>
      <c r="AT24" s="128" t="e">
        <f>'PROJECT TA Y TB KARINA'!$I20/8</f>
        <v>#REF!</v>
      </c>
      <c r="AU24" s="128" t="e">
        <f>'PROJECT TA Y TB KARINA'!$I20/8</f>
        <v>#REF!</v>
      </c>
      <c r="AV24" s="128" t="e">
        <f>'PROJECT TA Y TB KARINA'!$I20/8</f>
        <v>#REF!</v>
      </c>
      <c r="AW24" s="128" t="e">
        <f>'PROJECT TA Y TB KARINA'!$J20/8</f>
        <v>#REF!</v>
      </c>
      <c r="AX24" s="128" t="e">
        <f>'PROJECT TA Y TB KARINA'!$J20/8</f>
        <v>#REF!</v>
      </c>
      <c r="AY24" s="128" t="e">
        <f>'PROJECT TA Y TB KARINA'!$J20/8</f>
        <v>#REF!</v>
      </c>
      <c r="AZ24" s="128" t="e">
        <f>'PROJECT TA Y TB KARINA'!$J20/8</f>
        <v>#REF!</v>
      </c>
      <c r="BA24" s="128" t="e">
        <f>'PROJECT TA Y TB KARINA'!$J20/8</f>
        <v>#REF!</v>
      </c>
      <c r="BB24" s="128" t="e">
        <f>'PROJECT TA Y TB KARINA'!$J20/8</f>
        <v>#REF!</v>
      </c>
      <c r="BC24" s="128" t="e">
        <f>'PROJECT TA Y TB KARINA'!$J20/8</f>
        <v>#REF!</v>
      </c>
      <c r="BD24" s="128" t="e">
        <f>'PROJECT TA Y TB KARINA'!$J20/8</f>
        <v>#REF!</v>
      </c>
      <c r="BE24" s="128" t="e">
        <f>'PROJECT TA Y TB KARINA'!$K20/8</f>
        <v>#REF!</v>
      </c>
      <c r="BF24" s="128" t="e">
        <f>'PROJECT TA Y TB KARINA'!$K20/8</f>
        <v>#REF!</v>
      </c>
      <c r="BG24" s="128" t="e">
        <f>'PROJECT TA Y TB KARINA'!$K20/8</f>
        <v>#REF!</v>
      </c>
      <c r="BH24" s="128" t="e">
        <f>'PROJECT TA Y TB KARINA'!$K20/8</f>
        <v>#REF!</v>
      </c>
      <c r="BI24" s="128" t="e">
        <f>'PROJECT TA Y TB KARINA'!$K20/8</f>
        <v>#REF!</v>
      </c>
      <c r="BJ24" s="128" t="e">
        <f>'PROJECT TA Y TB KARINA'!$K20/8</f>
        <v>#REF!</v>
      </c>
      <c r="BK24" s="128" t="e">
        <f>'PROJECT TA Y TB KARINA'!$K20/8</f>
        <v>#REF!</v>
      </c>
      <c r="BL24" s="128" t="e">
        <f>'PROJECT TA Y TB KARINA'!$K20/8</f>
        <v>#REF!</v>
      </c>
      <c r="BM24" s="128" t="e">
        <f>'PROJECT TA Y TB KARINA'!$L20/8</f>
        <v>#REF!</v>
      </c>
      <c r="BN24" s="128" t="e">
        <f>'PROJECT TA Y TB KARINA'!$L20/8</f>
        <v>#REF!</v>
      </c>
      <c r="BO24" s="128" t="e">
        <f>'PROJECT TA Y TB KARINA'!$L20/8</f>
        <v>#REF!</v>
      </c>
      <c r="BP24" s="128" t="e">
        <f>'PROJECT TA Y TB KARINA'!$L20/8</f>
        <v>#REF!</v>
      </c>
      <c r="BQ24" s="128" t="e">
        <f>'PROJECT TA Y TB KARINA'!$L20/8</f>
        <v>#REF!</v>
      </c>
      <c r="BR24" s="128" t="e">
        <f>'PROJECT TA Y TB KARINA'!$L20/8</f>
        <v>#REF!</v>
      </c>
      <c r="BS24" s="128" t="e">
        <f>'PROJECT TA Y TB KARINA'!$L20/8</f>
        <v>#REF!</v>
      </c>
      <c r="BT24" s="128" t="e">
        <f>'PROJECT TA Y TB KARINA'!$L20/8</f>
        <v>#REF!</v>
      </c>
      <c r="BU24" s="128" t="e">
        <f>'PROJECT TA Y TB KARINA'!$M20/8</f>
        <v>#REF!</v>
      </c>
      <c r="BV24" s="128" t="e">
        <f>'PROJECT TA Y TB KARINA'!$M20/8</f>
        <v>#REF!</v>
      </c>
      <c r="BW24" s="128" t="e">
        <f>'PROJECT TA Y TB KARINA'!$M20/8</f>
        <v>#REF!</v>
      </c>
      <c r="BX24" s="128" t="e">
        <f>'PROJECT TA Y TB KARINA'!$M20/8</f>
        <v>#REF!</v>
      </c>
      <c r="BY24" s="128" t="e">
        <f>'PROJECT TA Y TB KARINA'!$M20/8</f>
        <v>#REF!</v>
      </c>
      <c r="BZ24" s="128" t="e">
        <f>'PROJECT TA Y TB KARINA'!$M20/8</f>
        <v>#REF!</v>
      </c>
      <c r="CA24" s="128" t="e">
        <f>'PROJECT TA Y TB KARINA'!$M20/8</f>
        <v>#REF!</v>
      </c>
      <c r="CB24" s="128" t="e">
        <f>'PROJECT TA Y TB KARINA'!$M20/8</f>
        <v>#REF!</v>
      </c>
      <c r="CC24" s="128" t="e">
        <f>'PROJECT TA Y TB KARINA'!$N20/8</f>
        <v>#REF!</v>
      </c>
      <c r="CD24" s="128" t="e">
        <f>'PROJECT TA Y TB KARINA'!$N20/8</f>
        <v>#REF!</v>
      </c>
      <c r="CE24" s="128" t="e">
        <f>'PROJECT TA Y TB KARINA'!$N20/8</f>
        <v>#REF!</v>
      </c>
      <c r="CF24" s="128" t="e">
        <f>'PROJECT TA Y TB KARINA'!$N20/8</f>
        <v>#REF!</v>
      </c>
      <c r="CG24" s="128" t="e">
        <f>'PROJECT TA Y TB KARINA'!$N20/8</f>
        <v>#REF!</v>
      </c>
      <c r="CH24" s="128" t="e">
        <f>'PROJECT TA Y TB KARINA'!$N20/8</f>
        <v>#REF!</v>
      </c>
      <c r="CI24" s="128" t="e">
        <f>'PROJECT TA Y TB KARINA'!$N20/8</f>
        <v>#REF!</v>
      </c>
      <c r="CJ24" s="128" t="e">
        <f>'PROJECT TA Y TB KARINA'!$N20/8</f>
        <v>#REF!</v>
      </c>
      <c r="CK24" s="128" t="e">
        <f>'PROJECT TA Y TB KARINA'!$O20/8</f>
        <v>#REF!</v>
      </c>
      <c r="CL24" s="128" t="e">
        <f>'PROJECT TA Y TB KARINA'!$O20/8</f>
        <v>#REF!</v>
      </c>
      <c r="CM24" s="128" t="e">
        <f>'PROJECT TA Y TB KARINA'!$O20/8</f>
        <v>#REF!</v>
      </c>
      <c r="CN24" s="128" t="e">
        <f>'PROJECT TA Y TB KARINA'!$O20/8</f>
        <v>#REF!</v>
      </c>
      <c r="CO24" s="128" t="e">
        <f>'PROJECT TA Y TB KARINA'!$O20/8</f>
        <v>#REF!</v>
      </c>
      <c r="CP24" s="128" t="e">
        <f>'PROJECT TA Y TB KARINA'!$O20/8</f>
        <v>#REF!</v>
      </c>
      <c r="CQ24" s="128" t="e">
        <f>'PROJECT TA Y TB KARINA'!$O20/8</f>
        <v>#REF!</v>
      </c>
      <c r="CR24" s="128" t="e">
        <f>'PROJECT TA Y TB KARINA'!$O20/8</f>
        <v>#REF!</v>
      </c>
      <c r="CS24" s="128" t="e">
        <f>'PROJECT TA Y TB KARINA'!$P20/8</f>
        <v>#REF!</v>
      </c>
      <c r="CT24" s="128" t="e">
        <f>'PROJECT TA Y TB KARINA'!$P20/8</f>
        <v>#REF!</v>
      </c>
      <c r="CU24" s="128" t="e">
        <f>'PROJECT TA Y TB KARINA'!$P20/8</f>
        <v>#REF!</v>
      </c>
      <c r="CV24" s="128" t="e">
        <f>'PROJECT TA Y TB KARINA'!$P20/8</f>
        <v>#REF!</v>
      </c>
      <c r="CW24" s="128" t="e">
        <f>'PROJECT TA Y TB KARINA'!$P20/8</f>
        <v>#REF!</v>
      </c>
      <c r="CX24" s="128" t="e">
        <f>'PROJECT TA Y TB KARINA'!$P20/8</f>
        <v>#REF!</v>
      </c>
      <c r="CY24" s="128" t="e">
        <f>'PROJECT TA Y TB KARINA'!$P20/8</f>
        <v>#REF!</v>
      </c>
      <c r="CZ24" s="128" t="e">
        <f>'PROJECT TA Y TB KARINA'!$P20/8</f>
        <v>#REF!</v>
      </c>
      <c r="DA24" s="128" t="e">
        <f>'PROJECT TA Y TB KARINA'!$Q20/8</f>
        <v>#REF!</v>
      </c>
      <c r="DB24" s="128" t="e">
        <f>'PROJECT TA Y TB KARINA'!$Q20/8</f>
        <v>#REF!</v>
      </c>
      <c r="DC24" s="128" t="e">
        <f>'PROJECT TA Y TB KARINA'!$Q20/8</f>
        <v>#REF!</v>
      </c>
      <c r="DD24" s="128" t="e">
        <f>'PROJECT TA Y TB KARINA'!$Q20/8</f>
        <v>#REF!</v>
      </c>
      <c r="DE24" s="128" t="e">
        <f>'PROJECT TA Y TB KARINA'!$Q20/8</f>
        <v>#REF!</v>
      </c>
      <c r="DF24" s="128" t="e">
        <f>'PROJECT TA Y TB KARINA'!$Q20/8</f>
        <v>#REF!</v>
      </c>
      <c r="DG24" s="128" t="e">
        <f>'PROJECT TA Y TB KARINA'!$Q20/8</f>
        <v>#REF!</v>
      </c>
      <c r="DH24" s="128" t="e">
        <f>'PROJECT TA Y TB KARINA'!$Q20/8</f>
        <v>#REF!</v>
      </c>
      <c r="DI24" s="128" t="e">
        <f>'PROJECT TA Y TB KARINA'!$R20/8</f>
        <v>#REF!</v>
      </c>
      <c r="DJ24" s="128" t="e">
        <f>'PROJECT TA Y TB KARINA'!$R20/8</f>
        <v>#REF!</v>
      </c>
      <c r="DK24" s="128" t="e">
        <f>'PROJECT TA Y TB KARINA'!$R20/8</f>
        <v>#REF!</v>
      </c>
      <c r="DL24" s="128" t="e">
        <f>'PROJECT TA Y TB KARINA'!$R20/8</f>
        <v>#REF!</v>
      </c>
      <c r="DM24" s="128" t="e">
        <f>'PROJECT TA Y TB KARINA'!$R20/8</f>
        <v>#REF!</v>
      </c>
      <c r="DN24" s="128" t="e">
        <f>'PROJECT TA Y TB KARINA'!$R20/8</f>
        <v>#REF!</v>
      </c>
      <c r="DO24" s="128" t="e">
        <f>'PROJECT TA Y TB KARINA'!$R20/8</f>
        <v>#REF!</v>
      </c>
      <c r="DP24" s="128" t="e">
        <f>'PROJECT TA Y TB KARINA'!$R20/8</f>
        <v>#REF!</v>
      </c>
      <c r="DQ24" s="128" t="e">
        <f>'PROJECT TA Y TB KARINA'!$S20/8</f>
        <v>#REF!</v>
      </c>
      <c r="DR24" s="128" t="e">
        <f>'PROJECT TA Y TB KARINA'!$S20/8</f>
        <v>#REF!</v>
      </c>
      <c r="DS24" s="128" t="e">
        <f>'PROJECT TA Y TB KARINA'!$S20/8</f>
        <v>#REF!</v>
      </c>
      <c r="DT24" s="128" t="e">
        <f>'PROJECT TA Y TB KARINA'!$S20/8</f>
        <v>#REF!</v>
      </c>
      <c r="DU24" s="128" t="e">
        <f>'PROJECT TA Y TB KARINA'!$S20/8</f>
        <v>#REF!</v>
      </c>
      <c r="DV24" s="128" t="e">
        <f>'PROJECT TA Y TB KARINA'!$S20/8</f>
        <v>#REF!</v>
      </c>
      <c r="DW24" s="128" t="e">
        <f>'PROJECT TA Y TB KARINA'!$S20/8</f>
        <v>#REF!</v>
      </c>
      <c r="DX24" s="128" t="e">
        <f>'PROJECT TA Y TB KARINA'!$S20/8</f>
        <v>#REF!</v>
      </c>
      <c r="DY24" s="128" t="e">
        <f>'PROJECT TA Y TB KARINA'!$T20/8</f>
        <v>#REF!</v>
      </c>
      <c r="DZ24" s="128" t="e">
        <f>'PROJECT TA Y TB KARINA'!$T20/8</f>
        <v>#REF!</v>
      </c>
      <c r="EA24" s="128" t="e">
        <f>'PROJECT TA Y TB KARINA'!$T20/8</f>
        <v>#REF!</v>
      </c>
      <c r="EB24" s="128" t="e">
        <f>'PROJECT TA Y TB KARINA'!$T20/8</f>
        <v>#REF!</v>
      </c>
      <c r="EC24" s="128" t="e">
        <f>'PROJECT TA Y TB KARINA'!$T20/8</f>
        <v>#REF!</v>
      </c>
      <c r="ED24" s="128" t="e">
        <f>'PROJECT TA Y TB KARINA'!$T20/8</f>
        <v>#REF!</v>
      </c>
      <c r="EE24" s="128" t="e">
        <f>'PROJECT TA Y TB KARINA'!$T20/8</f>
        <v>#REF!</v>
      </c>
      <c r="EF24" s="128" t="e">
        <f>'PROJECT TA Y TB KARINA'!$T20/8</f>
        <v>#REF!</v>
      </c>
      <c r="EG24" s="128" t="e">
        <f>'PROJECT TA Y TB KARINA'!#REF!/8</f>
        <v>#REF!</v>
      </c>
      <c r="EH24" s="128" t="e">
        <f>'PROJECT TA Y TB KARINA'!#REF!/8</f>
        <v>#REF!</v>
      </c>
      <c r="EI24" s="128" t="e">
        <f>'PROJECT TA Y TB KARINA'!#REF!/8</f>
        <v>#REF!</v>
      </c>
      <c r="EJ24" s="128" t="e">
        <f>'PROJECT TA Y TB KARINA'!#REF!/8</f>
        <v>#REF!</v>
      </c>
      <c r="EK24" s="128" t="e">
        <f>'PROJECT TA Y TB KARINA'!#REF!/8</f>
        <v>#REF!</v>
      </c>
      <c r="EL24" s="128" t="e">
        <f>'PROJECT TA Y TB KARINA'!#REF!/8</f>
        <v>#REF!</v>
      </c>
      <c r="EM24" s="128" t="e">
        <f>'PROJECT TA Y TB KARINA'!#REF!/8</f>
        <v>#REF!</v>
      </c>
      <c r="EN24" s="128" t="e">
        <f>'PROJECT TA Y TB KARINA'!#REF!/8</f>
        <v>#REF!</v>
      </c>
      <c r="EO24" s="128">
        <f>'PROJECT TA Y TB KARINA'!$C78/8</f>
        <v>0</v>
      </c>
      <c r="EP24" s="128">
        <f>'PROJECT TA Y TB KARINA'!$C78/8</f>
        <v>0</v>
      </c>
      <c r="EQ24" s="128">
        <f>'PROJECT TA Y TB KARINA'!$C78/8</f>
        <v>0</v>
      </c>
      <c r="ER24" s="128">
        <f>'PROJECT TA Y TB KARINA'!$C78/8</f>
        <v>0</v>
      </c>
      <c r="ES24" s="128">
        <f>'PROJECT TA Y TB KARINA'!$C78/8</f>
        <v>0</v>
      </c>
      <c r="ET24" s="128">
        <f>'PROJECT TA Y TB KARINA'!$C78/8</f>
        <v>0</v>
      </c>
      <c r="EU24" s="128">
        <f>'PROJECT TA Y TB KARINA'!$C78/8</f>
        <v>0</v>
      </c>
      <c r="EV24" s="128">
        <f>'PROJECT TA Y TB KARINA'!$E78/8</f>
        <v>0</v>
      </c>
      <c r="EW24" s="128">
        <f>'PROJECT TA Y TB KARINA'!$E78/8</f>
        <v>0</v>
      </c>
      <c r="EX24" s="128">
        <f>'PROJECT TA Y TB KARINA'!$E78/8</f>
        <v>0</v>
      </c>
      <c r="EY24" s="128">
        <f>'PROJECT TA Y TB KARINA'!$E78/8</f>
        <v>0</v>
      </c>
      <c r="EZ24" s="128">
        <f>'PROJECT TA Y TB KARINA'!$E78/8</f>
        <v>0</v>
      </c>
      <c r="FA24" s="128">
        <f>'PROJECT TA Y TB KARINA'!$E78/8</f>
        <v>0</v>
      </c>
      <c r="FB24" s="128">
        <f>'PROJECT TA Y TB KARINA'!$E78/8</f>
        <v>0</v>
      </c>
      <c r="FC24" s="128">
        <f>'PROJECT TA Y TB KARINA'!$E78/8</f>
        <v>0</v>
      </c>
      <c r="FD24" s="128">
        <f>'PROJECT TA Y TB KARINA'!$F78/8</f>
        <v>0</v>
      </c>
      <c r="FE24" s="128">
        <f>'PROJECT TA Y TB KARINA'!$F78/8</f>
        <v>0</v>
      </c>
      <c r="FF24" s="128">
        <f>'PROJECT TA Y TB KARINA'!$F78/8</f>
        <v>0</v>
      </c>
      <c r="FG24" s="128">
        <f>'PROJECT TA Y TB KARINA'!$F78/8</f>
        <v>0</v>
      </c>
      <c r="FH24" s="128">
        <f>'PROJECT TA Y TB KARINA'!$F78/8</f>
        <v>0</v>
      </c>
      <c r="FI24" s="128">
        <f>'PROJECT TA Y TB KARINA'!$F78/8</f>
        <v>0</v>
      </c>
      <c r="FJ24" s="128">
        <f>'PROJECT TA Y TB KARINA'!$F78/8</f>
        <v>0</v>
      </c>
      <c r="FK24" s="128">
        <f>'PROJECT TA Y TB KARINA'!$F78/8</f>
        <v>0</v>
      </c>
      <c r="FL24" s="128">
        <f>'PROJECT TA Y TB KARINA'!$G78/8</f>
        <v>0</v>
      </c>
      <c r="FM24" s="128">
        <f>'PROJECT TA Y TB KARINA'!$G78/8</f>
        <v>0</v>
      </c>
      <c r="FN24" s="128">
        <f>'PROJECT TA Y TB KARINA'!$G78/8</f>
        <v>0</v>
      </c>
      <c r="FO24" s="128">
        <f>'PROJECT TA Y TB KARINA'!$G78/8</f>
        <v>0</v>
      </c>
      <c r="FP24" s="128">
        <f>'PROJECT TA Y TB KARINA'!$G78/8</f>
        <v>0</v>
      </c>
      <c r="FQ24" s="128">
        <f>'PROJECT TA Y TB KARINA'!$G78/8</f>
        <v>0</v>
      </c>
      <c r="FR24" s="128">
        <f>'PROJECT TA Y TB KARINA'!$G78/8</f>
        <v>0</v>
      </c>
      <c r="FS24" s="128">
        <f>'PROJECT TA Y TB KARINA'!$G78/8</f>
        <v>0</v>
      </c>
      <c r="FT24" s="128">
        <f>'PROJECT TA Y TB KARINA'!$H78/8</f>
        <v>0</v>
      </c>
      <c r="FU24" s="128">
        <f>'PROJECT TA Y TB KARINA'!$H78/8</f>
        <v>0</v>
      </c>
      <c r="FV24" s="128">
        <f>'PROJECT TA Y TB KARINA'!$H78/8</f>
        <v>0</v>
      </c>
      <c r="FW24" s="128">
        <f>'PROJECT TA Y TB KARINA'!$H78/8</f>
        <v>0</v>
      </c>
      <c r="FX24" s="128">
        <f>'PROJECT TA Y TB KARINA'!$H78/8</f>
        <v>0</v>
      </c>
      <c r="FY24" s="128">
        <f>'PROJECT TA Y TB KARINA'!$H78/8</f>
        <v>0</v>
      </c>
      <c r="FZ24" s="128">
        <f>'PROJECT TA Y TB KARINA'!$H78/8</f>
        <v>0</v>
      </c>
      <c r="GA24" s="128">
        <f>'PROJECT TA Y TB KARINA'!$H78/8</f>
        <v>0</v>
      </c>
      <c r="GB24" s="128">
        <f>'PROJECT TA Y TB KARINA'!$I78/8</f>
        <v>0</v>
      </c>
      <c r="GC24" s="128">
        <f>'PROJECT TA Y TB KARINA'!$I78/8</f>
        <v>0</v>
      </c>
      <c r="GD24" s="128">
        <f>'PROJECT TA Y TB KARINA'!$I78/8</f>
        <v>0</v>
      </c>
      <c r="GE24" s="128">
        <f>'PROJECT TA Y TB KARINA'!$I78/8</f>
        <v>0</v>
      </c>
      <c r="GF24" s="128">
        <f>'PROJECT TA Y TB KARINA'!$I78/8</f>
        <v>0</v>
      </c>
      <c r="GG24" s="128">
        <f>'PROJECT TA Y TB KARINA'!$I78/8</f>
        <v>0</v>
      </c>
      <c r="GH24" s="128">
        <f>'PROJECT TA Y TB KARINA'!$I78/8</f>
        <v>0</v>
      </c>
      <c r="GI24" s="128">
        <f>'PROJECT TA Y TB KARINA'!$I78/8</f>
        <v>0</v>
      </c>
      <c r="GJ24" s="128">
        <f>'PROJECT TA Y TB KARINA'!$J78/8</f>
        <v>0</v>
      </c>
      <c r="GK24" s="128">
        <f>'PROJECT TA Y TB KARINA'!$J78/8</f>
        <v>0</v>
      </c>
      <c r="GL24" s="128">
        <f>'PROJECT TA Y TB KARINA'!$J78/8</f>
        <v>0</v>
      </c>
      <c r="GM24" s="128">
        <f>'PROJECT TA Y TB KARINA'!$J78/8</f>
        <v>0</v>
      </c>
      <c r="GN24" s="128">
        <f>'PROJECT TA Y TB KARINA'!$J78/8</f>
        <v>0</v>
      </c>
      <c r="GO24" s="128">
        <f>'PROJECT TA Y TB KARINA'!$J78/8</f>
        <v>0</v>
      </c>
      <c r="GP24" s="128">
        <f>'PROJECT TA Y TB KARINA'!$J78/8</f>
        <v>0</v>
      </c>
      <c r="GQ24" s="128">
        <f>'PROJECT TA Y TB KARINA'!$J78/8</f>
        <v>0</v>
      </c>
      <c r="GR24" s="128">
        <f>'PROJECT TA Y TB KARINA'!$K78/8</f>
        <v>0</v>
      </c>
      <c r="GS24" s="128">
        <f>'PROJECT TA Y TB KARINA'!$K78/8</f>
        <v>0</v>
      </c>
      <c r="GT24" s="128">
        <f>'PROJECT TA Y TB KARINA'!$K78/8</f>
        <v>0</v>
      </c>
      <c r="GU24" s="128">
        <f>'PROJECT TA Y TB KARINA'!$K78/8</f>
        <v>0</v>
      </c>
      <c r="GV24" s="128">
        <f>'PROJECT TA Y TB KARINA'!$K78/8</f>
        <v>0</v>
      </c>
      <c r="GW24" s="128">
        <f>'PROJECT TA Y TB KARINA'!$K78/8</f>
        <v>0</v>
      </c>
      <c r="GX24" s="128">
        <f>'PROJECT TA Y TB KARINA'!$K78/8</f>
        <v>0</v>
      </c>
      <c r="GY24" s="128">
        <f>'PROJECT TA Y TB KARINA'!$K78/8</f>
        <v>0</v>
      </c>
      <c r="GZ24" s="128">
        <f>'PROJECT TA Y TB KARINA'!$L78/8</f>
        <v>0</v>
      </c>
      <c r="HA24" s="128">
        <f>'PROJECT TA Y TB KARINA'!$L78/8</f>
        <v>0</v>
      </c>
      <c r="HB24" s="128">
        <f>'PROJECT TA Y TB KARINA'!$L78/8</f>
        <v>0</v>
      </c>
      <c r="HC24" s="128">
        <f>'PROJECT TA Y TB KARINA'!$L78/8</f>
        <v>0</v>
      </c>
      <c r="HD24" s="128">
        <f>'PROJECT TA Y TB KARINA'!$L78/8</f>
        <v>0</v>
      </c>
      <c r="HE24" s="128">
        <f>'PROJECT TA Y TB KARINA'!$L78/8</f>
        <v>0</v>
      </c>
      <c r="HF24" s="128">
        <f>'PROJECT TA Y TB KARINA'!$L78/8</f>
        <v>0</v>
      </c>
      <c r="HG24" s="128">
        <f>'PROJECT TA Y TB KARINA'!$L78/8</f>
        <v>0</v>
      </c>
      <c r="HH24" s="128">
        <f>'PROJECT TA Y TB KARINA'!$M78/8</f>
        <v>0</v>
      </c>
      <c r="HI24" s="128">
        <f>'PROJECT TA Y TB KARINA'!$M78/8</f>
        <v>0</v>
      </c>
      <c r="HJ24" s="128">
        <f>'PROJECT TA Y TB KARINA'!$M78/8</f>
        <v>0</v>
      </c>
      <c r="HK24" s="128">
        <f>'PROJECT TA Y TB KARINA'!$M78/8</f>
        <v>0</v>
      </c>
      <c r="HL24" s="128">
        <f>'PROJECT TA Y TB KARINA'!$M78/8</f>
        <v>0</v>
      </c>
      <c r="HM24" s="128">
        <f>'PROJECT TA Y TB KARINA'!$M78/8</f>
        <v>0</v>
      </c>
      <c r="HN24" s="128">
        <f>'PROJECT TA Y TB KARINA'!$M78/8</f>
        <v>0</v>
      </c>
      <c r="HO24" s="128">
        <f>'PROJECT TA Y TB KARINA'!$M78/8</f>
        <v>0</v>
      </c>
      <c r="HP24" s="128">
        <f>'PROJECT TA Y TB KARINA'!$N78/8</f>
        <v>0</v>
      </c>
      <c r="HQ24" s="128">
        <f>'PROJECT TA Y TB KARINA'!$N78/8</f>
        <v>0</v>
      </c>
      <c r="HR24" s="128">
        <f>'PROJECT TA Y TB KARINA'!$N78/8</f>
        <v>0</v>
      </c>
      <c r="HS24" s="128">
        <f>'PROJECT TA Y TB KARINA'!$N78/8</f>
        <v>0</v>
      </c>
      <c r="HT24" s="128">
        <f>'PROJECT TA Y TB KARINA'!$N78/8</f>
        <v>0</v>
      </c>
      <c r="HU24" s="128">
        <f>'PROJECT TA Y TB KARINA'!$N78/8</f>
        <v>0</v>
      </c>
      <c r="HV24" s="128">
        <f>'PROJECT TA Y TB KARINA'!$N78/8</f>
        <v>0</v>
      </c>
      <c r="HW24" s="128">
        <f>'PROJECT TA Y TB KARINA'!$N78/8</f>
        <v>0</v>
      </c>
      <c r="HX24" s="128">
        <f>'PROJECT TA Y TB KARINA'!$O78/8</f>
        <v>0</v>
      </c>
      <c r="HY24" s="128">
        <f>'PROJECT TA Y TB KARINA'!$O78/8</f>
        <v>0</v>
      </c>
      <c r="HZ24" s="128">
        <f>'PROJECT TA Y TB KARINA'!$O78/8</f>
        <v>0</v>
      </c>
      <c r="IA24" s="128">
        <f>'PROJECT TA Y TB KARINA'!$O78/8</f>
        <v>0</v>
      </c>
      <c r="IB24" s="128">
        <f>'PROJECT TA Y TB KARINA'!$O78/8</f>
        <v>0</v>
      </c>
      <c r="IC24" s="128">
        <f>'PROJECT TA Y TB KARINA'!$O78/8</f>
        <v>0</v>
      </c>
      <c r="ID24" s="128">
        <f>'PROJECT TA Y TB KARINA'!$O78/8</f>
        <v>0</v>
      </c>
      <c r="IE24" s="128">
        <f>'PROJECT TA Y TB KARINA'!$O78/8</f>
        <v>0</v>
      </c>
      <c r="IF24" s="128">
        <f>'PROJECT TA Y TB KARINA'!$P78/8</f>
        <v>0</v>
      </c>
      <c r="IG24" s="128">
        <f>'PROJECT TA Y TB KARINA'!$P78/8</f>
        <v>0</v>
      </c>
      <c r="IH24" s="128">
        <f>'PROJECT TA Y TB KARINA'!$P78/8</f>
        <v>0</v>
      </c>
      <c r="II24" s="128">
        <f>'PROJECT TA Y TB KARINA'!$P78/8</f>
        <v>0</v>
      </c>
      <c r="IJ24" s="128">
        <f>'PROJECT TA Y TB KARINA'!$P78/8</f>
        <v>0</v>
      </c>
      <c r="IK24" s="128">
        <f>'PROJECT TA Y TB KARINA'!$P78/8</f>
        <v>0</v>
      </c>
      <c r="IL24" s="128">
        <f>'PROJECT TA Y TB KARINA'!$P78/8</f>
        <v>0</v>
      </c>
      <c r="IM24" s="128">
        <f>'PROJECT TA Y TB KARINA'!$P78/8</f>
        <v>0</v>
      </c>
      <c r="IN24" s="128">
        <f>'PROJECT TA Y TB KARINA'!$Q78/8</f>
        <v>0</v>
      </c>
      <c r="IO24" s="128">
        <f>'PROJECT TA Y TB KARINA'!$Q78/8</f>
        <v>0</v>
      </c>
      <c r="IP24" s="128">
        <f>'PROJECT TA Y TB KARINA'!$Q78/8</f>
        <v>0</v>
      </c>
      <c r="IQ24" s="128">
        <f>'PROJECT TA Y TB KARINA'!$Q78/8</f>
        <v>0</v>
      </c>
      <c r="IR24" s="128">
        <f>'PROJECT TA Y TB KARINA'!$Q78/8</f>
        <v>0</v>
      </c>
      <c r="IS24" s="128">
        <f>'PROJECT TA Y TB KARINA'!$Q78/8</f>
        <v>0</v>
      </c>
      <c r="IT24" s="128">
        <f>'PROJECT TA Y TB KARINA'!$Q78/8</f>
        <v>0</v>
      </c>
      <c r="IU24" s="128">
        <f>'PROJECT TA Y TB KARINA'!$Q78/8</f>
        <v>0</v>
      </c>
      <c r="IV24" s="128">
        <f>'PROJECT TA Y TB KARINA'!$R78/8</f>
        <v>0</v>
      </c>
      <c r="IW24" s="128">
        <f>'PROJECT TA Y TB KARINA'!$R78/8</f>
        <v>0</v>
      </c>
      <c r="IX24" s="128">
        <f>'PROJECT TA Y TB KARINA'!$R78/8</f>
        <v>0</v>
      </c>
      <c r="IY24" s="128">
        <f>'PROJECT TA Y TB KARINA'!$R78/8</f>
        <v>0</v>
      </c>
      <c r="IZ24" s="128">
        <f>'PROJECT TA Y TB KARINA'!$R78/8</f>
        <v>0</v>
      </c>
      <c r="JA24" s="128">
        <f>'PROJECT TA Y TB KARINA'!$R78/8</f>
        <v>0</v>
      </c>
      <c r="JB24" s="128">
        <f>'PROJECT TA Y TB KARINA'!$R78/8</f>
        <v>0</v>
      </c>
      <c r="JC24" s="128">
        <f>'PROJECT TA Y TB KARINA'!$R78/8</f>
        <v>0</v>
      </c>
      <c r="JD24" s="128">
        <f>'PROJECT TA Y TB KARINA'!$S78/8</f>
        <v>0</v>
      </c>
      <c r="JE24" s="128">
        <f>'PROJECT TA Y TB KARINA'!$S78/8</f>
        <v>0</v>
      </c>
      <c r="JF24" s="128">
        <f>'PROJECT TA Y TB KARINA'!$S78/8</f>
        <v>0</v>
      </c>
      <c r="JG24" s="128">
        <f>'PROJECT TA Y TB KARINA'!$S78/8</f>
        <v>0</v>
      </c>
      <c r="JH24" s="128">
        <f>'PROJECT TA Y TB KARINA'!$S78/8</f>
        <v>0</v>
      </c>
      <c r="JI24" s="128">
        <f>'PROJECT TA Y TB KARINA'!$S78/8</f>
        <v>0</v>
      </c>
      <c r="JJ24" s="128">
        <f>'PROJECT TA Y TB KARINA'!$S78/8</f>
        <v>0</v>
      </c>
      <c r="JK24" s="128">
        <f>'PROJECT TA Y TB KARINA'!$S78/8</f>
        <v>0</v>
      </c>
      <c r="JL24" s="128">
        <f>'PROJECT TA Y TB KARINA'!$T78/8</f>
        <v>0</v>
      </c>
      <c r="JM24" s="128">
        <f>'PROJECT TA Y TB KARINA'!$T78/8</f>
        <v>0</v>
      </c>
      <c r="JN24" s="128">
        <f>'PROJECT TA Y TB KARINA'!$T78/8</f>
        <v>0</v>
      </c>
      <c r="JO24" s="128">
        <f>'PROJECT TA Y TB KARINA'!$T78/8</f>
        <v>0</v>
      </c>
      <c r="JP24" s="128">
        <f>'PROJECT TA Y TB KARINA'!$T78/8</f>
        <v>0</v>
      </c>
      <c r="JQ24" s="128">
        <f>'PROJECT TA Y TB KARINA'!$T78/8</f>
        <v>0</v>
      </c>
      <c r="JR24" s="128">
        <f>'PROJECT TA Y TB KARINA'!$T78/8</f>
        <v>0</v>
      </c>
      <c r="JS24" s="128">
        <f>'PROJECT TA Y TB KARINA'!$T78/8</f>
        <v>0</v>
      </c>
      <c r="JT24" s="128" t="e">
        <f>'PROJECT TA Y TB KARINA'!#REF!/8</f>
        <v>#REF!</v>
      </c>
      <c r="JU24" s="128" t="e">
        <f>'PROJECT TA Y TB KARINA'!#REF!/8</f>
        <v>#REF!</v>
      </c>
      <c r="JV24" s="128" t="e">
        <f>'PROJECT TA Y TB KARINA'!#REF!/8</f>
        <v>#REF!</v>
      </c>
      <c r="JW24" s="128" t="e">
        <f>'PROJECT TA Y TB KARINA'!#REF!/8</f>
        <v>#REF!</v>
      </c>
      <c r="JX24" s="128" t="e">
        <f>'PROJECT TA Y TB KARINA'!#REF!/8</f>
        <v>#REF!</v>
      </c>
      <c r="JY24" s="128" t="e">
        <f>'PROJECT TA Y TB KARINA'!#REF!/8</f>
        <v>#REF!</v>
      </c>
      <c r="JZ24" s="128" t="e">
        <f>'PROJECT TA Y TB KARINA'!#REF!/8</f>
        <v>#REF!</v>
      </c>
      <c r="KA24" s="128" t="e">
        <f>'PROJECT TA Y TB KARINA'!#REF!/8</f>
        <v>#REF!</v>
      </c>
    </row>
    <row r="25" spans="1:287" ht="21">
      <c r="A25" s="130" t="s">
        <v>478</v>
      </c>
      <c r="B25" s="128" t="e">
        <f>'PROJECT TA Y TB KARINA'!$C$21/8</f>
        <v>#REF!</v>
      </c>
      <c r="C25" s="128" t="e">
        <f>'PROJECT TA Y TB KARINA'!$C$21/8</f>
        <v>#REF!</v>
      </c>
      <c r="D25" s="128" t="e">
        <f>'PROJECT TA Y TB KARINA'!$C$21/8</f>
        <v>#REF!</v>
      </c>
      <c r="E25" s="128" t="e">
        <f>'PROJECT TA Y TB KARINA'!$C$21/8</f>
        <v>#REF!</v>
      </c>
      <c r="F25" s="128" t="e">
        <f>'PROJECT TA Y TB KARINA'!$C$21/8</f>
        <v>#REF!</v>
      </c>
      <c r="G25" s="128" t="e">
        <f>'PROJECT TA Y TB KARINA'!$C$21/8</f>
        <v>#REF!</v>
      </c>
      <c r="H25" s="128" t="e">
        <f>'PROJECT TA Y TB KARINA'!$C$21/8</f>
        <v>#REF!</v>
      </c>
      <c r="I25" s="128" t="e">
        <f>'PROJECT TA Y TB KARINA'!$E21/8</f>
        <v>#REF!</v>
      </c>
      <c r="J25" s="128" t="e">
        <f>'PROJECT TA Y TB KARINA'!$E21/8</f>
        <v>#REF!</v>
      </c>
      <c r="K25" s="128" t="e">
        <f>'PROJECT TA Y TB KARINA'!$E21/8</f>
        <v>#REF!</v>
      </c>
      <c r="L25" s="128" t="e">
        <f>'PROJECT TA Y TB KARINA'!$E21/8</f>
        <v>#REF!</v>
      </c>
      <c r="M25" s="128" t="e">
        <f>'PROJECT TA Y TB KARINA'!$E21/8</f>
        <v>#REF!</v>
      </c>
      <c r="N25" s="128" t="e">
        <f>'PROJECT TA Y TB KARINA'!$E21/8</f>
        <v>#REF!</v>
      </c>
      <c r="O25" s="128" t="e">
        <f>'PROJECT TA Y TB KARINA'!$E21/8</f>
        <v>#REF!</v>
      </c>
      <c r="P25" s="128" t="e">
        <f>'PROJECT TA Y TB KARINA'!$E21/8</f>
        <v>#REF!</v>
      </c>
      <c r="Q25" s="128" t="e">
        <f>'PROJECT TA Y TB KARINA'!$F21/8</f>
        <v>#REF!</v>
      </c>
      <c r="R25" s="128" t="e">
        <f>'PROJECT TA Y TB KARINA'!$F21/8</f>
        <v>#REF!</v>
      </c>
      <c r="S25" s="128" t="e">
        <f>'PROJECT TA Y TB KARINA'!$F21/8</f>
        <v>#REF!</v>
      </c>
      <c r="T25" s="128" t="e">
        <f>'PROJECT TA Y TB KARINA'!$F21/8</f>
        <v>#REF!</v>
      </c>
      <c r="U25" s="128" t="e">
        <f>'PROJECT TA Y TB KARINA'!$F21/8</f>
        <v>#REF!</v>
      </c>
      <c r="V25" s="128" t="e">
        <f>'PROJECT TA Y TB KARINA'!$F21/8</f>
        <v>#REF!</v>
      </c>
      <c r="W25" s="128" t="e">
        <f>'PROJECT TA Y TB KARINA'!$F21/8</f>
        <v>#REF!</v>
      </c>
      <c r="X25" s="128" t="e">
        <f>'PROJECT TA Y TB KARINA'!$F21/8</f>
        <v>#REF!</v>
      </c>
      <c r="Y25" s="128" t="e">
        <f>'PROJECT TA Y TB KARINA'!$G21/8</f>
        <v>#REF!</v>
      </c>
      <c r="Z25" s="128" t="e">
        <f>'PROJECT TA Y TB KARINA'!$G21/8</f>
        <v>#REF!</v>
      </c>
      <c r="AA25" s="128" t="e">
        <f>'PROJECT TA Y TB KARINA'!$G21/8</f>
        <v>#REF!</v>
      </c>
      <c r="AB25" s="128" t="e">
        <f>'PROJECT TA Y TB KARINA'!$G21/8</f>
        <v>#REF!</v>
      </c>
      <c r="AC25" s="128" t="e">
        <f>'PROJECT TA Y TB KARINA'!$G21/8</f>
        <v>#REF!</v>
      </c>
      <c r="AD25" s="128" t="e">
        <f>'PROJECT TA Y TB KARINA'!$G21/8</f>
        <v>#REF!</v>
      </c>
      <c r="AE25" s="128" t="e">
        <f>'PROJECT TA Y TB KARINA'!$G21/8</f>
        <v>#REF!</v>
      </c>
      <c r="AF25" s="128" t="e">
        <f>'PROJECT TA Y TB KARINA'!$G21/8</f>
        <v>#REF!</v>
      </c>
      <c r="AG25" s="128" t="e">
        <f>'PROJECT TA Y TB KARINA'!$H21/8</f>
        <v>#REF!</v>
      </c>
      <c r="AH25" s="128" t="e">
        <f>'PROJECT TA Y TB KARINA'!$H21/8</f>
        <v>#REF!</v>
      </c>
      <c r="AI25" s="128" t="e">
        <f>'PROJECT TA Y TB KARINA'!$H21/8</f>
        <v>#REF!</v>
      </c>
      <c r="AJ25" s="128" t="e">
        <f>'PROJECT TA Y TB KARINA'!$H21/8</f>
        <v>#REF!</v>
      </c>
      <c r="AK25" s="128" t="e">
        <f>'PROJECT TA Y TB KARINA'!$H21/8</f>
        <v>#REF!</v>
      </c>
      <c r="AL25" s="128" t="e">
        <f>'PROJECT TA Y TB KARINA'!$H21/8</f>
        <v>#REF!</v>
      </c>
      <c r="AM25" s="128" t="e">
        <f>'PROJECT TA Y TB KARINA'!$H21/8</f>
        <v>#REF!</v>
      </c>
      <c r="AN25" s="128" t="e">
        <f>'PROJECT TA Y TB KARINA'!$H21/8</f>
        <v>#REF!</v>
      </c>
      <c r="AO25" s="128" t="e">
        <f>'PROJECT TA Y TB KARINA'!$I21/8</f>
        <v>#REF!</v>
      </c>
      <c r="AP25" s="128" t="e">
        <f>'PROJECT TA Y TB KARINA'!$I21/8</f>
        <v>#REF!</v>
      </c>
      <c r="AQ25" s="128" t="e">
        <f>'PROJECT TA Y TB KARINA'!$I21/8</f>
        <v>#REF!</v>
      </c>
      <c r="AR25" s="128" t="e">
        <f>'PROJECT TA Y TB KARINA'!$I21/8</f>
        <v>#REF!</v>
      </c>
      <c r="AS25" s="128" t="e">
        <f>'PROJECT TA Y TB KARINA'!$I21/8</f>
        <v>#REF!</v>
      </c>
      <c r="AT25" s="128" t="e">
        <f>'PROJECT TA Y TB KARINA'!$I21/8</f>
        <v>#REF!</v>
      </c>
      <c r="AU25" s="128" t="e">
        <f>'PROJECT TA Y TB KARINA'!$I21/8</f>
        <v>#REF!</v>
      </c>
      <c r="AV25" s="128" t="e">
        <f>'PROJECT TA Y TB KARINA'!$I21/8</f>
        <v>#REF!</v>
      </c>
      <c r="AW25" s="128" t="e">
        <f>'PROJECT TA Y TB KARINA'!$J21/8</f>
        <v>#REF!</v>
      </c>
      <c r="AX25" s="128" t="e">
        <f>'PROJECT TA Y TB KARINA'!$J21/8</f>
        <v>#REF!</v>
      </c>
      <c r="AY25" s="128" t="e">
        <f>'PROJECT TA Y TB KARINA'!$J21/8</f>
        <v>#REF!</v>
      </c>
      <c r="AZ25" s="128" t="e">
        <f>'PROJECT TA Y TB KARINA'!$J21/8</f>
        <v>#REF!</v>
      </c>
      <c r="BA25" s="128" t="e">
        <f>'PROJECT TA Y TB KARINA'!$J21/8</f>
        <v>#REF!</v>
      </c>
      <c r="BB25" s="128" t="e">
        <f>'PROJECT TA Y TB KARINA'!$J21/8</f>
        <v>#REF!</v>
      </c>
      <c r="BC25" s="128" t="e">
        <f>'PROJECT TA Y TB KARINA'!$J21/8</f>
        <v>#REF!</v>
      </c>
      <c r="BD25" s="128" t="e">
        <f>'PROJECT TA Y TB KARINA'!$J21/8</f>
        <v>#REF!</v>
      </c>
      <c r="BE25" s="128" t="e">
        <f>'PROJECT TA Y TB KARINA'!$K21/8</f>
        <v>#REF!</v>
      </c>
      <c r="BF25" s="128" t="e">
        <f>'PROJECT TA Y TB KARINA'!$K21/8</f>
        <v>#REF!</v>
      </c>
      <c r="BG25" s="128" t="e">
        <f>'PROJECT TA Y TB KARINA'!$K21/8</f>
        <v>#REF!</v>
      </c>
      <c r="BH25" s="128" t="e">
        <f>'PROJECT TA Y TB KARINA'!$K21/8</f>
        <v>#REF!</v>
      </c>
      <c r="BI25" s="128" t="e">
        <f>'PROJECT TA Y TB KARINA'!$K21/8</f>
        <v>#REF!</v>
      </c>
      <c r="BJ25" s="128" t="e">
        <f>'PROJECT TA Y TB KARINA'!$K21/8</f>
        <v>#REF!</v>
      </c>
      <c r="BK25" s="128" t="e">
        <f>'PROJECT TA Y TB KARINA'!$K21/8</f>
        <v>#REF!</v>
      </c>
      <c r="BL25" s="128" t="e">
        <f>'PROJECT TA Y TB KARINA'!$K21/8</f>
        <v>#REF!</v>
      </c>
      <c r="BM25" s="128" t="e">
        <f>'PROJECT TA Y TB KARINA'!$L21/8</f>
        <v>#REF!</v>
      </c>
      <c r="BN25" s="128" t="e">
        <f>'PROJECT TA Y TB KARINA'!$L21/8</f>
        <v>#REF!</v>
      </c>
      <c r="BO25" s="128" t="e">
        <f>'PROJECT TA Y TB KARINA'!$L21/8</f>
        <v>#REF!</v>
      </c>
      <c r="BP25" s="128" t="e">
        <f>'PROJECT TA Y TB KARINA'!$L21/8</f>
        <v>#REF!</v>
      </c>
      <c r="BQ25" s="128" t="e">
        <f>'PROJECT TA Y TB KARINA'!$L21/8</f>
        <v>#REF!</v>
      </c>
      <c r="BR25" s="128" t="e">
        <f>'PROJECT TA Y TB KARINA'!$L21/8</f>
        <v>#REF!</v>
      </c>
      <c r="BS25" s="128" t="e">
        <f>'PROJECT TA Y TB KARINA'!$L21/8</f>
        <v>#REF!</v>
      </c>
      <c r="BT25" s="128" t="e">
        <f>'PROJECT TA Y TB KARINA'!$L21/8</f>
        <v>#REF!</v>
      </c>
      <c r="BU25" s="128" t="e">
        <f>'PROJECT TA Y TB KARINA'!$M21/8</f>
        <v>#REF!</v>
      </c>
      <c r="BV25" s="128" t="e">
        <f>'PROJECT TA Y TB KARINA'!$M21/8</f>
        <v>#REF!</v>
      </c>
      <c r="BW25" s="128" t="e">
        <f>'PROJECT TA Y TB KARINA'!$M21/8</f>
        <v>#REF!</v>
      </c>
      <c r="BX25" s="128" t="e">
        <f>'PROJECT TA Y TB KARINA'!$M21/8</f>
        <v>#REF!</v>
      </c>
      <c r="BY25" s="128" t="e">
        <f>'PROJECT TA Y TB KARINA'!$M21/8</f>
        <v>#REF!</v>
      </c>
      <c r="BZ25" s="128" t="e">
        <f>'PROJECT TA Y TB KARINA'!$M21/8</f>
        <v>#REF!</v>
      </c>
      <c r="CA25" s="128" t="e">
        <f>'PROJECT TA Y TB KARINA'!$M21/8</f>
        <v>#REF!</v>
      </c>
      <c r="CB25" s="128" t="e">
        <f>'PROJECT TA Y TB KARINA'!$M21/8</f>
        <v>#REF!</v>
      </c>
      <c r="CC25" s="128" t="e">
        <f>'PROJECT TA Y TB KARINA'!$N21/8</f>
        <v>#REF!</v>
      </c>
      <c r="CD25" s="128" t="e">
        <f>'PROJECT TA Y TB KARINA'!$N21/8</f>
        <v>#REF!</v>
      </c>
      <c r="CE25" s="128" t="e">
        <f>'PROJECT TA Y TB KARINA'!$N21/8</f>
        <v>#REF!</v>
      </c>
      <c r="CF25" s="128" t="e">
        <f>'PROJECT TA Y TB KARINA'!$N21/8</f>
        <v>#REF!</v>
      </c>
      <c r="CG25" s="128" t="e">
        <f>'PROJECT TA Y TB KARINA'!$N21/8</f>
        <v>#REF!</v>
      </c>
      <c r="CH25" s="128" t="e">
        <f>'PROJECT TA Y TB KARINA'!$N21/8</f>
        <v>#REF!</v>
      </c>
      <c r="CI25" s="128" t="e">
        <f>'PROJECT TA Y TB KARINA'!$N21/8</f>
        <v>#REF!</v>
      </c>
      <c r="CJ25" s="128" t="e">
        <f>'PROJECT TA Y TB KARINA'!$N21/8</f>
        <v>#REF!</v>
      </c>
      <c r="CK25" s="128" t="e">
        <f>'PROJECT TA Y TB KARINA'!$O21/8</f>
        <v>#REF!</v>
      </c>
      <c r="CL25" s="128" t="e">
        <f>'PROJECT TA Y TB KARINA'!$O21/8</f>
        <v>#REF!</v>
      </c>
      <c r="CM25" s="128" t="e">
        <f>'PROJECT TA Y TB KARINA'!$O21/8</f>
        <v>#REF!</v>
      </c>
      <c r="CN25" s="128" t="e">
        <f>'PROJECT TA Y TB KARINA'!$O21/8</f>
        <v>#REF!</v>
      </c>
      <c r="CO25" s="128" t="e">
        <f>'PROJECT TA Y TB KARINA'!$O21/8</f>
        <v>#REF!</v>
      </c>
      <c r="CP25" s="128" t="e">
        <f>'PROJECT TA Y TB KARINA'!$O21/8</f>
        <v>#REF!</v>
      </c>
      <c r="CQ25" s="128" t="e">
        <f>'PROJECT TA Y TB KARINA'!$O21/8</f>
        <v>#REF!</v>
      </c>
      <c r="CR25" s="128" t="e">
        <f>'PROJECT TA Y TB KARINA'!$O21/8</f>
        <v>#REF!</v>
      </c>
      <c r="CS25" s="128" t="e">
        <f>'PROJECT TA Y TB KARINA'!$P21/8</f>
        <v>#REF!</v>
      </c>
      <c r="CT25" s="128" t="e">
        <f>'PROJECT TA Y TB KARINA'!$P21/8</f>
        <v>#REF!</v>
      </c>
      <c r="CU25" s="128" t="e">
        <f>'PROJECT TA Y TB KARINA'!$P21/8</f>
        <v>#REF!</v>
      </c>
      <c r="CV25" s="128" t="e">
        <f>'PROJECT TA Y TB KARINA'!$P21/8</f>
        <v>#REF!</v>
      </c>
      <c r="CW25" s="128" t="e">
        <f>'PROJECT TA Y TB KARINA'!$P21/8</f>
        <v>#REF!</v>
      </c>
      <c r="CX25" s="128" t="e">
        <f>'PROJECT TA Y TB KARINA'!$P21/8</f>
        <v>#REF!</v>
      </c>
      <c r="CY25" s="128" t="e">
        <f>'PROJECT TA Y TB KARINA'!$P21/8</f>
        <v>#REF!</v>
      </c>
      <c r="CZ25" s="128" t="e">
        <f>'PROJECT TA Y TB KARINA'!$P21/8</f>
        <v>#REF!</v>
      </c>
      <c r="DA25" s="128" t="e">
        <f>'PROJECT TA Y TB KARINA'!$Q21/8</f>
        <v>#REF!</v>
      </c>
      <c r="DB25" s="128" t="e">
        <f>'PROJECT TA Y TB KARINA'!$Q21/8</f>
        <v>#REF!</v>
      </c>
      <c r="DC25" s="128" t="e">
        <f>'PROJECT TA Y TB KARINA'!$Q21/8</f>
        <v>#REF!</v>
      </c>
      <c r="DD25" s="128" t="e">
        <f>'PROJECT TA Y TB KARINA'!$Q21/8</f>
        <v>#REF!</v>
      </c>
      <c r="DE25" s="128" t="e">
        <f>'PROJECT TA Y TB KARINA'!$Q21/8</f>
        <v>#REF!</v>
      </c>
      <c r="DF25" s="128" t="e">
        <f>'PROJECT TA Y TB KARINA'!$Q21/8</f>
        <v>#REF!</v>
      </c>
      <c r="DG25" s="128" t="e">
        <f>'PROJECT TA Y TB KARINA'!$Q21/8</f>
        <v>#REF!</v>
      </c>
      <c r="DH25" s="128" t="e">
        <f>'PROJECT TA Y TB KARINA'!$Q21/8</f>
        <v>#REF!</v>
      </c>
      <c r="DI25" s="128" t="e">
        <f>'PROJECT TA Y TB KARINA'!$R21/8</f>
        <v>#REF!</v>
      </c>
      <c r="DJ25" s="128" t="e">
        <f>'PROJECT TA Y TB KARINA'!$R21/8</f>
        <v>#REF!</v>
      </c>
      <c r="DK25" s="128" t="e">
        <f>'PROJECT TA Y TB KARINA'!$R21/8</f>
        <v>#REF!</v>
      </c>
      <c r="DL25" s="128" t="e">
        <f>'PROJECT TA Y TB KARINA'!$R21/8</f>
        <v>#REF!</v>
      </c>
      <c r="DM25" s="128" t="e">
        <f>'PROJECT TA Y TB KARINA'!$R21/8</f>
        <v>#REF!</v>
      </c>
      <c r="DN25" s="128" t="e">
        <f>'PROJECT TA Y TB KARINA'!$R21/8</f>
        <v>#REF!</v>
      </c>
      <c r="DO25" s="128" t="e">
        <f>'PROJECT TA Y TB KARINA'!$R21/8</f>
        <v>#REF!</v>
      </c>
      <c r="DP25" s="128" t="e">
        <f>'PROJECT TA Y TB KARINA'!$R21/8</f>
        <v>#REF!</v>
      </c>
      <c r="DQ25" s="128" t="e">
        <f>'PROJECT TA Y TB KARINA'!$S21/8</f>
        <v>#REF!</v>
      </c>
      <c r="DR25" s="128" t="e">
        <f>'PROJECT TA Y TB KARINA'!$S21/8</f>
        <v>#REF!</v>
      </c>
      <c r="DS25" s="128" t="e">
        <f>'PROJECT TA Y TB KARINA'!$S21/8</f>
        <v>#REF!</v>
      </c>
      <c r="DT25" s="128" t="e">
        <f>'PROJECT TA Y TB KARINA'!$S21/8</f>
        <v>#REF!</v>
      </c>
      <c r="DU25" s="128" t="e">
        <f>'PROJECT TA Y TB KARINA'!$S21/8</f>
        <v>#REF!</v>
      </c>
      <c r="DV25" s="128" t="e">
        <f>'PROJECT TA Y TB KARINA'!$S21/8</f>
        <v>#REF!</v>
      </c>
      <c r="DW25" s="128" t="e">
        <f>'PROJECT TA Y TB KARINA'!$S21/8</f>
        <v>#REF!</v>
      </c>
      <c r="DX25" s="128" t="e">
        <f>'PROJECT TA Y TB KARINA'!$S21/8</f>
        <v>#REF!</v>
      </c>
      <c r="DY25" s="128" t="e">
        <f>'PROJECT TA Y TB KARINA'!$T21/8</f>
        <v>#REF!</v>
      </c>
      <c r="DZ25" s="128" t="e">
        <f>'PROJECT TA Y TB KARINA'!$T21/8</f>
        <v>#REF!</v>
      </c>
      <c r="EA25" s="128" t="e">
        <f>'PROJECT TA Y TB KARINA'!$T21/8</f>
        <v>#REF!</v>
      </c>
      <c r="EB25" s="128" t="e">
        <f>'PROJECT TA Y TB KARINA'!$T21/8</f>
        <v>#REF!</v>
      </c>
      <c r="EC25" s="128" t="e">
        <f>'PROJECT TA Y TB KARINA'!$T21/8</f>
        <v>#REF!</v>
      </c>
      <c r="ED25" s="128" t="e">
        <f>'PROJECT TA Y TB KARINA'!$T21/8</f>
        <v>#REF!</v>
      </c>
      <c r="EE25" s="128" t="e">
        <f>'PROJECT TA Y TB KARINA'!$T21/8</f>
        <v>#REF!</v>
      </c>
      <c r="EF25" s="128" t="e">
        <f>'PROJECT TA Y TB KARINA'!$T21/8</f>
        <v>#REF!</v>
      </c>
      <c r="EG25" s="128" t="e">
        <f>'PROJECT TA Y TB KARINA'!#REF!/8</f>
        <v>#REF!</v>
      </c>
      <c r="EH25" s="128" t="e">
        <f>'PROJECT TA Y TB KARINA'!#REF!/8</f>
        <v>#REF!</v>
      </c>
      <c r="EI25" s="128" t="e">
        <f>'PROJECT TA Y TB KARINA'!#REF!/8</f>
        <v>#REF!</v>
      </c>
      <c r="EJ25" s="128" t="e">
        <f>'PROJECT TA Y TB KARINA'!#REF!/8</f>
        <v>#REF!</v>
      </c>
      <c r="EK25" s="128" t="e">
        <f>'PROJECT TA Y TB KARINA'!#REF!/8</f>
        <v>#REF!</v>
      </c>
      <c r="EL25" s="128" t="e">
        <f>'PROJECT TA Y TB KARINA'!#REF!/8</f>
        <v>#REF!</v>
      </c>
      <c r="EM25" s="128" t="e">
        <f>'PROJECT TA Y TB KARINA'!#REF!/8</f>
        <v>#REF!</v>
      </c>
      <c r="EN25" s="128" t="e">
        <f>'PROJECT TA Y TB KARINA'!#REF!/8</f>
        <v>#REF!</v>
      </c>
      <c r="EO25" s="128">
        <f>'PROJECT TA Y TB KARINA'!$C79/8</f>
        <v>0</v>
      </c>
      <c r="EP25" s="128">
        <f>'PROJECT TA Y TB KARINA'!$C79/8</f>
        <v>0</v>
      </c>
      <c r="EQ25" s="128">
        <f>'PROJECT TA Y TB KARINA'!$C79/8</f>
        <v>0</v>
      </c>
      <c r="ER25" s="128">
        <f>'PROJECT TA Y TB KARINA'!$C79/8</f>
        <v>0</v>
      </c>
      <c r="ES25" s="128">
        <f>'PROJECT TA Y TB KARINA'!$C79/8</f>
        <v>0</v>
      </c>
      <c r="ET25" s="128">
        <f>'PROJECT TA Y TB KARINA'!$C79/8</f>
        <v>0</v>
      </c>
      <c r="EU25" s="128">
        <f>'PROJECT TA Y TB KARINA'!$C79/8</f>
        <v>0</v>
      </c>
      <c r="EV25" s="128">
        <f>'PROJECT TA Y TB KARINA'!$E79/8</f>
        <v>0</v>
      </c>
      <c r="EW25" s="128">
        <f>'PROJECT TA Y TB KARINA'!$E79/8</f>
        <v>0</v>
      </c>
      <c r="EX25" s="128">
        <f>'PROJECT TA Y TB KARINA'!$E79/8</f>
        <v>0</v>
      </c>
      <c r="EY25" s="128">
        <f>'PROJECT TA Y TB KARINA'!$E79/8</f>
        <v>0</v>
      </c>
      <c r="EZ25" s="128">
        <f>'PROJECT TA Y TB KARINA'!$E79/8</f>
        <v>0</v>
      </c>
      <c r="FA25" s="128">
        <f>'PROJECT TA Y TB KARINA'!$E79/8</f>
        <v>0</v>
      </c>
      <c r="FB25" s="128">
        <f>'PROJECT TA Y TB KARINA'!$E79/8</f>
        <v>0</v>
      </c>
      <c r="FC25" s="128">
        <f>'PROJECT TA Y TB KARINA'!$E79/8</f>
        <v>0</v>
      </c>
      <c r="FD25" s="128">
        <f>'PROJECT TA Y TB KARINA'!$F79/8</f>
        <v>0</v>
      </c>
      <c r="FE25" s="128">
        <f>'PROJECT TA Y TB KARINA'!$F79/8</f>
        <v>0</v>
      </c>
      <c r="FF25" s="128">
        <f>'PROJECT TA Y TB KARINA'!$F79/8</f>
        <v>0</v>
      </c>
      <c r="FG25" s="128">
        <f>'PROJECT TA Y TB KARINA'!$F79/8</f>
        <v>0</v>
      </c>
      <c r="FH25" s="128">
        <f>'PROJECT TA Y TB KARINA'!$F79/8</f>
        <v>0</v>
      </c>
      <c r="FI25" s="128">
        <f>'PROJECT TA Y TB KARINA'!$F79/8</f>
        <v>0</v>
      </c>
      <c r="FJ25" s="128">
        <f>'PROJECT TA Y TB KARINA'!$F79/8</f>
        <v>0</v>
      </c>
      <c r="FK25" s="128">
        <f>'PROJECT TA Y TB KARINA'!$F79/8</f>
        <v>0</v>
      </c>
      <c r="FL25" s="128">
        <f>'PROJECT TA Y TB KARINA'!$G79/8</f>
        <v>0</v>
      </c>
      <c r="FM25" s="128">
        <f>'PROJECT TA Y TB KARINA'!$G79/8</f>
        <v>0</v>
      </c>
      <c r="FN25" s="128">
        <f>'PROJECT TA Y TB KARINA'!$G79/8</f>
        <v>0</v>
      </c>
      <c r="FO25" s="128">
        <f>'PROJECT TA Y TB KARINA'!$G79/8</f>
        <v>0</v>
      </c>
      <c r="FP25" s="128">
        <f>'PROJECT TA Y TB KARINA'!$G79/8</f>
        <v>0</v>
      </c>
      <c r="FQ25" s="128">
        <f>'PROJECT TA Y TB KARINA'!$G79/8</f>
        <v>0</v>
      </c>
      <c r="FR25" s="128">
        <f>'PROJECT TA Y TB KARINA'!$G79/8</f>
        <v>0</v>
      </c>
      <c r="FS25" s="128">
        <f>'PROJECT TA Y TB KARINA'!$G79/8</f>
        <v>0</v>
      </c>
      <c r="FT25" s="128">
        <f>'PROJECT TA Y TB KARINA'!$H79/8</f>
        <v>0</v>
      </c>
      <c r="FU25" s="128">
        <f>'PROJECT TA Y TB KARINA'!$H79/8</f>
        <v>0</v>
      </c>
      <c r="FV25" s="128">
        <f>'PROJECT TA Y TB KARINA'!$H79/8</f>
        <v>0</v>
      </c>
      <c r="FW25" s="128">
        <f>'PROJECT TA Y TB KARINA'!$H79/8</f>
        <v>0</v>
      </c>
      <c r="FX25" s="128">
        <f>'PROJECT TA Y TB KARINA'!$H79/8</f>
        <v>0</v>
      </c>
      <c r="FY25" s="128">
        <f>'PROJECT TA Y TB KARINA'!$H79/8</f>
        <v>0</v>
      </c>
      <c r="FZ25" s="128">
        <f>'PROJECT TA Y TB KARINA'!$H79/8</f>
        <v>0</v>
      </c>
      <c r="GA25" s="128">
        <f>'PROJECT TA Y TB KARINA'!$H79/8</f>
        <v>0</v>
      </c>
      <c r="GB25" s="128">
        <f>'PROJECT TA Y TB KARINA'!$I79/8</f>
        <v>0</v>
      </c>
      <c r="GC25" s="128">
        <f>'PROJECT TA Y TB KARINA'!$I79/8</f>
        <v>0</v>
      </c>
      <c r="GD25" s="128">
        <f>'PROJECT TA Y TB KARINA'!$I79/8</f>
        <v>0</v>
      </c>
      <c r="GE25" s="128">
        <f>'PROJECT TA Y TB KARINA'!$I79/8</f>
        <v>0</v>
      </c>
      <c r="GF25" s="128">
        <f>'PROJECT TA Y TB KARINA'!$I79/8</f>
        <v>0</v>
      </c>
      <c r="GG25" s="128">
        <f>'PROJECT TA Y TB KARINA'!$I79/8</f>
        <v>0</v>
      </c>
      <c r="GH25" s="128">
        <f>'PROJECT TA Y TB KARINA'!$I79/8</f>
        <v>0</v>
      </c>
      <c r="GI25" s="128">
        <f>'PROJECT TA Y TB KARINA'!$I79/8</f>
        <v>0</v>
      </c>
      <c r="GJ25" s="128">
        <f>'PROJECT TA Y TB KARINA'!$J79/8</f>
        <v>0</v>
      </c>
      <c r="GK25" s="128">
        <f>'PROJECT TA Y TB KARINA'!$J79/8</f>
        <v>0</v>
      </c>
      <c r="GL25" s="128">
        <f>'PROJECT TA Y TB KARINA'!$J79/8</f>
        <v>0</v>
      </c>
      <c r="GM25" s="128">
        <f>'PROJECT TA Y TB KARINA'!$J79/8</f>
        <v>0</v>
      </c>
      <c r="GN25" s="128">
        <f>'PROJECT TA Y TB KARINA'!$J79/8</f>
        <v>0</v>
      </c>
      <c r="GO25" s="128">
        <f>'PROJECT TA Y TB KARINA'!$J79/8</f>
        <v>0</v>
      </c>
      <c r="GP25" s="128">
        <f>'PROJECT TA Y TB KARINA'!$J79/8</f>
        <v>0</v>
      </c>
      <c r="GQ25" s="128">
        <f>'PROJECT TA Y TB KARINA'!$J79/8</f>
        <v>0</v>
      </c>
      <c r="GR25" s="128">
        <f>'PROJECT TA Y TB KARINA'!$K79/8</f>
        <v>0</v>
      </c>
      <c r="GS25" s="128">
        <f>'PROJECT TA Y TB KARINA'!$K79/8</f>
        <v>0</v>
      </c>
      <c r="GT25" s="128">
        <f>'PROJECT TA Y TB KARINA'!$K79/8</f>
        <v>0</v>
      </c>
      <c r="GU25" s="128">
        <f>'PROJECT TA Y TB KARINA'!$K79/8</f>
        <v>0</v>
      </c>
      <c r="GV25" s="128">
        <f>'PROJECT TA Y TB KARINA'!$K79/8</f>
        <v>0</v>
      </c>
      <c r="GW25" s="128">
        <f>'PROJECT TA Y TB KARINA'!$K79/8</f>
        <v>0</v>
      </c>
      <c r="GX25" s="128">
        <f>'PROJECT TA Y TB KARINA'!$K79/8</f>
        <v>0</v>
      </c>
      <c r="GY25" s="128">
        <f>'PROJECT TA Y TB KARINA'!$K79/8</f>
        <v>0</v>
      </c>
      <c r="GZ25" s="128">
        <f>'PROJECT TA Y TB KARINA'!$L79/8</f>
        <v>0</v>
      </c>
      <c r="HA25" s="128">
        <f>'PROJECT TA Y TB KARINA'!$L79/8</f>
        <v>0</v>
      </c>
      <c r="HB25" s="128">
        <f>'PROJECT TA Y TB KARINA'!$L79/8</f>
        <v>0</v>
      </c>
      <c r="HC25" s="128">
        <f>'PROJECT TA Y TB KARINA'!$L79/8</f>
        <v>0</v>
      </c>
      <c r="HD25" s="128">
        <f>'PROJECT TA Y TB KARINA'!$L79/8</f>
        <v>0</v>
      </c>
      <c r="HE25" s="128">
        <f>'PROJECT TA Y TB KARINA'!$L79/8</f>
        <v>0</v>
      </c>
      <c r="HF25" s="128">
        <f>'PROJECT TA Y TB KARINA'!$L79/8</f>
        <v>0</v>
      </c>
      <c r="HG25" s="128">
        <f>'PROJECT TA Y TB KARINA'!$L79/8</f>
        <v>0</v>
      </c>
      <c r="HH25" s="128">
        <f>'PROJECT TA Y TB KARINA'!$M79/8</f>
        <v>0</v>
      </c>
      <c r="HI25" s="128">
        <f>'PROJECT TA Y TB KARINA'!$M79/8</f>
        <v>0</v>
      </c>
      <c r="HJ25" s="128">
        <f>'PROJECT TA Y TB KARINA'!$M79/8</f>
        <v>0</v>
      </c>
      <c r="HK25" s="128">
        <f>'PROJECT TA Y TB KARINA'!$M79/8</f>
        <v>0</v>
      </c>
      <c r="HL25" s="128">
        <f>'PROJECT TA Y TB KARINA'!$M79/8</f>
        <v>0</v>
      </c>
      <c r="HM25" s="128">
        <f>'PROJECT TA Y TB KARINA'!$M79/8</f>
        <v>0</v>
      </c>
      <c r="HN25" s="128">
        <f>'PROJECT TA Y TB KARINA'!$M79/8</f>
        <v>0</v>
      </c>
      <c r="HO25" s="128">
        <f>'PROJECT TA Y TB KARINA'!$M79/8</f>
        <v>0</v>
      </c>
      <c r="HP25" s="128">
        <f>'PROJECT TA Y TB KARINA'!$N79/8</f>
        <v>0</v>
      </c>
      <c r="HQ25" s="128">
        <f>'PROJECT TA Y TB KARINA'!$N79/8</f>
        <v>0</v>
      </c>
      <c r="HR25" s="128">
        <f>'PROJECT TA Y TB KARINA'!$N79/8</f>
        <v>0</v>
      </c>
      <c r="HS25" s="128">
        <f>'PROJECT TA Y TB KARINA'!$N79/8</f>
        <v>0</v>
      </c>
      <c r="HT25" s="128">
        <f>'PROJECT TA Y TB KARINA'!$N79/8</f>
        <v>0</v>
      </c>
      <c r="HU25" s="128">
        <f>'PROJECT TA Y TB KARINA'!$N79/8</f>
        <v>0</v>
      </c>
      <c r="HV25" s="128">
        <f>'PROJECT TA Y TB KARINA'!$N79/8</f>
        <v>0</v>
      </c>
      <c r="HW25" s="128">
        <f>'PROJECT TA Y TB KARINA'!$N79/8</f>
        <v>0</v>
      </c>
      <c r="HX25" s="128">
        <f>'PROJECT TA Y TB KARINA'!$O79/8</f>
        <v>0</v>
      </c>
      <c r="HY25" s="128">
        <f>'PROJECT TA Y TB KARINA'!$O79/8</f>
        <v>0</v>
      </c>
      <c r="HZ25" s="128">
        <f>'PROJECT TA Y TB KARINA'!$O79/8</f>
        <v>0</v>
      </c>
      <c r="IA25" s="128">
        <f>'PROJECT TA Y TB KARINA'!$O79/8</f>
        <v>0</v>
      </c>
      <c r="IB25" s="128">
        <f>'PROJECT TA Y TB KARINA'!$O79/8</f>
        <v>0</v>
      </c>
      <c r="IC25" s="128">
        <f>'PROJECT TA Y TB KARINA'!$O79/8</f>
        <v>0</v>
      </c>
      <c r="ID25" s="128">
        <f>'PROJECT TA Y TB KARINA'!$O79/8</f>
        <v>0</v>
      </c>
      <c r="IE25" s="128">
        <f>'PROJECT TA Y TB KARINA'!$O79/8</f>
        <v>0</v>
      </c>
      <c r="IF25" s="128">
        <f>'PROJECT TA Y TB KARINA'!$P79/8</f>
        <v>0</v>
      </c>
      <c r="IG25" s="128">
        <f>'PROJECT TA Y TB KARINA'!$P79/8</f>
        <v>0</v>
      </c>
      <c r="IH25" s="128">
        <f>'PROJECT TA Y TB KARINA'!$P79/8</f>
        <v>0</v>
      </c>
      <c r="II25" s="128">
        <f>'PROJECT TA Y TB KARINA'!$P79/8</f>
        <v>0</v>
      </c>
      <c r="IJ25" s="128">
        <f>'PROJECT TA Y TB KARINA'!$P79/8</f>
        <v>0</v>
      </c>
      <c r="IK25" s="128">
        <f>'PROJECT TA Y TB KARINA'!$P79/8</f>
        <v>0</v>
      </c>
      <c r="IL25" s="128">
        <f>'PROJECT TA Y TB KARINA'!$P79/8</f>
        <v>0</v>
      </c>
      <c r="IM25" s="128">
        <f>'PROJECT TA Y TB KARINA'!$P79/8</f>
        <v>0</v>
      </c>
      <c r="IN25" s="128">
        <f>'PROJECT TA Y TB KARINA'!$Q79/8</f>
        <v>0</v>
      </c>
      <c r="IO25" s="128">
        <f>'PROJECT TA Y TB KARINA'!$Q79/8</f>
        <v>0</v>
      </c>
      <c r="IP25" s="128">
        <f>'PROJECT TA Y TB KARINA'!$Q79/8</f>
        <v>0</v>
      </c>
      <c r="IQ25" s="128">
        <f>'PROJECT TA Y TB KARINA'!$Q79/8</f>
        <v>0</v>
      </c>
      <c r="IR25" s="128">
        <f>'PROJECT TA Y TB KARINA'!$Q79/8</f>
        <v>0</v>
      </c>
      <c r="IS25" s="128">
        <f>'PROJECT TA Y TB KARINA'!$Q79/8</f>
        <v>0</v>
      </c>
      <c r="IT25" s="128">
        <f>'PROJECT TA Y TB KARINA'!$Q79/8</f>
        <v>0</v>
      </c>
      <c r="IU25" s="128">
        <f>'PROJECT TA Y TB KARINA'!$Q79/8</f>
        <v>0</v>
      </c>
      <c r="IV25" s="128">
        <f>'PROJECT TA Y TB KARINA'!$R79/8</f>
        <v>0</v>
      </c>
      <c r="IW25" s="128">
        <f>'PROJECT TA Y TB KARINA'!$R79/8</f>
        <v>0</v>
      </c>
      <c r="IX25" s="128">
        <f>'PROJECT TA Y TB KARINA'!$R79/8</f>
        <v>0</v>
      </c>
      <c r="IY25" s="128">
        <f>'PROJECT TA Y TB KARINA'!$R79/8</f>
        <v>0</v>
      </c>
      <c r="IZ25" s="128">
        <f>'PROJECT TA Y TB KARINA'!$R79/8</f>
        <v>0</v>
      </c>
      <c r="JA25" s="128">
        <f>'PROJECT TA Y TB KARINA'!$R79/8</f>
        <v>0</v>
      </c>
      <c r="JB25" s="128">
        <f>'PROJECT TA Y TB KARINA'!$R79/8</f>
        <v>0</v>
      </c>
      <c r="JC25" s="128">
        <f>'PROJECT TA Y TB KARINA'!$R79/8</f>
        <v>0</v>
      </c>
      <c r="JD25" s="128">
        <f>'PROJECT TA Y TB KARINA'!$S79/8</f>
        <v>0</v>
      </c>
      <c r="JE25" s="128">
        <f>'PROJECT TA Y TB KARINA'!$S79/8</f>
        <v>0</v>
      </c>
      <c r="JF25" s="128">
        <f>'PROJECT TA Y TB KARINA'!$S79/8</f>
        <v>0</v>
      </c>
      <c r="JG25" s="128">
        <f>'PROJECT TA Y TB KARINA'!$S79/8</f>
        <v>0</v>
      </c>
      <c r="JH25" s="128">
        <f>'PROJECT TA Y TB KARINA'!$S79/8</f>
        <v>0</v>
      </c>
      <c r="JI25" s="128">
        <f>'PROJECT TA Y TB KARINA'!$S79/8</f>
        <v>0</v>
      </c>
      <c r="JJ25" s="128">
        <f>'PROJECT TA Y TB KARINA'!$S79/8</f>
        <v>0</v>
      </c>
      <c r="JK25" s="128">
        <f>'PROJECT TA Y TB KARINA'!$S79/8</f>
        <v>0</v>
      </c>
      <c r="JL25" s="128">
        <f>'PROJECT TA Y TB KARINA'!$T79/8</f>
        <v>0</v>
      </c>
      <c r="JM25" s="128">
        <f>'PROJECT TA Y TB KARINA'!$T79/8</f>
        <v>0</v>
      </c>
      <c r="JN25" s="128">
        <f>'PROJECT TA Y TB KARINA'!$T79/8</f>
        <v>0</v>
      </c>
      <c r="JO25" s="128">
        <f>'PROJECT TA Y TB KARINA'!$T79/8</f>
        <v>0</v>
      </c>
      <c r="JP25" s="128">
        <f>'PROJECT TA Y TB KARINA'!$T79/8</f>
        <v>0</v>
      </c>
      <c r="JQ25" s="128">
        <f>'PROJECT TA Y TB KARINA'!$T79/8</f>
        <v>0</v>
      </c>
      <c r="JR25" s="128">
        <f>'PROJECT TA Y TB KARINA'!$T79/8</f>
        <v>0</v>
      </c>
      <c r="JS25" s="128">
        <f>'PROJECT TA Y TB KARINA'!$T79/8</f>
        <v>0</v>
      </c>
      <c r="JT25" s="128" t="e">
        <f>'PROJECT TA Y TB KARINA'!#REF!/8</f>
        <v>#REF!</v>
      </c>
      <c r="JU25" s="128" t="e">
        <f>'PROJECT TA Y TB KARINA'!#REF!/8</f>
        <v>#REF!</v>
      </c>
      <c r="JV25" s="128" t="e">
        <f>'PROJECT TA Y TB KARINA'!#REF!/8</f>
        <v>#REF!</v>
      </c>
      <c r="JW25" s="128" t="e">
        <f>'PROJECT TA Y TB KARINA'!#REF!/8</f>
        <v>#REF!</v>
      </c>
      <c r="JX25" s="128" t="e">
        <f>'PROJECT TA Y TB KARINA'!#REF!/8</f>
        <v>#REF!</v>
      </c>
      <c r="JY25" s="128" t="e">
        <f>'PROJECT TA Y TB KARINA'!#REF!/8</f>
        <v>#REF!</v>
      </c>
      <c r="JZ25" s="128" t="e">
        <f>'PROJECT TA Y TB KARINA'!#REF!/8</f>
        <v>#REF!</v>
      </c>
      <c r="KA25" s="128" t="e">
        <f>'PROJECT TA Y TB KARINA'!#REF!/8</f>
        <v>#REF!</v>
      </c>
    </row>
    <row r="26" spans="1:287" ht="21">
      <c r="A26" s="130" t="s">
        <v>479</v>
      </c>
      <c r="B26" s="128" t="e">
        <f>'PROJECT TA Y TB KARINA'!$C$22/8</f>
        <v>#REF!</v>
      </c>
      <c r="C26" s="128" t="e">
        <f>'PROJECT TA Y TB KARINA'!$C$22/8</f>
        <v>#REF!</v>
      </c>
      <c r="D26" s="128" t="e">
        <f>'PROJECT TA Y TB KARINA'!$C$22/8</f>
        <v>#REF!</v>
      </c>
      <c r="E26" s="128" t="e">
        <f>'PROJECT TA Y TB KARINA'!$C$22/8</f>
        <v>#REF!</v>
      </c>
      <c r="F26" s="128" t="e">
        <f>'PROJECT TA Y TB KARINA'!$C$22/8</f>
        <v>#REF!</v>
      </c>
      <c r="G26" s="128" t="e">
        <f>'PROJECT TA Y TB KARINA'!$C$22/8</f>
        <v>#REF!</v>
      </c>
      <c r="H26" s="128" t="e">
        <f>'PROJECT TA Y TB KARINA'!$C$22/8</f>
        <v>#REF!</v>
      </c>
      <c r="I26" s="128" t="e">
        <f>'PROJECT TA Y TB KARINA'!$E22/8</f>
        <v>#REF!</v>
      </c>
      <c r="J26" s="128" t="e">
        <f>'PROJECT TA Y TB KARINA'!$E22/8</f>
        <v>#REF!</v>
      </c>
      <c r="K26" s="128" t="e">
        <f>'PROJECT TA Y TB KARINA'!$E22/8</f>
        <v>#REF!</v>
      </c>
      <c r="L26" s="128" t="e">
        <f>'PROJECT TA Y TB KARINA'!$E22/8</f>
        <v>#REF!</v>
      </c>
      <c r="M26" s="128" t="e">
        <f>'PROJECT TA Y TB KARINA'!$E22/8</f>
        <v>#REF!</v>
      </c>
      <c r="N26" s="128" t="e">
        <f>'PROJECT TA Y TB KARINA'!$E22/8</f>
        <v>#REF!</v>
      </c>
      <c r="O26" s="128" t="e">
        <f>'PROJECT TA Y TB KARINA'!$E22/8</f>
        <v>#REF!</v>
      </c>
      <c r="P26" s="128" t="e">
        <f>'PROJECT TA Y TB KARINA'!$E22/8</f>
        <v>#REF!</v>
      </c>
      <c r="Q26" s="128" t="e">
        <f>'PROJECT TA Y TB KARINA'!$F22/8</f>
        <v>#REF!</v>
      </c>
      <c r="R26" s="128" t="e">
        <f>'PROJECT TA Y TB KARINA'!$F22/8</f>
        <v>#REF!</v>
      </c>
      <c r="S26" s="128" t="e">
        <f>'PROJECT TA Y TB KARINA'!$F22/8</f>
        <v>#REF!</v>
      </c>
      <c r="T26" s="128" t="e">
        <f>'PROJECT TA Y TB KARINA'!$F22/8</f>
        <v>#REF!</v>
      </c>
      <c r="U26" s="128" t="e">
        <f>'PROJECT TA Y TB KARINA'!$F22/8</f>
        <v>#REF!</v>
      </c>
      <c r="V26" s="128" t="e">
        <f>'PROJECT TA Y TB KARINA'!$F22/8</f>
        <v>#REF!</v>
      </c>
      <c r="W26" s="128" t="e">
        <f>'PROJECT TA Y TB KARINA'!$F22/8</f>
        <v>#REF!</v>
      </c>
      <c r="X26" s="128" t="e">
        <f>'PROJECT TA Y TB KARINA'!$F22/8</f>
        <v>#REF!</v>
      </c>
      <c r="Y26" s="128" t="e">
        <f>'PROJECT TA Y TB KARINA'!$G22/8</f>
        <v>#REF!</v>
      </c>
      <c r="Z26" s="128" t="e">
        <f>'PROJECT TA Y TB KARINA'!$G22/8</f>
        <v>#REF!</v>
      </c>
      <c r="AA26" s="128" t="e">
        <f>'PROJECT TA Y TB KARINA'!$G22/8</f>
        <v>#REF!</v>
      </c>
      <c r="AB26" s="128" t="e">
        <f>'PROJECT TA Y TB KARINA'!$G22/8</f>
        <v>#REF!</v>
      </c>
      <c r="AC26" s="128" t="e">
        <f>'PROJECT TA Y TB KARINA'!$G22/8</f>
        <v>#REF!</v>
      </c>
      <c r="AD26" s="128" t="e">
        <f>'PROJECT TA Y TB KARINA'!$G22/8</f>
        <v>#REF!</v>
      </c>
      <c r="AE26" s="128" t="e">
        <f>'PROJECT TA Y TB KARINA'!$G22/8</f>
        <v>#REF!</v>
      </c>
      <c r="AF26" s="128" t="e">
        <f>'PROJECT TA Y TB KARINA'!$G22/8</f>
        <v>#REF!</v>
      </c>
      <c r="AG26" s="128" t="e">
        <f>'PROJECT TA Y TB KARINA'!$H22/8</f>
        <v>#REF!</v>
      </c>
      <c r="AH26" s="128" t="e">
        <f>'PROJECT TA Y TB KARINA'!$H22/8</f>
        <v>#REF!</v>
      </c>
      <c r="AI26" s="128" t="e">
        <f>'PROJECT TA Y TB KARINA'!$H22/8</f>
        <v>#REF!</v>
      </c>
      <c r="AJ26" s="128" t="e">
        <f>'PROJECT TA Y TB KARINA'!$H22/8</f>
        <v>#REF!</v>
      </c>
      <c r="AK26" s="128" t="e">
        <f>'PROJECT TA Y TB KARINA'!$H22/8</f>
        <v>#REF!</v>
      </c>
      <c r="AL26" s="128" t="e">
        <f>'PROJECT TA Y TB KARINA'!$H22/8</f>
        <v>#REF!</v>
      </c>
      <c r="AM26" s="128" t="e">
        <f>'PROJECT TA Y TB KARINA'!$H22/8</f>
        <v>#REF!</v>
      </c>
      <c r="AN26" s="128" t="e">
        <f>'PROJECT TA Y TB KARINA'!$H22/8</f>
        <v>#REF!</v>
      </c>
      <c r="AO26" s="128" t="e">
        <f>'PROJECT TA Y TB KARINA'!$I22/8</f>
        <v>#REF!</v>
      </c>
      <c r="AP26" s="128" t="e">
        <f>'PROJECT TA Y TB KARINA'!$I22/8</f>
        <v>#REF!</v>
      </c>
      <c r="AQ26" s="128" t="e">
        <f>'PROJECT TA Y TB KARINA'!$I22/8</f>
        <v>#REF!</v>
      </c>
      <c r="AR26" s="128" t="e">
        <f>'PROJECT TA Y TB KARINA'!$I22/8</f>
        <v>#REF!</v>
      </c>
      <c r="AS26" s="128" t="e">
        <f>'PROJECT TA Y TB KARINA'!$I22/8</f>
        <v>#REF!</v>
      </c>
      <c r="AT26" s="128" t="e">
        <f>'PROJECT TA Y TB KARINA'!$I22/8</f>
        <v>#REF!</v>
      </c>
      <c r="AU26" s="128" t="e">
        <f>'PROJECT TA Y TB KARINA'!$I22/8</f>
        <v>#REF!</v>
      </c>
      <c r="AV26" s="128" t="e">
        <f>'PROJECT TA Y TB KARINA'!$I22/8</f>
        <v>#REF!</v>
      </c>
      <c r="AW26" s="128" t="e">
        <f>'PROJECT TA Y TB KARINA'!$J22/8</f>
        <v>#REF!</v>
      </c>
      <c r="AX26" s="128" t="e">
        <f>'PROJECT TA Y TB KARINA'!$J22/8</f>
        <v>#REF!</v>
      </c>
      <c r="AY26" s="128" t="e">
        <f>'PROJECT TA Y TB KARINA'!$J22/8</f>
        <v>#REF!</v>
      </c>
      <c r="AZ26" s="128" t="e">
        <f>'PROJECT TA Y TB KARINA'!$J22/8</f>
        <v>#REF!</v>
      </c>
      <c r="BA26" s="128" t="e">
        <f>'PROJECT TA Y TB KARINA'!$J22/8</f>
        <v>#REF!</v>
      </c>
      <c r="BB26" s="128" t="e">
        <f>'PROJECT TA Y TB KARINA'!$J22/8</f>
        <v>#REF!</v>
      </c>
      <c r="BC26" s="128" t="e">
        <f>'PROJECT TA Y TB KARINA'!$J22/8</f>
        <v>#REF!</v>
      </c>
      <c r="BD26" s="128" t="e">
        <f>'PROJECT TA Y TB KARINA'!$J22/8</f>
        <v>#REF!</v>
      </c>
      <c r="BE26" s="128" t="e">
        <f>'PROJECT TA Y TB KARINA'!$K22/8</f>
        <v>#REF!</v>
      </c>
      <c r="BF26" s="128" t="e">
        <f>'PROJECT TA Y TB KARINA'!$K22/8</f>
        <v>#REF!</v>
      </c>
      <c r="BG26" s="128" t="e">
        <f>'PROJECT TA Y TB KARINA'!$K22/8</f>
        <v>#REF!</v>
      </c>
      <c r="BH26" s="128" t="e">
        <f>'PROJECT TA Y TB KARINA'!$K22/8</f>
        <v>#REF!</v>
      </c>
      <c r="BI26" s="128" t="e">
        <f>'PROJECT TA Y TB KARINA'!$K22/8</f>
        <v>#REF!</v>
      </c>
      <c r="BJ26" s="128" t="e">
        <f>'PROJECT TA Y TB KARINA'!$K22/8</f>
        <v>#REF!</v>
      </c>
      <c r="BK26" s="128" t="e">
        <f>'PROJECT TA Y TB KARINA'!$K22/8</f>
        <v>#REF!</v>
      </c>
      <c r="BL26" s="128" t="e">
        <f>'PROJECT TA Y TB KARINA'!$K22/8</f>
        <v>#REF!</v>
      </c>
      <c r="BM26" s="128" t="e">
        <f>'PROJECT TA Y TB KARINA'!$L22/8</f>
        <v>#REF!</v>
      </c>
      <c r="BN26" s="128" t="e">
        <f>'PROJECT TA Y TB KARINA'!$L22/8</f>
        <v>#REF!</v>
      </c>
      <c r="BO26" s="128" t="e">
        <f>'PROJECT TA Y TB KARINA'!$L22/8</f>
        <v>#REF!</v>
      </c>
      <c r="BP26" s="128" t="e">
        <f>'PROJECT TA Y TB KARINA'!$L22/8</f>
        <v>#REF!</v>
      </c>
      <c r="BQ26" s="128" t="e">
        <f>'PROJECT TA Y TB KARINA'!$L22/8</f>
        <v>#REF!</v>
      </c>
      <c r="BR26" s="128" t="e">
        <f>'PROJECT TA Y TB KARINA'!$L22/8</f>
        <v>#REF!</v>
      </c>
      <c r="BS26" s="128" t="e">
        <f>'PROJECT TA Y TB KARINA'!$L22/8</f>
        <v>#REF!</v>
      </c>
      <c r="BT26" s="128" t="e">
        <f>'PROJECT TA Y TB KARINA'!$L22/8</f>
        <v>#REF!</v>
      </c>
      <c r="BU26" s="128" t="e">
        <f>'PROJECT TA Y TB KARINA'!$M22/8</f>
        <v>#REF!</v>
      </c>
      <c r="BV26" s="128" t="e">
        <f>'PROJECT TA Y TB KARINA'!$M22/8</f>
        <v>#REF!</v>
      </c>
      <c r="BW26" s="128" t="e">
        <f>'PROJECT TA Y TB KARINA'!$M22/8</f>
        <v>#REF!</v>
      </c>
      <c r="BX26" s="128" t="e">
        <f>'PROJECT TA Y TB KARINA'!$M22/8</f>
        <v>#REF!</v>
      </c>
      <c r="BY26" s="128" t="e">
        <f>'PROJECT TA Y TB KARINA'!$M22/8</f>
        <v>#REF!</v>
      </c>
      <c r="BZ26" s="128" t="e">
        <f>'PROJECT TA Y TB KARINA'!$M22/8</f>
        <v>#REF!</v>
      </c>
      <c r="CA26" s="128" t="e">
        <f>'PROJECT TA Y TB KARINA'!$M22/8</f>
        <v>#REF!</v>
      </c>
      <c r="CB26" s="128" t="e">
        <f>'PROJECT TA Y TB KARINA'!$M22/8</f>
        <v>#REF!</v>
      </c>
      <c r="CC26" s="128" t="e">
        <f>'PROJECT TA Y TB KARINA'!$N22/8</f>
        <v>#REF!</v>
      </c>
      <c r="CD26" s="128" t="e">
        <f>'PROJECT TA Y TB KARINA'!$N22/8</f>
        <v>#REF!</v>
      </c>
      <c r="CE26" s="128" t="e">
        <f>'PROJECT TA Y TB KARINA'!$N22/8</f>
        <v>#REF!</v>
      </c>
      <c r="CF26" s="128" t="e">
        <f>'PROJECT TA Y TB KARINA'!$N22/8</f>
        <v>#REF!</v>
      </c>
      <c r="CG26" s="128" t="e">
        <f>'PROJECT TA Y TB KARINA'!$N22/8</f>
        <v>#REF!</v>
      </c>
      <c r="CH26" s="128" t="e">
        <f>'PROJECT TA Y TB KARINA'!$N22/8</f>
        <v>#REF!</v>
      </c>
      <c r="CI26" s="128" t="e">
        <f>'PROJECT TA Y TB KARINA'!$N22/8</f>
        <v>#REF!</v>
      </c>
      <c r="CJ26" s="128" t="e">
        <f>'PROJECT TA Y TB KARINA'!$N22/8</f>
        <v>#REF!</v>
      </c>
      <c r="CK26" s="128" t="e">
        <f>'PROJECT TA Y TB KARINA'!$O22/8</f>
        <v>#REF!</v>
      </c>
      <c r="CL26" s="128" t="e">
        <f>'PROJECT TA Y TB KARINA'!$O22/8</f>
        <v>#REF!</v>
      </c>
      <c r="CM26" s="128" t="e">
        <f>'PROJECT TA Y TB KARINA'!$O22/8</f>
        <v>#REF!</v>
      </c>
      <c r="CN26" s="128" t="e">
        <f>'PROJECT TA Y TB KARINA'!$O22/8</f>
        <v>#REF!</v>
      </c>
      <c r="CO26" s="128" t="e">
        <f>'PROJECT TA Y TB KARINA'!$O22/8</f>
        <v>#REF!</v>
      </c>
      <c r="CP26" s="128" t="e">
        <f>'PROJECT TA Y TB KARINA'!$O22/8</f>
        <v>#REF!</v>
      </c>
      <c r="CQ26" s="128" t="e">
        <f>'PROJECT TA Y TB KARINA'!$O22/8</f>
        <v>#REF!</v>
      </c>
      <c r="CR26" s="128" t="e">
        <f>'PROJECT TA Y TB KARINA'!$O22/8</f>
        <v>#REF!</v>
      </c>
      <c r="CS26" s="128" t="e">
        <f>'PROJECT TA Y TB KARINA'!$P22/8</f>
        <v>#REF!</v>
      </c>
      <c r="CT26" s="128" t="e">
        <f>'PROJECT TA Y TB KARINA'!$P22/8</f>
        <v>#REF!</v>
      </c>
      <c r="CU26" s="128" t="e">
        <f>'PROJECT TA Y TB KARINA'!$P22/8</f>
        <v>#REF!</v>
      </c>
      <c r="CV26" s="128" t="e">
        <f>'PROJECT TA Y TB KARINA'!$P22/8</f>
        <v>#REF!</v>
      </c>
      <c r="CW26" s="128" t="e">
        <f>'PROJECT TA Y TB KARINA'!$P22/8</f>
        <v>#REF!</v>
      </c>
      <c r="CX26" s="128" t="e">
        <f>'PROJECT TA Y TB KARINA'!$P22/8</f>
        <v>#REF!</v>
      </c>
      <c r="CY26" s="128" t="e">
        <f>'PROJECT TA Y TB KARINA'!$P22/8</f>
        <v>#REF!</v>
      </c>
      <c r="CZ26" s="128" t="e">
        <f>'PROJECT TA Y TB KARINA'!$P22/8</f>
        <v>#REF!</v>
      </c>
      <c r="DA26" s="128" t="e">
        <f>'PROJECT TA Y TB KARINA'!$Q22/8</f>
        <v>#REF!</v>
      </c>
      <c r="DB26" s="128" t="e">
        <f>'PROJECT TA Y TB KARINA'!$Q22/8</f>
        <v>#REF!</v>
      </c>
      <c r="DC26" s="128" t="e">
        <f>'PROJECT TA Y TB KARINA'!$Q22/8</f>
        <v>#REF!</v>
      </c>
      <c r="DD26" s="128" t="e">
        <f>'PROJECT TA Y TB KARINA'!$Q22/8</f>
        <v>#REF!</v>
      </c>
      <c r="DE26" s="128" t="e">
        <f>'PROJECT TA Y TB KARINA'!$Q22/8</f>
        <v>#REF!</v>
      </c>
      <c r="DF26" s="128" t="e">
        <f>'PROJECT TA Y TB KARINA'!$Q22/8</f>
        <v>#REF!</v>
      </c>
      <c r="DG26" s="128" t="e">
        <f>'PROJECT TA Y TB KARINA'!$Q22/8</f>
        <v>#REF!</v>
      </c>
      <c r="DH26" s="128" t="e">
        <f>'PROJECT TA Y TB KARINA'!$Q22/8</f>
        <v>#REF!</v>
      </c>
      <c r="DI26" s="128" t="e">
        <f>'PROJECT TA Y TB KARINA'!$R22/8</f>
        <v>#REF!</v>
      </c>
      <c r="DJ26" s="128" t="e">
        <f>'PROJECT TA Y TB KARINA'!$R22/8</f>
        <v>#REF!</v>
      </c>
      <c r="DK26" s="128" t="e">
        <f>'PROJECT TA Y TB KARINA'!$R22/8</f>
        <v>#REF!</v>
      </c>
      <c r="DL26" s="128" t="e">
        <f>'PROJECT TA Y TB KARINA'!$R22/8</f>
        <v>#REF!</v>
      </c>
      <c r="DM26" s="128" t="e">
        <f>'PROJECT TA Y TB KARINA'!$R22/8</f>
        <v>#REF!</v>
      </c>
      <c r="DN26" s="128" t="e">
        <f>'PROJECT TA Y TB KARINA'!$R22/8</f>
        <v>#REF!</v>
      </c>
      <c r="DO26" s="128" t="e">
        <f>'PROJECT TA Y TB KARINA'!$R22/8</f>
        <v>#REF!</v>
      </c>
      <c r="DP26" s="128" t="e">
        <f>'PROJECT TA Y TB KARINA'!$R22/8</f>
        <v>#REF!</v>
      </c>
      <c r="DQ26" s="128" t="e">
        <f>'PROJECT TA Y TB KARINA'!$S22/8</f>
        <v>#REF!</v>
      </c>
      <c r="DR26" s="128" t="e">
        <f>'PROJECT TA Y TB KARINA'!$S22/8</f>
        <v>#REF!</v>
      </c>
      <c r="DS26" s="128" t="e">
        <f>'PROJECT TA Y TB KARINA'!$S22/8</f>
        <v>#REF!</v>
      </c>
      <c r="DT26" s="128" t="e">
        <f>'PROJECT TA Y TB KARINA'!$S22/8</f>
        <v>#REF!</v>
      </c>
      <c r="DU26" s="128" t="e">
        <f>'PROJECT TA Y TB KARINA'!$S22/8</f>
        <v>#REF!</v>
      </c>
      <c r="DV26" s="128" t="e">
        <f>'PROJECT TA Y TB KARINA'!$S22/8</f>
        <v>#REF!</v>
      </c>
      <c r="DW26" s="128" t="e">
        <f>'PROJECT TA Y TB KARINA'!$S22/8</f>
        <v>#REF!</v>
      </c>
      <c r="DX26" s="128" t="e">
        <f>'PROJECT TA Y TB KARINA'!$S22/8</f>
        <v>#REF!</v>
      </c>
      <c r="DY26" s="128" t="e">
        <f>'PROJECT TA Y TB KARINA'!$T22/8</f>
        <v>#REF!</v>
      </c>
      <c r="DZ26" s="128" t="e">
        <f>'PROJECT TA Y TB KARINA'!$T22/8</f>
        <v>#REF!</v>
      </c>
      <c r="EA26" s="128" t="e">
        <f>'PROJECT TA Y TB KARINA'!$T22/8</f>
        <v>#REF!</v>
      </c>
      <c r="EB26" s="128" t="e">
        <f>'PROJECT TA Y TB KARINA'!$T22/8</f>
        <v>#REF!</v>
      </c>
      <c r="EC26" s="128" t="e">
        <f>'PROJECT TA Y TB KARINA'!$T22/8</f>
        <v>#REF!</v>
      </c>
      <c r="ED26" s="128" t="e">
        <f>'PROJECT TA Y TB KARINA'!$T22/8</f>
        <v>#REF!</v>
      </c>
      <c r="EE26" s="128" t="e">
        <f>'PROJECT TA Y TB KARINA'!$T22/8</f>
        <v>#REF!</v>
      </c>
      <c r="EF26" s="128" t="e">
        <f>'PROJECT TA Y TB KARINA'!$T22/8</f>
        <v>#REF!</v>
      </c>
      <c r="EG26" s="128" t="e">
        <f>'PROJECT TA Y TB KARINA'!#REF!/8</f>
        <v>#REF!</v>
      </c>
      <c r="EH26" s="128" t="e">
        <f>'PROJECT TA Y TB KARINA'!#REF!/8</f>
        <v>#REF!</v>
      </c>
      <c r="EI26" s="128" t="e">
        <f>'PROJECT TA Y TB KARINA'!#REF!/8</f>
        <v>#REF!</v>
      </c>
      <c r="EJ26" s="128" t="e">
        <f>'PROJECT TA Y TB KARINA'!#REF!/8</f>
        <v>#REF!</v>
      </c>
      <c r="EK26" s="128" t="e">
        <f>'PROJECT TA Y TB KARINA'!#REF!/8</f>
        <v>#REF!</v>
      </c>
      <c r="EL26" s="128" t="e">
        <f>'PROJECT TA Y TB KARINA'!#REF!/8</f>
        <v>#REF!</v>
      </c>
      <c r="EM26" s="128" t="e">
        <f>'PROJECT TA Y TB KARINA'!#REF!/8</f>
        <v>#REF!</v>
      </c>
      <c r="EN26" s="128" t="e">
        <f>'PROJECT TA Y TB KARINA'!#REF!/8</f>
        <v>#REF!</v>
      </c>
      <c r="EO26" s="128">
        <f>'PROJECT TA Y TB KARINA'!$C80/8</f>
        <v>0</v>
      </c>
      <c r="EP26" s="128">
        <f>'PROJECT TA Y TB KARINA'!$C80/8</f>
        <v>0</v>
      </c>
      <c r="EQ26" s="128">
        <f>'PROJECT TA Y TB KARINA'!$C80/8</f>
        <v>0</v>
      </c>
      <c r="ER26" s="128">
        <f>'PROJECT TA Y TB KARINA'!$C80/8</f>
        <v>0</v>
      </c>
      <c r="ES26" s="128">
        <f>'PROJECT TA Y TB KARINA'!$C80/8</f>
        <v>0</v>
      </c>
      <c r="ET26" s="128">
        <f>'PROJECT TA Y TB KARINA'!$C80/8</f>
        <v>0</v>
      </c>
      <c r="EU26" s="128">
        <f>'PROJECT TA Y TB KARINA'!$C80/8</f>
        <v>0</v>
      </c>
      <c r="EV26" s="128">
        <f>'PROJECT TA Y TB KARINA'!$E80/8</f>
        <v>0</v>
      </c>
      <c r="EW26" s="128">
        <f>'PROJECT TA Y TB KARINA'!$E80/8</f>
        <v>0</v>
      </c>
      <c r="EX26" s="128">
        <f>'PROJECT TA Y TB KARINA'!$E80/8</f>
        <v>0</v>
      </c>
      <c r="EY26" s="128">
        <f>'PROJECT TA Y TB KARINA'!$E80/8</f>
        <v>0</v>
      </c>
      <c r="EZ26" s="128">
        <f>'PROJECT TA Y TB KARINA'!$E80/8</f>
        <v>0</v>
      </c>
      <c r="FA26" s="128">
        <f>'PROJECT TA Y TB KARINA'!$E80/8</f>
        <v>0</v>
      </c>
      <c r="FB26" s="128">
        <f>'PROJECT TA Y TB KARINA'!$E80/8</f>
        <v>0</v>
      </c>
      <c r="FC26" s="128">
        <f>'PROJECT TA Y TB KARINA'!$E80/8</f>
        <v>0</v>
      </c>
      <c r="FD26" s="128">
        <f>'PROJECT TA Y TB KARINA'!$F80/8</f>
        <v>0</v>
      </c>
      <c r="FE26" s="128">
        <f>'PROJECT TA Y TB KARINA'!$F80/8</f>
        <v>0</v>
      </c>
      <c r="FF26" s="128">
        <f>'PROJECT TA Y TB KARINA'!$F80/8</f>
        <v>0</v>
      </c>
      <c r="FG26" s="128">
        <f>'PROJECT TA Y TB KARINA'!$F80/8</f>
        <v>0</v>
      </c>
      <c r="FH26" s="128">
        <f>'PROJECT TA Y TB KARINA'!$F80/8</f>
        <v>0</v>
      </c>
      <c r="FI26" s="128">
        <f>'PROJECT TA Y TB KARINA'!$F80/8</f>
        <v>0</v>
      </c>
      <c r="FJ26" s="128">
        <f>'PROJECT TA Y TB KARINA'!$F80/8</f>
        <v>0</v>
      </c>
      <c r="FK26" s="128">
        <f>'PROJECT TA Y TB KARINA'!$F80/8</f>
        <v>0</v>
      </c>
      <c r="FL26" s="128">
        <f>'PROJECT TA Y TB KARINA'!$G80/8</f>
        <v>0</v>
      </c>
      <c r="FM26" s="128">
        <f>'PROJECT TA Y TB KARINA'!$G80/8</f>
        <v>0</v>
      </c>
      <c r="FN26" s="128">
        <f>'PROJECT TA Y TB KARINA'!$G80/8</f>
        <v>0</v>
      </c>
      <c r="FO26" s="128">
        <f>'PROJECT TA Y TB KARINA'!$G80/8</f>
        <v>0</v>
      </c>
      <c r="FP26" s="128">
        <f>'PROJECT TA Y TB KARINA'!$G80/8</f>
        <v>0</v>
      </c>
      <c r="FQ26" s="128">
        <f>'PROJECT TA Y TB KARINA'!$G80/8</f>
        <v>0</v>
      </c>
      <c r="FR26" s="128">
        <f>'PROJECT TA Y TB KARINA'!$G80/8</f>
        <v>0</v>
      </c>
      <c r="FS26" s="128">
        <f>'PROJECT TA Y TB KARINA'!$G80/8</f>
        <v>0</v>
      </c>
      <c r="FT26" s="128">
        <f>'PROJECT TA Y TB KARINA'!$H80/8</f>
        <v>0</v>
      </c>
      <c r="FU26" s="128">
        <f>'PROJECT TA Y TB KARINA'!$H80/8</f>
        <v>0</v>
      </c>
      <c r="FV26" s="128">
        <f>'PROJECT TA Y TB KARINA'!$H80/8</f>
        <v>0</v>
      </c>
      <c r="FW26" s="128">
        <f>'PROJECT TA Y TB KARINA'!$H80/8</f>
        <v>0</v>
      </c>
      <c r="FX26" s="128">
        <f>'PROJECT TA Y TB KARINA'!$H80/8</f>
        <v>0</v>
      </c>
      <c r="FY26" s="128">
        <f>'PROJECT TA Y TB KARINA'!$H80/8</f>
        <v>0</v>
      </c>
      <c r="FZ26" s="128">
        <f>'PROJECT TA Y TB KARINA'!$H80/8</f>
        <v>0</v>
      </c>
      <c r="GA26" s="128">
        <f>'PROJECT TA Y TB KARINA'!$H80/8</f>
        <v>0</v>
      </c>
      <c r="GB26" s="128">
        <f>'PROJECT TA Y TB KARINA'!$I80/8</f>
        <v>0</v>
      </c>
      <c r="GC26" s="128">
        <f>'PROJECT TA Y TB KARINA'!$I80/8</f>
        <v>0</v>
      </c>
      <c r="GD26" s="128">
        <f>'PROJECT TA Y TB KARINA'!$I80/8</f>
        <v>0</v>
      </c>
      <c r="GE26" s="128">
        <f>'PROJECT TA Y TB KARINA'!$I80/8</f>
        <v>0</v>
      </c>
      <c r="GF26" s="128">
        <f>'PROJECT TA Y TB KARINA'!$I80/8</f>
        <v>0</v>
      </c>
      <c r="GG26" s="128">
        <f>'PROJECT TA Y TB KARINA'!$I80/8</f>
        <v>0</v>
      </c>
      <c r="GH26" s="128">
        <f>'PROJECT TA Y TB KARINA'!$I80/8</f>
        <v>0</v>
      </c>
      <c r="GI26" s="128">
        <f>'PROJECT TA Y TB KARINA'!$I80/8</f>
        <v>0</v>
      </c>
      <c r="GJ26" s="128">
        <f>'PROJECT TA Y TB KARINA'!$J80/8</f>
        <v>0</v>
      </c>
      <c r="GK26" s="128">
        <f>'PROJECT TA Y TB KARINA'!$J80/8</f>
        <v>0</v>
      </c>
      <c r="GL26" s="128">
        <f>'PROJECT TA Y TB KARINA'!$J80/8</f>
        <v>0</v>
      </c>
      <c r="GM26" s="128">
        <f>'PROJECT TA Y TB KARINA'!$J80/8</f>
        <v>0</v>
      </c>
      <c r="GN26" s="128">
        <f>'PROJECT TA Y TB KARINA'!$J80/8</f>
        <v>0</v>
      </c>
      <c r="GO26" s="128">
        <f>'PROJECT TA Y TB KARINA'!$J80/8</f>
        <v>0</v>
      </c>
      <c r="GP26" s="128">
        <f>'PROJECT TA Y TB KARINA'!$J80/8</f>
        <v>0</v>
      </c>
      <c r="GQ26" s="128">
        <f>'PROJECT TA Y TB KARINA'!$J80/8</f>
        <v>0</v>
      </c>
      <c r="GR26" s="128">
        <f>'PROJECT TA Y TB KARINA'!$K80/8</f>
        <v>0</v>
      </c>
      <c r="GS26" s="128">
        <f>'PROJECT TA Y TB KARINA'!$K80/8</f>
        <v>0</v>
      </c>
      <c r="GT26" s="128">
        <f>'PROJECT TA Y TB KARINA'!$K80/8</f>
        <v>0</v>
      </c>
      <c r="GU26" s="128">
        <f>'PROJECT TA Y TB KARINA'!$K80/8</f>
        <v>0</v>
      </c>
      <c r="GV26" s="128">
        <f>'PROJECT TA Y TB KARINA'!$K80/8</f>
        <v>0</v>
      </c>
      <c r="GW26" s="128">
        <f>'PROJECT TA Y TB KARINA'!$K80/8</f>
        <v>0</v>
      </c>
      <c r="GX26" s="128">
        <f>'PROJECT TA Y TB KARINA'!$K80/8</f>
        <v>0</v>
      </c>
      <c r="GY26" s="128">
        <f>'PROJECT TA Y TB KARINA'!$K80/8</f>
        <v>0</v>
      </c>
      <c r="GZ26" s="128">
        <f>'PROJECT TA Y TB KARINA'!$L80/8</f>
        <v>0</v>
      </c>
      <c r="HA26" s="128">
        <f>'PROJECT TA Y TB KARINA'!$L80/8</f>
        <v>0</v>
      </c>
      <c r="HB26" s="128">
        <f>'PROJECT TA Y TB KARINA'!$L80/8</f>
        <v>0</v>
      </c>
      <c r="HC26" s="128">
        <f>'PROJECT TA Y TB KARINA'!$L80/8</f>
        <v>0</v>
      </c>
      <c r="HD26" s="128">
        <f>'PROJECT TA Y TB KARINA'!$L80/8</f>
        <v>0</v>
      </c>
      <c r="HE26" s="128">
        <f>'PROJECT TA Y TB KARINA'!$L80/8</f>
        <v>0</v>
      </c>
      <c r="HF26" s="128">
        <f>'PROJECT TA Y TB KARINA'!$L80/8</f>
        <v>0</v>
      </c>
      <c r="HG26" s="128">
        <f>'PROJECT TA Y TB KARINA'!$L80/8</f>
        <v>0</v>
      </c>
      <c r="HH26" s="128">
        <f>'PROJECT TA Y TB KARINA'!$M80/8</f>
        <v>0</v>
      </c>
      <c r="HI26" s="128">
        <f>'PROJECT TA Y TB KARINA'!$M80/8</f>
        <v>0</v>
      </c>
      <c r="HJ26" s="128">
        <f>'PROJECT TA Y TB KARINA'!$M80/8</f>
        <v>0</v>
      </c>
      <c r="HK26" s="128">
        <f>'PROJECT TA Y TB KARINA'!$M80/8</f>
        <v>0</v>
      </c>
      <c r="HL26" s="128">
        <f>'PROJECT TA Y TB KARINA'!$M80/8</f>
        <v>0</v>
      </c>
      <c r="HM26" s="128">
        <f>'PROJECT TA Y TB KARINA'!$M80/8</f>
        <v>0</v>
      </c>
      <c r="HN26" s="128">
        <f>'PROJECT TA Y TB KARINA'!$M80/8</f>
        <v>0</v>
      </c>
      <c r="HO26" s="128">
        <f>'PROJECT TA Y TB KARINA'!$M80/8</f>
        <v>0</v>
      </c>
      <c r="HP26" s="128">
        <f>'PROJECT TA Y TB KARINA'!$N80/8</f>
        <v>0</v>
      </c>
      <c r="HQ26" s="128">
        <f>'PROJECT TA Y TB KARINA'!$N80/8</f>
        <v>0</v>
      </c>
      <c r="HR26" s="128">
        <f>'PROJECT TA Y TB KARINA'!$N80/8</f>
        <v>0</v>
      </c>
      <c r="HS26" s="128">
        <f>'PROJECT TA Y TB KARINA'!$N80/8</f>
        <v>0</v>
      </c>
      <c r="HT26" s="128">
        <f>'PROJECT TA Y TB KARINA'!$N80/8</f>
        <v>0</v>
      </c>
      <c r="HU26" s="128">
        <f>'PROJECT TA Y TB KARINA'!$N80/8</f>
        <v>0</v>
      </c>
      <c r="HV26" s="128">
        <f>'PROJECT TA Y TB KARINA'!$N80/8</f>
        <v>0</v>
      </c>
      <c r="HW26" s="128">
        <f>'PROJECT TA Y TB KARINA'!$N80/8</f>
        <v>0</v>
      </c>
      <c r="HX26" s="128">
        <f>'PROJECT TA Y TB KARINA'!$O80/8</f>
        <v>0</v>
      </c>
      <c r="HY26" s="128">
        <f>'PROJECT TA Y TB KARINA'!$O80/8</f>
        <v>0</v>
      </c>
      <c r="HZ26" s="128">
        <f>'PROJECT TA Y TB KARINA'!$O80/8</f>
        <v>0</v>
      </c>
      <c r="IA26" s="128">
        <f>'PROJECT TA Y TB KARINA'!$O80/8</f>
        <v>0</v>
      </c>
      <c r="IB26" s="128">
        <f>'PROJECT TA Y TB KARINA'!$O80/8</f>
        <v>0</v>
      </c>
      <c r="IC26" s="128">
        <f>'PROJECT TA Y TB KARINA'!$O80/8</f>
        <v>0</v>
      </c>
      <c r="ID26" s="128">
        <f>'PROJECT TA Y TB KARINA'!$O80/8</f>
        <v>0</v>
      </c>
      <c r="IE26" s="128">
        <f>'PROJECT TA Y TB KARINA'!$O80/8</f>
        <v>0</v>
      </c>
      <c r="IF26" s="128">
        <f>'PROJECT TA Y TB KARINA'!$P80/8</f>
        <v>0</v>
      </c>
      <c r="IG26" s="128">
        <f>'PROJECT TA Y TB KARINA'!$P80/8</f>
        <v>0</v>
      </c>
      <c r="IH26" s="128">
        <f>'PROJECT TA Y TB KARINA'!$P80/8</f>
        <v>0</v>
      </c>
      <c r="II26" s="128">
        <f>'PROJECT TA Y TB KARINA'!$P80/8</f>
        <v>0</v>
      </c>
      <c r="IJ26" s="128">
        <f>'PROJECT TA Y TB KARINA'!$P80/8</f>
        <v>0</v>
      </c>
      <c r="IK26" s="128">
        <f>'PROJECT TA Y TB KARINA'!$P80/8</f>
        <v>0</v>
      </c>
      <c r="IL26" s="128">
        <f>'PROJECT TA Y TB KARINA'!$P80/8</f>
        <v>0</v>
      </c>
      <c r="IM26" s="128">
        <f>'PROJECT TA Y TB KARINA'!$P80/8</f>
        <v>0</v>
      </c>
      <c r="IN26" s="128">
        <f>'PROJECT TA Y TB KARINA'!$Q80/8</f>
        <v>0</v>
      </c>
      <c r="IO26" s="128">
        <f>'PROJECT TA Y TB KARINA'!$Q80/8</f>
        <v>0</v>
      </c>
      <c r="IP26" s="128">
        <f>'PROJECT TA Y TB KARINA'!$Q80/8</f>
        <v>0</v>
      </c>
      <c r="IQ26" s="128">
        <f>'PROJECT TA Y TB KARINA'!$Q80/8</f>
        <v>0</v>
      </c>
      <c r="IR26" s="128">
        <f>'PROJECT TA Y TB KARINA'!$Q80/8</f>
        <v>0</v>
      </c>
      <c r="IS26" s="128">
        <f>'PROJECT TA Y TB KARINA'!$Q80/8</f>
        <v>0</v>
      </c>
      <c r="IT26" s="128">
        <f>'PROJECT TA Y TB KARINA'!$Q80/8</f>
        <v>0</v>
      </c>
      <c r="IU26" s="128">
        <f>'PROJECT TA Y TB KARINA'!$Q80/8</f>
        <v>0</v>
      </c>
      <c r="IV26" s="128">
        <f>'PROJECT TA Y TB KARINA'!$R80/8</f>
        <v>0</v>
      </c>
      <c r="IW26" s="128">
        <f>'PROJECT TA Y TB KARINA'!$R80/8</f>
        <v>0</v>
      </c>
      <c r="IX26" s="128">
        <f>'PROJECT TA Y TB KARINA'!$R80/8</f>
        <v>0</v>
      </c>
      <c r="IY26" s="128">
        <f>'PROJECT TA Y TB KARINA'!$R80/8</f>
        <v>0</v>
      </c>
      <c r="IZ26" s="128">
        <f>'PROJECT TA Y TB KARINA'!$R80/8</f>
        <v>0</v>
      </c>
      <c r="JA26" s="128">
        <f>'PROJECT TA Y TB KARINA'!$R80/8</f>
        <v>0</v>
      </c>
      <c r="JB26" s="128">
        <f>'PROJECT TA Y TB KARINA'!$R80/8</f>
        <v>0</v>
      </c>
      <c r="JC26" s="128">
        <f>'PROJECT TA Y TB KARINA'!$R80/8</f>
        <v>0</v>
      </c>
      <c r="JD26" s="128">
        <f>'PROJECT TA Y TB KARINA'!$S80/8</f>
        <v>0</v>
      </c>
      <c r="JE26" s="128">
        <f>'PROJECT TA Y TB KARINA'!$S80/8</f>
        <v>0</v>
      </c>
      <c r="JF26" s="128">
        <f>'PROJECT TA Y TB KARINA'!$S80/8</f>
        <v>0</v>
      </c>
      <c r="JG26" s="128">
        <f>'PROJECT TA Y TB KARINA'!$S80/8</f>
        <v>0</v>
      </c>
      <c r="JH26" s="128">
        <f>'PROJECT TA Y TB KARINA'!$S80/8</f>
        <v>0</v>
      </c>
      <c r="JI26" s="128">
        <f>'PROJECT TA Y TB KARINA'!$S80/8</f>
        <v>0</v>
      </c>
      <c r="JJ26" s="128">
        <f>'PROJECT TA Y TB KARINA'!$S80/8</f>
        <v>0</v>
      </c>
      <c r="JK26" s="128">
        <f>'PROJECT TA Y TB KARINA'!$S80/8</f>
        <v>0</v>
      </c>
      <c r="JL26" s="128">
        <f>'PROJECT TA Y TB KARINA'!$T80/8</f>
        <v>0</v>
      </c>
      <c r="JM26" s="128">
        <f>'PROJECT TA Y TB KARINA'!$T80/8</f>
        <v>0</v>
      </c>
      <c r="JN26" s="128">
        <f>'PROJECT TA Y TB KARINA'!$T80/8</f>
        <v>0</v>
      </c>
      <c r="JO26" s="128">
        <f>'PROJECT TA Y TB KARINA'!$T80/8</f>
        <v>0</v>
      </c>
      <c r="JP26" s="128">
        <f>'PROJECT TA Y TB KARINA'!$T80/8</f>
        <v>0</v>
      </c>
      <c r="JQ26" s="128">
        <f>'PROJECT TA Y TB KARINA'!$T80/8</f>
        <v>0</v>
      </c>
      <c r="JR26" s="128">
        <f>'PROJECT TA Y TB KARINA'!$T80/8</f>
        <v>0</v>
      </c>
      <c r="JS26" s="128">
        <f>'PROJECT TA Y TB KARINA'!$T80/8</f>
        <v>0</v>
      </c>
      <c r="JT26" s="128" t="e">
        <f>'PROJECT TA Y TB KARINA'!#REF!/8</f>
        <v>#REF!</v>
      </c>
      <c r="JU26" s="128" t="e">
        <f>'PROJECT TA Y TB KARINA'!#REF!/8</f>
        <v>#REF!</v>
      </c>
      <c r="JV26" s="128" t="e">
        <f>'PROJECT TA Y TB KARINA'!#REF!/8</f>
        <v>#REF!</v>
      </c>
      <c r="JW26" s="128" t="e">
        <f>'PROJECT TA Y TB KARINA'!#REF!/8</f>
        <v>#REF!</v>
      </c>
      <c r="JX26" s="128" t="e">
        <f>'PROJECT TA Y TB KARINA'!#REF!/8</f>
        <v>#REF!</v>
      </c>
      <c r="JY26" s="128" t="e">
        <f>'PROJECT TA Y TB KARINA'!#REF!/8</f>
        <v>#REF!</v>
      </c>
      <c r="JZ26" s="128" t="e">
        <f>'PROJECT TA Y TB KARINA'!#REF!/8</f>
        <v>#REF!</v>
      </c>
      <c r="KA26" s="128" t="e">
        <f>'PROJECT TA Y TB KARINA'!#REF!/8</f>
        <v>#REF!</v>
      </c>
    </row>
    <row r="27" spans="1:287" ht="21">
      <c r="A27" s="131" t="s">
        <v>480</v>
      </c>
      <c r="B27" s="128" t="e">
        <f>'PROJECT TA Y TB KARINA'!$C$23/8</f>
        <v>#REF!</v>
      </c>
      <c r="C27" s="128" t="e">
        <f>'PROJECT TA Y TB KARINA'!$C$23/8</f>
        <v>#REF!</v>
      </c>
      <c r="D27" s="128" t="e">
        <f>'PROJECT TA Y TB KARINA'!$C$23/8</f>
        <v>#REF!</v>
      </c>
      <c r="E27" s="128" t="e">
        <f>'PROJECT TA Y TB KARINA'!$C$23/8</f>
        <v>#REF!</v>
      </c>
      <c r="F27" s="128" t="e">
        <f>'PROJECT TA Y TB KARINA'!$C$23/8</f>
        <v>#REF!</v>
      </c>
      <c r="G27" s="128" t="e">
        <f>'PROJECT TA Y TB KARINA'!$C$23/8</f>
        <v>#REF!</v>
      </c>
      <c r="H27" s="128" t="e">
        <f>'PROJECT TA Y TB KARINA'!$C$23/8</f>
        <v>#REF!</v>
      </c>
      <c r="I27" s="128" t="e">
        <f>'PROJECT TA Y TB KARINA'!$E23/8</f>
        <v>#REF!</v>
      </c>
      <c r="J27" s="128" t="e">
        <f>'PROJECT TA Y TB KARINA'!$E23/8</f>
        <v>#REF!</v>
      </c>
      <c r="K27" s="128" t="e">
        <f>'PROJECT TA Y TB KARINA'!$E23/8</f>
        <v>#REF!</v>
      </c>
      <c r="L27" s="128" t="e">
        <f>'PROJECT TA Y TB KARINA'!$E23/8</f>
        <v>#REF!</v>
      </c>
      <c r="M27" s="128" t="e">
        <f>'PROJECT TA Y TB KARINA'!$E23/8</f>
        <v>#REF!</v>
      </c>
      <c r="N27" s="128" t="e">
        <f>'PROJECT TA Y TB KARINA'!$E23/8</f>
        <v>#REF!</v>
      </c>
      <c r="O27" s="128" t="e">
        <f>'PROJECT TA Y TB KARINA'!$E23/8</f>
        <v>#REF!</v>
      </c>
      <c r="P27" s="128" t="e">
        <f>'PROJECT TA Y TB KARINA'!$E23/8</f>
        <v>#REF!</v>
      </c>
      <c r="Q27" s="128" t="e">
        <f>'PROJECT TA Y TB KARINA'!$F23/8</f>
        <v>#REF!</v>
      </c>
      <c r="R27" s="128" t="e">
        <f>'PROJECT TA Y TB KARINA'!$F23/8</f>
        <v>#REF!</v>
      </c>
      <c r="S27" s="128" t="e">
        <f>'PROJECT TA Y TB KARINA'!$F23/8</f>
        <v>#REF!</v>
      </c>
      <c r="T27" s="128" t="e">
        <f>'PROJECT TA Y TB KARINA'!$F23/8</f>
        <v>#REF!</v>
      </c>
      <c r="U27" s="128" t="e">
        <f>'PROJECT TA Y TB KARINA'!$F23/8</f>
        <v>#REF!</v>
      </c>
      <c r="V27" s="128" t="e">
        <f>'PROJECT TA Y TB KARINA'!$F23/8</f>
        <v>#REF!</v>
      </c>
      <c r="W27" s="128" t="e">
        <f>'PROJECT TA Y TB KARINA'!$F23/8</f>
        <v>#REF!</v>
      </c>
      <c r="X27" s="128" t="e">
        <f>'PROJECT TA Y TB KARINA'!$F23/8</f>
        <v>#REF!</v>
      </c>
      <c r="Y27" s="128" t="e">
        <f>'PROJECT TA Y TB KARINA'!$G23/8</f>
        <v>#REF!</v>
      </c>
      <c r="Z27" s="128" t="e">
        <f>'PROJECT TA Y TB KARINA'!$G23/8</f>
        <v>#REF!</v>
      </c>
      <c r="AA27" s="128" t="e">
        <f>'PROJECT TA Y TB KARINA'!$G23/8</f>
        <v>#REF!</v>
      </c>
      <c r="AB27" s="128" t="e">
        <f>'PROJECT TA Y TB KARINA'!$G23/8</f>
        <v>#REF!</v>
      </c>
      <c r="AC27" s="128" t="e">
        <f>'PROJECT TA Y TB KARINA'!$G23/8</f>
        <v>#REF!</v>
      </c>
      <c r="AD27" s="128" t="e">
        <f>'PROJECT TA Y TB KARINA'!$G23/8</f>
        <v>#REF!</v>
      </c>
      <c r="AE27" s="128" t="e">
        <f>'PROJECT TA Y TB KARINA'!$G23/8</f>
        <v>#REF!</v>
      </c>
      <c r="AF27" s="128" t="e">
        <f>'PROJECT TA Y TB KARINA'!$G23/8</f>
        <v>#REF!</v>
      </c>
      <c r="AG27" s="128" t="e">
        <f>'PROJECT TA Y TB KARINA'!$H23/8</f>
        <v>#REF!</v>
      </c>
      <c r="AH27" s="128" t="e">
        <f>'PROJECT TA Y TB KARINA'!$H23/8</f>
        <v>#REF!</v>
      </c>
      <c r="AI27" s="128" t="e">
        <f>'PROJECT TA Y TB KARINA'!$H23/8</f>
        <v>#REF!</v>
      </c>
      <c r="AJ27" s="128" t="e">
        <f>'PROJECT TA Y TB KARINA'!$H23/8</f>
        <v>#REF!</v>
      </c>
      <c r="AK27" s="128" t="e">
        <f>'PROJECT TA Y TB KARINA'!$H23/8</f>
        <v>#REF!</v>
      </c>
      <c r="AL27" s="128" t="e">
        <f>'PROJECT TA Y TB KARINA'!$H23/8</f>
        <v>#REF!</v>
      </c>
      <c r="AM27" s="128" t="e">
        <f>'PROJECT TA Y TB KARINA'!$H23/8</f>
        <v>#REF!</v>
      </c>
      <c r="AN27" s="128" t="e">
        <f>'PROJECT TA Y TB KARINA'!$H23/8</f>
        <v>#REF!</v>
      </c>
      <c r="AO27" s="128" t="e">
        <f>'PROJECT TA Y TB KARINA'!$I23/8</f>
        <v>#REF!</v>
      </c>
      <c r="AP27" s="128" t="e">
        <f>'PROJECT TA Y TB KARINA'!$I23/8</f>
        <v>#REF!</v>
      </c>
      <c r="AQ27" s="128" t="e">
        <f>'PROJECT TA Y TB KARINA'!$I23/8</f>
        <v>#REF!</v>
      </c>
      <c r="AR27" s="128" t="e">
        <f>'PROJECT TA Y TB KARINA'!$I23/8</f>
        <v>#REF!</v>
      </c>
      <c r="AS27" s="128" t="e">
        <f>'PROJECT TA Y TB KARINA'!$I23/8</f>
        <v>#REF!</v>
      </c>
      <c r="AT27" s="128" t="e">
        <f>'PROJECT TA Y TB KARINA'!$I23/8</f>
        <v>#REF!</v>
      </c>
      <c r="AU27" s="128" t="e">
        <f>'PROJECT TA Y TB KARINA'!$I23/8</f>
        <v>#REF!</v>
      </c>
      <c r="AV27" s="128" t="e">
        <f>'PROJECT TA Y TB KARINA'!$I23/8</f>
        <v>#REF!</v>
      </c>
      <c r="AW27" s="128" t="e">
        <f>'PROJECT TA Y TB KARINA'!$J23/8</f>
        <v>#REF!</v>
      </c>
      <c r="AX27" s="128" t="e">
        <f>'PROJECT TA Y TB KARINA'!$J23/8</f>
        <v>#REF!</v>
      </c>
      <c r="AY27" s="128" t="e">
        <f>'PROJECT TA Y TB KARINA'!$J23/8</f>
        <v>#REF!</v>
      </c>
      <c r="AZ27" s="128" t="e">
        <f>'PROJECT TA Y TB KARINA'!$J23/8</f>
        <v>#REF!</v>
      </c>
      <c r="BA27" s="128" t="e">
        <f>'PROJECT TA Y TB KARINA'!$J23/8</f>
        <v>#REF!</v>
      </c>
      <c r="BB27" s="128" t="e">
        <f>'PROJECT TA Y TB KARINA'!$J23/8</f>
        <v>#REF!</v>
      </c>
      <c r="BC27" s="128" t="e">
        <f>'PROJECT TA Y TB KARINA'!$J23/8</f>
        <v>#REF!</v>
      </c>
      <c r="BD27" s="128" t="e">
        <f>'PROJECT TA Y TB KARINA'!$J23/8</f>
        <v>#REF!</v>
      </c>
      <c r="BE27" s="128" t="e">
        <f>'PROJECT TA Y TB KARINA'!$K23/8</f>
        <v>#REF!</v>
      </c>
      <c r="BF27" s="128" t="e">
        <f>'PROJECT TA Y TB KARINA'!$K23/8</f>
        <v>#REF!</v>
      </c>
      <c r="BG27" s="128" t="e">
        <f>'PROJECT TA Y TB KARINA'!$K23/8</f>
        <v>#REF!</v>
      </c>
      <c r="BH27" s="128" t="e">
        <f>'PROJECT TA Y TB KARINA'!$K23/8</f>
        <v>#REF!</v>
      </c>
      <c r="BI27" s="128" t="e">
        <f>'PROJECT TA Y TB KARINA'!$K23/8</f>
        <v>#REF!</v>
      </c>
      <c r="BJ27" s="128" t="e">
        <f>'PROJECT TA Y TB KARINA'!$K23/8</f>
        <v>#REF!</v>
      </c>
      <c r="BK27" s="128" t="e">
        <f>'PROJECT TA Y TB KARINA'!$K23/8</f>
        <v>#REF!</v>
      </c>
      <c r="BL27" s="128" t="e">
        <f>'PROJECT TA Y TB KARINA'!$K23/8</f>
        <v>#REF!</v>
      </c>
      <c r="BM27" s="128" t="e">
        <f>'PROJECT TA Y TB KARINA'!$L23/8</f>
        <v>#REF!</v>
      </c>
      <c r="BN27" s="128" t="e">
        <f>'PROJECT TA Y TB KARINA'!$L23/8</f>
        <v>#REF!</v>
      </c>
      <c r="BO27" s="128" t="e">
        <f>'PROJECT TA Y TB KARINA'!$L23/8</f>
        <v>#REF!</v>
      </c>
      <c r="BP27" s="128" t="e">
        <f>'PROJECT TA Y TB KARINA'!$L23/8</f>
        <v>#REF!</v>
      </c>
      <c r="BQ27" s="128" t="e">
        <f>'PROJECT TA Y TB KARINA'!$L23/8</f>
        <v>#REF!</v>
      </c>
      <c r="BR27" s="128" t="e">
        <f>'PROJECT TA Y TB KARINA'!$L23/8</f>
        <v>#REF!</v>
      </c>
      <c r="BS27" s="128" t="e">
        <f>'PROJECT TA Y TB KARINA'!$L23/8</f>
        <v>#REF!</v>
      </c>
      <c r="BT27" s="128" t="e">
        <f>'PROJECT TA Y TB KARINA'!$L23/8</f>
        <v>#REF!</v>
      </c>
      <c r="BU27" s="128" t="e">
        <f>'PROJECT TA Y TB KARINA'!$M23/8</f>
        <v>#REF!</v>
      </c>
      <c r="BV27" s="128" t="e">
        <f>'PROJECT TA Y TB KARINA'!$M23/8</f>
        <v>#REF!</v>
      </c>
      <c r="BW27" s="128" t="e">
        <f>'PROJECT TA Y TB KARINA'!$M23/8</f>
        <v>#REF!</v>
      </c>
      <c r="BX27" s="128" t="e">
        <f>'PROJECT TA Y TB KARINA'!$M23/8</f>
        <v>#REF!</v>
      </c>
      <c r="BY27" s="128" t="e">
        <f>'PROJECT TA Y TB KARINA'!$M23/8</f>
        <v>#REF!</v>
      </c>
      <c r="BZ27" s="128" t="e">
        <f>'PROJECT TA Y TB KARINA'!$M23/8</f>
        <v>#REF!</v>
      </c>
      <c r="CA27" s="128" t="e">
        <f>'PROJECT TA Y TB KARINA'!$M23/8</f>
        <v>#REF!</v>
      </c>
      <c r="CB27" s="128" t="e">
        <f>'PROJECT TA Y TB KARINA'!$M23/8</f>
        <v>#REF!</v>
      </c>
      <c r="CC27" s="128" t="e">
        <f>'PROJECT TA Y TB KARINA'!$N23/8</f>
        <v>#REF!</v>
      </c>
      <c r="CD27" s="128" t="e">
        <f>'PROJECT TA Y TB KARINA'!$N23/8</f>
        <v>#REF!</v>
      </c>
      <c r="CE27" s="128" t="e">
        <f>'PROJECT TA Y TB KARINA'!$N23/8</f>
        <v>#REF!</v>
      </c>
      <c r="CF27" s="128" t="e">
        <f>'PROJECT TA Y TB KARINA'!$N23/8</f>
        <v>#REF!</v>
      </c>
      <c r="CG27" s="128" t="e">
        <f>'PROJECT TA Y TB KARINA'!$N23/8</f>
        <v>#REF!</v>
      </c>
      <c r="CH27" s="128" t="e">
        <f>'PROJECT TA Y TB KARINA'!$N23/8</f>
        <v>#REF!</v>
      </c>
      <c r="CI27" s="128" t="e">
        <f>'PROJECT TA Y TB KARINA'!$N23/8</f>
        <v>#REF!</v>
      </c>
      <c r="CJ27" s="128" t="e">
        <f>'PROJECT TA Y TB KARINA'!$N23/8</f>
        <v>#REF!</v>
      </c>
      <c r="CK27" s="128" t="e">
        <f>'PROJECT TA Y TB KARINA'!$O23/8</f>
        <v>#REF!</v>
      </c>
      <c r="CL27" s="128" t="e">
        <f>'PROJECT TA Y TB KARINA'!$O23/8</f>
        <v>#REF!</v>
      </c>
      <c r="CM27" s="128" t="e">
        <f>'PROJECT TA Y TB KARINA'!$O23/8</f>
        <v>#REF!</v>
      </c>
      <c r="CN27" s="128" t="e">
        <f>'PROJECT TA Y TB KARINA'!$O23/8</f>
        <v>#REF!</v>
      </c>
      <c r="CO27" s="128" t="e">
        <f>'PROJECT TA Y TB KARINA'!$O23/8</f>
        <v>#REF!</v>
      </c>
      <c r="CP27" s="128" t="e">
        <f>'PROJECT TA Y TB KARINA'!$O23/8</f>
        <v>#REF!</v>
      </c>
      <c r="CQ27" s="128" t="e">
        <f>'PROJECT TA Y TB KARINA'!$O23/8</f>
        <v>#REF!</v>
      </c>
      <c r="CR27" s="128" t="e">
        <f>'PROJECT TA Y TB KARINA'!$O23/8</f>
        <v>#REF!</v>
      </c>
      <c r="CS27" s="128" t="e">
        <f>'PROJECT TA Y TB KARINA'!$P23/8</f>
        <v>#REF!</v>
      </c>
      <c r="CT27" s="128" t="e">
        <f>'PROJECT TA Y TB KARINA'!$P23/8</f>
        <v>#REF!</v>
      </c>
      <c r="CU27" s="128" t="e">
        <f>'PROJECT TA Y TB KARINA'!$P23/8</f>
        <v>#REF!</v>
      </c>
      <c r="CV27" s="128" t="e">
        <f>'PROJECT TA Y TB KARINA'!$P23/8</f>
        <v>#REF!</v>
      </c>
      <c r="CW27" s="128" t="e">
        <f>'PROJECT TA Y TB KARINA'!$P23/8</f>
        <v>#REF!</v>
      </c>
      <c r="CX27" s="128" t="e">
        <f>'PROJECT TA Y TB KARINA'!$P23/8</f>
        <v>#REF!</v>
      </c>
      <c r="CY27" s="128" t="e">
        <f>'PROJECT TA Y TB KARINA'!$P23/8</f>
        <v>#REF!</v>
      </c>
      <c r="CZ27" s="128" t="e">
        <f>'PROJECT TA Y TB KARINA'!$P23/8</f>
        <v>#REF!</v>
      </c>
      <c r="DA27" s="128" t="e">
        <f>'PROJECT TA Y TB KARINA'!$Q23/8</f>
        <v>#REF!</v>
      </c>
      <c r="DB27" s="128" t="e">
        <f>'PROJECT TA Y TB KARINA'!$Q23/8</f>
        <v>#REF!</v>
      </c>
      <c r="DC27" s="128" t="e">
        <f>'PROJECT TA Y TB KARINA'!$Q23/8</f>
        <v>#REF!</v>
      </c>
      <c r="DD27" s="128" t="e">
        <f>'PROJECT TA Y TB KARINA'!$Q23/8</f>
        <v>#REF!</v>
      </c>
      <c r="DE27" s="128" t="e">
        <f>'PROJECT TA Y TB KARINA'!$Q23/8</f>
        <v>#REF!</v>
      </c>
      <c r="DF27" s="128" t="e">
        <f>'PROJECT TA Y TB KARINA'!$Q23/8</f>
        <v>#REF!</v>
      </c>
      <c r="DG27" s="128" t="e">
        <f>'PROJECT TA Y TB KARINA'!$Q23/8</f>
        <v>#REF!</v>
      </c>
      <c r="DH27" s="128" t="e">
        <f>'PROJECT TA Y TB KARINA'!$Q23/8</f>
        <v>#REF!</v>
      </c>
      <c r="DI27" s="128" t="e">
        <f>'PROJECT TA Y TB KARINA'!$R23/8</f>
        <v>#REF!</v>
      </c>
      <c r="DJ27" s="128" t="e">
        <f>'PROJECT TA Y TB KARINA'!$R23/8</f>
        <v>#REF!</v>
      </c>
      <c r="DK27" s="128" t="e">
        <f>'PROJECT TA Y TB KARINA'!$R23/8</f>
        <v>#REF!</v>
      </c>
      <c r="DL27" s="128" t="e">
        <f>'PROJECT TA Y TB KARINA'!$R23/8</f>
        <v>#REF!</v>
      </c>
      <c r="DM27" s="128" t="e">
        <f>'PROJECT TA Y TB KARINA'!$R23/8</f>
        <v>#REF!</v>
      </c>
      <c r="DN27" s="128" t="e">
        <f>'PROJECT TA Y TB KARINA'!$R23/8</f>
        <v>#REF!</v>
      </c>
      <c r="DO27" s="128" t="e">
        <f>'PROJECT TA Y TB KARINA'!$R23/8</f>
        <v>#REF!</v>
      </c>
      <c r="DP27" s="128" t="e">
        <f>'PROJECT TA Y TB KARINA'!$R23/8</f>
        <v>#REF!</v>
      </c>
      <c r="DQ27" s="128" t="e">
        <f>'PROJECT TA Y TB KARINA'!$S23/8</f>
        <v>#REF!</v>
      </c>
      <c r="DR27" s="128" t="e">
        <f>'PROJECT TA Y TB KARINA'!$S23/8</f>
        <v>#REF!</v>
      </c>
      <c r="DS27" s="128" t="e">
        <f>'PROJECT TA Y TB KARINA'!$S23/8</f>
        <v>#REF!</v>
      </c>
      <c r="DT27" s="128" t="e">
        <f>'PROJECT TA Y TB KARINA'!$S23/8</f>
        <v>#REF!</v>
      </c>
      <c r="DU27" s="128" t="e">
        <f>'PROJECT TA Y TB KARINA'!$S23/8</f>
        <v>#REF!</v>
      </c>
      <c r="DV27" s="128" t="e">
        <f>'PROJECT TA Y TB KARINA'!$S23/8</f>
        <v>#REF!</v>
      </c>
      <c r="DW27" s="128" t="e">
        <f>'PROJECT TA Y TB KARINA'!$S23/8</f>
        <v>#REF!</v>
      </c>
      <c r="DX27" s="128" t="e">
        <f>'PROJECT TA Y TB KARINA'!$S23/8</f>
        <v>#REF!</v>
      </c>
      <c r="DY27" s="128" t="e">
        <f>'PROJECT TA Y TB KARINA'!$T23/8</f>
        <v>#REF!</v>
      </c>
      <c r="DZ27" s="128" t="e">
        <f>'PROJECT TA Y TB KARINA'!$T23/8</f>
        <v>#REF!</v>
      </c>
      <c r="EA27" s="128" t="e">
        <f>'PROJECT TA Y TB KARINA'!$T23/8</f>
        <v>#REF!</v>
      </c>
      <c r="EB27" s="128" t="e">
        <f>'PROJECT TA Y TB KARINA'!$T23/8</f>
        <v>#REF!</v>
      </c>
      <c r="EC27" s="128" t="e">
        <f>'PROJECT TA Y TB KARINA'!$T23/8</f>
        <v>#REF!</v>
      </c>
      <c r="ED27" s="128" t="e">
        <f>'PROJECT TA Y TB KARINA'!$T23/8</f>
        <v>#REF!</v>
      </c>
      <c r="EE27" s="128" t="e">
        <f>'PROJECT TA Y TB KARINA'!$T23/8</f>
        <v>#REF!</v>
      </c>
      <c r="EF27" s="128" t="e">
        <f>'PROJECT TA Y TB KARINA'!$T23/8</f>
        <v>#REF!</v>
      </c>
      <c r="EG27" s="128" t="e">
        <f>'PROJECT TA Y TB KARINA'!#REF!/8</f>
        <v>#REF!</v>
      </c>
      <c r="EH27" s="128" t="e">
        <f>'PROJECT TA Y TB KARINA'!#REF!/8</f>
        <v>#REF!</v>
      </c>
      <c r="EI27" s="128" t="e">
        <f>'PROJECT TA Y TB KARINA'!#REF!/8</f>
        <v>#REF!</v>
      </c>
      <c r="EJ27" s="128" t="e">
        <f>'PROJECT TA Y TB KARINA'!#REF!/8</f>
        <v>#REF!</v>
      </c>
      <c r="EK27" s="128" t="e">
        <f>'PROJECT TA Y TB KARINA'!#REF!/8</f>
        <v>#REF!</v>
      </c>
      <c r="EL27" s="128" t="e">
        <f>'PROJECT TA Y TB KARINA'!#REF!/8</f>
        <v>#REF!</v>
      </c>
      <c r="EM27" s="128" t="e">
        <f>'PROJECT TA Y TB KARINA'!#REF!/8</f>
        <v>#REF!</v>
      </c>
      <c r="EN27" s="128" t="e">
        <f>'PROJECT TA Y TB KARINA'!#REF!/8</f>
        <v>#REF!</v>
      </c>
      <c r="EO27" s="128">
        <f>'PROJECT TA Y TB KARINA'!$C81/8</f>
        <v>0</v>
      </c>
      <c r="EP27" s="128">
        <f>'PROJECT TA Y TB KARINA'!$C81/8</f>
        <v>0</v>
      </c>
      <c r="EQ27" s="128">
        <f>'PROJECT TA Y TB KARINA'!$C81/8</f>
        <v>0</v>
      </c>
      <c r="ER27" s="128">
        <f>'PROJECT TA Y TB KARINA'!$C81/8</f>
        <v>0</v>
      </c>
      <c r="ES27" s="128">
        <f>'PROJECT TA Y TB KARINA'!$C81/8</f>
        <v>0</v>
      </c>
      <c r="ET27" s="128">
        <f>'PROJECT TA Y TB KARINA'!$C81/8</f>
        <v>0</v>
      </c>
      <c r="EU27" s="128">
        <f>'PROJECT TA Y TB KARINA'!$C81/8</f>
        <v>0</v>
      </c>
      <c r="EV27" s="128">
        <f>'PROJECT TA Y TB KARINA'!$E81/8</f>
        <v>0</v>
      </c>
      <c r="EW27" s="128">
        <f>'PROJECT TA Y TB KARINA'!$E81/8</f>
        <v>0</v>
      </c>
      <c r="EX27" s="128">
        <f>'PROJECT TA Y TB KARINA'!$E81/8</f>
        <v>0</v>
      </c>
      <c r="EY27" s="128">
        <f>'PROJECT TA Y TB KARINA'!$E81/8</f>
        <v>0</v>
      </c>
      <c r="EZ27" s="128">
        <f>'PROJECT TA Y TB KARINA'!$E81/8</f>
        <v>0</v>
      </c>
      <c r="FA27" s="128">
        <f>'PROJECT TA Y TB KARINA'!$E81/8</f>
        <v>0</v>
      </c>
      <c r="FB27" s="128">
        <f>'PROJECT TA Y TB KARINA'!$E81/8</f>
        <v>0</v>
      </c>
      <c r="FC27" s="128">
        <f>'PROJECT TA Y TB KARINA'!$E81/8</f>
        <v>0</v>
      </c>
      <c r="FD27" s="128">
        <f>'PROJECT TA Y TB KARINA'!$F81/8</f>
        <v>0</v>
      </c>
      <c r="FE27" s="128">
        <f>'PROJECT TA Y TB KARINA'!$F81/8</f>
        <v>0</v>
      </c>
      <c r="FF27" s="128">
        <f>'PROJECT TA Y TB KARINA'!$F81/8</f>
        <v>0</v>
      </c>
      <c r="FG27" s="128">
        <f>'PROJECT TA Y TB KARINA'!$F81/8</f>
        <v>0</v>
      </c>
      <c r="FH27" s="128">
        <f>'PROJECT TA Y TB KARINA'!$F81/8</f>
        <v>0</v>
      </c>
      <c r="FI27" s="128">
        <f>'PROJECT TA Y TB KARINA'!$F81/8</f>
        <v>0</v>
      </c>
      <c r="FJ27" s="128">
        <f>'PROJECT TA Y TB KARINA'!$F81/8</f>
        <v>0</v>
      </c>
      <c r="FK27" s="128">
        <f>'PROJECT TA Y TB KARINA'!$F81/8</f>
        <v>0</v>
      </c>
      <c r="FL27" s="128">
        <f>'PROJECT TA Y TB KARINA'!$G81/8</f>
        <v>0</v>
      </c>
      <c r="FM27" s="128">
        <f>'PROJECT TA Y TB KARINA'!$G81/8</f>
        <v>0</v>
      </c>
      <c r="FN27" s="128">
        <f>'PROJECT TA Y TB KARINA'!$G81/8</f>
        <v>0</v>
      </c>
      <c r="FO27" s="128">
        <f>'PROJECT TA Y TB KARINA'!$G81/8</f>
        <v>0</v>
      </c>
      <c r="FP27" s="128">
        <f>'PROJECT TA Y TB KARINA'!$G81/8</f>
        <v>0</v>
      </c>
      <c r="FQ27" s="128">
        <f>'PROJECT TA Y TB KARINA'!$G81/8</f>
        <v>0</v>
      </c>
      <c r="FR27" s="128">
        <f>'PROJECT TA Y TB KARINA'!$G81/8</f>
        <v>0</v>
      </c>
      <c r="FS27" s="128">
        <f>'PROJECT TA Y TB KARINA'!$G81/8</f>
        <v>0</v>
      </c>
      <c r="FT27" s="128">
        <f>'PROJECT TA Y TB KARINA'!$H81/8</f>
        <v>0</v>
      </c>
      <c r="FU27" s="128">
        <f>'PROJECT TA Y TB KARINA'!$H81/8</f>
        <v>0</v>
      </c>
      <c r="FV27" s="128">
        <f>'PROJECT TA Y TB KARINA'!$H81/8</f>
        <v>0</v>
      </c>
      <c r="FW27" s="128">
        <f>'PROJECT TA Y TB KARINA'!$H81/8</f>
        <v>0</v>
      </c>
      <c r="FX27" s="128">
        <f>'PROJECT TA Y TB KARINA'!$H81/8</f>
        <v>0</v>
      </c>
      <c r="FY27" s="128">
        <f>'PROJECT TA Y TB KARINA'!$H81/8</f>
        <v>0</v>
      </c>
      <c r="FZ27" s="128">
        <f>'PROJECT TA Y TB KARINA'!$H81/8</f>
        <v>0</v>
      </c>
      <c r="GA27" s="128">
        <f>'PROJECT TA Y TB KARINA'!$H81/8</f>
        <v>0</v>
      </c>
      <c r="GB27" s="128">
        <f>'PROJECT TA Y TB KARINA'!$I81/8</f>
        <v>0</v>
      </c>
      <c r="GC27" s="128">
        <f>'PROJECT TA Y TB KARINA'!$I81/8</f>
        <v>0</v>
      </c>
      <c r="GD27" s="128">
        <f>'PROJECT TA Y TB KARINA'!$I81/8</f>
        <v>0</v>
      </c>
      <c r="GE27" s="128">
        <f>'PROJECT TA Y TB KARINA'!$I81/8</f>
        <v>0</v>
      </c>
      <c r="GF27" s="128">
        <f>'PROJECT TA Y TB KARINA'!$I81/8</f>
        <v>0</v>
      </c>
      <c r="GG27" s="128">
        <f>'PROJECT TA Y TB KARINA'!$I81/8</f>
        <v>0</v>
      </c>
      <c r="GH27" s="128">
        <f>'PROJECT TA Y TB KARINA'!$I81/8</f>
        <v>0</v>
      </c>
      <c r="GI27" s="128">
        <f>'PROJECT TA Y TB KARINA'!$I81/8</f>
        <v>0</v>
      </c>
      <c r="GJ27" s="128">
        <f>'PROJECT TA Y TB KARINA'!$J81/8</f>
        <v>0</v>
      </c>
      <c r="GK27" s="128">
        <f>'PROJECT TA Y TB KARINA'!$J81/8</f>
        <v>0</v>
      </c>
      <c r="GL27" s="128">
        <f>'PROJECT TA Y TB KARINA'!$J81/8</f>
        <v>0</v>
      </c>
      <c r="GM27" s="128">
        <f>'PROJECT TA Y TB KARINA'!$J81/8</f>
        <v>0</v>
      </c>
      <c r="GN27" s="128">
        <f>'PROJECT TA Y TB KARINA'!$J81/8</f>
        <v>0</v>
      </c>
      <c r="GO27" s="128">
        <f>'PROJECT TA Y TB KARINA'!$J81/8</f>
        <v>0</v>
      </c>
      <c r="GP27" s="128">
        <f>'PROJECT TA Y TB KARINA'!$J81/8</f>
        <v>0</v>
      </c>
      <c r="GQ27" s="128">
        <f>'PROJECT TA Y TB KARINA'!$J81/8</f>
        <v>0</v>
      </c>
      <c r="GR27" s="128">
        <f>'PROJECT TA Y TB KARINA'!$K81/8</f>
        <v>0</v>
      </c>
      <c r="GS27" s="128">
        <f>'PROJECT TA Y TB KARINA'!$K81/8</f>
        <v>0</v>
      </c>
      <c r="GT27" s="128">
        <f>'PROJECT TA Y TB KARINA'!$K81/8</f>
        <v>0</v>
      </c>
      <c r="GU27" s="128">
        <f>'PROJECT TA Y TB KARINA'!$K81/8</f>
        <v>0</v>
      </c>
      <c r="GV27" s="128">
        <f>'PROJECT TA Y TB KARINA'!$K81/8</f>
        <v>0</v>
      </c>
      <c r="GW27" s="128">
        <f>'PROJECT TA Y TB KARINA'!$K81/8</f>
        <v>0</v>
      </c>
      <c r="GX27" s="128">
        <f>'PROJECT TA Y TB KARINA'!$K81/8</f>
        <v>0</v>
      </c>
      <c r="GY27" s="128">
        <f>'PROJECT TA Y TB KARINA'!$K81/8</f>
        <v>0</v>
      </c>
      <c r="GZ27" s="128">
        <f>'PROJECT TA Y TB KARINA'!$L81/8</f>
        <v>0</v>
      </c>
      <c r="HA27" s="128">
        <f>'PROJECT TA Y TB KARINA'!$L81/8</f>
        <v>0</v>
      </c>
      <c r="HB27" s="128">
        <f>'PROJECT TA Y TB KARINA'!$L81/8</f>
        <v>0</v>
      </c>
      <c r="HC27" s="128">
        <f>'PROJECT TA Y TB KARINA'!$L81/8</f>
        <v>0</v>
      </c>
      <c r="HD27" s="128">
        <f>'PROJECT TA Y TB KARINA'!$L81/8</f>
        <v>0</v>
      </c>
      <c r="HE27" s="128">
        <f>'PROJECT TA Y TB KARINA'!$L81/8</f>
        <v>0</v>
      </c>
      <c r="HF27" s="128">
        <f>'PROJECT TA Y TB KARINA'!$L81/8</f>
        <v>0</v>
      </c>
      <c r="HG27" s="128">
        <f>'PROJECT TA Y TB KARINA'!$L81/8</f>
        <v>0</v>
      </c>
      <c r="HH27" s="128">
        <f>'PROJECT TA Y TB KARINA'!$M81/8</f>
        <v>0</v>
      </c>
      <c r="HI27" s="128">
        <f>'PROJECT TA Y TB KARINA'!$M81/8</f>
        <v>0</v>
      </c>
      <c r="HJ27" s="128">
        <f>'PROJECT TA Y TB KARINA'!$M81/8</f>
        <v>0</v>
      </c>
      <c r="HK27" s="128">
        <f>'PROJECT TA Y TB KARINA'!$M81/8</f>
        <v>0</v>
      </c>
      <c r="HL27" s="128">
        <f>'PROJECT TA Y TB KARINA'!$M81/8</f>
        <v>0</v>
      </c>
      <c r="HM27" s="128">
        <f>'PROJECT TA Y TB KARINA'!$M81/8</f>
        <v>0</v>
      </c>
      <c r="HN27" s="128">
        <f>'PROJECT TA Y TB KARINA'!$M81/8</f>
        <v>0</v>
      </c>
      <c r="HO27" s="128">
        <f>'PROJECT TA Y TB KARINA'!$M81/8</f>
        <v>0</v>
      </c>
      <c r="HP27" s="128">
        <f>'PROJECT TA Y TB KARINA'!$N81/8</f>
        <v>0</v>
      </c>
      <c r="HQ27" s="128">
        <f>'PROJECT TA Y TB KARINA'!$N81/8</f>
        <v>0</v>
      </c>
      <c r="HR27" s="128">
        <f>'PROJECT TA Y TB KARINA'!$N81/8</f>
        <v>0</v>
      </c>
      <c r="HS27" s="128">
        <f>'PROJECT TA Y TB KARINA'!$N81/8</f>
        <v>0</v>
      </c>
      <c r="HT27" s="128">
        <f>'PROJECT TA Y TB KARINA'!$N81/8</f>
        <v>0</v>
      </c>
      <c r="HU27" s="128">
        <f>'PROJECT TA Y TB KARINA'!$N81/8</f>
        <v>0</v>
      </c>
      <c r="HV27" s="128">
        <f>'PROJECT TA Y TB KARINA'!$N81/8</f>
        <v>0</v>
      </c>
      <c r="HW27" s="128">
        <f>'PROJECT TA Y TB KARINA'!$N81/8</f>
        <v>0</v>
      </c>
      <c r="HX27" s="128">
        <f>'PROJECT TA Y TB KARINA'!$O81/8</f>
        <v>0</v>
      </c>
      <c r="HY27" s="128">
        <f>'PROJECT TA Y TB KARINA'!$O81/8</f>
        <v>0</v>
      </c>
      <c r="HZ27" s="128">
        <f>'PROJECT TA Y TB KARINA'!$O81/8</f>
        <v>0</v>
      </c>
      <c r="IA27" s="128">
        <f>'PROJECT TA Y TB KARINA'!$O81/8</f>
        <v>0</v>
      </c>
      <c r="IB27" s="128">
        <f>'PROJECT TA Y TB KARINA'!$O81/8</f>
        <v>0</v>
      </c>
      <c r="IC27" s="128">
        <f>'PROJECT TA Y TB KARINA'!$O81/8</f>
        <v>0</v>
      </c>
      <c r="ID27" s="128">
        <f>'PROJECT TA Y TB KARINA'!$O81/8</f>
        <v>0</v>
      </c>
      <c r="IE27" s="128">
        <f>'PROJECT TA Y TB KARINA'!$O81/8</f>
        <v>0</v>
      </c>
      <c r="IF27" s="128">
        <f>'PROJECT TA Y TB KARINA'!$P81/8</f>
        <v>0</v>
      </c>
      <c r="IG27" s="128">
        <f>'PROJECT TA Y TB KARINA'!$P81/8</f>
        <v>0</v>
      </c>
      <c r="IH27" s="128">
        <f>'PROJECT TA Y TB KARINA'!$P81/8</f>
        <v>0</v>
      </c>
      <c r="II27" s="128">
        <f>'PROJECT TA Y TB KARINA'!$P81/8</f>
        <v>0</v>
      </c>
      <c r="IJ27" s="128">
        <f>'PROJECT TA Y TB KARINA'!$P81/8</f>
        <v>0</v>
      </c>
      <c r="IK27" s="128">
        <f>'PROJECT TA Y TB KARINA'!$P81/8</f>
        <v>0</v>
      </c>
      <c r="IL27" s="128">
        <f>'PROJECT TA Y TB KARINA'!$P81/8</f>
        <v>0</v>
      </c>
      <c r="IM27" s="128">
        <f>'PROJECT TA Y TB KARINA'!$P81/8</f>
        <v>0</v>
      </c>
      <c r="IN27" s="128">
        <f>'PROJECT TA Y TB KARINA'!$Q81/8</f>
        <v>0</v>
      </c>
      <c r="IO27" s="128">
        <f>'PROJECT TA Y TB KARINA'!$Q81/8</f>
        <v>0</v>
      </c>
      <c r="IP27" s="128">
        <f>'PROJECT TA Y TB KARINA'!$Q81/8</f>
        <v>0</v>
      </c>
      <c r="IQ27" s="128">
        <f>'PROJECT TA Y TB KARINA'!$Q81/8</f>
        <v>0</v>
      </c>
      <c r="IR27" s="128">
        <f>'PROJECT TA Y TB KARINA'!$Q81/8</f>
        <v>0</v>
      </c>
      <c r="IS27" s="128">
        <f>'PROJECT TA Y TB KARINA'!$Q81/8</f>
        <v>0</v>
      </c>
      <c r="IT27" s="128">
        <f>'PROJECT TA Y TB KARINA'!$Q81/8</f>
        <v>0</v>
      </c>
      <c r="IU27" s="128">
        <f>'PROJECT TA Y TB KARINA'!$Q81/8</f>
        <v>0</v>
      </c>
      <c r="IV27" s="128">
        <f>'PROJECT TA Y TB KARINA'!$R81/8</f>
        <v>0</v>
      </c>
      <c r="IW27" s="128">
        <f>'PROJECT TA Y TB KARINA'!$R81/8</f>
        <v>0</v>
      </c>
      <c r="IX27" s="128">
        <f>'PROJECT TA Y TB KARINA'!$R81/8</f>
        <v>0</v>
      </c>
      <c r="IY27" s="128">
        <f>'PROJECT TA Y TB KARINA'!$R81/8</f>
        <v>0</v>
      </c>
      <c r="IZ27" s="128">
        <f>'PROJECT TA Y TB KARINA'!$R81/8</f>
        <v>0</v>
      </c>
      <c r="JA27" s="128">
        <f>'PROJECT TA Y TB KARINA'!$R81/8</f>
        <v>0</v>
      </c>
      <c r="JB27" s="128">
        <f>'PROJECT TA Y TB KARINA'!$R81/8</f>
        <v>0</v>
      </c>
      <c r="JC27" s="128">
        <f>'PROJECT TA Y TB KARINA'!$R81/8</f>
        <v>0</v>
      </c>
      <c r="JD27" s="128">
        <f>'PROJECT TA Y TB KARINA'!$S81/8</f>
        <v>0</v>
      </c>
      <c r="JE27" s="128">
        <f>'PROJECT TA Y TB KARINA'!$S81/8</f>
        <v>0</v>
      </c>
      <c r="JF27" s="128">
        <f>'PROJECT TA Y TB KARINA'!$S81/8</f>
        <v>0</v>
      </c>
      <c r="JG27" s="128">
        <f>'PROJECT TA Y TB KARINA'!$S81/8</f>
        <v>0</v>
      </c>
      <c r="JH27" s="128">
        <f>'PROJECT TA Y TB KARINA'!$S81/8</f>
        <v>0</v>
      </c>
      <c r="JI27" s="128">
        <f>'PROJECT TA Y TB KARINA'!$S81/8</f>
        <v>0</v>
      </c>
      <c r="JJ27" s="128">
        <f>'PROJECT TA Y TB KARINA'!$S81/8</f>
        <v>0</v>
      </c>
      <c r="JK27" s="128">
        <f>'PROJECT TA Y TB KARINA'!$S81/8</f>
        <v>0</v>
      </c>
      <c r="JL27" s="128">
        <f>'PROJECT TA Y TB KARINA'!$T81/8</f>
        <v>0</v>
      </c>
      <c r="JM27" s="128">
        <f>'PROJECT TA Y TB KARINA'!$T81/8</f>
        <v>0</v>
      </c>
      <c r="JN27" s="128">
        <f>'PROJECT TA Y TB KARINA'!$T81/8</f>
        <v>0</v>
      </c>
      <c r="JO27" s="128">
        <f>'PROJECT TA Y TB KARINA'!$T81/8</f>
        <v>0</v>
      </c>
      <c r="JP27" s="128">
        <f>'PROJECT TA Y TB KARINA'!$T81/8</f>
        <v>0</v>
      </c>
      <c r="JQ27" s="128">
        <f>'PROJECT TA Y TB KARINA'!$T81/8</f>
        <v>0</v>
      </c>
      <c r="JR27" s="128">
        <f>'PROJECT TA Y TB KARINA'!$T81/8</f>
        <v>0</v>
      </c>
      <c r="JS27" s="128">
        <f>'PROJECT TA Y TB KARINA'!$T81/8</f>
        <v>0</v>
      </c>
      <c r="JT27" s="128" t="e">
        <f>'PROJECT TA Y TB KARINA'!#REF!/8</f>
        <v>#REF!</v>
      </c>
      <c r="JU27" s="128" t="e">
        <f>'PROJECT TA Y TB KARINA'!#REF!/8</f>
        <v>#REF!</v>
      </c>
      <c r="JV27" s="128" t="e">
        <f>'PROJECT TA Y TB KARINA'!#REF!/8</f>
        <v>#REF!</v>
      </c>
      <c r="JW27" s="128" t="e">
        <f>'PROJECT TA Y TB KARINA'!#REF!/8</f>
        <v>#REF!</v>
      </c>
      <c r="JX27" s="128" t="e">
        <f>'PROJECT TA Y TB KARINA'!#REF!/8</f>
        <v>#REF!</v>
      </c>
      <c r="JY27" s="128" t="e">
        <f>'PROJECT TA Y TB KARINA'!#REF!/8</f>
        <v>#REF!</v>
      </c>
      <c r="JZ27" s="128" t="e">
        <f>'PROJECT TA Y TB KARINA'!#REF!/8</f>
        <v>#REF!</v>
      </c>
      <c r="KA27" s="128" t="e">
        <f>'PROJECT TA Y TB KARINA'!#REF!/8</f>
        <v>#REF!</v>
      </c>
    </row>
    <row r="28" spans="1:287" ht="21">
      <c r="A28" s="130" t="s">
        <v>481</v>
      </c>
      <c r="B28" s="128" t="e">
        <f>'PROJECT TA Y TB KARINA'!$C$24/8</f>
        <v>#REF!</v>
      </c>
      <c r="C28" s="128" t="e">
        <f>'PROJECT TA Y TB KARINA'!$C$24/8</f>
        <v>#REF!</v>
      </c>
      <c r="D28" s="128" t="e">
        <f>'PROJECT TA Y TB KARINA'!$C$24/8</f>
        <v>#REF!</v>
      </c>
      <c r="E28" s="128" t="e">
        <f>'PROJECT TA Y TB KARINA'!$C$24/8</f>
        <v>#REF!</v>
      </c>
      <c r="F28" s="128" t="e">
        <f>'PROJECT TA Y TB KARINA'!$C$24/8</f>
        <v>#REF!</v>
      </c>
      <c r="G28" s="128" t="e">
        <f>'PROJECT TA Y TB KARINA'!$C$24/8</f>
        <v>#REF!</v>
      </c>
      <c r="H28" s="128" t="e">
        <f>'PROJECT TA Y TB KARINA'!$C$24/8</f>
        <v>#REF!</v>
      </c>
      <c r="I28" s="128" t="e">
        <f>'PROJECT TA Y TB KARINA'!$E24/8</f>
        <v>#REF!</v>
      </c>
      <c r="J28" s="128" t="e">
        <f>'PROJECT TA Y TB KARINA'!$E24/8</f>
        <v>#REF!</v>
      </c>
      <c r="K28" s="128" t="e">
        <f>'PROJECT TA Y TB KARINA'!$E24/8</f>
        <v>#REF!</v>
      </c>
      <c r="L28" s="128" t="e">
        <f>'PROJECT TA Y TB KARINA'!$E24/8</f>
        <v>#REF!</v>
      </c>
      <c r="M28" s="128" t="e">
        <f>'PROJECT TA Y TB KARINA'!$E24/8</f>
        <v>#REF!</v>
      </c>
      <c r="N28" s="128" t="e">
        <f>'PROJECT TA Y TB KARINA'!$E24/8</f>
        <v>#REF!</v>
      </c>
      <c r="O28" s="128" t="e">
        <f>'PROJECT TA Y TB KARINA'!$E24/8</f>
        <v>#REF!</v>
      </c>
      <c r="P28" s="128" t="e">
        <f>'PROJECT TA Y TB KARINA'!$E24/8</f>
        <v>#REF!</v>
      </c>
      <c r="Q28" s="128" t="e">
        <f>'PROJECT TA Y TB KARINA'!$F24/8</f>
        <v>#REF!</v>
      </c>
      <c r="R28" s="128" t="e">
        <f>'PROJECT TA Y TB KARINA'!$F24/8</f>
        <v>#REF!</v>
      </c>
      <c r="S28" s="128" t="e">
        <f>'PROJECT TA Y TB KARINA'!$F24/8</f>
        <v>#REF!</v>
      </c>
      <c r="T28" s="128" t="e">
        <f>'PROJECT TA Y TB KARINA'!$F24/8</f>
        <v>#REF!</v>
      </c>
      <c r="U28" s="128" t="e">
        <f>'PROJECT TA Y TB KARINA'!$F24/8</f>
        <v>#REF!</v>
      </c>
      <c r="V28" s="128" t="e">
        <f>'PROJECT TA Y TB KARINA'!$F24/8</f>
        <v>#REF!</v>
      </c>
      <c r="W28" s="128" t="e">
        <f>'PROJECT TA Y TB KARINA'!$F24/8</f>
        <v>#REF!</v>
      </c>
      <c r="X28" s="128" t="e">
        <f>'PROJECT TA Y TB KARINA'!$F24/8</f>
        <v>#REF!</v>
      </c>
      <c r="Y28" s="128" t="e">
        <f>'PROJECT TA Y TB KARINA'!$G24/8</f>
        <v>#REF!</v>
      </c>
      <c r="Z28" s="128" t="e">
        <f>'PROJECT TA Y TB KARINA'!$G24/8</f>
        <v>#REF!</v>
      </c>
      <c r="AA28" s="128" t="e">
        <f>'PROJECT TA Y TB KARINA'!$G24/8</f>
        <v>#REF!</v>
      </c>
      <c r="AB28" s="128" t="e">
        <f>'PROJECT TA Y TB KARINA'!$G24/8</f>
        <v>#REF!</v>
      </c>
      <c r="AC28" s="128" t="e">
        <f>'PROJECT TA Y TB KARINA'!$G24/8</f>
        <v>#REF!</v>
      </c>
      <c r="AD28" s="128" t="e">
        <f>'PROJECT TA Y TB KARINA'!$G24/8</f>
        <v>#REF!</v>
      </c>
      <c r="AE28" s="128" t="e">
        <f>'PROJECT TA Y TB KARINA'!$G24/8</f>
        <v>#REF!</v>
      </c>
      <c r="AF28" s="128" t="e">
        <f>'PROJECT TA Y TB KARINA'!$G24/8</f>
        <v>#REF!</v>
      </c>
      <c r="AG28" s="128" t="e">
        <f>'PROJECT TA Y TB KARINA'!$H24/8</f>
        <v>#REF!</v>
      </c>
      <c r="AH28" s="128" t="e">
        <f>'PROJECT TA Y TB KARINA'!$H24/8</f>
        <v>#REF!</v>
      </c>
      <c r="AI28" s="128" t="e">
        <f>'PROJECT TA Y TB KARINA'!$H24/8</f>
        <v>#REF!</v>
      </c>
      <c r="AJ28" s="128" t="e">
        <f>'PROJECT TA Y TB KARINA'!$H24/8</f>
        <v>#REF!</v>
      </c>
      <c r="AK28" s="128" t="e">
        <f>'PROJECT TA Y TB KARINA'!$H24/8</f>
        <v>#REF!</v>
      </c>
      <c r="AL28" s="128" t="e">
        <f>'PROJECT TA Y TB KARINA'!$H24/8</f>
        <v>#REF!</v>
      </c>
      <c r="AM28" s="128" t="e">
        <f>'PROJECT TA Y TB KARINA'!$H24/8</f>
        <v>#REF!</v>
      </c>
      <c r="AN28" s="128" t="e">
        <f>'PROJECT TA Y TB KARINA'!$H24/8</f>
        <v>#REF!</v>
      </c>
      <c r="AO28" s="128" t="e">
        <f>'PROJECT TA Y TB KARINA'!$I24/8</f>
        <v>#REF!</v>
      </c>
      <c r="AP28" s="128" t="e">
        <f>'PROJECT TA Y TB KARINA'!$I24/8</f>
        <v>#REF!</v>
      </c>
      <c r="AQ28" s="128" t="e">
        <f>'PROJECT TA Y TB KARINA'!$I24/8</f>
        <v>#REF!</v>
      </c>
      <c r="AR28" s="128" t="e">
        <f>'PROJECT TA Y TB KARINA'!$I24/8</f>
        <v>#REF!</v>
      </c>
      <c r="AS28" s="128" t="e">
        <f>'PROJECT TA Y TB KARINA'!$I24/8</f>
        <v>#REF!</v>
      </c>
      <c r="AT28" s="128" t="e">
        <f>'PROJECT TA Y TB KARINA'!$I24/8</f>
        <v>#REF!</v>
      </c>
      <c r="AU28" s="128" t="e">
        <f>'PROJECT TA Y TB KARINA'!$I24/8</f>
        <v>#REF!</v>
      </c>
      <c r="AV28" s="128" t="e">
        <f>'PROJECT TA Y TB KARINA'!$I24/8</f>
        <v>#REF!</v>
      </c>
      <c r="AW28" s="128" t="e">
        <f>'PROJECT TA Y TB KARINA'!$J24/8</f>
        <v>#REF!</v>
      </c>
      <c r="AX28" s="128" t="e">
        <f>'PROJECT TA Y TB KARINA'!$J24/8</f>
        <v>#REF!</v>
      </c>
      <c r="AY28" s="128" t="e">
        <f>'PROJECT TA Y TB KARINA'!$J24/8</f>
        <v>#REF!</v>
      </c>
      <c r="AZ28" s="128" t="e">
        <f>'PROJECT TA Y TB KARINA'!$J24/8</f>
        <v>#REF!</v>
      </c>
      <c r="BA28" s="128" t="e">
        <f>'PROJECT TA Y TB KARINA'!$J24/8</f>
        <v>#REF!</v>
      </c>
      <c r="BB28" s="128" t="e">
        <f>'PROJECT TA Y TB KARINA'!$J24/8</f>
        <v>#REF!</v>
      </c>
      <c r="BC28" s="128" t="e">
        <f>'PROJECT TA Y TB KARINA'!$J24/8</f>
        <v>#REF!</v>
      </c>
      <c r="BD28" s="128" t="e">
        <f>'PROJECT TA Y TB KARINA'!$J24/8</f>
        <v>#REF!</v>
      </c>
      <c r="BE28" s="128" t="e">
        <f>'PROJECT TA Y TB KARINA'!$K24/8</f>
        <v>#REF!</v>
      </c>
      <c r="BF28" s="128" t="e">
        <f>'PROJECT TA Y TB KARINA'!$K24/8</f>
        <v>#REF!</v>
      </c>
      <c r="BG28" s="128" t="e">
        <f>'PROJECT TA Y TB KARINA'!$K24/8</f>
        <v>#REF!</v>
      </c>
      <c r="BH28" s="128" t="e">
        <f>'PROJECT TA Y TB KARINA'!$K24/8</f>
        <v>#REF!</v>
      </c>
      <c r="BI28" s="128" t="e">
        <f>'PROJECT TA Y TB KARINA'!$K24/8</f>
        <v>#REF!</v>
      </c>
      <c r="BJ28" s="128" t="e">
        <f>'PROJECT TA Y TB KARINA'!$K24/8</f>
        <v>#REF!</v>
      </c>
      <c r="BK28" s="128" t="e">
        <f>'PROJECT TA Y TB KARINA'!$K24/8</f>
        <v>#REF!</v>
      </c>
      <c r="BL28" s="128" t="e">
        <f>'PROJECT TA Y TB KARINA'!$K24/8</f>
        <v>#REF!</v>
      </c>
      <c r="BM28" s="128" t="e">
        <f>'PROJECT TA Y TB KARINA'!$L24/8</f>
        <v>#REF!</v>
      </c>
      <c r="BN28" s="128" t="e">
        <f>'PROJECT TA Y TB KARINA'!$L24/8</f>
        <v>#REF!</v>
      </c>
      <c r="BO28" s="128" t="e">
        <f>'PROJECT TA Y TB KARINA'!$L24/8</f>
        <v>#REF!</v>
      </c>
      <c r="BP28" s="128" t="e">
        <f>'PROJECT TA Y TB KARINA'!$L24/8</f>
        <v>#REF!</v>
      </c>
      <c r="BQ28" s="128" t="e">
        <f>'PROJECT TA Y TB KARINA'!$L24/8</f>
        <v>#REF!</v>
      </c>
      <c r="BR28" s="128" t="e">
        <f>'PROJECT TA Y TB KARINA'!$L24/8</f>
        <v>#REF!</v>
      </c>
      <c r="BS28" s="128" t="e">
        <f>'PROJECT TA Y TB KARINA'!$L24/8</f>
        <v>#REF!</v>
      </c>
      <c r="BT28" s="128" t="e">
        <f>'PROJECT TA Y TB KARINA'!$L24/8</f>
        <v>#REF!</v>
      </c>
      <c r="BU28" s="128" t="e">
        <f>'PROJECT TA Y TB KARINA'!$M24/8</f>
        <v>#REF!</v>
      </c>
      <c r="BV28" s="128" t="e">
        <f>'PROJECT TA Y TB KARINA'!$M24/8</f>
        <v>#REF!</v>
      </c>
      <c r="BW28" s="128" t="e">
        <f>'PROJECT TA Y TB KARINA'!$M24/8</f>
        <v>#REF!</v>
      </c>
      <c r="BX28" s="128" t="e">
        <f>'PROJECT TA Y TB KARINA'!$M24/8</f>
        <v>#REF!</v>
      </c>
      <c r="BY28" s="128" t="e">
        <f>'PROJECT TA Y TB KARINA'!$M24/8</f>
        <v>#REF!</v>
      </c>
      <c r="BZ28" s="128" t="e">
        <f>'PROJECT TA Y TB KARINA'!$M24/8</f>
        <v>#REF!</v>
      </c>
      <c r="CA28" s="128" t="e">
        <f>'PROJECT TA Y TB KARINA'!$M24/8</f>
        <v>#REF!</v>
      </c>
      <c r="CB28" s="128" t="e">
        <f>'PROJECT TA Y TB KARINA'!$M24/8</f>
        <v>#REF!</v>
      </c>
      <c r="CC28" s="128" t="e">
        <f>'PROJECT TA Y TB KARINA'!$N24/8</f>
        <v>#REF!</v>
      </c>
      <c r="CD28" s="128" t="e">
        <f>'PROJECT TA Y TB KARINA'!$N24/8</f>
        <v>#REF!</v>
      </c>
      <c r="CE28" s="128" t="e">
        <f>'PROJECT TA Y TB KARINA'!$N24/8</f>
        <v>#REF!</v>
      </c>
      <c r="CF28" s="128" t="e">
        <f>'PROJECT TA Y TB KARINA'!$N24/8</f>
        <v>#REF!</v>
      </c>
      <c r="CG28" s="128" t="e">
        <f>'PROJECT TA Y TB KARINA'!$N24/8</f>
        <v>#REF!</v>
      </c>
      <c r="CH28" s="128" t="e">
        <f>'PROJECT TA Y TB KARINA'!$N24/8</f>
        <v>#REF!</v>
      </c>
      <c r="CI28" s="128" t="e">
        <f>'PROJECT TA Y TB KARINA'!$N24/8</f>
        <v>#REF!</v>
      </c>
      <c r="CJ28" s="128" t="e">
        <f>'PROJECT TA Y TB KARINA'!$N24/8</f>
        <v>#REF!</v>
      </c>
      <c r="CK28" s="128" t="e">
        <f>'PROJECT TA Y TB KARINA'!$O24/8</f>
        <v>#REF!</v>
      </c>
      <c r="CL28" s="128" t="e">
        <f>'PROJECT TA Y TB KARINA'!$O24/8</f>
        <v>#REF!</v>
      </c>
      <c r="CM28" s="128" t="e">
        <f>'PROJECT TA Y TB KARINA'!$O24/8</f>
        <v>#REF!</v>
      </c>
      <c r="CN28" s="128" t="e">
        <f>'PROJECT TA Y TB KARINA'!$O24/8</f>
        <v>#REF!</v>
      </c>
      <c r="CO28" s="128" t="e">
        <f>'PROJECT TA Y TB KARINA'!$O24/8</f>
        <v>#REF!</v>
      </c>
      <c r="CP28" s="128" t="e">
        <f>'PROJECT TA Y TB KARINA'!$O24/8</f>
        <v>#REF!</v>
      </c>
      <c r="CQ28" s="128" t="e">
        <f>'PROJECT TA Y TB KARINA'!$O24/8</f>
        <v>#REF!</v>
      </c>
      <c r="CR28" s="128" t="e">
        <f>'PROJECT TA Y TB KARINA'!$O24/8</f>
        <v>#REF!</v>
      </c>
      <c r="CS28" s="128" t="e">
        <f>'PROJECT TA Y TB KARINA'!$P24/8</f>
        <v>#REF!</v>
      </c>
      <c r="CT28" s="128" t="e">
        <f>'PROJECT TA Y TB KARINA'!$P24/8</f>
        <v>#REF!</v>
      </c>
      <c r="CU28" s="128" t="e">
        <f>'PROJECT TA Y TB KARINA'!$P24/8</f>
        <v>#REF!</v>
      </c>
      <c r="CV28" s="128" t="e">
        <f>'PROJECT TA Y TB KARINA'!$P24/8</f>
        <v>#REF!</v>
      </c>
      <c r="CW28" s="128" t="e">
        <f>'PROJECT TA Y TB KARINA'!$P24/8</f>
        <v>#REF!</v>
      </c>
      <c r="CX28" s="128" t="e">
        <f>'PROJECT TA Y TB KARINA'!$P24/8</f>
        <v>#REF!</v>
      </c>
      <c r="CY28" s="128" t="e">
        <f>'PROJECT TA Y TB KARINA'!$P24/8</f>
        <v>#REF!</v>
      </c>
      <c r="CZ28" s="128" t="e">
        <f>'PROJECT TA Y TB KARINA'!$P24/8</f>
        <v>#REF!</v>
      </c>
      <c r="DA28" s="128" t="e">
        <f>'PROJECT TA Y TB KARINA'!$Q24/8</f>
        <v>#REF!</v>
      </c>
      <c r="DB28" s="128" t="e">
        <f>'PROJECT TA Y TB KARINA'!$Q24/8</f>
        <v>#REF!</v>
      </c>
      <c r="DC28" s="128" t="e">
        <f>'PROJECT TA Y TB KARINA'!$Q24/8</f>
        <v>#REF!</v>
      </c>
      <c r="DD28" s="128" t="e">
        <f>'PROJECT TA Y TB KARINA'!$Q24/8</f>
        <v>#REF!</v>
      </c>
      <c r="DE28" s="128" t="e">
        <f>'PROJECT TA Y TB KARINA'!$Q24/8</f>
        <v>#REF!</v>
      </c>
      <c r="DF28" s="128" t="e">
        <f>'PROJECT TA Y TB KARINA'!$Q24/8</f>
        <v>#REF!</v>
      </c>
      <c r="DG28" s="128" t="e">
        <f>'PROJECT TA Y TB KARINA'!$Q24/8</f>
        <v>#REF!</v>
      </c>
      <c r="DH28" s="128" t="e">
        <f>'PROJECT TA Y TB KARINA'!$Q24/8</f>
        <v>#REF!</v>
      </c>
      <c r="DI28" s="128" t="e">
        <f>'PROJECT TA Y TB KARINA'!$R24/8</f>
        <v>#REF!</v>
      </c>
      <c r="DJ28" s="128" t="e">
        <f>'PROJECT TA Y TB KARINA'!$R24/8</f>
        <v>#REF!</v>
      </c>
      <c r="DK28" s="128" t="e">
        <f>'PROJECT TA Y TB KARINA'!$R24/8</f>
        <v>#REF!</v>
      </c>
      <c r="DL28" s="128" t="e">
        <f>'PROJECT TA Y TB KARINA'!$R24/8</f>
        <v>#REF!</v>
      </c>
      <c r="DM28" s="128" t="e">
        <f>'PROJECT TA Y TB KARINA'!$R24/8</f>
        <v>#REF!</v>
      </c>
      <c r="DN28" s="128" t="e">
        <f>'PROJECT TA Y TB KARINA'!$R24/8</f>
        <v>#REF!</v>
      </c>
      <c r="DO28" s="128" t="e">
        <f>'PROJECT TA Y TB KARINA'!$R24/8</f>
        <v>#REF!</v>
      </c>
      <c r="DP28" s="128" t="e">
        <f>'PROJECT TA Y TB KARINA'!$R24/8</f>
        <v>#REF!</v>
      </c>
      <c r="DQ28" s="128" t="e">
        <f>'PROJECT TA Y TB KARINA'!$S24/8</f>
        <v>#REF!</v>
      </c>
      <c r="DR28" s="128" t="e">
        <f>'PROJECT TA Y TB KARINA'!$S24/8</f>
        <v>#REF!</v>
      </c>
      <c r="DS28" s="128" t="e">
        <f>'PROJECT TA Y TB KARINA'!$S24/8</f>
        <v>#REF!</v>
      </c>
      <c r="DT28" s="128" t="e">
        <f>'PROJECT TA Y TB KARINA'!$S24/8</f>
        <v>#REF!</v>
      </c>
      <c r="DU28" s="128" t="e">
        <f>'PROJECT TA Y TB KARINA'!$S24/8</f>
        <v>#REF!</v>
      </c>
      <c r="DV28" s="128" t="e">
        <f>'PROJECT TA Y TB KARINA'!$S24/8</f>
        <v>#REF!</v>
      </c>
      <c r="DW28" s="128" t="e">
        <f>'PROJECT TA Y TB KARINA'!$S24/8</f>
        <v>#REF!</v>
      </c>
      <c r="DX28" s="128" t="e">
        <f>'PROJECT TA Y TB KARINA'!$S24/8</f>
        <v>#REF!</v>
      </c>
      <c r="DY28" s="128" t="e">
        <f>'PROJECT TA Y TB KARINA'!$T24/8</f>
        <v>#REF!</v>
      </c>
      <c r="DZ28" s="128" t="e">
        <f>'PROJECT TA Y TB KARINA'!$T24/8</f>
        <v>#REF!</v>
      </c>
      <c r="EA28" s="128" t="e">
        <f>'PROJECT TA Y TB KARINA'!$T24/8</f>
        <v>#REF!</v>
      </c>
      <c r="EB28" s="128" t="e">
        <f>'PROJECT TA Y TB KARINA'!$T24/8</f>
        <v>#REF!</v>
      </c>
      <c r="EC28" s="128" t="e">
        <f>'PROJECT TA Y TB KARINA'!$T24/8</f>
        <v>#REF!</v>
      </c>
      <c r="ED28" s="128" t="e">
        <f>'PROJECT TA Y TB KARINA'!$T24/8</f>
        <v>#REF!</v>
      </c>
      <c r="EE28" s="128" t="e">
        <f>'PROJECT TA Y TB KARINA'!$T24/8</f>
        <v>#REF!</v>
      </c>
      <c r="EF28" s="128" t="e">
        <f>'PROJECT TA Y TB KARINA'!$T24/8</f>
        <v>#REF!</v>
      </c>
      <c r="EG28" s="128" t="e">
        <f>'PROJECT TA Y TB KARINA'!#REF!/8</f>
        <v>#REF!</v>
      </c>
      <c r="EH28" s="128" t="e">
        <f>'PROJECT TA Y TB KARINA'!#REF!/8</f>
        <v>#REF!</v>
      </c>
      <c r="EI28" s="128" t="e">
        <f>'PROJECT TA Y TB KARINA'!#REF!/8</f>
        <v>#REF!</v>
      </c>
      <c r="EJ28" s="128" t="e">
        <f>'PROJECT TA Y TB KARINA'!#REF!/8</f>
        <v>#REF!</v>
      </c>
      <c r="EK28" s="128" t="e">
        <f>'PROJECT TA Y TB KARINA'!#REF!/8</f>
        <v>#REF!</v>
      </c>
      <c r="EL28" s="128" t="e">
        <f>'PROJECT TA Y TB KARINA'!#REF!/8</f>
        <v>#REF!</v>
      </c>
      <c r="EM28" s="128" t="e">
        <f>'PROJECT TA Y TB KARINA'!#REF!/8</f>
        <v>#REF!</v>
      </c>
      <c r="EN28" s="128" t="e">
        <f>'PROJECT TA Y TB KARINA'!#REF!/8</f>
        <v>#REF!</v>
      </c>
      <c r="EO28" s="128">
        <f>'PROJECT TA Y TB KARINA'!$C82/8</f>
        <v>0</v>
      </c>
      <c r="EP28" s="128">
        <f>'PROJECT TA Y TB KARINA'!$C82/8</f>
        <v>0</v>
      </c>
      <c r="EQ28" s="128">
        <f>'PROJECT TA Y TB KARINA'!$C82/8</f>
        <v>0</v>
      </c>
      <c r="ER28" s="128">
        <f>'PROJECT TA Y TB KARINA'!$C82/8</f>
        <v>0</v>
      </c>
      <c r="ES28" s="128">
        <f>'PROJECT TA Y TB KARINA'!$C82/8</f>
        <v>0</v>
      </c>
      <c r="ET28" s="128">
        <f>'PROJECT TA Y TB KARINA'!$C82/8</f>
        <v>0</v>
      </c>
      <c r="EU28" s="128">
        <f>'PROJECT TA Y TB KARINA'!$C82/8</f>
        <v>0</v>
      </c>
      <c r="EV28" s="128">
        <f>'PROJECT TA Y TB KARINA'!$E82/8</f>
        <v>0</v>
      </c>
      <c r="EW28" s="128">
        <f>'PROJECT TA Y TB KARINA'!$E82/8</f>
        <v>0</v>
      </c>
      <c r="EX28" s="128">
        <f>'PROJECT TA Y TB KARINA'!$E82/8</f>
        <v>0</v>
      </c>
      <c r="EY28" s="128">
        <f>'PROJECT TA Y TB KARINA'!$E82/8</f>
        <v>0</v>
      </c>
      <c r="EZ28" s="128">
        <f>'PROJECT TA Y TB KARINA'!$E82/8</f>
        <v>0</v>
      </c>
      <c r="FA28" s="128">
        <f>'PROJECT TA Y TB KARINA'!$E82/8</f>
        <v>0</v>
      </c>
      <c r="FB28" s="128">
        <f>'PROJECT TA Y TB KARINA'!$E82/8</f>
        <v>0</v>
      </c>
      <c r="FC28" s="128">
        <f>'PROJECT TA Y TB KARINA'!$E82/8</f>
        <v>0</v>
      </c>
      <c r="FD28" s="128">
        <f>'PROJECT TA Y TB KARINA'!$F82/8</f>
        <v>0</v>
      </c>
      <c r="FE28" s="128">
        <f>'PROJECT TA Y TB KARINA'!$F82/8</f>
        <v>0</v>
      </c>
      <c r="FF28" s="128">
        <f>'PROJECT TA Y TB KARINA'!$F82/8</f>
        <v>0</v>
      </c>
      <c r="FG28" s="128">
        <f>'PROJECT TA Y TB KARINA'!$F82/8</f>
        <v>0</v>
      </c>
      <c r="FH28" s="128">
        <f>'PROJECT TA Y TB KARINA'!$F82/8</f>
        <v>0</v>
      </c>
      <c r="FI28" s="128">
        <f>'PROJECT TA Y TB KARINA'!$F82/8</f>
        <v>0</v>
      </c>
      <c r="FJ28" s="128">
        <f>'PROJECT TA Y TB KARINA'!$F82/8</f>
        <v>0</v>
      </c>
      <c r="FK28" s="128">
        <f>'PROJECT TA Y TB KARINA'!$F82/8</f>
        <v>0</v>
      </c>
      <c r="FL28" s="128">
        <f>'PROJECT TA Y TB KARINA'!$G82/8</f>
        <v>0</v>
      </c>
      <c r="FM28" s="128">
        <f>'PROJECT TA Y TB KARINA'!$G82/8</f>
        <v>0</v>
      </c>
      <c r="FN28" s="128">
        <f>'PROJECT TA Y TB KARINA'!$G82/8</f>
        <v>0</v>
      </c>
      <c r="FO28" s="128">
        <f>'PROJECT TA Y TB KARINA'!$G82/8</f>
        <v>0</v>
      </c>
      <c r="FP28" s="128">
        <f>'PROJECT TA Y TB KARINA'!$G82/8</f>
        <v>0</v>
      </c>
      <c r="FQ28" s="128">
        <f>'PROJECT TA Y TB KARINA'!$G82/8</f>
        <v>0</v>
      </c>
      <c r="FR28" s="128">
        <f>'PROJECT TA Y TB KARINA'!$G82/8</f>
        <v>0</v>
      </c>
      <c r="FS28" s="128">
        <f>'PROJECT TA Y TB KARINA'!$G82/8</f>
        <v>0</v>
      </c>
      <c r="FT28" s="128">
        <f>'PROJECT TA Y TB KARINA'!$H82/8</f>
        <v>0</v>
      </c>
      <c r="FU28" s="128">
        <f>'PROJECT TA Y TB KARINA'!$H82/8</f>
        <v>0</v>
      </c>
      <c r="FV28" s="128">
        <f>'PROJECT TA Y TB KARINA'!$H82/8</f>
        <v>0</v>
      </c>
      <c r="FW28" s="128">
        <f>'PROJECT TA Y TB KARINA'!$H82/8</f>
        <v>0</v>
      </c>
      <c r="FX28" s="128">
        <f>'PROJECT TA Y TB KARINA'!$H82/8</f>
        <v>0</v>
      </c>
      <c r="FY28" s="128">
        <f>'PROJECT TA Y TB KARINA'!$H82/8</f>
        <v>0</v>
      </c>
      <c r="FZ28" s="128">
        <f>'PROJECT TA Y TB KARINA'!$H82/8</f>
        <v>0</v>
      </c>
      <c r="GA28" s="128">
        <f>'PROJECT TA Y TB KARINA'!$H82/8</f>
        <v>0</v>
      </c>
      <c r="GB28" s="128">
        <f>'PROJECT TA Y TB KARINA'!$I82/8</f>
        <v>0</v>
      </c>
      <c r="GC28" s="128">
        <f>'PROJECT TA Y TB KARINA'!$I82/8</f>
        <v>0</v>
      </c>
      <c r="GD28" s="128">
        <f>'PROJECT TA Y TB KARINA'!$I82/8</f>
        <v>0</v>
      </c>
      <c r="GE28" s="128">
        <f>'PROJECT TA Y TB KARINA'!$I82/8</f>
        <v>0</v>
      </c>
      <c r="GF28" s="128">
        <f>'PROJECT TA Y TB KARINA'!$I82/8</f>
        <v>0</v>
      </c>
      <c r="GG28" s="128">
        <f>'PROJECT TA Y TB KARINA'!$I82/8</f>
        <v>0</v>
      </c>
      <c r="GH28" s="128">
        <f>'PROJECT TA Y TB KARINA'!$I82/8</f>
        <v>0</v>
      </c>
      <c r="GI28" s="128">
        <f>'PROJECT TA Y TB KARINA'!$I82/8</f>
        <v>0</v>
      </c>
      <c r="GJ28" s="128">
        <f>'PROJECT TA Y TB KARINA'!$J82/8</f>
        <v>0</v>
      </c>
      <c r="GK28" s="128">
        <f>'PROJECT TA Y TB KARINA'!$J82/8</f>
        <v>0</v>
      </c>
      <c r="GL28" s="128">
        <f>'PROJECT TA Y TB KARINA'!$J82/8</f>
        <v>0</v>
      </c>
      <c r="GM28" s="128">
        <f>'PROJECT TA Y TB KARINA'!$J82/8</f>
        <v>0</v>
      </c>
      <c r="GN28" s="128">
        <f>'PROJECT TA Y TB KARINA'!$J82/8</f>
        <v>0</v>
      </c>
      <c r="GO28" s="128">
        <f>'PROJECT TA Y TB KARINA'!$J82/8</f>
        <v>0</v>
      </c>
      <c r="GP28" s="128">
        <f>'PROJECT TA Y TB KARINA'!$J82/8</f>
        <v>0</v>
      </c>
      <c r="GQ28" s="128">
        <f>'PROJECT TA Y TB KARINA'!$J82/8</f>
        <v>0</v>
      </c>
      <c r="GR28" s="128">
        <f>'PROJECT TA Y TB KARINA'!$K82/8</f>
        <v>0</v>
      </c>
      <c r="GS28" s="128">
        <f>'PROJECT TA Y TB KARINA'!$K82/8</f>
        <v>0</v>
      </c>
      <c r="GT28" s="128">
        <f>'PROJECT TA Y TB KARINA'!$K82/8</f>
        <v>0</v>
      </c>
      <c r="GU28" s="128">
        <f>'PROJECT TA Y TB KARINA'!$K82/8</f>
        <v>0</v>
      </c>
      <c r="GV28" s="128">
        <f>'PROJECT TA Y TB KARINA'!$K82/8</f>
        <v>0</v>
      </c>
      <c r="GW28" s="128">
        <f>'PROJECT TA Y TB KARINA'!$K82/8</f>
        <v>0</v>
      </c>
      <c r="GX28" s="128">
        <f>'PROJECT TA Y TB KARINA'!$K82/8</f>
        <v>0</v>
      </c>
      <c r="GY28" s="128">
        <f>'PROJECT TA Y TB KARINA'!$K82/8</f>
        <v>0</v>
      </c>
      <c r="GZ28" s="128">
        <f>'PROJECT TA Y TB KARINA'!$L82/8</f>
        <v>0</v>
      </c>
      <c r="HA28" s="128">
        <f>'PROJECT TA Y TB KARINA'!$L82/8</f>
        <v>0</v>
      </c>
      <c r="HB28" s="128">
        <f>'PROJECT TA Y TB KARINA'!$L82/8</f>
        <v>0</v>
      </c>
      <c r="HC28" s="128">
        <f>'PROJECT TA Y TB KARINA'!$L82/8</f>
        <v>0</v>
      </c>
      <c r="HD28" s="128">
        <f>'PROJECT TA Y TB KARINA'!$L82/8</f>
        <v>0</v>
      </c>
      <c r="HE28" s="128">
        <f>'PROJECT TA Y TB KARINA'!$L82/8</f>
        <v>0</v>
      </c>
      <c r="HF28" s="128">
        <f>'PROJECT TA Y TB KARINA'!$L82/8</f>
        <v>0</v>
      </c>
      <c r="HG28" s="128">
        <f>'PROJECT TA Y TB KARINA'!$L82/8</f>
        <v>0</v>
      </c>
      <c r="HH28" s="128">
        <f>'PROJECT TA Y TB KARINA'!$M82/8</f>
        <v>0</v>
      </c>
      <c r="HI28" s="128">
        <f>'PROJECT TA Y TB KARINA'!$M82/8</f>
        <v>0</v>
      </c>
      <c r="HJ28" s="128">
        <f>'PROJECT TA Y TB KARINA'!$M82/8</f>
        <v>0</v>
      </c>
      <c r="HK28" s="128">
        <f>'PROJECT TA Y TB KARINA'!$M82/8</f>
        <v>0</v>
      </c>
      <c r="HL28" s="128">
        <f>'PROJECT TA Y TB KARINA'!$M82/8</f>
        <v>0</v>
      </c>
      <c r="HM28" s="128">
        <f>'PROJECT TA Y TB KARINA'!$M82/8</f>
        <v>0</v>
      </c>
      <c r="HN28" s="128">
        <f>'PROJECT TA Y TB KARINA'!$M82/8</f>
        <v>0</v>
      </c>
      <c r="HO28" s="128">
        <f>'PROJECT TA Y TB KARINA'!$M82/8</f>
        <v>0</v>
      </c>
      <c r="HP28" s="128">
        <f>'PROJECT TA Y TB KARINA'!$N82/8</f>
        <v>0</v>
      </c>
      <c r="HQ28" s="128">
        <f>'PROJECT TA Y TB KARINA'!$N82/8</f>
        <v>0</v>
      </c>
      <c r="HR28" s="128">
        <f>'PROJECT TA Y TB KARINA'!$N82/8</f>
        <v>0</v>
      </c>
      <c r="HS28" s="128">
        <f>'PROJECT TA Y TB KARINA'!$N82/8</f>
        <v>0</v>
      </c>
      <c r="HT28" s="128">
        <f>'PROJECT TA Y TB KARINA'!$N82/8</f>
        <v>0</v>
      </c>
      <c r="HU28" s="128">
        <f>'PROJECT TA Y TB KARINA'!$N82/8</f>
        <v>0</v>
      </c>
      <c r="HV28" s="128">
        <f>'PROJECT TA Y TB KARINA'!$N82/8</f>
        <v>0</v>
      </c>
      <c r="HW28" s="128">
        <f>'PROJECT TA Y TB KARINA'!$N82/8</f>
        <v>0</v>
      </c>
      <c r="HX28" s="128">
        <f>'PROJECT TA Y TB KARINA'!$O82/8</f>
        <v>0</v>
      </c>
      <c r="HY28" s="128">
        <f>'PROJECT TA Y TB KARINA'!$O82/8</f>
        <v>0</v>
      </c>
      <c r="HZ28" s="128">
        <f>'PROJECT TA Y TB KARINA'!$O82/8</f>
        <v>0</v>
      </c>
      <c r="IA28" s="128">
        <f>'PROJECT TA Y TB KARINA'!$O82/8</f>
        <v>0</v>
      </c>
      <c r="IB28" s="128">
        <f>'PROJECT TA Y TB KARINA'!$O82/8</f>
        <v>0</v>
      </c>
      <c r="IC28" s="128">
        <f>'PROJECT TA Y TB KARINA'!$O82/8</f>
        <v>0</v>
      </c>
      <c r="ID28" s="128">
        <f>'PROJECT TA Y TB KARINA'!$O82/8</f>
        <v>0</v>
      </c>
      <c r="IE28" s="128">
        <f>'PROJECT TA Y TB KARINA'!$O82/8</f>
        <v>0</v>
      </c>
      <c r="IF28" s="128">
        <f>'PROJECT TA Y TB KARINA'!$P82/8</f>
        <v>0</v>
      </c>
      <c r="IG28" s="128">
        <f>'PROJECT TA Y TB KARINA'!$P82/8</f>
        <v>0</v>
      </c>
      <c r="IH28" s="128">
        <f>'PROJECT TA Y TB KARINA'!$P82/8</f>
        <v>0</v>
      </c>
      <c r="II28" s="128">
        <f>'PROJECT TA Y TB KARINA'!$P82/8</f>
        <v>0</v>
      </c>
      <c r="IJ28" s="128">
        <f>'PROJECT TA Y TB KARINA'!$P82/8</f>
        <v>0</v>
      </c>
      <c r="IK28" s="128">
        <f>'PROJECT TA Y TB KARINA'!$P82/8</f>
        <v>0</v>
      </c>
      <c r="IL28" s="128">
        <f>'PROJECT TA Y TB KARINA'!$P82/8</f>
        <v>0</v>
      </c>
      <c r="IM28" s="128">
        <f>'PROJECT TA Y TB KARINA'!$P82/8</f>
        <v>0</v>
      </c>
      <c r="IN28" s="128">
        <f>'PROJECT TA Y TB KARINA'!$Q82/8</f>
        <v>0</v>
      </c>
      <c r="IO28" s="128">
        <f>'PROJECT TA Y TB KARINA'!$Q82/8</f>
        <v>0</v>
      </c>
      <c r="IP28" s="128">
        <f>'PROJECT TA Y TB KARINA'!$Q82/8</f>
        <v>0</v>
      </c>
      <c r="IQ28" s="128">
        <f>'PROJECT TA Y TB KARINA'!$Q82/8</f>
        <v>0</v>
      </c>
      <c r="IR28" s="128">
        <f>'PROJECT TA Y TB KARINA'!$Q82/8</f>
        <v>0</v>
      </c>
      <c r="IS28" s="128">
        <f>'PROJECT TA Y TB KARINA'!$Q82/8</f>
        <v>0</v>
      </c>
      <c r="IT28" s="128">
        <f>'PROJECT TA Y TB KARINA'!$Q82/8</f>
        <v>0</v>
      </c>
      <c r="IU28" s="128">
        <f>'PROJECT TA Y TB KARINA'!$Q82/8</f>
        <v>0</v>
      </c>
      <c r="IV28" s="128">
        <f>'PROJECT TA Y TB KARINA'!$R82/8</f>
        <v>0</v>
      </c>
      <c r="IW28" s="128">
        <f>'PROJECT TA Y TB KARINA'!$R82/8</f>
        <v>0</v>
      </c>
      <c r="IX28" s="128">
        <f>'PROJECT TA Y TB KARINA'!$R82/8</f>
        <v>0</v>
      </c>
      <c r="IY28" s="128">
        <f>'PROJECT TA Y TB KARINA'!$R82/8</f>
        <v>0</v>
      </c>
      <c r="IZ28" s="128">
        <f>'PROJECT TA Y TB KARINA'!$R82/8</f>
        <v>0</v>
      </c>
      <c r="JA28" s="128">
        <f>'PROJECT TA Y TB KARINA'!$R82/8</f>
        <v>0</v>
      </c>
      <c r="JB28" s="128">
        <f>'PROJECT TA Y TB KARINA'!$R82/8</f>
        <v>0</v>
      </c>
      <c r="JC28" s="128">
        <f>'PROJECT TA Y TB KARINA'!$R82/8</f>
        <v>0</v>
      </c>
      <c r="JD28" s="128">
        <f>'PROJECT TA Y TB KARINA'!$S82/8</f>
        <v>0</v>
      </c>
      <c r="JE28" s="128">
        <f>'PROJECT TA Y TB KARINA'!$S82/8</f>
        <v>0</v>
      </c>
      <c r="JF28" s="128">
        <f>'PROJECT TA Y TB KARINA'!$S82/8</f>
        <v>0</v>
      </c>
      <c r="JG28" s="128">
        <f>'PROJECT TA Y TB KARINA'!$S82/8</f>
        <v>0</v>
      </c>
      <c r="JH28" s="128">
        <f>'PROJECT TA Y TB KARINA'!$S82/8</f>
        <v>0</v>
      </c>
      <c r="JI28" s="128">
        <f>'PROJECT TA Y TB KARINA'!$S82/8</f>
        <v>0</v>
      </c>
      <c r="JJ28" s="128">
        <f>'PROJECT TA Y TB KARINA'!$S82/8</f>
        <v>0</v>
      </c>
      <c r="JK28" s="128">
        <f>'PROJECT TA Y TB KARINA'!$S82/8</f>
        <v>0</v>
      </c>
      <c r="JL28" s="128">
        <f>'PROJECT TA Y TB KARINA'!$T82/8</f>
        <v>0</v>
      </c>
      <c r="JM28" s="128">
        <f>'PROJECT TA Y TB KARINA'!$T82/8</f>
        <v>0</v>
      </c>
      <c r="JN28" s="128">
        <f>'PROJECT TA Y TB KARINA'!$T82/8</f>
        <v>0</v>
      </c>
      <c r="JO28" s="128">
        <f>'PROJECT TA Y TB KARINA'!$T82/8</f>
        <v>0</v>
      </c>
      <c r="JP28" s="128">
        <f>'PROJECT TA Y TB KARINA'!$T82/8</f>
        <v>0</v>
      </c>
      <c r="JQ28" s="128">
        <f>'PROJECT TA Y TB KARINA'!$T82/8</f>
        <v>0</v>
      </c>
      <c r="JR28" s="128">
        <f>'PROJECT TA Y TB KARINA'!$T82/8</f>
        <v>0</v>
      </c>
      <c r="JS28" s="128">
        <f>'PROJECT TA Y TB KARINA'!$T82/8</f>
        <v>0</v>
      </c>
      <c r="JT28" s="128" t="e">
        <f>'PROJECT TA Y TB KARINA'!#REF!/8</f>
        <v>#REF!</v>
      </c>
      <c r="JU28" s="128" t="e">
        <f>'PROJECT TA Y TB KARINA'!#REF!/8</f>
        <v>#REF!</v>
      </c>
      <c r="JV28" s="128" t="e">
        <f>'PROJECT TA Y TB KARINA'!#REF!/8</f>
        <v>#REF!</v>
      </c>
      <c r="JW28" s="128" t="e">
        <f>'PROJECT TA Y TB KARINA'!#REF!/8</f>
        <v>#REF!</v>
      </c>
      <c r="JX28" s="128" t="e">
        <f>'PROJECT TA Y TB KARINA'!#REF!/8</f>
        <v>#REF!</v>
      </c>
      <c r="JY28" s="128" t="e">
        <f>'PROJECT TA Y TB KARINA'!#REF!/8</f>
        <v>#REF!</v>
      </c>
      <c r="JZ28" s="128" t="e">
        <f>'PROJECT TA Y TB KARINA'!#REF!/8</f>
        <v>#REF!</v>
      </c>
      <c r="KA28" s="128" t="e">
        <f>'PROJECT TA Y TB KARINA'!#REF!/8</f>
        <v>#REF!</v>
      </c>
    </row>
    <row r="29" spans="1:287" ht="21">
      <c r="A29" s="131" t="s">
        <v>482</v>
      </c>
      <c r="B29" s="128" t="e">
        <f>'PROJECT TA Y TB KARINA'!$C$25/8</f>
        <v>#REF!</v>
      </c>
      <c r="C29" s="128" t="e">
        <f>'PROJECT TA Y TB KARINA'!$C$25/8</f>
        <v>#REF!</v>
      </c>
      <c r="D29" s="128" t="e">
        <f>'PROJECT TA Y TB KARINA'!$C$25/8</f>
        <v>#REF!</v>
      </c>
      <c r="E29" s="128" t="e">
        <f>'PROJECT TA Y TB KARINA'!$C$25/8</f>
        <v>#REF!</v>
      </c>
      <c r="F29" s="128" t="e">
        <f>'PROJECT TA Y TB KARINA'!$C$25/8</f>
        <v>#REF!</v>
      </c>
      <c r="G29" s="128" t="e">
        <f>'PROJECT TA Y TB KARINA'!$C$25/8</f>
        <v>#REF!</v>
      </c>
      <c r="H29" s="128" t="e">
        <f>'PROJECT TA Y TB KARINA'!$C$25/8</f>
        <v>#REF!</v>
      </c>
      <c r="I29" s="128" t="e">
        <f>'PROJECT TA Y TB KARINA'!$E25/8</f>
        <v>#REF!</v>
      </c>
      <c r="J29" s="128" t="e">
        <f>'PROJECT TA Y TB KARINA'!$E25/8</f>
        <v>#REF!</v>
      </c>
      <c r="K29" s="128" t="e">
        <f>'PROJECT TA Y TB KARINA'!$E25/8</f>
        <v>#REF!</v>
      </c>
      <c r="L29" s="128" t="e">
        <f>'PROJECT TA Y TB KARINA'!$E25/8</f>
        <v>#REF!</v>
      </c>
      <c r="M29" s="128" t="e">
        <f>'PROJECT TA Y TB KARINA'!$E25/8</f>
        <v>#REF!</v>
      </c>
      <c r="N29" s="128" t="e">
        <f>'PROJECT TA Y TB KARINA'!$E25/8</f>
        <v>#REF!</v>
      </c>
      <c r="O29" s="128" t="e">
        <f>'PROJECT TA Y TB KARINA'!$E25/8</f>
        <v>#REF!</v>
      </c>
      <c r="P29" s="128" t="e">
        <f>'PROJECT TA Y TB KARINA'!$E25/8</f>
        <v>#REF!</v>
      </c>
      <c r="Q29" s="128" t="e">
        <f>'PROJECT TA Y TB KARINA'!$F25/8</f>
        <v>#REF!</v>
      </c>
      <c r="R29" s="128" t="e">
        <f>'PROJECT TA Y TB KARINA'!$F25/8</f>
        <v>#REF!</v>
      </c>
      <c r="S29" s="128" t="e">
        <f>'PROJECT TA Y TB KARINA'!$F25/8</f>
        <v>#REF!</v>
      </c>
      <c r="T29" s="128" t="e">
        <f>'PROJECT TA Y TB KARINA'!$F25/8</f>
        <v>#REF!</v>
      </c>
      <c r="U29" s="128" t="e">
        <f>'PROJECT TA Y TB KARINA'!$F25/8</f>
        <v>#REF!</v>
      </c>
      <c r="V29" s="128" t="e">
        <f>'PROJECT TA Y TB KARINA'!$F25/8</f>
        <v>#REF!</v>
      </c>
      <c r="W29" s="128" t="e">
        <f>'PROJECT TA Y TB KARINA'!$F25/8</f>
        <v>#REF!</v>
      </c>
      <c r="X29" s="128" t="e">
        <f>'PROJECT TA Y TB KARINA'!$F25/8</f>
        <v>#REF!</v>
      </c>
      <c r="Y29" s="128" t="e">
        <f>'PROJECT TA Y TB KARINA'!$G25/8</f>
        <v>#REF!</v>
      </c>
      <c r="Z29" s="128" t="e">
        <f>'PROJECT TA Y TB KARINA'!$G25/8</f>
        <v>#REF!</v>
      </c>
      <c r="AA29" s="128" t="e">
        <f>'PROJECT TA Y TB KARINA'!$G25/8</f>
        <v>#REF!</v>
      </c>
      <c r="AB29" s="128" t="e">
        <f>'PROJECT TA Y TB KARINA'!$G25/8</f>
        <v>#REF!</v>
      </c>
      <c r="AC29" s="128" t="e">
        <f>'PROJECT TA Y TB KARINA'!$G25/8</f>
        <v>#REF!</v>
      </c>
      <c r="AD29" s="128" t="e">
        <f>'PROJECT TA Y TB KARINA'!$G25/8</f>
        <v>#REF!</v>
      </c>
      <c r="AE29" s="128" t="e">
        <f>'PROJECT TA Y TB KARINA'!$G25/8</f>
        <v>#REF!</v>
      </c>
      <c r="AF29" s="128" t="e">
        <f>'PROJECT TA Y TB KARINA'!$G25/8</f>
        <v>#REF!</v>
      </c>
      <c r="AG29" s="128" t="e">
        <f>'PROJECT TA Y TB KARINA'!$H25/8</f>
        <v>#REF!</v>
      </c>
      <c r="AH29" s="128" t="e">
        <f>'PROJECT TA Y TB KARINA'!$H25/8</f>
        <v>#REF!</v>
      </c>
      <c r="AI29" s="128" t="e">
        <f>'PROJECT TA Y TB KARINA'!$H25/8</f>
        <v>#REF!</v>
      </c>
      <c r="AJ29" s="128" t="e">
        <f>'PROJECT TA Y TB KARINA'!$H25/8</f>
        <v>#REF!</v>
      </c>
      <c r="AK29" s="128" t="e">
        <f>'PROJECT TA Y TB KARINA'!$H25/8</f>
        <v>#REF!</v>
      </c>
      <c r="AL29" s="128" t="e">
        <f>'PROJECT TA Y TB KARINA'!$H25/8</f>
        <v>#REF!</v>
      </c>
      <c r="AM29" s="128" t="e">
        <f>'PROJECT TA Y TB KARINA'!$H25/8</f>
        <v>#REF!</v>
      </c>
      <c r="AN29" s="128" t="e">
        <f>'PROJECT TA Y TB KARINA'!$H25/8</f>
        <v>#REF!</v>
      </c>
      <c r="AO29" s="128" t="e">
        <f>'PROJECT TA Y TB KARINA'!$I25/8</f>
        <v>#REF!</v>
      </c>
      <c r="AP29" s="128" t="e">
        <f>'PROJECT TA Y TB KARINA'!$I25/8</f>
        <v>#REF!</v>
      </c>
      <c r="AQ29" s="128" t="e">
        <f>'PROJECT TA Y TB KARINA'!$I25/8</f>
        <v>#REF!</v>
      </c>
      <c r="AR29" s="128" t="e">
        <f>'PROJECT TA Y TB KARINA'!$I25/8</f>
        <v>#REF!</v>
      </c>
      <c r="AS29" s="128" t="e">
        <f>'PROJECT TA Y TB KARINA'!$I25/8</f>
        <v>#REF!</v>
      </c>
      <c r="AT29" s="128" t="e">
        <f>'PROJECT TA Y TB KARINA'!$I25/8</f>
        <v>#REF!</v>
      </c>
      <c r="AU29" s="128" t="e">
        <f>'PROJECT TA Y TB KARINA'!$I25/8</f>
        <v>#REF!</v>
      </c>
      <c r="AV29" s="128" t="e">
        <f>'PROJECT TA Y TB KARINA'!$I25/8</f>
        <v>#REF!</v>
      </c>
      <c r="AW29" s="128" t="e">
        <f>'PROJECT TA Y TB KARINA'!$J25/8</f>
        <v>#REF!</v>
      </c>
      <c r="AX29" s="128" t="e">
        <f>'PROJECT TA Y TB KARINA'!$J25/8</f>
        <v>#REF!</v>
      </c>
      <c r="AY29" s="128" t="e">
        <f>'PROJECT TA Y TB KARINA'!$J25/8</f>
        <v>#REF!</v>
      </c>
      <c r="AZ29" s="128" t="e">
        <f>'PROJECT TA Y TB KARINA'!$J25/8</f>
        <v>#REF!</v>
      </c>
      <c r="BA29" s="128" t="e">
        <f>'PROJECT TA Y TB KARINA'!$J25/8</f>
        <v>#REF!</v>
      </c>
      <c r="BB29" s="128" t="e">
        <f>'PROJECT TA Y TB KARINA'!$J25/8</f>
        <v>#REF!</v>
      </c>
      <c r="BC29" s="128" t="e">
        <f>'PROJECT TA Y TB KARINA'!$J25/8</f>
        <v>#REF!</v>
      </c>
      <c r="BD29" s="128" t="e">
        <f>'PROJECT TA Y TB KARINA'!$J25/8</f>
        <v>#REF!</v>
      </c>
      <c r="BE29" s="128" t="e">
        <f>'PROJECT TA Y TB KARINA'!$K25/8</f>
        <v>#REF!</v>
      </c>
      <c r="BF29" s="128" t="e">
        <f>'PROJECT TA Y TB KARINA'!$K25/8</f>
        <v>#REF!</v>
      </c>
      <c r="BG29" s="128" t="e">
        <f>'PROJECT TA Y TB KARINA'!$K25/8</f>
        <v>#REF!</v>
      </c>
      <c r="BH29" s="128" t="e">
        <f>'PROJECT TA Y TB KARINA'!$K25/8</f>
        <v>#REF!</v>
      </c>
      <c r="BI29" s="128" t="e">
        <f>'PROJECT TA Y TB KARINA'!$K25/8</f>
        <v>#REF!</v>
      </c>
      <c r="BJ29" s="128" t="e">
        <f>'PROJECT TA Y TB KARINA'!$K25/8</f>
        <v>#REF!</v>
      </c>
      <c r="BK29" s="128" t="e">
        <f>'PROJECT TA Y TB KARINA'!$K25/8</f>
        <v>#REF!</v>
      </c>
      <c r="BL29" s="128" t="e">
        <f>'PROJECT TA Y TB KARINA'!$K25/8</f>
        <v>#REF!</v>
      </c>
      <c r="BM29" s="128" t="e">
        <f>'PROJECT TA Y TB KARINA'!$L25/8</f>
        <v>#REF!</v>
      </c>
      <c r="BN29" s="128" t="e">
        <f>'PROJECT TA Y TB KARINA'!$L25/8</f>
        <v>#REF!</v>
      </c>
      <c r="BO29" s="128" t="e">
        <f>'PROJECT TA Y TB KARINA'!$L25/8</f>
        <v>#REF!</v>
      </c>
      <c r="BP29" s="128" t="e">
        <f>'PROJECT TA Y TB KARINA'!$L25/8</f>
        <v>#REF!</v>
      </c>
      <c r="BQ29" s="128" t="e">
        <f>'PROJECT TA Y TB KARINA'!$L25/8</f>
        <v>#REF!</v>
      </c>
      <c r="BR29" s="128" t="e">
        <f>'PROJECT TA Y TB KARINA'!$L25/8</f>
        <v>#REF!</v>
      </c>
      <c r="BS29" s="128" t="e">
        <f>'PROJECT TA Y TB KARINA'!$L25/8</f>
        <v>#REF!</v>
      </c>
      <c r="BT29" s="128" t="e">
        <f>'PROJECT TA Y TB KARINA'!$L25/8</f>
        <v>#REF!</v>
      </c>
      <c r="BU29" s="128" t="e">
        <f>'PROJECT TA Y TB KARINA'!$M25/8</f>
        <v>#REF!</v>
      </c>
      <c r="BV29" s="128" t="e">
        <f>'PROJECT TA Y TB KARINA'!$M25/8</f>
        <v>#REF!</v>
      </c>
      <c r="BW29" s="128" t="e">
        <f>'PROJECT TA Y TB KARINA'!$M25/8</f>
        <v>#REF!</v>
      </c>
      <c r="BX29" s="128" t="e">
        <f>'PROJECT TA Y TB KARINA'!$M25/8</f>
        <v>#REF!</v>
      </c>
      <c r="BY29" s="128" t="e">
        <f>'PROJECT TA Y TB KARINA'!$M25/8</f>
        <v>#REF!</v>
      </c>
      <c r="BZ29" s="128" t="e">
        <f>'PROJECT TA Y TB KARINA'!$M25/8</f>
        <v>#REF!</v>
      </c>
      <c r="CA29" s="128" t="e">
        <f>'PROJECT TA Y TB KARINA'!$M25/8</f>
        <v>#REF!</v>
      </c>
      <c r="CB29" s="128" t="e">
        <f>'PROJECT TA Y TB KARINA'!$M25/8</f>
        <v>#REF!</v>
      </c>
      <c r="CC29" s="128" t="e">
        <f>'PROJECT TA Y TB KARINA'!$N25/8</f>
        <v>#REF!</v>
      </c>
      <c r="CD29" s="128" t="e">
        <f>'PROJECT TA Y TB KARINA'!$N25/8</f>
        <v>#REF!</v>
      </c>
      <c r="CE29" s="128" t="e">
        <f>'PROJECT TA Y TB KARINA'!$N25/8</f>
        <v>#REF!</v>
      </c>
      <c r="CF29" s="128" t="e">
        <f>'PROJECT TA Y TB KARINA'!$N25/8</f>
        <v>#REF!</v>
      </c>
      <c r="CG29" s="128" t="e">
        <f>'PROJECT TA Y TB KARINA'!$N25/8</f>
        <v>#REF!</v>
      </c>
      <c r="CH29" s="128" t="e">
        <f>'PROJECT TA Y TB KARINA'!$N25/8</f>
        <v>#REF!</v>
      </c>
      <c r="CI29" s="128" t="e">
        <f>'PROJECT TA Y TB KARINA'!$N25/8</f>
        <v>#REF!</v>
      </c>
      <c r="CJ29" s="128" t="e">
        <f>'PROJECT TA Y TB KARINA'!$N25/8</f>
        <v>#REF!</v>
      </c>
      <c r="CK29" s="128" t="e">
        <f>'PROJECT TA Y TB KARINA'!$O25/8</f>
        <v>#REF!</v>
      </c>
      <c r="CL29" s="128" t="e">
        <f>'PROJECT TA Y TB KARINA'!$O25/8</f>
        <v>#REF!</v>
      </c>
      <c r="CM29" s="128" t="e">
        <f>'PROJECT TA Y TB KARINA'!$O25/8</f>
        <v>#REF!</v>
      </c>
      <c r="CN29" s="128" t="e">
        <f>'PROJECT TA Y TB KARINA'!$O25/8</f>
        <v>#REF!</v>
      </c>
      <c r="CO29" s="128" t="e">
        <f>'PROJECT TA Y TB KARINA'!$O25/8</f>
        <v>#REF!</v>
      </c>
      <c r="CP29" s="128" t="e">
        <f>'PROJECT TA Y TB KARINA'!$O25/8</f>
        <v>#REF!</v>
      </c>
      <c r="CQ29" s="128" t="e">
        <f>'PROJECT TA Y TB KARINA'!$O25/8</f>
        <v>#REF!</v>
      </c>
      <c r="CR29" s="128" t="e">
        <f>'PROJECT TA Y TB KARINA'!$O25/8</f>
        <v>#REF!</v>
      </c>
      <c r="CS29" s="128" t="e">
        <f>'PROJECT TA Y TB KARINA'!$P25/8</f>
        <v>#REF!</v>
      </c>
      <c r="CT29" s="128" t="e">
        <f>'PROJECT TA Y TB KARINA'!$P25/8</f>
        <v>#REF!</v>
      </c>
      <c r="CU29" s="128" t="e">
        <f>'PROJECT TA Y TB KARINA'!$P25/8</f>
        <v>#REF!</v>
      </c>
      <c r="CV29" s="128" t="e">
        <f>'PROJECT TA Y TB KARINA'!$P25/8</f>
        <v>#REF!</v>
      </c>
      <c r="CW29" s="128" t="e">
        <f>'PROJECT TA Y TB KARINA'!$P25/8</f>
        <v>#REF!</v>
      </c>
      <c r="CX29" s="128" t="e">
        <f>'PROJECT TA Y TB KARINA'!$P25/8</f>
        <v>#REF!</v>
      </c>
      <c r="CY29" s="128" t="e">
        <f>'PROJECT TA Y TB KARINA'!$P25/8</f>
        <v>#REF!</v>
      </c>
      <c r="CZ29" s="128" t="e">
        <f>'PROJECT TA Y TB KARINA'!$P25/8</f>
        <v>#REF!</v>
      </c>
      <c r="DA29" s="128" t="e">
        <f>'PROJECT TA Y TB KARINA'!$Q25/8</f>
        <v>#REF!</v>
      </c>
      <c r="DB29" s="128" t="e">
        <f>'PROJECT TA Y TB KARINA'!$Q25/8</f>
        <v>#REF!</v>
      </c>
      <c r="DC29" s="128" t="e">
        <f>'PROJECT TA Y TB KARINA'!$Q25/8</f>
        <v>#REF!</v>
      </c>
      <c r="DD29" s="128" t="e">
        <f>'PROJECT TA Y TB KARINA'!$Q25/8</f>
        <v>#REF!</v>
      </c>
      <c r="DE29" s="128" t="e">
        <f>'PROJECT TA Y TB KARINA'!$Q25/8</f>
        <v>#REF!</v>
      </c>
      <c r="DF29" s="128" t="e">
        <f>'PROJECT TA Y TB KARINA'!$Q25/8</f>
        <v>#REF!</v>
      </c>
      <c r="DG29" s="128" t="e">
        <f>'PROJECT TA Y TB KARINA'!$Q25/8</f>
        <v>#REF!</v>
      </c>
      <c r="DH29" s="128" t="e">
        <f>'PROJECT TA Y TB KARINA'!$Q25/8</f>
        <v>#REF!</v>
      </c>
      <c r="DI29" s="128" t="e">
        <f>'PROJECT TA Y TB KARINA'!$R25/8</f>
        <v>#REF!</v>
      </c>
      <c r="DJ29" s="128" t="e">
        <f>'PROJECT TA Y TB KARINA'!$R25/8</f>
        <v>#REF!</v>
      </c>
      <c r="DK29" s="128" t="e">
        <f>'PROJECT TA Y TB KARINA'!$R25/8</f>
        <v>#REF!</v>
      </c>
      <c r="DL29" s="128" t="e">
        <f>'PROJECT TA Y TB KARINA'!$R25/8</f>
        <v>#REF!</v>
      </c>
      <c r="DM29" s="128" t="e">
        <f>'PROJECT TA Y TB KARINA'!$R25/8</f>
        <v>#REF!</v>
      </c>
      <c r="DN29" s="128" t="e">
        <f>'PROJECT TA Y TB KARINA'!$R25/8</f>
        <v>#REF!</v>
      </c>
      <c r="DO29" s="128" t="e">
        <f>'PROJECT TA Y TB KARINA'!$R25/8</f>
        <v>#REF!</v>
      </c>
      <c r="DP29" s="128" t="e">
        <f>'PROJECT TA Y TB KARINA'!$R25/8</f>
        <v>#REF!</v>
      </c>
      <c r="DQ29" s="128" t="e">
        <f>'PROJECT TA Y TB KARINA'!$S25/8</f>
        <v>#REF!</v>
      </c>
      <c r="DR29" s="128" t="e">
        <f>'PROJECT TA Y TB KARINA'!$S25/8</f>
        <v>#REF!</v>
      </c>
      <c r="DS29" s="128" t="e">
        <f>'PROJECT TA Y TB KARINA'!$S25/8</f>
        <v>#REF!</v>
      </c>
      <c r="DT29" s="128" t="e">
        <f>'PROJECT TA Y TB KARINA'!$S25/8</f>
        <v>#REF!</v>
      </c>
      <c r="DU29" s="128" t="e">
        <f>'PROJECT TA Y TB KARINA'!$S25/8</f>
        <v>#REF!</v>
      </c>
      <c r="DV29" s="128" t="e">
        <f>'PROJECT TA Y TB KARINA'!$S25/8</f>
        <v>#REF!</v>
      </c>
      <c r="DW29" s="128" t="e">
        <f>'PROJECT TA Y TB KARINA'!$S25/8</f>
        <v>#REF!</v>
      </c>
      <c r="DX29" s="128" t="e">
        <f>'PROJECT TA Y TB KARINA'!$S25/8</f>
        <v>#REF!</v>
      </c>
      <c r="DY29" s="128" t="e">
        <f>'PROJECT TA Y TB KARINA'!$T25/8</f>
        <v>#REF!</v>
      </c>
      <c r="DZ29" s="128" t="e">
        <f>'PROJECT TA Y TB KARINA'!$T25/8</f>
        <v>#REF!</v>
      </c>
      <c r="EA29" s="128" t="e">
        <f>'PROJECT TA Y TB KARINA'!$T25/8</f>
        <v>#REF!</v>
      </c>
      <c r="EB29" s="128" t="e">
        <f>'PROJECT TA Y TB KARINA'!$T25/8</f>
        <v>#REF!</v>
      </c>
      <c r="EC29" s="128" t="e">
        <f>'PROJECT TA Y TB KARINA'!$T25/8</f>
        <v>#REF!</v>
      </c>
      <c r="ED29" s="128" t="e">
        <f>'PROJECT TA Y TB KARINA'!$T25/8</f>
        <v>#REF!</v>
      </c>
      <c r="EE29" s="128" t="e">
        <f>'PROJECT TA Y TB KARINA'!$T25/8</f>
        <v>#REF!</v>
      </c>
      <c r="EF29" s="128" t="e">
        <f>'PROJECT TA Y TB KARINA'!$T25/8</f>
        <v>#REF!</v>
      </c>
      <c r="EG29" s="128" t="e">
        <f>'PROJECT TA Y TB KARINA'!#REF!/8</f>
        <v>#REF!</v>
      </c>
      <c r="EH29" s="128" t="e">
        <f>'PROJECT TA Y TB KARINA'!#REF!/8</f>
        <v>#REF!</v>
      </c>
      <c r="EI29" s="128" t="e">
        <f>'PROJECT TA Y TB KARINA'!#REF!/8</f>
        <v>#REF!</v>
      </c>
      <c r="EJ29" s="128" t="e">
        <f>'PROJECT TA Y TB KARINA'!#REF!/8</f>
        <v>#REF!</v>
      </c>
      <c r="EK29" s="128" t="e">
        <f>'PROJECT TA Y TB KARINA'!#REF!/8</f>
        <v>#REF!</v>
      </c>
      <c r="EL29" s="128" t="e">
        <f>'PROJECT TA Y TB KARINA'!#REF!/8</f>
        <v>#REF!</v>
      </c>
      <c r="EM29" s="128" t="e">
        <f>'PROJECT TA Y TB KARINA'!#REF!/8</f>
        <v>#REF!</v>
      </c>
      <c r="EN29" s="128" t="e">
        <f>'PROJECT TA Y TB KARINA'!#REF!/8</f>
        <v>#REF!</v>
      </c>
      <c r="EO29" s="128">
        <f>'PROJECT TA Y TB KARINA'!$C83/8</f>
        <v>0</v>
      </c>
      <c r="EP29" s="128">
        <f>'PROJECT TA Y TB KARINA'!$C83/8</f>
        <v>0</v>
      </c>
      <c r="EQ29" s="128">
        <f>'PROJECT TA Y TB KARINA'!$C83/8</f>
        <v>0</v>
      </c>
      <c r="ER29" s="128">
        <f>'PROJECT TA Y TB KARINA'!$C83/8</f>
        <v>0</v>
      </c>
      <c r="ES29" s="128">
        <f>'PROJECT TA Y TB KARINA'!$C83/8</f>
        <v>0</v>
      </c>
      <c r="ET29" s="128">
        <f>'PROJECT TA Y TB KARINA'!$C83/8</f>
        <v>0</v>
      </c>
      <c r="EU29" s="128">
        <f>'PROJECT TA Y TB KARINA'!$C83/8</f>
        <v>0</v>
      </c>
      <c r="EV29" s="128">
        <f>'PROJECT TA Y TB KARINA'!$E83/8</f>
        <v>0</v>
      </c>
      <c r="EW29" s="128">
        <f>'PROJECT TA Y TB KARINA'!$E83/8</f>
        <v>0</v>
      </c>
      <c r="EX29" s="128">
        <f>'PROJECT TA Y TB KARINA'!$E83/8</f>
        <v>0</v>
      </c>
      <c r="EY29" s="128">
        <f>'PROJECT TA Y TB KARINA'!$E83/8</f>
        <v>0</v>
      </c>
      <c r="EZ29" s="128">
        <f>'PROJECT TA Y TB KARINA'!$E83/8</f>
        <v>0</v>
      </c>
      <c r="FA29" s="128">
        <f>'PROJECT TA Y TB KARINA'!$E83/8</f>
        <v>0</v>
      </c>
      <c r="FB29" s="128">
        <f>'PROJECT TA Y TB KARINA'!$E83/8</f>
        <v>0</v>
      </c>
      <c r="FC29" s="128">
        <f>'PROJECT TA Y TB KARINA'!$E83/8</f>
        <v>0</v>
      </c>
      <c r="FD29" s="128">
        <f>'PROJECT TA Y TB KARINA'!$F83/8</f>
        <v>0</v>
      </c>
      <c r="FE29" s="128">
        <f>'PROJECT TA Y TB KARINA'!$F83/8</f>
        <v>0</v>
      </c>
      <c r="FF29" s="128">
        <f>'PROJECT TA Y TB KARINA'!$F83/8</f>
        <v>0</v>
      </c>
      <c r="FG29" s="128">
        <f>'PROJECT TA Y TB KARINA'!$F83/8</f>
        <v>0</v>
      </c>
      <c r="FH29" s="128">
        <f>'PROJECT TA Y TB KARINA'!$F83/8</f>
        <v>0</v>
      </c>
      <c r="FI29" s="128">
        <f>'PROJECT TA Y TB KARINA'!$F83/8</f>
        <v>0</v>
      </c>
      <c r="FJ29" s="128">
        <f>'PROJECT TA Y TB KARINA'!$F83/8</f>
        <v>0</v>
      </c>
      <c r="FK29" s="128">
        <f>'PROJECT TA Y TB KARINA'!$F83/8</f>
        <v>0</v>
      </c>
      <c r="FL29" s="128">
        <f>'PROJECT TA Y TB KARINA'!$G83/8</f>
        <v>0</v>
      </c>
      <c r="FM29" s="128">
        <f>'PROJECT TA Y TB KARINA'!$G83/8</f>
        <v>0</v>
      </c>
      <c r="FN29" s="128">
        <f>'PROJECT TA Y TB KARINA'!$G83/8</f>
        <v>0</v>
      </c>
      <c r="FO29" s="128">
        <f>'PROJECT TA Y TB KARINA'!$G83/8</f>
        <v>0</v>
      </c>
      <c r="FP29" s="128">
        <f>'PROJECT TA Y TB KARINA'!$G83/8</f>
        <v>0</v>
      </c>
      <c r="FQ29" s="128">
        <f>'PROJECT TA Y TB KARINA'!$G83/8</f>
        <v>0</v>
      </c>
      <c r="FR29" s="128">
        <f>'PROJECT TA Y TB KARINA'!$G83/8</f>
        <v>0</v>
      </c>
      <c r="FS29" s="128">
        <f>'PROJECT TA Y TB KARINA'!$G83/8</f>
        <v>0</v>
      </c>
      <c r="FT29" s="128">
        <f>'PROJECT TA Y TB KARINA'!$H83/8</f>
        <v>0</v>
      </c>
      <c r="FU29" s="128">
        <f>'PROJECT TA Y TB KARINA'!$H83/8</f>
        <v>0</v>
      </c>
      <c r="FV29" s="128">
        <f>'PROJECT TA Y TB KARINA'!$H83/8</f>
        <v>0</v>
      </c>
      <c r="FW29" s="128">
        <f>'PROJECT TA Y TB KARINA'!$H83/8</f>
        <v>0</v>
      </c>
      <c r="FX29" s="128">
        <f>'PROJECT TA Y TB KARINA'!$H83/8</f>
        <v>0</v>
      </c>
      <c r="FY29" s="128">
        <f>'PROJECT TA Y TB KARINA'!$H83/8</f>
        <v>0</v>
      </c>
      <c r="FZ29" s="128">
        <f>'PROJECT TA Y TB KARINA'!$H83/8</f>
        <v>0</v>
      </c>
      <c r="GA29" s="128">
        <f>'PROJECT TA Y TB KARINA'!$H83/8</f>
        <v>0</v>
      </c>
      <c r="GB29" s="128">
        <f>'PROJECT TA Y TB KARINA'!$I83/8</f>
        <v>0</v>
      </c>
      <c r="GC29" s="128">
        <f>'PROJECT TA Y TB KARINA'!$I83/8</f>
        <v>0</v>
      </c>
      <c r="GD29" s="128">
        <f>'PROJECT TA Y TB KARINA'!$I83/8</f>
        <v>0</v>
      </c>
      <c r="GE29" s="128">
        <f>'PROJECT TA Y TB KARINA'!$I83/8</f>
        <v>0</v>
      </c>
      <c r="GF29" s="128">
        <f>'PROJECT TA Y TB KARINA'!$I83/8</f>
        <v>0</v>
      </c>
      <c r="GG29" s="128">
        <f>'PROJECT TA Y TB KARINA'!$I83/8</f>
        <v>0</v>
      </c>
      <c r="GH29" s="128">
        <f>'PROJECT TA Y TB KARINA'!$I83/8</f>
        <v>0</v>
      </c>
      <c r="GI29" s="128">
        <f>'PROJECT TA Y TB KARINA'!$I83/8</f>
        <v>0</v>
      </c>
      <c r="GJ29" s="128">
        <f>'PROJECT TA Y TB KARINA'!$J83/8</f>
        <v>0</v>
      </c>
      <c r="GK29" s="128">
        <f>'PROJECT TA Y TB KARINA'!$J83/8</f>
        <v>0</v>
      </c>
      <c r="GL29" s="128">
        <f>'PROJECT TA Y TB KARINA'!$J83/8</f>
        <v>0</v>
      </c>
      <c r="GM29" s="128">
        <f>'PROJECT TA Y TB KARINA'!$J83/8</f>
        <v>0</v>
      </c>
      <c r="GN29" s="128">
        <f>'PROJECT TA Y TB KARINA'!$J83/8</f>
        <v>0</v>
      </c>
      <c r="GO29" s="128">
        <f>'PROJECT TA Y TB KARINA'!$J83/8</f>
        <v>0</v>
      </c>
      <c r="GP29" s="128">
        <f>'PROJECT TA Y TB KARINA'!$J83/8</f>
        <v>0</v>
      </c>
      <c r="GQ29" s="128">
        <f>'PROJECT TA Y TB KARINA'!$J83/8</f>
        <v>0</v>
      </c>
      <c r="GR29" s="128">
        <f>'PROJECT TA Y TB KARINA'!$K83/8</f>
        <v>0</v>
      </c>
      <c r="GS29" s="128">
        <f>'PROJECT TA Y TB KARINA'!$K83/8</f>
        <v>0</v>
      </c>
      <c r="GT29" s="128">
        <f>'PROJECT TA Y TB KARINA'!$K83/8</f>
        <v>0</v>
      </c>
      <c r="GU29" s="128">
        <f>'PROJECT TA Y TB KARINA'!$K83/8</f>
        <v>0</v>
      </c>
      <c r="GV29" s="128">
        <f>'PROJECT TA Y TB KARINA'!$K83/8</f>
        <v>0</v>
      </c>
      <c r="GW29" s="128">
        <f>'PROJECT TA Y TB KARINA'!$K83/8</f>
        <v>0</v>
      </c>
      <c r="GX29" s="128">
        <f>'PROJECT TA Y TB KARINA'!$K83/8</f>
        <v>0</v>
      </c>
      <c r="GY29" s="128">
        <f>'PROJECT TA Y TB KARINA'!$K83/8</f>
        <v>0</v>
      </c>
      <c r="GZ29" s="128">
        <f>'PROJECT TA Y TB KARINA'!$L83/8</f>
        <v>0</v>
      </c>
      <c r="HA29" s="128">
        <f>'PROJECT TA Y TB KARINA'!$L83/8</f>
        <v>0</v>
      </c>
      <c r="HB29" s="128">
        <f>'PROJECT TA Y TB KARINA'!$L83/8</f>
        <v>0</v>
      </c>
      <c r="HC29" s="128">
        <f>'PROJECT TA Y TB KARINA'!$L83/8</f>
        <v>0</v>
      </c>
      <c r="HD29" s="128">
        <f>'PROJECT TA Y TB KARINA'!$L83/8</f>
        <v>0</v>
      </c>
      <c r="HE29" s="128">
        <f>'PROJECT TA Y TB KARINA'!$L83/8</f>
        <v>0</v>
      </c>
      <c r="HF29" s="128">
        <f>'PROJECT TA Y TB KARINA'!$L83/8</f>
        <v>0</v>
      </c>
      <c r="HG29" s="128">
        <f>'PROJECT TA Y TB KARINA'!$L83/8</f>
        <v>0</v>
      </c>
      <c r="HH29" s="128">
        <f>'PROJECT TA Y TB KARINA'!$M83/8</f>
        <v>0</v>
      </c>
      <c r="HI29" s="128">
        <f>'PROJECT TA Y TB KARINA'!$M83/8</f>
        <v>0</v>
      </c>
      <c r="HJ29" s="128">
        <f>'PROJECT TA Y TB KARINA'!$M83/8</f>
        <v>0</v>
      </c>
      <c r="HK29" s="128">
        <f>'PROJECT TA Y TB KARINA'!$M83/8</f>
        <v>0</v>
      </c>
      <c r="HL29" s="128">
        <f>'PROJECT TA Y TB KARINA'!$M83/8</f>
        <v>0</v>
      </c>
      <c r="HM29" s="128">
        <f>'PROJECT TA Y TB KARINA'!$M83/8</f>
        <v>0</v>
      </c>
      <c r="HN29" s="128">
        <f>'PROJECT TA Y TB KARINA'!$M83/8</f>
        <v>0</v>
      </c>
      <c r="HO29" s="128">
        <f>'PROJECT TA Y TB KARINA'!$M83/8</f>
        <v>0</v>
      </c>
      <c r="HP29" s="128">
        <f>'PROJECT TA Y TB KARINA'!$N83/8</f>
        <v>0</v>
      </c>
      <c r="HQ29" s="128">
        <f>'PROJECT TA Y TB KARINA'!$N83/8</f>
        <v>0</v>
      </c>
      <c r="HR29" s="128">
        <f>'PROJECT TA Y TB KARINA'!$N83/8</f>
        <v>0</v>
      </c>
      <c r="HS29" s="128">
        <f>'PROJECT TA Y TB KARINA'!$N83/8</f>
        <v>0</v>
      </c>
      <c r="HT29" s="128">
        <f>'PROJECT TA Y TB KARINA'!$N83/8</f>
        <v>0</v>
      </c>
      <c r="HU29" s="128">
        <f>'PROJECT TA Y TB KARINA'!$N83/8</f>
        <v>0</v>
      </c>
      <c r="HV29" s="128">
        <f>'PROJECT TA Y TB KARINA'!$N83/8</f>
        <v>0</v>
      </c>
      <c r="HW29" s="128">
        <f>'PROJECT TA Y TB KARINA'!$N83/8</f>
        <v>0</v>
      </c>
      <c r="HX29" s="128">
        <f>'PROJECT TA Y TB KARINA'!$O83/8</f>
        <v>0</v>
      </c>
      <c r="HY29" s="128">
        <f>'PROJECT TA Y TB KARINA'!$O83/8</f>
        <v>0</v>
      </c>
      <c r="HZ29" s="128">
        <f>'PROJECT TA Y TB KARINA'!$O83/8</f>
        <v>0</v>
      </c>
      <c r="IA29" s="128">
        <f>'PROJECT TA Y TB KARINA'!$O83/8</f>
        <v>0</v>
      </c>
      <c r="IB29" s="128">
        <f>'PROJECT TA Y TB KARINA'!$O83/8</f>
        <v>0</v>
      </c>
      <c r="IC29" s="128">
        <f>'PROJECT TA Y TB KARINA'!$O83/8</f>
        <v>0</v>
      </c>
      <c r="ID29" s="128">
        <f>'PROJECT TA Y TB KARINA'!$O83/8</f>
        <v>0</v>
      </c>
      <c r="IE29" s="128">
        <f>'PROJECT TA Y TB KARINA'!$O83/8</f>
        <v>0</v>
      </c>
      <c r="IF29" s="128">
        <f>'PROJECT TA Y TB KARINA'!$P83/8</f>
        <v>0</v>
      </c>
      <c r="IG29" s="128">
        <f>'PROJECT TA Y TB KARINA'!$P83/8</f>
        <v>0</v>
      </c>
      <c r="IH29" s="128">
        <f>'PROJECT TA Y TB KARINA'!$P83/8</f>
        <v>0</v>
      </c>
      <c r="II29" s="128">
        <f>'PROJECT TA Y TB KARINA'!$P83/8</f>
        <v>0</v>
      </c>
      <c r="IJ29" s="128">
        <f>'PROJECT TA Y TB KARINA'!$P83/8</f>
        <v>0</v>
      </c>
      <c r="IK29" s="128">
        <f>'PROJECT TA Y TB KARINA'!$P83/8</f>
        <v>0</v>
      </c>
      <c r="IL29" s="128">
        <f>'PROJECT TA Y TB KARINA'!$P83/8</f>
        <v>0</v>
      </c>
      <c r="IM29" s="128">
        <f>'PROJECT TA Y TB KARINA'!$P83/8</f>
        <v>0</v>
      </c>
      <c r="IN29" s="128">
        <f>'PROJECT TA Y TB KARINA'!$Q83/8</f>
        <v>0</v>
      </c>
      <c r="IO29" s="128">
        <f>'PROJECT TA Y TB KARINA'!$Q83/8</f>
        <v>0</v>
      </c>
      <c r="IP29" s="128">
        <f>'PROJECT TA Y TB KARINA'!$Q83/8</f>
        <v>0</v>
      </c>
      <c r="IQ29" s="128">
        <f>'PROJECT TA Y TB KARINA'!$Q83/8</f>
        <v>0</v>
      </c>
      <c r="IR29" s="128">
        <f>'PROJECT TA Y TB KARINA'!$Q83/8</f>
        <v>0</v>
      </c>
      <c r="IS29" s="128">
        <f>'PROJECT TA Y TB KARINA'!$Q83/8</f>
        <v>0</v>
      </c>
      <c r="IT29" s="128">
        <f>'PROJECT TA Y TB KARINA'!$Q83/8</f>
        <v>0</v>
      </c>
      <c r="IU29" s="128">
        <f>'PROJECT TA Y TB KARINA'!$Q83/8</f>
        <v>0</v>
      </c>
      <c r="IV29" s="128">
        <f>'PROJECT TA Y TB KARINA'!$R83/8</f>
        <v>0</v>
      </c>
      <c r="IW29" s="128">
        <f>'PROJECT TA Y TB KARINA'!$R83/8</f>
        <v>0</v>
      </c>
      <c r="IX29" s="128">
        <f>'PROJECT TA Y TB KARINA'!$R83/8</f>
        <v>0</v>
      </c>
      <c r="IY29" s="128">
        <f>'PROJECT TA Y TB KARINA'!$R83/8</f>
        <v>0</v>
      </c>
      <c r="IZ29" s="128">
        <f>'PROJECT TA Y TB KARINA'!$R83/8</f>
        <v>0</v>
      </c>
      <c r="JA29" s="128">
        <f>'PROJECT TA Y TB KARINA'!$R83/8</f>
        <v>0</v>
      </c>
      <c r="JB29" s="128">
        <f>'PROJECT TA Y TB KARINA'!$R83/8</f>
        <v>0</v>
      </c>
      <c r="JC29" s="128">
        <f>'PROJECT TA Y TB KARINA'!$R83/8</f>
        <v>0</v>
      </c>
      <c r="JD29" s="128">
        <f>'PROJECT TA Y TB KARINA'!$S83/8</f>
        <v>0</v>
      </c>
      <c r="JE29" s="128">
        <f>'PROJECT TA Y TB KARINA'!$S83/8</f>
        <v>0</v>
      </c>
      <c r="JF29" s="128">
        <f>'PROJECT TA Y TB KARINA'!$S83/8</f>
        <v>0</v>
      </c>
      <c r="JG29" s="128">
        <f>'PROJECT TA Y TB KARINA'!$S83/8</f>
        <v>0</v>
      </c>
      <c r="JH29" s="128">
        <f>'PROJECT TA Y TB KARINA'!$S83/8</f>
        <v>0</v>
      </c>
      <c r="JI29" s="128">
        <f>'PROJECT TA Y TB KARINA'!$S83/8</f>
        <v>0</v>
      </c>
      <c r="JJ29" s="128">
        <f>'PROJECT TA Y TB KARINA'!$S83/8</f>
        <v>0</v>
      </c>
      <c r="JK29" s="128">
        <f>'PROJECT TA Y TB KARINA'!$S83/8</f>
        <v>0</v>
      </c>
      <c r="JL29" s="128">
        <f>'PROJECT TA Y TB KARINA'!$T83/8</f>
        <v>0</v>
      </c>
      <c r="JM29" s="128">
        <f>'PROJECT TA Y TB KARINA'!$T83/8</f>
        <v>0</v>
      </c>
      <c r="JN29" s="128">
        <f>'PROJECT TA Y TB KARINA'!$T83/8</f>
        <v>0</v>
      </c>
      <c r="JO29" s="128">
        <f>'PROJECT TA Y TB KARINA'!$T83/8</f>
        <v>0</v>
      </c>
      <c r="JP29" s="128">
        <f>'PROJECT TA Y TB KARINA'!$T83/8</f>
        <v>0</v>
      </c>
      <c r="JQ29" s="128">
        <f>'PROJECT TA Y TB KARINA'!$T83/8</f>
        <v>0</v>
      </c>
      <c r="JR29" s="128">
        <f>'PROJECT TA Y TB KARINA'!$T83/8</f>
        <v>0</v>
      </c>
      <c r="JS29" s="128">
        <f>'PROJECT TA Y TB KARINA'!$T83/8</f>
        <v>0</v>
      </c>
      <c r="JT29" s="128" t="e">
        <f>'PROJECT TA Y TB KARINA'!#REF!/8</f>
        <v>#REF!</v>
      </c>
      <c r="JU29" s="128" t="e">
        <f>'PROJECT TA Y TB KARINA'!#REF!/8</f>
        <v>#REF!</v>
      </c>
      <c r="JV29" s="128" t="e">
        <f>'PROJECT TA Y TB KARINA'!#REF!/8</f>
        <v>#REF!</v>
      </c>
      <c r="JW29" s="128" t="e">
        <f>'PROJECT TA Y TB KARINA'!#REF!/8</f>
        <v>#REF!</v>
      </c>
      <c r="JX29" s="128" t="e">
        <f>'PROJECT TA Y TB KARINA'!#REF!/8</f>
        <v>#REF!</v>
      </c>
      <c r="JY29" s="128" t="e">
        <f>'PROJECT TA Y TB KARINA'!#REF!/8</f>
        <v>#REF!</v>
      </c>
      <c r="JZ29" s="128" t="e">
        <f>'PROJECT TA Y TB KARINA'!#REF!/8</f>
        <v>#REF!</v>
      </c>
      <c r="KA29" s="128" t="e">
        <f>'PROJECT TA Y TB KARINA'!#REF!/8</f>
        <v>#REF!</v>
      </c>
    </row>
    <row r="30" spans="1:287" ht="21">
      <c r="A30" s="131" t="s">
        <v>483</v>
      </c>
      <c r="B30" s="128" t="e">
        <f>'PROJECT TA Y TB KARINA'!$C$26/8</f>
        <v>#REF!</v>
      </c>
      <c r="C30" s="128" t="e">
        <f>'PROJECT TA Y TB KARINA'!$C$26/8</f>
        <v>#REF!</v>
      </c>
      <c r="D30" s="128" t="e">
        <f>'PROJECT TA Y TB KARINA'!$C$26/8</f>
        <v>#REF!</v>
      </c>
      <c r="E30" s="128" t="e">
        <f>'PROJECT TA Y TB KARINA'!$C$26/8</f>
        <v>#REF!</v>
      </c>
      <c r="F30" s="128" t="e">
        <f>'PROJECT TA Y TB KARINA'!$C$26/8</f>
        <v>#REF!</v>
      </c>
      <c r="G30" s="128" t="e">
        <f>'PROJECT TA Y TB KARINA'!$C$26/8</f>
        <v>#REF!</v>
      </c>
      <c r="H30" s="128" t="e">
        <f>'PROJECT TA Y TB KARINA'!$C$26/8</f>
        <v>#REF!</v>
      </c>
      <c r="I30" s="128" t="e">
        <f>'PROJECT TA Y TB KARINA'!$E26/8</f>
        <v>#REF!</v>
      </c>
      <c r="J30" s="128" t="e">
        <f>'PROJECT TA Y TB KARINA'!$E26/8</f>
        <v>#REF!</v>
      </c>
      <c r="K30" s="128" t="e">
        <f>'PROJECT TA Y TB KARINA'!$E26/8</f>
        <v>#REF!</v>
      </c>
      <c r="L30" s="128" t="e">
        <f>'PROJECT TA Y TB KARINA'!$E26/8</f>
        <v>#REF!</v>
      </c>
      <c r="M30" s="128" t="e">
        <f>'PROJECT TA Y TB KARINA'!$E26/8</f>
        <v>#REF!</v>
      </c>
      <c r="N30" s="128" t="e">
        <f>'PROJECT TA Y TB KARINA'!$E26/8</f>
        <v>#REF!</v>
      </c>
      <c r="O30" s="128" t="e">
        <f>'PROJECT TA Y TB KARINA'!$E26/8</f>
        <v>#REF!</v>
      </c>
      <c r="P30" s="128" t="e">
        <f>'PROJECT TA Y TB KARINA'!$E26/8</f>
        <v>#REF!</v>
      </c>
      <c r="Q30" s="128" t="e">
        <f>'PROJECT TA Y TB KARINA'!$F26/8</f>
        <v>#REF!</v>
      </c>
      <c r="R30" s="128" t="e">
        <f>'PROJECT TA Y TB KARINA'!$F26/8</f>
        <v>#REF!</v>
      </c>
      <c r="S30" s="128" t="e">
        <f>'PROJECT TA Y TB KARINA'!$F26/8</f>
        <v>#REF!</v>
      </c>
      <c r="T30" s="128" t="e">
        <f>'PROJECT TA Y TB KARINA'!$F26/8</f>
        <v>#REF!</v>
      </c>
      <c r="U30" s="128" t="e">
        <f>'PROJECT TA Y TB KARINA'!$F26/8</f>
        <v>#REF!</v>
      </c>
      <c r="V30" s="128" t="e">
        <f>'PROJECT TA Y TB KARINA'!$F26/8</f>
        <v>#REF!</v>
      </c>
      <c r="W30" s="128" t="e">
        <f>'PROJECT TA Y TB KARINA'!$F26/8</f>
        <v>#REF!</v>
      </c>
      <c r="X30" s="128" t="e">
        <f>'PROJECT TA Y TB KARINA'!$F26/8</f>
        <v>#REF!</v>
      </c>
      <c r="Y30" s="128" t="e">
        <f>'PROJECT TA Y TB KARINA'!$G26/8</f>
        <v>#REF!</v>
      </c>
      <c r="Z30" s="128" t="e">
        <f>'PROJECT TA Y TB KARINA'!$G26/8</f>
        <v>#REF!</v>
      </c>
      <c r="AA30" s="128" t="e">
        <f>'PROJECT TA Y TB KARINA'!$G26/8</f>
        <v>#REF!</v>
      </c>
      <c r="AB30" s="128" t="e">
        <f>'PROJECT TA Y TB KARINA'!$G26/8</f>
        <v>#REF!</v>
      </c>
      <c r="AC30" s="128" t="e">
        <f>'PROJECT TA Y TB KARINA'!$G26/8</f>
        <v>#REF!</v>
      </c>
      <c r="AD30" s="128" t="e">
        <f>'PROJECT TA Y TB KARINA'!$G26/8</f>
        <v>#REF!</v>
      </c>
      <c r="AE30" s="128" t="e">
        <f>'PROJECT TA Y TB KARINA'!$G26/8</f>
        <v>#REF!</v>
      </c>
      <c r="AF30" s="128" t="e">
        <f>'PROJECT TA Y TB KARINA'!$G26/8</f>
        <v>#REF!</v>
      </c>
      <c r="AG30" s="128" t="e">
        <f>'PROJECT TA Y TB KARINA'!$H26/8</f>
        <v>#REF!</v>
      </c>
      <c r="AH30" s="128" t="e">
        <f>'PROJECT TA Y TB KARINA'!$H26/8</f>
        <v>#REF!</v>
      </c>
      <c r="AI30" s="128" t="e">
        <f>'PROJECT TA Y TB KARINA'!$H26/8</f>
        <v>#REF!</v>
      </c>
      <c r="AJ30" s="128" t="e">
        <f>'PROJECT TA Y TB KARINA'!$H26/8</f>
        <v>#REF!</v>
      </c>
      <c r="AK30" s="128" t="e">
        <f>'PROJECT TA Y TB KARINA'!$H26/8</f>
        <v>#REF!</v>
      </c>
      <c r="AL30" s="128" t="e">
        <f>'PROJECT TA Y TB KARINA'!$H26/8</f>
        <v>#REF!</v>
      </c>
      <c r="AM30" s="128" t="e">
        <f>'PROJECT TA Y TB KARINA'!$H26/8</f>
        <v>#REF!</v>
      </c>
      <c r="AN30" s="128" t="e">
        <f>'PROJECT TA Y TB KARINA'!$H26/8</f>
        <v>#REF!</v>
      </c>
      <c r="AO30" s="128" t="e">
        <f>'PROJECT TA Y TB KARINA'!$I26/8</f>
        <v>#REF!</v>
      </c>
      <c r="AP30" s="128" t="e">
        <f>'PROJECT TA Y TB KARINA'!$I26/8</f>
        <v>#REF!</v>
      </c>
      <c r="AQ30" s="128" t="e">
        <f>'PROJECT TA Y TB KARINA'!$I26/8</f>
        <v>#REF!</v>
      </c>
      <c r="AR30" s="128" t="e">
        <f>'PROJECT TA Y TB KARINA'!$I26/8</f>
        <v>#REF!</v>
      </c>
      <c r="AS30" s="128" t="e">
        <f>'PROJECT TA Y TB KARINA'!$I26/8</f>
        <v>#REF!</v>
      </c>
      <c r="AT30" s="128" t="e">
        <f>'PROJECT TA Y TB KARINA'!$I26/8</f>
        <v>#REF!</v>
      </c>
      <c r="AU30" s="128" t="e">
        <f>'PROJECT TA Y TB KARINA'!$I26/8</f>
        <v>#REF!</v>
      </c>
      <c r="AV30" s="128" t="e">
        <f>'PROJECT TA Y TB KARINA'!$I26/8</f>
        <v>#REF!</v>
      </c>
      <c r="AW30" s="128" t="e">
        <f>'PROJECT TA Y TB KARINA'!$J26/8</f>
        <v>#REF!</v>
      </c>
      <c r="AX30" s="128" t="e">
        <f>'PROJECT TA Y TB KARINA'!$J26/8</f>
        <v>#REF!</v>
      </c>
      <c r="AY30" s="128" t="e">
        <f>'PROJECT TA Y TB KARINA'!$J26/8</f>
        <v>#REF!</v>
      </c>
      <c r="AZ30" s="128" t="e">
        <f>'PROJECT TA Y TB KARINA'!$J26/8</f>
        <v>#REF!</v>
      </c>
      <c r="BA30" s="128" t="e">
        <f>'PROJECT TA Y TB KARINA'!$J26/8</f>
        <v>#REF!</v>
      </c>
      <c r="BB30" s="128" t="e">
        <f>'PROJECT TA Y TB KARINA'!$J26/8</f>
        <v>#REF!</v>
      </c>
      <c r="BC30" s="128" t="e">
        <f>'PROJECT TA Y TB KARINA'!$J26/8</f>
        <v>#REF!</v>
      </c>
      <c r="BD30" s="128" t="e">
        <f>'PROJECT TA Y TB KARINA'!$J26/8</f>
        <v>#REF!</v>
      </c>
      <c r="BE30" s="128" t="e">
        <f>'PROJECT TA Y TB KARINA'!$K26/8</f>
        <v>#REF!</v>
      </c>
      <c r="BF30" s="128" t="e">
        <f>'PROJECT TA Y TB KARINA'!$K26/8</f>
        <v>#REF!</v>
      </c>
      <c r="BG30" s="128" t="e">
        <f>'PROJECT TA Y TB KARINA'!$K26/8</f>
        <v>#REF!</v>
      </c>
      <c r="BH30" s="128" t="e">
        <f>'PROJECT TA Y TB KARINA'!$K26/8</f>
        <v>#REF!</v>
      </c>
      <c r="BI30" s="128" t="e">
        <f>'PROJECT TA Y TB KARINA'!$K26/8</f>
        <v>#REF!</v>
      </c>
      <c r="BJ30" s="128" t="e">
        <f>'PROJECT TA Y TB KARINA'!$K26/8</f>
        <v>#REF!</v>
      </c>
      <c r="BK30" s="128" t="e">
        <f>'PROJECT TA Y TB KARINA'!$K26/8</f>
        <v>#REF!</v>
      </c>
      <c r="BL30" s="128" t="e">
        <f>'PROJECT TA Y TB KARINA'!$K26/8</f>
        <v>#REF!</v>
      </c>
      <c r="BM30" s="128" t="e">
        <f>'PROJECT TA Y TB KARINA'!$L26/8</f>
        <v>#REF!</v>
      </c>
      <c r="BN30" s="128" t="e">
        <f>'PROJECT TA Y TB KARINA'!$L26/8</f>
        <v>#REF!</v>
      </c>
      <c r="BO30" s="128" t="e">
        <f>'PROJECT TA Y TB KARINA'!$L26/8</f>
        <v>#REF!</v>
      </c>
      <c r="BP30" s="128" t="e">
        <f>'PROJECT TA Y TB KARINA'!$L26/8</f>
        <v>#REF!</v>
      </c>
      <c r="BQ30" s="128" t="e">
        <f>'PROJECT TA Y TB KARINA'!$L26/8</f>
        <v>#REF!</v>
      </c>
      <c r="BR30" s="128" t="e">
        <f>'PROJECT TA Y TB KARINA'!$L26/8</f>
        <v>#REF!</v>
      </c>
      <c r="BS30" s="128" t="e">
        <f>'PROJECT TA Y TB KARINA'!$L26/8</f>
        <v>#REF!</v>
      </c>
      <c r="BT30" s="128" t="e">
        <f>'PROJECT TA Y TB KARINA'!$L26/8</f>
        <v>#REF!</v>
      </c>
      <c r="BU30" s="128" t="e">
        <f>'PROJECT TA Y TB KARINA'!$M26/8</f>
        <v>#REF!</v>
      </c>
      <c r="BV30" s="128" t="e">
        <f>'PROJECT TA Y TB KARINA'!$M26/8</f>
        <v>#REF!</v>
      </c>
      <c r="BW30" s="128" t="e">
        <f>'PROJECT TA Y TB KARINA'!$M26/8</f>
        <v>#REF!</v>
      </c>
      <c r="BX30" s="128" t="e">
        <f>'PROJECT TA Y TB KARINA'!$M26/8</f>
        <v>#REF!</v>
      </c>
      <c r="BY30" s="128" t="e">
        <f>'PROJECT TA Y TB KARINA'!$M26/8</f>
        <v>#REF!</v>
      </c>
      <c r="BZ30" s="128" t="e">
        <f>'PROJECT TA Y TB KARINA'!$M26/8</f>
        <v>#REF!</v>
      </c>
      <c r="CA30" s="128" t="e">
        <f>'PROJECT TA Y TB KARINA'!$M26/8</f>
        <v>#REF!</v>
      </c>
      <c r="CB30" s="128" t="e">
        <f>'PROJECT TA Y TB KARINA'!$M26/8</f>
        <v>#REF!</v>
      </c>
      <c r="CC30" s="128" t="e">
        <f>'PROJECT TA Y TB KARINA'!$N26/8</f>
        <v>#REF!</v>
      </c>
      <c r="CD30" s="128" t="e">
        <f>'PROJECT TA Y TB KARINA'!$N26/8</f>
        <v>#REF!</v>
      </c>
      <c r="CE30" s="128" t="e">
        <f>'PROJECT TA Y TB KARINA'!$N26/8</f>
        <v>#REF!</v>
      </c>
      <c r="CF30" s="128" t="e">
        <f>'PROJECT TA Y TB KARINA'!$N26/8</f>
        <v>#REF!</v>
      </c>
      <c r="CG30" s="128" t="e">
        <f>'PROJECT TA Y TB KARINA'!$N26/8</f>
        <v>#REF!</v>
      </c>
      <c r="CH30" s="128" t="e">
        <f>'PROJECT TA Y TB KARINA'!$N26/8</f>
        <v>#REF!</v>
      </c>
      <c r="CI30" s="128" t="e">
        <f>'PROJECT TA Y TB KARINA'!$N26/8</f>
        <v>#REF!</v>
      </c>
      <c r="CJ30" s="128" t="e">
        <f>'PROJECT TA Y TB KARINA'!$N26/8</f>
        <v>#REF!</v>
      </c>
      <c r="CK30" s="128" t="e">
        <f>'PROJECT TA Y TB KARINA'!$O26/8</f>
        <v>#REF!</v>
      </c>
      <c r="CL30" s="128" t="e">
        <f>'PROJECT TA Y TB KARINA'!$O26/8</f>
        <v>#REF!</v>
      </c>
      <c r="CM30" s="128" t="e">
        <f>'PROJECT TA Y TB KARINA'!$O26/8</f>
        <v>#REF!</v>
      </c>
      <c r="CN30" s="128" t="e">
        <f>'PROJECT TA Y TB KARINA'!$O26/8</f>
        <v>#REF!</v>
      </c>
      <c r="CO30" s="128" t="e">
        <f>'PROJECT TA Y TB KARINA'!$O26/8</f>
        <v>#REF!</v>
      </c>
      <c r="CP30" s="128" t="e">
        <f>'PROJECT TA Y TB KARINA'!$O26/8</f>
        <v>#REF!</v>
      </c>
      <c r="CQ30" s="128" t="e">
        <f>'PROJECT TA Y TB KARINA'!$O26/8</f>
        <v>#REF!</v>
      </c>
      <c r="CR30" s="128" t="e">
        <f>'PROJECT TA Y TB KARINA'!$O26/8</f>
        <v>#REF!</v>
      </c>
      <c r="CS30" s="128" t="e">
        <f>'PROJECT TA Y TB KARINA'!$P26/8</f>
        <v>#REF!</v>
      </c>
      <c r="CT30" s="128" t="e">
        <f>'PROJECT TA Y TB KARINA'!$P26/8</f>
        <v>#REF!</v>
      </c>
      <c r="CU30" s="128" t="e">
        <f>'PROJECT TA Y TB KARINA'!$P26/8</f>
        <v>#REF!</v>
      </c>
      <c r="CV30" s="128" t="e">
        <f>'PROJECT TA Y TB KARINA'!$P26/8</f>
        <v>#REF!</v>
      </c>
      <c r="CW30" s="128" t="e">
        <f>'PROJECT TA Y TB KARINA'!$P26/8</f>
        <v>#REF!</v>
      </c>
      <c r="CX30" s="128" t="e">
        <f>'PROJECT TA Y TB KARINA'!$P26/8</f>
        <v>#REF!</v>
      </c>
      <c r="CY30" s="128" t="e">
        <f>'PROJECT TA Y TB KARINA'!$P26/8</f>
        <v>#REF!</v>
      </c>
      <c r="CZ30" s="128" t="e">
        <f>'PROJECT TA Y TB KARINA'!$P26/8</f>
        <v>#REF!</v>
      </c>
      <c r="DA30" s="128" t="e">
        <f>'PROJECT TA Y TB KARINA'!$Q26/8</f>
        <v>#REF!</v>
      </c>
      <c r="DB30" s="128" t="e">
        <f>'PROJECT TA Y TB KARINA'!$Q26/8</f>
        <v>#REF!</v>
      </c>
      <c r="DC30" s="128" t="e">
        <f>'PROJECT TA Y TB KARINA'!$Q26/8</f>
        <v>#REF!</v>
      </c>
      <c r="DD30" s="128" t="e">
        <f>'PROJECT TA Y TB KARINA'!$Q26/8</f>
        <v>#REF!</v>
      </c>
      <c r="DE30" s="128" t="e">
        <f>'PROJECT TA Y TB KARINA'!$Q26/8</f>
        <v>#REF!</v>
      </c>
      <c r="DF30" s="128" t="e">
        <f>'PROJECT TA Y TB KARINA'!$Q26/8</f>
        <v>#REF!</v>
      </c>
      <c r="DG30" s="128" t="e">
        <f>'PROJECT TA Y TB KARINA'!$Q26/8</f>
        <v>#REF!</v>
      </c>
      <c r="DH30" s="128" t="e">
        <f>'PROJECT TA Y TB KARINA'!$Q26/8</f>
        <v>#REF!</v>
      </c>
      <c r="DI30" s="128" t="e">
        <f>'PROJECT TA Y TB KARINA'!$R26/8</f>
        <v>#REF!</v>
      </c>
      <c r="DJ30" s="128" t="e">
        <f>'PROJECT TA Y TB KARINA'!$R26/8</f>
        <v>#REF!</v>
      </c>
      <c r="DK30" s="128" t="e">
        <f>'PROJECT TA Y TB KARINA'!$R26/8</f>
        <v>#REF!</v>
      </c>
      <c r="DL30" s="128" t="e">
        <f>'PROJECT TA Y TB KARINA'!$R26/8</f>
        <v>#REF!</v>
      </c>
      <c r="DM30" s="128" t="e">
        <f>'PROJECT TA Y TB KARINA'!$R26/8</f>
        <v>#REF!</v>
      </c>
      <c r="DN30" s="128" t="e">
        <f>'PROJECT TA Y TB KARINA'!$R26/8</f>
        <v>#REF!</v>
      </c>
      <c r="DO30" s="128" t="e">
        <f>'PROJECT TA Y TB KARINA'!$R26/8</f>
        <v>#REF!</v>
      </c>
      <c r="DP30" s="128" t="e">
        <f>'PROJECT TA Y TB KARINA'!$R26/8</f>
        <v>#REF!</v>
      </c>
      <c r="DQ30" s="128" t="e">
        <f>'PROJECT TA Y TB KARINA'!$S26/8</f>
        <v>#REF!</v>
      </c>
      <c r="DR30" s="128" t="e">
        <f>'PROJECT TA Y TB KARINA'!$S26/8</f>
        <v>#REF!</v>
      </c>
      <c r="DS30" s="128" t="e">
        <f>'PROJECT TA Y TB KARINA'!$S26/8</f>
        <v>#REF!</v>
      </c>
      <c r="DT30" s="128" t="e">
        <f>'PROJECT TA Y TB KARINA'!$S26/8</f>
        <v>#REF!</v>
      </c>
      <c r="DU30" s="128" t="e">
        <f>'PROJECT TA Y TB KARINA'!$S26/8</f>
        <v>#REF!</v>
      </c>
      <c r="DV30" s="128" t="e">
        <f>'PROJECT TA Y TB KARINA'!$S26/8</f>
        <v>#REF!</v>
      </c>
      <c r="DW30" s="128" t="e">
        <f>'PROJECT TA Y TB KARINA'!$S26/8</f>
        <v>#REF!</v>
      </c>
      <c r="DX30" s="128" t="e">
        <f>'PROJECT TA Y TB KARINA'!$S26/8</f>
        <v>#REF!</v>
      </c>
      <c r="DY30" s="128" t="e">
        <f>'PROJECT TA Y TB KARINA'!$T26/8</f>
        <v>#REF!</v>
      </c>
      <c r="DZ30" s="128" t="e">
        <f>'PROJECT TA Y TB KARINA'!$T26/8</f>
        <v>#REF!</v>
      </c>
      <c r="EA30" s="128" t="e">
        <f>'PROJECT TA Y TB KARINA'!$T26/8</f>
        <v>#REF!</v>
      </c>
      <c r="EB30" s="128" t="e">
        <f>'PROJECT TA Y TB KARINA'!$T26/8</f>
        <v>#REF!</v>
      </c>
      <c r="EC30" s="128" t="e">
        <f>'PROJECT TA Y TB KARINA'!$T26/8</f>
        <v>#REF!</v>
      </c>
      <c r="ED30" s="128" t="e">
        <f>'PROJECT TA Y TB KARINA'!$T26/8</f>
        <v>#REF!</v>
      </c>
      <c r="EE30" s="128" t="e">
        <f>'PROJECT TA Y TB KARINA'!$T26/8</f>
        <v>#REF!</v>
      </c>
      <c r="EF30" s="128" t="e">
        <f>'PROJECT TA Y TB KARINA'!$T26/8</f>
        <v>#REF!</v>
      </c>
      <c r="EG30" s="128" t="e">
        <f>'PROJECT TA Y TB KARINA'!#REF!/8</f>
        <v>#REF!</v>
      </c>
      <c r="EH30" s="128" t="e">
        <f>'PROJECT TA Y TB KARINA'!#REF!/8</f>
        <v>#REF!</v>
      </c>
      <c r="EI30" s="128" t="e">
        <f>'PROJECT TA Y TB KARINA'!#REF!/8</f>
        <v>#REF!</v>
      </c>
      <c r="EJ30" s="128" t="e">
        <f>'PROJECT TA Y TB KARINA'!#REF!/8</f>
        <v>#REF!</v>
      </c>
      <c r="EK30" s="128" t="e">
        <f>'PROJECT TA Y TB KARINA'!#REF!/8</f>
        <v>#REF!</v>
      </c>
      <c r="EL30" s="128" t="e">
        <f>'PROJECT TA Y TB KARINA'!#REF!/8</f>
        <v>#REF!</v>
      </c>
      <c r="EM30" s="128" t="e">
        <f>'PROJECT TA Y TB KARINA'!#REF!/8</f>
        <v>#REF!</v>
      </c>
      <c r="EN30" s="128" t="e">
        <f>'PROJECT TA Y TB KARINA'!#REF!/8</f>
        <v>#REF!</v>
      </c>
      <c r="EO30" s="128">
        <f>'PROJECT TA Y TB KARINA'!$C84/8</f>
        <v>0</v>
      </c>
      <c r="EP30" s="128">
        <f>'PROJECT TA Y TB KARINA'!$C84/8</f>
        <v>0</v>
      </c>
      <c r="EQ30" s="128">
        <f>'PROJECT TA Y TB KARINA'!$C84/8</f>
        <v>0</v>
      </c>
      <c r="ER30" s="128">
        <f>'PROJECT TA Y TB KARINA'!$C84/8</f>
        <v>0</v>
      </c>
      <c r="ES30" s="128">
        <f>'PROJECT TA Y TB KARINA'!$C84/8</f>
        <v>0</v>
      </c>
      <c r="ET30" s="128">
        <f>'PROJECT TA Y TB KARINA'!$C84/8</f>
        <v>0</v>
      </c>
      <c r="EU30" s="128">
        <f>'PROJECT TA Y TB KARINA'!$C84/8</f>
        <v>0</v>
      </c>
      <c r="EV30" s="128">
        <f>'PROJECT TA Y TB KARINA'!$E84/8</f>
        <v>0</v>
      </c>
      <c r="EW30" s="128">
        <f>'PROJECT TA Y TB KARINA'!$E84/8</f>
        <v>0</v>
      </c>
      <c r="EX30" s="128">
        <f>'PROJECT TA Y TB KARINA'!$E84/8</f>
        <v>0</v>
      </c>
      <c r="EY30" s="128">
        <f>'PROJECT TA Y TB KARINA'!$E84/8</f>
        <v>0</v>
      </c>
      <c r="EZ30" s="128">
        <f>'PROJECT TA Y TB KARINA'!$E84/8</f>
        <v>0</v>
      </c>
      <c r="FA30" s="128">
        <f>'PROJECT TA Y TB KARINA'!$E84/8</f>
        <v>0</v>
      </c>
      <c r="FB30" s="128">
        <f>'PROJECT TA Y TB KARINA'!$E84/8</f>
        <v>0</v>
      </c>
      <c r="FC30" s="128">
        <f>'PROJECT TA Y TB KARINA'!$E84/8</f>
        <v>0</v>
      </c>
      <c r="FD30" s="128">
        <f>'PROJECT TA Y TB KARINA'!$F84/8</f>
        <v>0</v>
      </c>
      <c r="FE30" s="128">
        <f>'PROJECT TA Y TB KARINA'!$F84/8</f>
        <v>0</v>
      </c>
      <c r="FF30" s="128">
        <f>'PROJECT TA Y TB KARINA'!$F84/8</f>
        <v>0</v>
      </c>
      <c r="FG30" s="128">
        <f>'PROJECT TA Y TB KARINA'!$F84/8</f>
        <v>0</v>
      </c>
      <c r="FH30" s="128">
        <f>'PROJECT TA Y TB KARINA'!$F84/8</f>
        <v>0</v>
      </c>
      <c r="FI30" s="128">
        <f>'PROJECT TA Y TB KARINA'!$F84/8</f>
        <v>0</v>
      </c>
      <c r="FJ30" s="128">
        <f>'PROJECT TA Y TB KARINA'!$F84/8</f>
        <v>0</v>
      </c>
      <c r="FK30" s="128">
        <f>'PROJECT TA Y TB KARINA'!$F84/8</f>
        <v>0</v>
      </c>
      <c r="FL30" s="128">
        <f>'PROJECT TA Y TB KARINA'!$G84/8</f>
        <v>0</v>
      </c>
      <c r="FM30" s="128">
        <f>'PROJECT TA Y TB KARINA'!$G84/8</f>
        <v>0</v>
      </c>
      <c r="FN30" s="128">
        <f>'PROJECT TA Y TB KARINA'!$G84/8</f>
        <v>0</v>
      </c>
      <c r="FO30" s="128">
        <f>'PROJECT TA Y TB KARINA'!$G84/8</f>
        <v>0</v>
      </c>
      <c r="FP30" s="128">
        <f>'PROJECT TA Y TB KARINA'!$G84/8</f>
        <v>0</v>
      </c>
      <c r="FQ30" s="128">
        <f>'PROJECT TA Y TB KARINA'!$G84/8</f>
        <v>0</v>
      </c>
      <c r="FR30" s="128">
        <f>'PROJECT TA Y TB KARINA'!$G84/8</f>
        <v>0</v>
      </c>
      <c r="FS30" s="128">
        <f>'PROJECT TA Y TB KARINA'!$G84/8</f>
        <v>0</v>
      </c>
      <c r="FT30" s="128">
        <f>'PROJECT TA Y TB KARINA'!$H84/8</f>
        <v>0</v>
      </c>
      <c r="FU30" s="128">
        <f>'PROJECT TA Y TB KARINA'!$H84/8</f>
        <v>0</v>
      </c>
      <c r="FV30" s="128">
        <f>'PROJECT TA Y TB KARINA'!$H84/8</f>
        <v>0</v>
      </c>
      <c r="FW30" s="128">
        <f>'PROJECT TA Y TB KARINA'!$H84/8</f>
        <v>0</v>
      </c>
      <c r="FX30" s="128">
        <f>'PROJECT TA Y TB KARINA'!$H84/8</f>
        <v>0</v>
      </c>
      <c r="FY30" s="128">
        <f>'PROJECT TA Y TB KARINA'!$H84/8</f>
        <v>0</v>
      </c>
      <c r="FZ30" s="128">
        <f>'PROJECT TA Y TB KARINA'!$H84/8</f>
        <v>0</v>
      </c>
      <c r="GA30" s="128">
        <f>'PROJECT TA Y TB KARINA'!$H84/8</f>
        <v>0</v>
      </c>
      <c r="GB30" s="128">
        <f>'PROJECT TA Y TB KARINA'!$I84/8</f>
        <v>0</v>
      </c>
      <c r="GC30" s="128">
        <f>'PROJECT TA Y TB KARINA'!$I84/8</f>
        <v>0</v>
      </c>
      <c r="GD30" s="128">
        <f>'PROJECT TA Y TB KARINA'!$I84/8</f>
        <v>0</v>
      </c>
      <c r="GE30" s="128">
        <f>'PROJECT TA Y TB KARINA'!$I84/8</f>
        <v>0</v>
      </c>
      <c r="GF30" s="128">
        <f>'PROJECT TA Y TB KARINA'!$I84/8</f>
        <v>0</v>
      </c>
      <c r="GG30" s="128">
        <f>'PROJECT TA Y TB KARINA'!$I84/8</f>
        <v>0</v>
      </c>
      <c r="GH30" s="128">
        <f>'PROJECT TA Y TB KARINA'!$I84/8</f>
        <v>0</v>
      </c>
      <c r="GI30" s="128">
        <f>'PROJECT TA Y TB KARINA'!$I84/8</f>
        <v>0</v>
      </c>
      <c r="GJ30" s="128">
        <f>'PROJECT TA Y TB KARINA'!$J84/8</f>
        <v>0</v>
      </c>
      <c r="GK30" s="128">
        <f>'PROJECT TA Y TB KARINA'!$J84/8</f>
        <v>0</v>
      </c>
      <c r="GL30" s="128">
        <f>'PROJECT TA Y TB KARINA'!$J84/8</f>
        <v>0</v>
      </c>
      <c r="GM30" s="128">
        <f>'PROJECT TA Y TB KARINA'!$J84/8</f>
        <v>0</v>
      </c>
      <c r="GN30" s="128">
        <f>'PROJECT TA Y TB KARINA'!$J84/8</f>
        <v>0</v>
      </c>
      <c r="GO30" s="128">
        <f>'PROJECT TA Y TB KARINA'!$J84/8</f>
        <v>0</v>
      </c>
      <c r="GP30" s="128">
        <f>'PROJECT TA Y TB KARINA'!$J84/8</f>
        <v>0</v>
      </c>
      <c r="GQ30" s="128">
        <f>'PROJECT TA Y TB KARINA'!$J84/8</f>
        <v>0</v>
      </c>
      <c r="GR30" s="128">
        <f>'PROJECT TA Y TB KARINA'!$K84/8</f>
        <v>0</v>
      </c>
      <c r="GS30" s="128">
        <f>'PROJECT TA Y TB KARINA'!$K84/8</f>
        <v>0</v>
      </c>
      <c r="GT30" s="128">
        <f>'PROJECT TA Y TB KARINA'!$K84/8</f>
        <v>0</v>
      </c>
      <c r="GU30" s="128">
        <f>'PROJECT TA Y TB KARINA'!$K84/8</f>
        <v>0</v>
      </c>
      <c r="GV30" s="128">
        <f>'PROJECT TA Y TB KARINA'!$K84/8</f>
        <v>0</v>
      </c>
      <c r="GW30" s="128">
        <f>'PROJECT TA Y TB KARINA'!$K84/8</f>
        <v>0</v>
      </c>
      <c r="GX30" s="128">
        <f>'PROJECT TA Y TB KARINA'!$K84/8</f>
        <v>0</v>
      </c>
      <c r="GY30" s="128">
        <f>'PROJECT TA Y TB KARINA'!$K84/8</f>
        <v>0</v>
      </c>
      <c r="GZ30" s="128">
        <f>'PROJECT TA Y TB KARINA'!$L84/8</f>
        <v>0</v>
      </c>
      <c r="HA30" s="128">
        <f>'PROJECT TA Y TB KARINA'!$L84/8</f>
        <v>0</v>
      </c>
      <c r="HB30" s="128">
        <f>'PROJECT TA Y TB KARINA'!$L84/8</f>
        <v>0</v>
      </c>
      <c r="HC30" s="128">
        <f>'PROJECT TA Y TB KARINA'!$L84/8</f>
        <v>0</v>
      </c>
      <c r="HD30" s="128">
        <f>'PROJECT TA Y TB KARINA'!$L84/8</f>
        <v>0</v>
      </c>
      <c r="HE30" s="128">
        <f>'PROJECT TA Y TB KARINA'!$L84/8</f>
        <v>0</v>
      </c>
      <c r="HF30" s="128">
        <f>'PROJECT TA Y TB KARINA'!$L84/8</f>
        <v>0</v>
      </c>
      <c r="HG30" s="128">
        <f>'PROJECT TA Y TB KARINA'!$L84/8</f>
        <v>0</v>
      </c>
      <c r="HH30" s="128">
        <f>'PROJECT TA Y TB KARINA'!$M84/8</f>
        <v>0</v>
      </c>
      <c r="HI30" s="128">
        <f>'PROJECT TA Y TB KARINA'!$M84/8</f>
        <v>0</v>
      </c>
      <c r="HJ30" s="128">
        <f>'PROJECT TA Y TB KARINA'!$M84/8</f>
        <v>0</v>
      </c>
      <c r="HK30" s="128">
        <f>'PROJECT TA Y TB KARINA'!$M84/8</f>
        <v>0</v>
      </c>
      <c r="HL30" s="128">
        <f>'PROJECT TA Y TB KARINA'!$M84/8</f>
        <v>0</v>
      </c>
      <c r="HM30" s="128">
        <f>'PROJECT TA Y TB KARINA'!$M84/8</f>
        <v>0</v>
      </c>
      <c r="HN30" s="128">
        <f>'PROJECT TA Y TB KARINA'!$M84/8</f>
        <v>0</v>
      </c>
      <c r="HO30" s="128">
        <f>'PROJECT TA Y TB KARINA'!$M84/8</f>
        <v>0</v>
      </c>
      <c r="HP30" s="128">
        <f>'PROJECT TA Y TB KARINA'!$N84/8</f>
        <v>0</v>
      </c>
      <c r="HQ30" s="128">
        <f>'PROJECT TA Y TB KARINA'!$N84/8</f>
        <v>0</v>
      </c>
      <c r="HR30" s="128">
        <f>'PROJECT TA Y TB KARINA'!$N84/8</f>
        <v>0</v>
      </c>
      <c r="HS30" s="128">
        <f>'PROJECT TA Y TB KARINA'!$N84/8</f>
        <v>0</v>
      </c>
      <c r="HT30" s="128">
        <f>'PROJECT TA Y TB KARINA'!$N84/8</f>
        <v>0</v>
      </c>
      <c r="HU30" s="128">
        <f>'PROJECT TA Y TB KARINA'!$N84/8</f>
        <v>0</v>
      </c>
      <c r="HV30" s="128">
        <f>'PROJECT TA Y TB KARINA'!$N84/8</f>
        <v>0</v>
      </c>
      <c r="HW30" s="128">
        <f>'PROJECT TA Y TB KARINA'!$N84/8</f>
        <v>0</v>
      </c>
      <c r="HX30" s="128">
        <f>'PROJECT TA Y TB KARINA'!$O84/8</f>
        <v>0</v>
      </c>
      <c r="HY30" s="128">
        <f>'PROJECT TA Y TB KARINA'!$O84/8</f>
        <v>0</v>
      </c>
      <c r="HZ30" s="128">
        <f>'PROJECT TA Y TB KARINA'!$O84/8</f>
        <v>0</v>
      </c>
      <c r="IA30" s="128">
        <f>'PROJECT TA Y TB KARINA'!$O84/8</f>
        <v>0</v>
      </c>
      <c r="IB30" s="128">
        <f>'PROJECT TA Y TB KARINA'!$O84/8</f>
        <v>0</v>
      </c>
      <c r="IC30" s="128">
        <f>'PROJECT TA Y TB KARINA'!$O84/8</f>
        <v>0</v>
      </c>
      <c r="ID30" s="128">
        <f>'PROJECT TA Y TB KARINA'!$O84/8</f>
        <v>0</v>
      </c>
      <c r="IE30" s="128">
        <f>'PROJECT TA Y TB KARINA'!$O84/8</f>
        <v>0</v>
      </c>
      <c r="IF30" s="128">
        <f>'PROJECT TA Y TB KARINA'!$P84/8</f>
        <v>0</v>
      </c>
      <c r="IG30" s="128">
        <f>'PROJECT TA Y TB KARINA'!$P84/8</f>
        <v>0</v>
      </c>
      <c r="IH30" s="128">
        <f>'PROJECT TA Y TB KARINA'!$P84/8</f>
        <v>0</v>
      </c>
      <c r="II30" s="128">
        <f>'PROJECT TA Y TB KARINA'!$P84/8</f>
        <v>0</v>
      </c>
      <c r="IJ30" s="128">
        <f>'PROJECT TA Y TB KARINA'!$P84/8</f>
        <v>0</v>
      </c>
      <c r="IK30" s="128">
        <f>'PROJECT TA Y TB KARINA'!$P84/8</f>
        <v>0</v>
      </c>
      <c r="IL30" s="128">
        <f>'PROJECT TA Y TB KARINA'!$P84/8</f>
        <v>0</v>
      </c>
      <c r="IM30" s="128">
        <f>'PROJECT TA Y TB KARINA'!$P84/8</f>
        <v>0</v>
      </c>
      <c r="IN30" s="128">
        <f>'PROJECT TA Y TB KARINA'!$Q84/8</f>
        <v>0</v>
      </c>
      <c r="IO30" s="128">
        <f>'PROJECT TA Y TB KARINA'!$Q84/8</f>
        <v>0</v>
      </c>
      <c r="IP30" s="128">
        <f>'PROJECT TA Y TB KARINA'!$Q84/8</f>
        <v>0</v>
      </c>
      <c r="IQ30" s="128">
        <f>'PROJECT TA Y TB KARINA'!$Q84/8</f>
        <v>0</v>
      </c>
      <c r="IR30" s="128">
        <f>'PROJECT TA Y TB KARINA'!$Q84/8</f>
        <v>0</v>
      </c>
      <c r="IS30" s="128">
        <f>'PROJECT TA Y TB KARINA'!$Q84/8</f>
        <v>0</v>
      </c>
      <c r="IT30" s="128">
        <f>'PROJECT TA Y TB KARINA'!$Q84/8</f>
        <v>0</v>
      </c>
      <c r="IU30" s="128">
        <f>'PROJECT TA Y TB KARINA'!$Q84/8</f>
        <v>0</v>
      </c>
      <c r="IV30" s="128">
        <f>'PROJECT TA Y TB KARINA'!$R84/8</f>
        <v>0</v>
      </c>
      <c r="IW30" s="128">
        <f>'PROJECT TA Y TB KARINA'!$R84/8</f>
        <v>0</v>
      </c>
      <c r="IX30" s="128">
        <f>'PROJECT TA Y TB KARINA'!$R84/8</f>
        <v>0</v>
      </c>
      <c r="IY30" s="128">
        <f>'PROJECT TA Y TB KARINA'!$R84/8</f>
        <v>0</v>
      </c>
      <c r="IZ30" s="128">
        <f>'PROJECT TA Y TB KARINA'!$R84/8</f>
        <v>0</v>
      </c>
      <c r="JA30" s="128">
        <f>'PROJECT TA Y TB KARINA'!$R84/8</f>
        <v>0</v>
      </c>
      <c r="JB30" s="128">
        <f>'PROJECT TA Y TB KARINA'!$R84/8</f>
        <v>0</v>
      </c>
      <c r="JC30" s="128">
        <f>'PROJECT TA Y TB KARINA'!$R84/8</f>
        <v>0</v>
      </c>
      <c r="JD30" s="128">
        <f>'PROJECT TA Y TB KARINA'!$S84/8</f>
        <v>0</v>
      </c>
      <c r="JE30" s="128">
        <f>'PROJECT TA Y TB KARINA'!$S84/8</f>
        <v>0</v>
      </c>
      <c r="JF30" s="128">
        <f>'PROJECT TA Y TB KARINA'!$S84/8</f>
        <v>0</v>
      </c>
      <c r="JG30" s="128">
        <f>'PROJECT TA Y TB KARINA'!$S84/8</f>
        <v>0</v>
      </c>
      <c r="JH30" s="128">
        <f>'PROJECT TA Y TB KARINA'!$S84/8</f>
        <v>0</v>
      </c>
      <c r="JI30" s="128">
        <f>'PROJECT TA Y TB KARINA'!$S84/8</f>
        <v>0</v>
      </c>
      <c r="JJ30" s="128">
        <f>'PROJECT TA Y TB KARINA'!$S84/8</f>
        <v>0</v>
      </c>
      <c r="JK30" s="128">
        <f>'PROJECT TA Y TB KARINA'!$S84/8</f>
        <v>0</v>
      </c>
      <c r="JL30" s="128">
        <f>'PROJECT TA Y TB KARINA'!$T84/8</f>
        <v>0</v>
      </c>
      <c r="JM30" s="128">
        <f>'PROJECT TA Y TB KARINA'!$T84/8</f>
        <v>0</v>
      </c>
      <c r="JN30" s="128">
        <f>'PROJECT TA Y TB KARINA'!$T84/8</f>
        <v>0</v>
      </c>
      <c r="JO30" s="128">
        <f>'PROJECT TA Y TB KARINA'!$T84/8</f>
        <v>0</v>
      </c>
      <c r="JP30" s="128">
        <f>'PROJECT TA Y TB KARINA'!$T84/8</f>
        <v>0</v>
      </c>
      <c r="JQ30" s="128">
        <f>'PROJECT TA Y TB KARINA'!$T84/8</f>
        <v>0</v>
      </c>
      <c r="JR30" s="128">
        <f>'PROJECT TA Y TB KARINA'!$T84/8</f>
        <v>0</v>
      </c>
      <c r="JS30" s="128">
        <f>'PROJECT TA Y TB KARINA'!$T84/8</f>
        <v>0</v>
      </c>
      <c r="JT30" s="128" t="e">
        <f>'PROJECT TA Y TB KARINA'!#REF!/8</f>
        <v>#REF!</v>
      </c>
      <c r="JU30" s="128" t="e">
        <f>'PROJECT TA Y TB KARINA'!#REF!/8</f>
        <v>#REF!</v>
      </c>
      <c r="JV30" s="128" t="e">
        <f>'PROJECT TA Y TB KARINA'!#REF!/8</f>
        <v>#REF!</v>
      </c>
      <c r="JW30" s="128" t="e">
        <f>'PROJECT TA Y TB KARINA'!#REF!/8</f>
        <v>#REF!</v>
      </c>
      <c r="JX30" s="128" t="e">
        <f>'PROJECT TA Y TB KARINA'!#REF!/8</f>
        <v>#REF!</v>
      </c>
      <c r="JY30" s="128" t="e">
        <f>'PROJECT TA Y TB KARINA'!#REF!/8</f>
        <v>#REF!</v>
      </c>
      <c r="JZ30" s="128" t="e">
        <f>'PROJECT TA Y TB KARINA'!#REF!/8</f>
        <v>#REF!</v>
      </c>
      <c r="KA30" s="128" t="e">
        <f>'PROJECT TA Y TB KARINA'!#REF!/8</f>
        <v>#REF!</v>
      </c>
    </row>
    <row r="31" spans="1:287" ht="21">
      <c r="A31" s="131" t="s">
        <v>484</v>
      </c>
      <c r="B31" s="128" t="e">
        <f>'PROJECT TA Y TB KARINA'!$C$27/8</f>
        <v>#REF!</v>
      </c>
      <c r="C31" s="128" t="e">
        <f>'PROJECT TA Y TB KARINA'!$C$27/8</f>
        <v>#REF!</v>
      </c>
      <c r="D31" s="128" t="e">
        <f>'PROJECT TA Y TB KARINA'!$C$27/8</f>
        <v>#REF!</v>
      </c>
      <c r="E31" s="128" t="e">
        <f>'PROJECT TA Y TB KARINA'!$C$27/8</f>
        <v>#REF!</v>
      </c>
      <c r="F31" s="128" t="e">
        <f>'PROJECT TA Y TB KARINA'!$C$27/8</f>
        <v>#REF!</v>
      </c>
      <c r="G31" s="128" t="e">
        <f>'PROJECT TA Y TB KARINA'!$C$27/8</f>
        <v>#REF!</v>
      </c>
      <c r="H31" s="128" t="e">
        <f>'PROJECT TA Y TB KARINA'!$C$27/8</f>
        <v>#REF!</v>
      </c>
      <c r="I31" s="128" t="e">
        <f>'PROJECT TA Y TB KARINA'!$E27/8</f>
        <v>#REF!</v>
      </c>
      <c r="J31" s="128" t="e">
        <f>'PROJECT TA Y TB KARINA'!$E27/8</f>
        <v>#REF!</v>
      </c>
      <c r="K31" s="128" t="e">
        <f>'PROJECT TA Y TB KARINA'!$E27/8</f>
        <v>#REF!</v>
      </c>
      <c r="L31" s="128" t="e">
        <f>'PROJECT TA Y TB KARINA'!$E27/8</f>
        <v>#REF!</v>
      </c>
      <c r="M31" s="128" t="e">
        <f>'PROJECT TA Y TB KARINA'!$E27/8</f>
        <v>#REF!</v>
      </c>
      <c r="N31" s="128" t="e">
        <f>'PROJECT TA Y TB KARINA'!$E27/8</f>
        <v>#REF!</v>
      </c>
      <c r="O31" s="128" t="e">
        <f>'PROJECT TA Y TB KARINA'!$E27/8</f>
        <v>#REF!</v>
      </c>
      <c r="P31" s="128" t="e">
        <f>'PROJECT TA Y TB KARINA'!$E27/8</f>
        <v>#REF!</v>
      </c>
      <c r="Q31" s="128" t="e">
        <f>'PROJECT TA Y TB KARINA'!$F27/8</f>
        <v>#REF!</v>
      </c>
      <c r="R31" s="128" t="e">
        <f>'PROJECT TA Y TB KARINA'!$F27/8</f>
        <v>#REF!</v>
      </c>
      <c r="S31" s="128" t="e">
        <f>'PROJECT TA Y TB KARINA'!$F27/8</f>
        <v>#REF!</v>
      </c>
      <c r="T31" s="128" t="e">
        <f>'PROJECT TA Y TB KARINA'!$F27/8</f>
        <v>#REF!</v>
      </c>
      <c r="U31" s="128" t="e">
        <f>'PROJECT TA Y TB KARINA'!$F27/8</f>
        <v>#REF!</v>
      </c>
      <c r="V31" s="128" t="e">
        <f>'PROJECT TA Y TB KARINA'!$F27/8</f>
        <v>#REF!</v>
      </c>
      <c r="W31" s="128" t="e">
        <f>'PROJECT TA Y TB KARINA'!$F27/8</f>
        <v>#REF!</v>
      </c>
      <c r="X31" s="128" t="e">
        <f>'PROJECT TA Y TB KARINA'!$F27/8</f>
        <v>#REF!</v>
      </c>
      <c r="Y31" s="128" t="e">
        <f>'PROJECT TA Y TB KARINA'!$G27/8</f>
        <v>#REF!</v>
      </c>
      <c r="Z31" s="128" t="e">
        <f>'PROJECT TA Y TB KARINA'!$G27/8</f>
        <v>#REF!</v>
      </c>
      <c r="AA31" s="128" t="e">
        <f>'PROJECT TA Y TB KARINA'!$G27/8</f>
        <v>#REF!</v>
      </c>
      <c r="AB31" s="128" t="e">
        <f>'PROJECT TA Y TB KARINA'!$G27/8</f>
        <v>#REF!</v>
      </c>
      <c r="AC31" s="128" t="e">
        <f>'PROJECT TA Y TB KARINA'!$G27/8</f>
        <v>#REF!</v>
      </c>
      <c r="AD31" s="128" t="e">
        <f>'PROJECT TA Y TB KARINA'!$G27/8</f>
        <v>#REF!</v>
      </c>
      <c r="AE31" s="128" t="e">
        <f>'PROJECT TA Y TB KARINA'!$G27/8</f>
        <v>#REF!</v>
      </c>
      <c r="AF31" s="128" t="e">
        <f>'PROJECT TA Y TB KARINA'!$G27/8</f>
        <v>#REF!</v>
      </c>
      <c r="AG31" s="128" t="e">
        <f>'PROJECT TA Y TB KARINA'!$H27/8</f>
        <v>#REF!</v>
      </c>
      <c r="AH31" s="128" t="e">
        <f>'PROJECT TA Y TB KARINA'!$H27/8</f>
        <v>#REF!</v>
      </c>
      <c r="AI31" s="128" t="e">
        <f>'PROJECT TA Y TB KARINA'!$H27/8</f>
        <v>#REF!</v>
      </c>
      <c r="AJ31" s="128" t="e">
        <f>'PROJECT TA Y TB KARINA'!$H27/8</f>
        <v>#REF!</v>
      </c>
      <c r="AK31" s="128" t="e">
        <f>'PROJECT TA Y TB KARINA'!$H27/8</f>
        <v>#REF!</v>
      </c>
      <c r="AL31" s="128" t="e">
        <f>'PROJECT TA Y TB KARINA'!$H27/8</f>
        <v>#REF!</v>
      </c>
      <c r="AM31" s="128" t="e">
        <f>'PROJECT TA Y TB KARINA'!$H27/8</f>
        <v>#REF!</v>
      </c>
      <c r="AN31" s="128" t="e">
        <f>'PROJECT TA Y TB KARINA'!$H27/8</f>
        <v>#REF!</v>
      </c>
      <c r="AO31" s="128" t="e">
        <f>'PROJECT TA Y TB KARINA'!$I27/8</f>
        <v>#REF!</v>
      </c>
      <c r="AP31" s="128" t="e">
        <f>'PROJECT TA Y TB KARINA'!$I27/8</f>
        <v>#REF!</v>
      </c>
      <c r="AQ31" s="128" t="e">
        <f>'PROJECT TA Y TB KARINA'!$I27/8</f>
        <v>#REF!</v>
      </c>
      <c r="AR31" s="128" t="e">
        <f>'PROJECT TA Y TB KARINA'!$I27/8</f>
        <v>#REF!</v>
      </c>
      <c r="AS31" s="128" t="e">
        <f>'PROJECT TA Y TB KARINA'!$I27/8</f>
        <v>#REF!</v>
      </c>
      <c r="AT31" s="128" t="e">
        <f>'PROJECT TA Y TB KARINA'!$I27/8</f>
        <v>#REF!</v>
      </c>
      <c r="AU31" s="128" t="e">
        <f>'PROJECT TA Y TB KARINA'!$I27/8</f>
        <v>#REF!</v>
      </c>
      <c r="AV31" s="128" t="e">
        <f>'PROJECT TA Y TB KARINA'!$I27/8</f>
        <v>#REF!</v>
      </c>
      <c r="AW31" s="128" t="e">
        <f>'PROJECT TA Y TB KARINA'!$J27/8</f>
        <v>#REF!</v>
      </c>
      <c r="AX31" s="128" t="e">
        <f>'PROJECT TA Y TB KARINA'!$J27/8</f>
        <v>#REF!</v>
      </c>
      <c r="AY31" s="128" t="e">
        <f>'PROJECT TA Y TB KARINA'!$J27/8</f>
        <v>#REF!</v>
      </c>
      <c r="AZ31" s="128" t="e">
        <f>'PROJECT TA Y TB KARINA'!$J27/8</f>
        <v>#REF!</v>
      </c>
      <c r="BA31" s="128" t="e">
        <f>'PROJECT TA Y TB KARINA'!$J27/8</f>
        <v>#REF!</v>
      </c>
      <c r="BB31" s="128" t="e">
        <f>'PROJECT TA Y TB KARINA'!$J27/8</f>
        <v>#REF!</v>
      </c>
      <c r="BC31" s="128" t="e">
        <f>'PROJECT TA Y TB KARINA'!$J27/8</f>
        <v>#REF!</v>
      </c>
      <c r="BD31" s="128" t="e">
        <f>'PROJECT TA Y TB KARINA'!$J27/8</f>
        <v>#REF!</v>
      </c>
      <c r="BE31" s="128" t="e">
        <f>'PROJECT TA Y TB KARINA'!$K27/8</f>
        <v>#REF!</v>
      </c>
      <c r="BF31" s="128" t="e">
        <f>'PROJECT TA Y TB KARINA'!$K27/8</f>
        <v>#REF!</v>
      </c>
      <c r="BG31" s="128" t="e">
        <f>'PROJECT TA Y TB KARINA'!$K27/8</f>
        <v>#REF!</v>
      </c>
      <c r="BH31" s="128" t="e">
        <f>'PROJECT TA Y TB KARINA'!$K27/8</f>
        <v>#REF!</v>
      </c>
      <c r="BI31" s="128" t="e">
        <f>'PROJECT TA Y TB KARINA'!$K27/8</f>
        <v>#REF!</v>
      </c>
      <c r="BJ31" s="128" t="e">
        <f>'PROJECT TA Y TB KARINA'!$K27/8</f>
        <v>#REF!</v>
      </c>
      <c r="BK31" s="128" t="e">
        <f>'PROJECT TA Y TB KARINA'!$K27/8</f>
        <v>#REF!</v>
      </c>
      <c r="BL31" s="128" t="e">
        <f>'PROJECT TA Y TB KARINA'!$K27/8</f>
        <v>#REF!</v>
      </c>
      <c r="BM31" s="128" t="e">
        <f>'PROJECT TA Y TB KARINA'!$L27/8</f>
        <v>#REF!</v>
      </c>
      <c r="BN31" s="128" t="e">
        <f>'PROJECT TA Y TB KARINA'!$L27/8</f>
        <v>#REF!</v>
      </c>
      <c r="BO31" s="128" t="e">
        <f>'PROJECT TA Y TB KARINA'!$L27/8</f>
        <v>#REF!</v>
      </c>
      <c r="BP31" s="128" t="e">
        <f>'PROJECT TA Y TB KARINA'!$L27/8</f>
        <v>#REF!</v>
      </c>
      <c r="BQ31" s="128" t="e">
        <f>'PROJECT TA Y TB KARINA'!$L27/8</f>
        <v>#REF!</v>
      </c>
      <c r="BR31" s="128" t="e">
        <f>'PROJECT TA Y TB KARINA'!$L27/8</f>
        <v>#REF!</v>
      </c>
      <c r="BS31" s="128" t="e">
        <f>'PROJECT TA Y TB KARINA'!$L27/8</f>
        <v>#REF!</v>
      </c>
      <c r="BT31" s="128" t="e">
        <f>'PROJECT TA Y TB KARINA'!$L27/8</f>
        <v>#REF!</v>
      </c>
      <c r="BU31" s="128" t="e">
        <f>'PROJECT TA Y TB KARINA'!$M27/8</f>
        <v>#REF!</v>
      </c>
      <c r="BV31" s="128" t="e">
        <f>'PROJECT TA Y TB KARINA'!$M27/8</f>
        <v>#REF!</v>
      </c>
      <c r="BW31" s="128" t="e">
        <f>'PROJECT TA Y TB KARINA'!$M27/8</f>
        <v>#REF!</v>
      </c>
      <c r="BX31" s="128" t="e">
        <f>'PROJECT TA Y TB KARINA'!$M27/8</f>
        <v>#REF!</v>
      </c>
      <c r="BY31" s="128" t="e">
        <f>'PROJECT TA Y TB KARINA'!$M27/8</f>
        <v>#REF!</v>
      </c>
      <c r="BZ31" s="128" t="e">
        <f>'PROJECT TA Y TB KARINA'!$M27/8</f>
        <v>#REF!</v>
      </c>
      <c r="CA31" s="128" t="e">
        <f>'PROJECT TA Y TB KARINA'!$M27/8</f>
        <v>#REF!</v>
      </c>
      <c r="CB31" s="128" t="e">
        <f>'PROJECT TA Y TB KARINA'!$M27/8</f>
        <v>#REF!</v>
      </c>
      <c r="CC31" s="128" t="e">
        <f>'PROJECT TA Y TB KARINA'!$N27/8</f>
        <v>#REF!</v>
      </c>
      <c r="CD31" s="128" t="e">
        <f>'PROJECT TA Y TB KARINA'!$N27/8</f>
        <v>#REF!</v>
      </c>
      <c r="CE31" s="128" t="e">
        <f>'PROJECT TA Y TB KARINA'!$N27/8</f>
        <v>#REF!</v>
      </c>
      <c r="CF31" s="128" t="e">
        <f>'PROJECT TA Y TB KARINA'!$N27/8</f>
        <v>#REF!</v>
      </c>
      <c r="CG31" s="128" t="e">
        <f>'PROJECT TA Y TB KARINA'!$N27/8</f>
        <v>#REF!</v>
      </c>
      <c r="CH31" s="128" t="e">
        <f>'PROJECT TA Y TB KARINA'!$N27/8</f>
        <v>#REF!</v>
      </c>
      <c r="CI31" s="128" t="e">
        <f>'PROJECT TA Y TB KARINA'!$N27/8</f>
        <v>#REF!</v>
      </c>
      <c r="CJ31" s="128" t="e">
        <f>'PROJECT TA Y TB KARINA'!$N27/8</f>
        <v>#REF!</v>
      </c>
      <c r="CK31" s="128" t="e">
        <f>'PROJECT TA Y TB KARINA'!$O27/8</f>
        <v>#REF!</v>
      </c>
      <c r="CL31" s="128" t="e">
        <f>'PROJECT TA Y TB KARINA'!$O27/8</f>
        <v>#REF!</v>
      </c>
      <c r="CM31" s="128" t="e">
        <f>'PROJECT TA Y TB KARINA'!$O27/8</f>
        <v>#REF!</v>
      </c>
      <c r="CN31" s="128" t="e">
        <f>'PROJECT TA Y TB KARINA'!$O27/8</f>
        <v>#REF!</v>
      </c>
      <c r="CO31" s="128" t="e">
        <f>'PROJECT TA Y TB KARINA'!$O27/8</f>
        <v>#REF!</v>
      </c>
      <c r="CP31" s="128" t="e">
        <f>'PROJECT TA Y TB KARINA'!$O27/8</f>
        <v>#REF!</v>
      </c>
      <c r="CQ31" s="128" t="e">
        <f>'PROJECT TA Y TB KARINA'!$O27/8</f>
        <v>#REF!</v>
      </c>
      <c r="CR31" s="128" t="e">
        <f>'PROJECT TA Y TB KARINA'!$O27/8</f>
        <v>#REF!</v>
      </c>
      <c r="CS31" s="128" t="e">
        <f>'PROJECT TA Y TB KARINA'!$P27/8</f>
        <v>#REF!</v>
      </c>
      <c r="CT31" s="128" t="e">
        <f>'PROJECT TA Y TB KARINA'!$P27/8</f>
        <v>#REF!</v>
      </c>
      <c r="CU31" s="128" t="e">
        <f>'PROJECT TA Y TB KARINA'!$P27/8</f>
        <v>#REF!</v>
      </c>
      <c r="CV31" s="128" t="e">
        <f>'PROJECT TA Y TB KARINA'!$P27/8</f>
        <v>#REF!</v>
      </c>
      <c r="CW31" s="128" t="e">
        <f>'PROJECT TA Y TB KARINA'!$P27/8</f>
        <v>#REF!</v>
      </c>
      <c r="CX31" s="128" t="e">
        <f>'PROJECT TA Y TB KARINA'!$P27/8</f>
        <v>#REF!</v>
      </c>
      <c r="CY31" s="128" t="e">
        <f>'PROJECT TA Y TB KARINA'!$P27/8</f>
        <v>#REF!</v>
      </c>
      <c r="CZ31" s="128" t="e">
        <f>'PROJECT TA Y TB KARINA'!$P27/8</f>
        <v>#REF!</v>
      </c>
      <c r="DA31" s="128" t="e">
        <f>'PROJECT TA Y TB KARINA'!$Q27/8</f>
        <v>#REF!</v>
      </c>
      <c r="DB31" s="128" t="e">
        <f>'PROJECT TA Y TB KARINA'!$Q27/8</f>
        <v>#REF!</v>
      </c>
      <c r="DC31" s="128" t="e">
        <f>'PROJECT TA Y TB KARINA'!$Q27/8</f>
        <v>#REF!</v>
      </c>
      <c r="DD31" s="128" t="e">
        <f>'PROJECT TA Y TB KARINA'!$Q27/8</f>
        <v>#REF!</v>
      </c>
      <c r="DE31" s="128" t="e">
        <f>'PROJECT TA Y TB KARINA'!$Q27/8</f>
        <v>#REF!</v>
      </c>
      <c r="DF31" s="128" t="e">
        <f>'PROJECT TA Y TB KARINA'!$Q27/8</f>
        <v>#REF!</v>
      </c>
      <c r="DG31" s="128" t="e">
        <f>'PROJECT TA Y TB KARINA'!$Q27/8</f>
        <v>#REF!</v>
      </c>
      <c r="DH31" s="128" t="e">
        <f>'PROJECT TA Y TB KARINA'!$Q27/8</f>
        <v>#REF!</v>
      </c>
      <c r="DI31" s="128" t="e">
        <f>'PROJECT TA Y TB KARINA'!$R27/8</f>
        <v>#REF!</v>
      </c>
      <c r="DJ31" s="128" t="e">
        <f>'PROJECT TA Y TB KARINA'!$R27/8</f>
        <v>#REF!</v>
      </c>
      <c r="DK31" s="128" t="e">
        <f>'PROJECT TA Y TB KARINA'!$R27/8</f>
        <v>#REF!</v>
      </c>
      <c r="DL31" s="128" t="e">
        <f>'PROJECT TA Y TB KARINA'!$R27/8</f>
        <v>#REF!</v>
      </c>
      <c r="DM31" s="128" t="e">
        <f>'PROJECT TA Y TB KARINA'!$R27/8</f>
        <v>#REF!</v>
      </c>
      <c r="DN31" s="128" t="e">
        <f>'PROJECT TA Y TB KARINA'!$R27/8</f>
        <v>#REF!</v>
      </c>
      <c r="DO31" s="128" t="e">
        <f>'PROJECT TA Y TB KARINA'!$R27/8</f>
        <v>#REF!</v>
      </c>
      <c r="DP31" s="128" t="e">
        <f>'PROJECT TA Y TB KARINA'!$R27/8</f>
        <v>#REF!</v>
      </c>
      <c r="DQ31" s="128" t="e">
        <f>'PROJECT TA Y TB KARINA'!$S27/8</f>
        <v>#REF!</v>
      </c>
      <c r="DR31" s="128" t="e">
        <f>'PROJECT TA Y TB KARINA'!$S27/8</f>
        <v>#REF!</v>
      </c>
      <c r="DS31" s="128" t="e">
        <f>'PROJECT TA Y TB KARINA'!$S27/8</f>
        <v>#REF!</v>
      </c>
      <c r="DT31" s="128" t="e">
        <f>'PROJECT TA Y TB KARINA'!$S27/8</f>
        <v>#REF!</v>
      </c>
      <c r="DU31" s="128" t="e">
        <f>'PROJECT TA Y TB KARINA'!$S27/8</f>
        <v>#REF!</v>
      </c>
      <c r="DV31" s="128" t="e">
        <f>'PROJECT TA Y TB KARINA'!$S27/8</f>
        <v>#REF!</v>
      </c>
      <c r="DW31" s="128" t="e">
        <f>'PROJECT TA Y TB KARINA'!$S27/8</f>
        <v>#REF!</v>
      </c>
      <c r="DX31" s="128" t="e">
        <f>'PROJECT TA Y TB KARINA'!$S27/8</f>
        <v>#REF!</v>
      </c>
      <c r="DY31" s="128" t="e">
        <f>'PROJECT TA Y TB KARINA'!$T27/8</f>
        <v>#REF!</v>
      </c>
      <c r="DZ31" s="128" t="e">
        <f>'PROJECT TA Y TB KARINA'!$T27/8</f>
        <v>#REF!</v>
      </c>
      <c r="EA31" s="128" t="e">
        <f>'PROJECT TA Y TB KARINA'!$T27/8</f>
        <v>#REF!</v>
      </c>
      <c r="EB31" s="128" t="e">
        <f>'PROJECT TA Y TB KARINA'!$T27/8</f>
        <v>#REF!</v>
      </c>
      <c r="EC31" s="128" t="e">
        <f>'PROJECT TA Y TB KARINA'!$T27/8</f>
        <v>#REF!</v>
      </c>
      <c r="ED31" s="128" t="e">
        <f>'PROJECT TA Y TB KARINA'!$T27/8</f>
        <v>#REF!</v>
      </c>
      <c r="EE31" s="128" t="e">
        <f>'PROJECT TA Y TB KARINA'!$T27/8</f>
        <v>#REF!</v>
      </c>
      <c r="EF31" s="128" t="e">
        <f>'PROJECT TA Y TB KARINA'!$T27/8</f>
        <v>#REF!</v>
      </c>
      <c r="EG31" s="128" t="e">
        <f>'PROJECT TA Y TB KARINA'!#REF!/8</f>
        <v>#REF!</v>
      </c>
      <c r="EH31" s="128" t="e">
        <f>'PROJECT TA Y TB KARINA'!#REF!/8</f>
        <v>#REF!</v>
      </c>
      <c r="EI31" s="128" t="e">
        <f>'PROJECT TA Y TB KARINA'!#REF!/8</f>
        <v>#REF!</v>
      </c>
      <c r="EJ31" s="128" t="e">
        <f>'PROJECT TA Y TB KARINA'!#REF!/8</f>
        <v>#REF!</v>
      </c>
      <c r="EK31" s="128" t="e">
        <f>'PROJECT TA Y TB KARINA'!#REF!/8</f>
        <v>#REF!</v>
      </c>
      <c r="EL31" s="128" t="e">
        <f>'PROJECT TA Y TB KARINA'!#REF!/8</f>
        <v>#REF!</v>
      </c>
      <c r="EM31" s="128" t="e">
        <f>'PROJECT TA Y TB KARINA'!#REF!/8</f>
        <v>#REF!</v>
      </c>
      <c r="EN31" s="128" t="e">
        <f>'PROJECT TA Y TB KARINA'!#REF!/8</f>
        <v>#REF!</v>
      </c>
      <c r="EO31" s="128">
        <f>'PROJECT TA Y TB KARINA'!$C85/8</f>
        <v>0</v>
      </c>
      <c r="EP31" s="128">
        <f>'PROJECT TA Y TB KARINA'!$C85/8</f>
        <v>0</v>
      </c>
      <c r="EQ31" s="128">
        <f>'PROJECT TA Y TB KARINA'!$C85/8</f>
        <v>0</v>
      </c>
      <c r="ER31" s="128">
        <f>'PROJECT TA Y TB KARINA'!$C85/8</f>
        <v>0</v>
      </c>
      <c r="ES31" s="128">
        <f>'PROJECT TA Y TB KARINA'!$C85/8</f>
        <v>0</v>
      </c>
      <c r="ET31" s="128">
        <f>'PROJECT TA Y TB KARINA'!$C85/8</f>
        <v>0</v>
      </c>
      <c r="EU31" s="128">
        <f>'PROJECT TA Y TB KARINA'!$C85/8</f>
        <v>0</v>
      </c>
      <c r="EV31" s="128">
        <f>'PROJECT TA Y TB KARINA'!$E85/8</f>
        <v>0</v>
      </c>
      <c r="EW31" s="128">
        <f>'PROJECT TA Y TB KARINA'!$E85/8</f>
        <v>0</v>
      </c>
      <c r="EX31" s="128">
        <f>'PROJECT TA Y TB KARINA'!$E85/8</f>
        <v>0</v>
      </c>
      <c r="EY31" s="128">
        <f>'PROJECT TA Y TB KARINA'!$E85/8</f>
        <v>0</v>
      </c>
      <c r="EZ31" s="128">
        <f>'PROJECT TA Y TB KARINA'!$E85/8</f>
        <v>0</v>
      </c>
      <c r="FA31" s="128">
        <f>'PROJECT TA Y TB KARINA'!$E85/8</f>
        <v>0</v>
      </c>
      <c r="FB31" s="128">
        <f>'PROJECT TA Y TB KARINA'!$E85/8</f>
        <v>0</v>
      </c>
      <c r="FC31" s="128">
        <f>'PROJECT TA Y TB KARINA'!$E85/8</f>
        <v>0</v>
      </c>
      <c r="FD31" s="128">
        <f>'PROJECT TA Y TB KARINA'!$F85/8</f>
        <v>0</v>
      </c>
      <c r="FE31" s="128">
        <f>'PROJECT TA Y TB KARINA'!$F85/8</f>
        <v>0</v>
      </c>
      <c r="FF31" s="128">
        <f>'PROJECT TA Y TB KARINA'!$F85/8</f>
        <v>0</v>
      </c>
      <c r="FG31" s="128">
        <f>'PROJECT TA Y TB KARINA'!$F85/8</f>
        <v>0</v>
      </c>
      <c r="FH31" s="128">
        <f>'PROJECT TA Y TB KARINA'!$F85/8</f>
        <v>0</v>
      </c>
      <c r="FI31" s="128">
        <f>'PROJECT TA Y TB KARINA'!$F85/8</f>
        <v>0</v>
      </c>
      <c r="FJ31" s="128">
        <f>'PROJECT TA Y TB KARINA'!$F85/8</f>
        <v>0</v>
      </c>
      <c r="FK31" s="128">
        <f>'PROJECT TA Y TB KARINA'!$F85/8</f>
        <v>0</v>
      </c>
      <c r="FL31" s="128">
        <f>'PROJECT TA Y TB KARINA'!$G85/8</f>
        <v>0</v>
      </c>
      <c r="FM31" s="128">
        <f>'PROJECT TA Y TB KARINA'!$G85/8</f>
        <v>0</v>
      </c>
      <c r="FN31" s="128">
        <f>'PROJECT TA Y TB KARINA'!$G85/8</f>
        <v>0</v>
      </c>
      <c r="FO31" s="128">
        <f>'PROJECT TA Y TB KARINA'!$G85/8</f>
        <v>0</v>
      </c>
      <c r="FP31" s="128">
        <f>'PROJECT TA Y TB KARINA'!$G85/8</f>
        <v>0</v>
      </c>
      <c r="FQ31" s="128">
        <f>'PROJECT TA Y TB KARINA'!$G85/8</f>
        <v>0</v>
      </c>
      <c r="FR31" s="128">
        <f>'PROJECT TA Y TB KARINA'!$G85/8</f>
        <v>0</v>
      </c>
      <c r="FS31" s="128">
        <f>'PROJECT TA Y TB KARINA'!$G85/8</f>
        <v>0</v>
      </c>
      <c r="FT31" s="128">
        <f>'PROJECT TA Y TB KARINA'!$H85/8</f>
        <v>0</v>
      </c>
      <c r="FU31" s="128">
        <f>'PROJECT TA Y TB KARINA'!$H85/8</f>
        <v>0</v>
      </c>
      <c r="FV31" s="128">
        <f>'PROJECT TA Y TB KARINA'!$H85/8</f>
        <v>0</v>
      </c>
      <c r="FW31" s="128">
        <f>'PROJECT TA Y TB KARINA'!$H85/8</f>
        <v>0</v>
      </c>
      <c r="FX31" s="128">
        <f>'PROJECT TA Y TB KARINA'!$H85/8</f>
        <v>0</v>
      </c>
      <c r="FY31" s="128">
        <f>'PROJECT TA Y TB KARINA'!$H85/8</f>
        <v>0</v>
      </c>
      <c r="FZ31" s="128">
        <f>'PROJECT TA Y TB KARINA'!$H85/8</f>
        <v>0</v>
      </c>
      <c r="GA31" s="128">
        <f>'PROJECT TA Y TB KARINA'!$H85/8</f>
        <v>0</v>
      </c>
      <c r="GB31" s="128">
        <f>'PROJECT TA Y TB KARINA'!$I85/8</f>
        <v>0</v>
      </c>
      <c r="GC31" s="128">
        <f>'PROJECT TA Y TB KARINA'!$I85/8</f>
        <v>0</v>
      </c>
      <c r="GD31" s="128">
        <f>'PROJECT TA Y TB KARINA'!$I85/8</f>
        <v>0</v>
      </c>
      <c r="GE31" s="128">
        <f>'PROJECT TA Y TB KARINA'!$I85/8</f>
        <v>0</v>
      </c>
      <c r="GF31" s="128">
        <f>'PROJECT TA Y TB KARINA'!$I85/8</f>
        <v>0</v>
      </c>
      <c r="GG31" s="128">
        <f>'PROJECT TA Y TB KARINA'!$I85/8</f>
        <v>0</v>
      </c>
      <c r="GH31" s="128">
        <f>'PROJECT TA Y TB KARINA'!$I85/8</f>
        <v>0</v>
      </c>
      <c r="GI31" s="128">
        <f>'PROJECT TA Y TB KARINA'!$I85/8</f>
        <v>0</v>
      </c>
      <c r="GJ31" s="128">
        <f>'PROJECT TA Y TB KARINA'!$J85/8</f>
        <v>0</v>
      </c>
      <c r="GK31" s="128">
        <f>'PROJECT TA Y TB KARINA'!$J85/8</f>
        <v>0</v>
      </c>
      <c r="GL31" s="128">
        <f>'PROJECT TA Y TB KARINA'!$J85/8</f>
        <v>0</v>
      </c>
      <c r="GM31" s="128">
        <f>'PROJECT TA Y TB KARINA'!$J85/8</f>
        <v>0</v>
      </c>
      <c r="GN31" s="128">
        <f>'PROJECT TA Y TB KARINA'!$J85/8</f>
        <v>0</v>
      </c>
      <c r="GO31" s="128">
        <f>'PROJECT TA Y TB KARINA'!$J85/8</f>
        <v>0</v>
      </c>
      <c r="GP31" s="128">
        <f>'PROJECT TA Y TB KARINA'!$J85/8</f>
        <v>0</v>
      </c>
      <c r="GQ31" s="128">
        <f>'PROJECT TA Y TB KARINA'!$J85/8</f>
        <v>0</v>
      </c>
      <c r="GR31" s="128">
        <f>'PROJECT TA Y TB KARINA'!$K85/8</f>
        <v>0</v>
      </c>
      <c r="GS31" s="128">
        <f>'PROJECT TA Y TB KARINA'!$K85/8</f>
        <v>0</v>
      </c>
      <c r="GT31" s="128">
        <f>'PROJECT TA Y TB KARINA'!$K85/8</f>
        <v>0</v>
      </c>
      <c r="GU31" s="128">
        <f>'PROJECT TA Y TB KARINA'!$K85/8</f>
        <v>0</v>
      </c>
      <c r="GV31" s="128">
        <f>'PROJECT TA Y TB KARINA'!$K85/8</f>
        <v>0</v>
      </c>
      <c r="GW31" s="128">
        <f>'PROJECT TA Y TB KARINA'!$K85/8</f>
        <v>0</v>
      </c>
      <c r="GX31" s="128">
        <f>'PROJECT TA Y TB KARINA'!$K85/8</f>
        <v>0</v>
      </c>
      <c r="GY31" s="128">
        <f>'PROJECT TA Y TB KARINA'!$K85/8</f>
        <v>0</v>
      </c>
      <c r="GZ31" s="128">
        <f>'PROJECT TA Y TB KARINA'!$L85/8</f>
        <v>0</v>
      </c>
      <c r="HA31" s="128">
        <f>'PROJECT TA Y TB KARINA'!$L85/8</f>
        <v>0</v>
      </c>
      <c r="HB31" s="128">
        <f>'PROJECT TA Y TB KARINA'!$L85/8</f>
        <v>0</v>
      </c>
      <c r="HC31" s="128">
        <f>'PROJECT TA Y TB KARINA'!$L85/8</f>
        <v>0</v>
      </c>
      <c r="HD31" s="128">
        <f>'PROJECT TA Y TB KARINA'!$L85/8</f>
        <v>0</v>
      </c>
      <c r="HE31" s="128">
        <f>'PROJECT TA Y TB KARINA'!$L85/8</f>
        <v>0</v>
      </c>
      <c r="HF31" s="128">
        <f>'PROJECT TA Y TB KARINA'!$L85/8</f>
        <v>0</v>
      </c>
      <c r="HG31" s="128">
        <f>'PROJECT TA Y TB KARINA'!$L85/8</f>
        <v>0</v>
      </c>
      <c r="HH31" s="128">
        <f>'PROJECT TA Y TB KARINA'!$M85/8</f>
        <v>0</v>
      </c>
      <c r="HI31" s="128">
        <f>'PROJECT TA Y TB KARINA'!$M85/8</f>
        <v>0</v>
      </c>
      <c r="HJ31" s="128">
        <f>'PROJECT TA Y TB KARINA'!$M85/8</f>
        <v>0</v>
      </c>
      <c r="HK31" s="128">
        <f>'PROJECT TA Y TB KARINA'!$M85/8</f>
        <v>0</v>
      </c>
      <c r="HL31" s="128">
        <f>'PROJECT TA Y TB KARINA'!$M85/8</f>
        <v>0</v>
      </c>
      <c r="HM31" s="128">
        <f>'PROJECT TA Y TB KARINA'!$M85/8</f>
        <v>0</v>
      </c>
      <c r="HN31" s="128">
        <f>'PROJECT TA Y TB KARINA'!$M85/8</f>
        <v>0</v>
      </c>
      <c r="HO31" s="128">
        <f>'PROJECT TA Y TB KARINA'!$M85/8</f>
        <v>0</v>
      </c>
      <c r="HP31" s="128">
        <f>'PROJECT TA Y TB KARINA'!$N85/8</f>
        <v>0</v>
      </c>
      <c r="HQ31" s="128">
        <f>'PROJECT TA Y TB KARINA'!$N85/8</f>
        <v>0</v>
      </c>
      <c r="HR31" s="128">
        <f>'PROJECT TA Y TB KARINA'!$N85/8</f>
        <v>0</v>
      </c>
      <c r="HS31" s="128">
        <f>'PROJECT TA Y TB KARINA'!$N85/8</f>
        <v>0</v>
      </c>
      <c r="HT31" s="128">
        <f>'PROJECT TA Y TB KARINA'!$N85/8</f>
        <v>0</v>
      </c>
      <c r="HU31" s="128">
        <f>'PROJECT TA Y TB KARINA'!$N85/8</f>
        <v>0</v>
      </c>
      <c r="HV31" s="128">
        <f>'PROJECT TA Y TB KARINA'!$N85/8</f>
        <v>0</v>
      </c>
      <c r="HW31" s="128">
        <f>'PROJECT TA Y TB KARINA'!$N85/8</f>
        <v>0</v>
      </c>
      <c r="HX31" s="128">
        <f>'PROJECT TA Y TB KARINA'!$O85/8</f>
        <v>0</v>
      </c>
      <c r="HY31" s="128">
        <f>'PROJECT TA Y TB KARINA'!$O85/8</f>
        <v>0</v>
      </c>
      <c r="HZ31" s="128">
        <f>'PROJECT TA Y TB KARINA'!$O85/8</f>
        <v>0</v>
      </c>
      <c r="IA31" s="128">
        <f>'PROJECT TA Y TB KARINA'!$O85/8</f>
        <v>0</v>
      </c>
      <c r="IB31" s="128">
        <f>'PROJECT TA Y TB KARINA'!$O85/8</f>
        <v>0</v>
      </c>
      <c r="IC31" s="128">
        <f>'PROJECT TA Y TB KARINA'!$O85/8</f>
        <v>0</v>
      </c>
      <c r="ID31" s="128">
        <f>'PROJECT TA Y TB KARINA'!$O85/8</f>
        <v>0</v>
      </c>
      <c r="IE31" s="128">
        <f>'PROJECT TA Y TB KARINA'!$O85/8</f>
        <v>0</v>
      </c>
      <c r="IF31" s="128">
        <f>'PROJECT TA Y TB KARINA'!$P85/8</f>
        <v>0</v>
      </c>
      <c r="IG31" s="128">
        <f>'PROJECT TA Y TB KARINA'!$P85/8</f>
        <v>0</v>
      </c>
      <c r="IH31" s="128">
        <f>'PROJECT TA Y TB KARINA'!$P85/8</f>
        <v>0</v>
      </c>
      <c r="II31" s="128">
        <f>'PROJECT TA Y TB KARINA'!$P85/8</f>
        <v>0</v>
      </c>
      <c r="IJ31" s="128">
        <f>'PROJECT TA Y TB KARINA'!$P85/8</f>
        <v>0</v>
      </c>
      <c r="IK31" s="128">
        <f>'PROJECT TA Y TB KARINA'!$P85/8</f>
        <v>0</v>
      </c>
      <c r="IL31" s="128">
        <f>'PROJECT TA Y TB KARINA'!$P85/8</f>
        <v>0</v>
      </c>
      <c r="IM31" s="128">
        <f>'PROJECT TA Y TB KARINA'!$P85/8</f>
        <v>0</v>
      </c>
      <c r="IN31" s="128">
        <f>'PROJECT TA Y TB KARINA'!$Q85/8</f>
        <v>0</v>
      </c>
      <c r="IO31" s="128">
        <f>'PROJECT TA Y TB KARINA'!$Q85/8</f>
        <v>0</v>
      </c>
      <c r="IP31" s="128">
        <f>'PROJECT TA Y TB KARINA'!$Q85/8</f>
        <v>0</v>
      </c>
      <c r="IQ31" s="128">
        <f>'PROJECT TA Y TB KARINA'!$Q85/8</f>
        <v>0</v>
      </c>
      <c r="IR31" s="128">
        <f>'PROJECT TA Y TB KARINA'!$Q85/8</f>
        <v>0</v>
      </c>
      <c r="IS31" s="128">
        <f>'PROJECT TA Y TB KARINA'!$Q85/8</f>
        <v>0</v>
      </c>
      <c r="IT31" s="128">
        <f>'PROJECT TA Y TB KARINA'!$Q85/8</f>
        <v>0</v>
      </c>
      <c r="IU31" s="128">
        <f>'PROJECT TA Y TB KARINA'!$Q85/8</f>
        <v>0</v>
      </c>
      <c r="IV31" s="128">
        <f>'PROJECT TA Y TB KARINA'!$R85/8</f>
        <v>0</v>
      </c>
      <c r="IW31" s="128">
        <f>'PROJECT TA Y TB KARINA'!$R85/8</f>
        <v>0</v>
      </c>
      <c r="IX31" s="128">
        <f>'PROJECT TA Y TB KARINA'!$R85/8</f>
        <v>0</v>
      </c>
      <c r="IY31" s="128">
        <f>'PROJECT TA Y TB KARINA'!$R85/8</f>
        <v>0</v>
      </c>
      <c r="IZ31" s="128">
        <f>'PROJECT TA Y TB KARINA'!$R85/8</f>
        <v>0</v>
      </c>
      <c r="JA31" s="128">
        <f>'PROJECT TA Y TB KARINA'!$R85/8</f>
        <v>0</v>
      </c>
      <c r="JB31" s="128">
        <f>'PROJECT TA Y TB KARINA'!$R85/8</f>
        <v>0</v>
      </c>
      <c r="JC31" s="128">
        <f>'PROJECT TA Y TB KARINA'!$R85/8</f>
        <v>0</v>
      </c>
      <c r="JD31" s="128">
        <f>'PROJECT TA Y TB KARINA'!$S85/8</f>
        <v>0</v>
      </c>
      <c r="JE31" s="128">
        <f>'PROJECT TA Y TB KARINA'!$S85/8</f>
        <v>0</v>
      </c>
      <c r="JF31" s="128">
        <f>'PROJECT TA Y TB KARINA'!$S85/8</f>
        <v>0</v>
      </c>
      <c r="JG31" s="128">
        <f>'PROJECT TA Y TB KARINA'!$S85/8</f>
        <v>0</v>
      </c>
      <c r="JH31" s="128">
        <f>'PROJECT TA Y TB KARINA'!$S85/8</f>
        <v>0</v>
      </c>
      <c r="JI31" s="128">
        <f>'PROJECT TA Y TB KARINA'!$S85/8</f>
        <v>0</v>
      </c>
      <c r="JJ31" s="128">
        <f>'PROJECT TA Y TB KARINA'!$S85/8</f>
        <v>0</v>
      </c>
      <c r="JK31" s="128">
        <f>'PROJECT TA Y TB KARINA'!$S85/8</f>
        <v>0</v>
      </c>
      <c r="JL31" s="128">
        <f>'PROJECT TA Y TB KARINA'!$T85/8</f>
        <v>0</v>
      </c>
      <c r="JM31" s="128">
        <f>'PROJECT TA Y TB KARINA'!$T85/8</f>
        <v>0</v>
      </c>
      <c r="JN31" s="128">
        <f>'PROJECT TA Y TB KARINA'!$T85/8</f>
        <v>0</v>
      </c>
      <c r="JO31" s="128">
        <f>'PROJECT TA Y TB KARINA'!$T85/8</f>
        <v>0</v>
      </c>
      <c r="JP31" s="128">
        <f>'PROJECT TA Y TB KARINA'!$T85/8</f>
        <v>0</v>
      </c>
      <c r="JQ31" s="128">
        <f>'PROJECT TA Y TB KARINA'!$T85/8</f>
        <v>0</v>
      </c>
      <c r="JR31" s="128">
        <f>'PROJECT TA Y TB KARINA'!$T85/8</f>
        <v>0</v>
      </c>
      <c r="JS31" s="128">
        <f>'PROJECT TA Y TB KARINA'!$T85/8</f>
        <v>0</v>
      </c>
      <c r="JT31" s="128" t="e">
        <f>'PROJECT TA Y TB KARINA'!#REF!/8</f>
        <v>#REF!</v>
      </c>
      <c r="JU31" s="128" t="e">
        <f>'PROJECT TA Y TB KARINA'!#REF!/8</f>
        <v>#REF!</v>
      </c>
      <c r="JV31" s="128" t="e">
        <f>'PROJECT TA Y TB KARINA'!#REF!/8</f>
        <v>#REF!</v>
      </c>
      <c r="JW31" s="128" t="e">
        <f>'PROJECT TA Y TB KARINA'!#REF!/8</f>
        <v>#REF!</v>
      </c>
      <c r="JX31" s="128" t="e">
        <f>'PROJECT TA Y TB KARINA'!#REF!/8</f>
        <v>#REF!</v>
      </c>
      <c r="JY31" s="128" t="e">
        <f>'PROJECT TA Y TB KARINA'!#REF!/8</f>
        <v>#REF!</v>
      </c>
      <c r="JZ31" s="128" t="e">
        <f>'PROJECT TA Y TB KARINA'!#REF!/8</f>
        <v>#REF!</v>
      </c>
      <c r="KA31" s="128" t="e">
        <f>'PROJECT TA Y TB KARINA'!#REF!/8</f>
        <v>#REF!</v>
      </c>
    </row>
    <row r="32" spans="1:287" ht="21">
      <c r="A32" s="131" t="s">
        <v>485</v>
      </c>
      <c r="B32" s="128" t="e">
        <f>'PROJECT TA Y TB KARINA'!$C$28/8</f>
        <v>#REF!</v>
      </c>
      <c r="C32" s="128" t="e">
        <f>'PROJECT TA Y TB KARINA'!$C$28/8</f>
        <v>#REF!</v>
      </c>
      <c r="D32" s="128" t="e">
        <f>'PROJECT TA Y TB KARINA'!$C$28/8</f>
        <v>#REF!</v>
      </c>
      <c r="E32" s="128" t="e">
        <f>'PROJECT TA Y TB KARINA'!$C$28/8</f>
        <v>#REF!</v>
      </c>
      <c r="F32" s="128" t="e">
        <f>'PROJECT TA Y TB KARINA'!$C$28/8</f>
        <v>#REF!</v>
      </c>
      <c r="G32" s="128" t="e">
        <f>'PROJECT TA Y TB KARINA'!$C$28/8</f>
        <v>#REF!</v>
      </c>
      <c r="H32" s="128" t="e">
        <f>'PROJECT TA Y TB KARINA'!$C$28/8</f>
        <v>#REF!</v>
      </c>
      <c r="I32" s="128" t="e">
        <f>'PROJECT TA Y TB KARINA'!$E28/8</f>
        <v>#REF!</v>
      </c>
      <c r="J32" s="128" t="e">
        <f>'PROJECT TA Y TB KARINA'!$E28/8</f>
        <v>#REF!</v>
      </c>
      <c r="K32" s="128" t="e">
        <f>'PROJECT TA Y TB KARINA'!$E28/8</f>
        <v>#REF!</v>
      </c>
      <c r="L32" s="128" t="e">
        <f>'PROJECT TA Y TB KARINA'!$E28/8</f>
        <v>#REF!</v>
      </c>
      <c r="M32" s="128" t="e">
        <f>'PROJECT TA Y TB KARINA'!$E28/8</f>
        <v>#REF!</v>
      </c>
      <c r="N32" s="128" t="e">
        <f>'PROJECT TA Y TB KARINA'!$E28/8</f>
        <v>#REF!</v>
      </c>
      <c r="O32" s="128" t="e">
        <f>'PROJECT TA Y TB KARINA'!$E28/8</f>
        <v>#REF!</v>
      </c>
      <c r="P32" s="128" t="e">
        <f>'PROJECT TA Y TB KARINA'!$E28/8</f>
        <v>#REF!</v>
      </c>
      <c r="Q32" s="128" t="e">
        <f>'PROJECT TA Y TB KARINA'!$F28/8</f>
        <v>#REF!</v>
      </c>
      <c r="R32" s="128" t="e">
        <f>'PROJECT TA Y TB KARINA'!$F28/8</f>
        <v>#REF!</v>
      </c>
      <c r="S32" s="128" t="e">
        <f>'PROJECT TA Y TB KARINA'!$F28/8</f>
        <v>#REF!</v>
      </c>
      <c r="T32" s="128" t="e">
        <f>'PROJECT TA Y TB KARINA'!$F28/8</f>
        <v>#REF!</v>
      </c>
      <c r="U32" s="128" t="e">
        <f>'PROJECT TA Y TB KARINA'!$F28/8</f>
        <v>#REF!</v>
      </c>
      <c r="V32" s="128" t="e">
        <f>'PROJECT TA Y TB KARINA'!$F28/8</f>
        <v>#REF!</v>
      </c>
      <c r="W32" s="128" t="e">
        <f>'PROJECT TA Y TB KARINA'!$F28/8</f>
        <v>#REF!</v>
      </c>
      <c r="X32" s="128" t="e">
        <f>'PROJECT TA Y TB KARINA'!$F28/8</f>
        <v>#REF!</v>
      </c>
      <c r="Y32" s="128" t="e">
        <f>'PROJECT TA Y TB KARINA'!$G28/8</f>
        <v>#REF!</v>
      </c>
      <c r="Z32" s="128" t="e">
        <f>'PROJECT TA Y TB KARINA'!$G28/8</f>
        <v>#REF!</v>
      </c>
      <c r="AA32" s="128" t="e">
        <f>'PROJECT TA Y TB KARINA'!$G28/8</f>
        <v>#REF!</v>
      </c>
      <c r="AB32" s="128" t="e">
        <f>'PROJECT TA Y TB KARINA'!$G28/8</f>
        <v>#REF!</v>
      </c>
      <c r="AC32" s="128" t="e">
        <f>'PROJECT TA Y TB KARINA'!$G28/8</f>
        <v>#REF!</v>
      </c>
      <c r="AD32" s="128" t="e">
        <f>'PROJECT TA Y TB KARINA'!$G28/8</f>
        <v>#REF!</v>
      </c>
      <c r="AE32" s="128" t="e">
        <f>'PROJECT TA Y TB KARINA'!$G28/8</f>
        <v>#REF!</v>
      </c>
      <c r="AF32" s="128" t="e">
        <f>'PROJECT TA Y TB KARINA'!$G28/8</f>
        <v>#REF!</v>
      </c>
      <c r="AG32" s="128" t="e">
        <f>'PROJECT TA Y TB KARINA'!$H28/8</f>
        <v>#REF!</v>
      </c>
      <c r="AH32" s="128" t="e">
        <f>'PROJECT TA Y TB KARINA'!$H28/8</f>
        <v>#REF!</v>
      </c>
      <c r="AI32" s="128" t="e">
        <f>'PROJECT TA Y TB KARINA'!$H28/8</f>
        <v>#REF!</v>
      </c>
      <c r="AJ32" s="128" t="e">
        <f>'PROJECT TA Y TB KARINA'!$H28/8</f>
        <v>#REF!</v>
      </c>
      <c r="AK32" s="128" t="e">
        <f>'PROJECT TA Y TB KARINA'!$H28/8</f>
        <v>#REF!</v>
      </c>
      <c r="AL32" s="128" t="e">
        <f>'PROJECT TA Y TB KARINA'!$H28/8</f>
        <v>#REF!</v>
      </c>
      <c r="AM32" s="128" t="e">
        <f>'PROJECT TA Y TB KARINA'!$H28/8</f>
        <v>#REF!</v>
      </c>
      <c r="AN32" s="128" t="e">
        <f>'PROJECT TA Y TB KARINA'!$H28/8</f>
        <v>#REF!</v>
      </c>
      <c r="AO32" s="128" t="e">
        <f>'PROJECT TA Y TB KARINA'!$I28/8</f>
        <v>#REF!</v>
      </c>
      <c r="AP32" s="128" t="e">
        <f>'PROJECT TA Y TB KARINA'!$I28/8</f>
        <v>#REF!</v>
      </c>
      <c r="AQ32" s="128" t="e">
        <f>'PROJECT TA Y TB KARINA'!$I28/8</f>
        <v>#REF!</v>
      </c>
      <c r="AR32" s="128" t="e">
        <f>'PROJECT TA Y TB KARINA'!$I28/8</f>
        <v>#REF!</v>
      </c>
      <c r="AS32" s="128" t="e">
        <f>'PROJECT TA Y TB KARINA'!$I28/8</f>
        <v>#REF!</v>
      </c>
      <c r="AT32" s="128" t="e">
        <f>'PROJECT TA Y TB KARINA'!$I28/8</f>
        <v>#REF!</v>
      </c>
      <c r="AU32" s="128" t="e">
        <f>'PROJECT TA Y TB KARINA'!$I28/8</f>
        <v>#REF!</v>
      </c>
      <c r="AV32" s="128" t="e">
        <f>'PROJECT TA Y TB KARINA'!$I28/8</f>
        <v>#REF!</v>
      </c>
      <c r="AW32" s="128" t="e">
        <f>'PROJECT TA Y TB KARINA'!$J28/8</f>
        <v>#REF!</v>
      </c>
      <c r="AX32" s="128" t="e">
        <f>'PROJECT TA Y TB KARINA'!$J28/8</f>
        <v>#REF!</v>
      </c>
      <c r="AY32" s="128" t="e">
        <f>'PROJECT TA Y TB KARINA'!$J28/8</f>
        <v>#REF!</v>
      </c>
      <c r="AZ32" s="128" t="e">
        <f>'PROJECT TA Y TB KARINA'!$J28/8</f>
        <v>#REF!</v>
      </c>
      <c r="BA32" s="128" t="e">
        <f>'PROJECT TA Y TB KARINA'!$J28/8</f>
        <v>#REF!</v>
      </c>
      <c r="BB32" s="128" t="e">
        <f>'PROJECT TA Y TB KARINA'!$J28/8</f>
        <v>#REF!</v>
      </c>
      <c r="BC32" s="128" t="e">
        <f>'PROJECT TA Y TB KARINA'!$J28/8</f>
        <v>#REF!</v>
      </c>
      <c r="BD32" s="128" t="e">
        <f>'PROJECT TA Y TB KARINA'!$J28/8</f>
        <v>#REF!</v>
      </c>
      <c r="BE32" s="128" t="e">
        <f>'PROJECT TA Y TB KARINA'!$K28/8</f>
        <v>#REF!</v>
      </c>
      <c r="BF32" s="128" t="e">
        <f>'PROJECT TA Y TB KARINA'!$K28/8</f>
        <v>#REF!</v>
      </c>
      <c r="BG32" s="128" t="e">
        <f>'PROJECT TA Y TB KARINA'!$K28/8</f>
        <v>#REF!</v>
      </c>
      <c r="BH32" s="128" t="e">
        <f>'PROJECT TA Y TB KARINA'!$K28/8</f>
        <v>#REF!</v>
      </c>
      <c r="BI32" s="128" t="e">
        <f>'PROJECT TA Y TB KARINA'!$K28/8</f>
        <v>#REF!</v>
      </c>
      <c r="BJ32" s="128" t="e">
        <f>'PROJECT TA Y TB KARINA'!$K28/8</f>
        <v>#REF!</v>
      </c>
      <c r="BK32" s="128" t="e">
        <f>'PROJECT TA Y TB KARINA'!$K28/8</f>
        <v>#REF!</v>
      </c>
      <c r="BL32" s="128" t="e">
        <f>'PROJECT TA Y TB KARINA'!$K28/8</f>
        <v>#REF!</v>
      </c>
      <c r="BM32" s="128" t="e">
        <f>'PROJECT TA Y TB KARINA'!$L28/8</f>
        <v>#REF!</v>
      </c>
      <c r="BN32" s="128" t="e">
        <f>'PROJECT TA Y TB KARINA'!$L28/8</f>
        <v>#REF!</v>
      </c>
      <c r="BO32" s="128" t="e">
        <f>'PROJECT TA Y TB KARINA'!$L28/8</f>
        <v>#REF!</v>
      </c>
      <c r="BP32" s="128" t="e">
        <f>'PROJECT TA Y TB KARINA'!$L28/8</f>
        <v>#REF!</v>
      </c>
      <c r="BQ32" s="128" t="e">
        <f>'PROJECT TA Y TB KARINA'!$L28/8</f>
        <v>#REF!</v>
      </c>
      <c r="BR32" s="128" t="e">
        <f>'PROJECT TA Y TB KARINA'!$L28/8</f>
        <v>#REF!</v>
      </c>
      <c r="BS32" s="128" t="e">
        <f>'PROJECT TA Y TB KARINA'!$L28/8</f>
        <v>#REF!</v>
      </c>
      <c r="BT32" s="128" t="e">
        <f>'PROJECT TA Y TB KARINA'!$L28/8</f>
        <v>#REF!</v>
      </c>
      <c r="BU32" s="128" t="e">
        <f>'PROJECT TA Y TB KARINA'!$M28/8</f>
        <v>#REF!</v>
      </c>
      <c r="BV32" s="128" t="e">
        <f>'PROJECT TA Y TB KARINA'!$M28/8</f>
        <v>#REF!</v>
      </c>
      <c r="BW32" s="128" t="e">
        <f>'PROJECT TA Y TB KARINA'!$M28/8</f>
        <v>#REF!</v>
      </c>
      <c r="BX32" s="128" t="e">
        <f>'PROJECT TA Y TB KARINA'!$M28/8</f>
        <v>#REF!</v>
      </c>
      <c r="BY32" s="128" t="e">
        <f>'PROJECT TA Y TB KARINA'!$M28/8</f>
        <v>#REF!</v>
      </c>
      <c r="BZ32" s="128" t="e">
        <f>'PROJECT TA Y TB KARINA'!$M28/8</f>
        <v>#REF!</v>
      </c>
      <c r="CA32" s="128" t="e">
        <f>'PROJECT TA Y TB KARINA'!$M28/8</f>
        <v>#REF!</v>
      </c>
      <c r="CB32" s="128" t="e">
        <f>'PROJECT TA Y TB KARINA'!$M28/8</f>
        <v>#REF!</v>
      </c>
      <c r="CC32" s="128" t="e">
        <f>'PROJECT TA Y TB KARINA'!$N28/8</f>
        <v>#REF!</v>
      </c>
      <c r="CD32" s="128" t="e">
        <f>'PROJECT TA Y TB KARINA'!$N28/8</f>
        <v>#REF!</v>
      </c>
      <c r="CE32" s="128" t="e">
        <f>'PROJECT TA Y TB KARINA'!$N28/8</f>
        <v>#REF!</v>
      </c>
      <c r="CF32" s="128" t="e">
        <f>'PROJECT TA Y TB KARINA'!$N28/8</f>
        <v>#REF!</v>
      </c>
      <c r="CG32" s="128" t="e">
        <f>'PROJECT TA Y TB KARINA'!$N28/8</f>
        <v>#REF!</v>
      </c>
      <c r="CH32" s="128" t="e">
        <f>'PROJECT TA Y TB KARINA'!$N28/8</f>
        <v>#REF!</v>
      </c>
      <c r="CI32" s="128" t="e">
        <f>'PROJECT TA Y TB KARINA'!$N28/8</f>
        <v>#REF!</v>
      </c>
      <c r="CJ32" s="128" t="e">
        <f>'PROJECT TA Y TB KARINA'!$N28/8</f>
        <v>#REF!</v>
      </c>
      <c r="CK32" s="128" t="e">
        <f>'PROJECT TA Y TB KARINA'!$O28/8</f>
        <v>#REF!</v>
      </c>
      <c r="CL32" s="128" t="e">
        <f>'PROJECT TA Y TB KARINA'!$O28/8</f>
        <v>#REF!</v>
      </c>
      <c r="CM32" s="128" t="e">
        <f>'PROJECT TA Y TB KARINA'!$O28/8</f>
        <v>#REF!</v>
      </c>
      <c r="CN32" s="128" t="e">
        <f>'PROJECT TA Y TB KARINA'!$O28/8</f>
        <v>#REF!</v>
      </c>
      <c r="CO32" s="128" t="e">
        <f>'PROJECT TA Y TB KARINA'!$O28/8</f>
        <v>#REF!</v>
      </c>
      <c r="CP32" s="128" t="e">
        <f>'PROJECT TA Y TB KARINA'!$O28/8</f>
        <v>#REF!</v>
      </c>
      <c r="CQ32" s="128" t="e">
        <f>'PROJECT TA Y TB KARINA'!$O28/8</f>
        <v>#REF!</v>
      </c>
      <c r="CR32" s="128" t="e">
        <f>'PROJECT TA Y TB KARINA'!$O28/8</f>
        <v>#REF!</v>
      </c>
      <c r="CS32" s="128" t="e">
        <f>'PROJECT TA Y TB KARINA'!$P28/8</f>
        <v>#REF!</v>
      </c>
      <c r="CT32" s="128" t="e">
        <f>'PROJECT TA Y TB KARINA'!$P28/8</f>
        <v>#REF!</v>
      </c>
      <c r="CU32" s="128" t="e">
        <f>'PROJECT TA Y TB KARINA'!$P28/8</f>
        <v>#REF!</v>
      </c>
      <c r="CV32" s="128" t="e">
        <f>'PROJECT TA Y TB KARINA'!$P28/8</f>
        <v>#REF!</v>
      </c>
      <c r="CW32" s="128" t="e">
        <f>'PROJECT TA Y TB KARINA'!$P28/8</f>
        <v>#REF!</v>
      </c>
      <c r="CX32" s="128" t="e">
        <f>'PROJECT TA Y TB KARINA'!$P28/8</f>
        <v>#REF!</v>
      </c>
      <c r="CY32" s="128" t="e">
        <f>'PROJECT TA Y TB KARINA'!$P28/8</f>
        <v>#REF!</v>
      </c>
      <c r="CZ32" s="128" t="e">
        <f>'PROJECT TA Y TB KARINA'!$P28/8</f>
        <v>#REF!</v>
      </c>
      <c r="DA32" s="128" t="e">
        <f>'PROJECT TA Y TB KARINA'!$Q28/8</f>
        <v>#REF!</v>
      </c>
      <c r="DB32" s="128" t="e">
        <f>'PROJECT TA Y TB KARINA'!$Q28/8</f>
        <v>#REF!</v>
      </c>
      <c r="DC32" s="128" t="e">
        <f>'PROJECT TA Y TB KARINA'!$Q28/8</f>
        <v>#REF!</v>
      </c>
      <c r="DD32" s="128" t="e">
        <f>'PROJECT TA Y TB KARINA'!$Q28/8</f>
        <v>#REF!</v>
      </c>
      <c r="DE32" s="128" t="e">
        <f>'PROJECT TA Y TB KARINA'!$Q28/8</f>
        <v>#REF!</v>
      </c>
      <c r="DF32" s="128" t="e">
        <f>'PROJECT TA Y TB KARINA'!$Q28/8</f>
        <v>#REF!</v>
      </c>
      <c r="DG32" s="128" t="e">
        <f>'PROJECT TA Y TB KARINA'!$Q28/8</f>
        <v>#REF!</v>
      </c>
      <c r="DH32" s="128" t="e">
        <f>'PROJECT TA Y TB KARINA'!$Q28/8</f>
        <v>#REF!</v>
      </c>
      <c r="DI32" s="128" t="e">
        <f>'PROJECT TA Y TB KARINA'!$R28/8</f>
        <v>#REF!</v>
      </c>
      <c r="DJ32" s="128" t="e">
        <f>'PROJECT TA Y TB KARINA'!$R28/8</f>
        <v>#REF!</v>
      </c>
      <c r="DK32" s="128" t="e">
        <f>'PROJECT TA Y TB KARINA'!$R28/8</f>
        <v>#REF!</v>
      </c>
      <c r="DL32" s="128" t="e">
        <f>'PROJECT TA Y TB KARINA'!$R28/8</f>
        <v>#REF!</v>
      </c>
      <c r="DM32" s="128" t="e">
        <f>'PROJECT TA Y TB KARINA'!$R28/8</f>
        <v>#REF!</v>
      </c>
      <c r="DN32" s="128" t="e">
        <f>'PROJECT TA Y TB KARINA'!$R28/8</f>
        <v>#REF!</v>
      </c>
      <c r="DO32" s="128" t="e">
        <f>'PROJECT TA Y TB KARINA'!$R28/8</f>
        <v>#REF!</v>
      </c>
      <c r="DP32" s="128" t="e">
        <f>'PROJECT TA Y TB KARINA'!$R28/8</f>
        <v>#REF!</v>
      </c>
      <c r="DQ32" s="128" t="e">
        <f>'PROJECT TA Y TB KARINA'!$S28/8</f>
        <v>#REF!</v>
      </c>
      <c r="DR32" s="128" t="e">
        <f>'PROJECT TA Y TB KARINA'!$S28/8</f>
        <v>#REF!</v>
      </c>
      <c r="DS32" s="128" t="e">
        <f>'PROJECT TA Y TB KARINA'!$S28/8</f>
        <v>#REF!</v>
      </c>
      <c r="DT32" s="128" t="e">
        <f>'PROJECT TA Y TB KARINA'!$S28/8</f>
        <v>#REF!</v>
      </c>
      <c r="DU32" s="128" t="e">
        <f>'PROJECT TA Y TB KARINA'!$S28/8</f>
        <v>#REF!</v>
      </c>
      <c r="DV32" s="128" t="e">
        <f>'PROJECT TA Y TB KARINA'!$S28/8</f>
        <v>#REF!</v>
      </c>
      <c r="DW32" s="128" t="e">
        <f>'PROJECT TA Y TB KARINA'!$S28/8</f>
        <v>#REF!</v>
      </c>
      <c r="DX32" s="128" t="e">
        <f>'PROJECT TA Y TB KARINA'!$S28/8</f>
        <v>#REF!</v>
      </c>
      <c r="DY32" s="128" t="e">
        <f>'PROJECT TA Y TB KARINA'!$T28/8</f>
        <v>#REF!</v>
      </c>
      <c r="DZ32" s="128" t="e">
        <f>'PROJECT TA Y TB KARINA'!$T28/8</f>
        <v>#REF!</v>
      </c>
      <c r="EA32" s="128" t="e">
        <f>'PROJECT TA Y TB KARINA'!$T28/8</f>
        <v>#REF!</v>
      </c>
      <c r="EB32" s="128" t="e">
        <f>'PROJECT TA Y TB KARINA'!$T28/8</f>
        <v>#REF!</v>
      </c>
      <c r="EC32" s="128" t="e">
        <f>'PROJECT TA Y TB KARINA'!$T28/8</f>
        <v>#REF!</v>
      </c>
      <c r="ED32" s="128" t="e">
        <f>'PROJECT TA Y TB KARINA'!$T28/8</f>
        <v>#REF!</v>
      </c>
      <c r="EE32" s="128" t="e">
        <f>'PROJECT TA Y TB KARINA'!$T28/8</f>
        <v>#REF!</v>
      </c>
      <c r="EF32" s="128" t="e">
        <f>'PROJECT TA Y TB KARINA'!$T28/8</f>
        <v>#REF!</v>
      </c>
      <c r="EG32" s="128" t="e">
        <f>'PROJECT TA Y TB KARINA'!#REF!/8</f>
        <v>#REF!</v>
      </c>
      <c r="EH32" s="128" t="e">
        <f>'PROJECT TA Y TB KARINA'!#REF!/8</f>
        <v>#REF!</v>
      </c>
      <c r="EI32" s="128" t="e">
        <f>'PROJECT TA Y TB KARINA'!#REF!/8</f>
        <v>#REF!</v>
      </c>
      <c r="EJ32" s="128" t="e">
        <f>'PROJECT TA Y TB KARINA'!#REF!/8</f>
        <v>#REF!</v>
      </c>
      <c r="EK32" s="128" t="e">
        <f>'PROJECT TA Y TB KARINA'!#REF!/8</f>
        <v>#REF!</v>
      </c>
      <c r="EL32" s="128" t="e">
        <f>'PROJECT TA Y TB KARINA'!#REF!/8</f>
        <v>#REF!</v>
      </c>
      <c r="EM32" s="128" t="e">
        <f>'PROJECT TA Y TB KARINA'!#REF!/8</f>
        <v>#REF!</v>
      </c>
      <c r="EN32" s="128" t="e">
        <f>'PROJECT TA Y TB KARINA'!#REF!/8</f>
        <v>#REF!</v>
      </c>
      <c r="EO32" s="128">
        <f>'PROJECT TA Y TB KARINA'!$C86/8</f>
        <v>0</v>
      </c>
      <c r="EP32" s="128">
        <f>'PROJECT TA Y TB KARINA'!$C86/8</f>
        <v>0</v>
      </c>
      <c r="EQ32" s="128">
        <f>'PROJECT TA Y TB KARINA'!$C86/8</f>
        <v>0</v>
      </c>
      <c r="ER32" s="128">
        <f>'PROJECT TA Y TB KARINA'!$C86/8</f>
        <v>0</v>
      </c>
      <c r="ES32" s="128">
        <f>'PROJECT TA Y TB KARINA'!$C86/8</f>
        <v>0</v>
      </c>
      <c r="ET32" s="128">
        <f>'PROJECT TA Y TB KARINA'!$C86/8</f>
        <v>0</v>
      </c>
      <c r="EU32" s="128">
        <f>'PROJECT TA Y TB KARINA'!$C86/8</f>
        <v>0</v>
      </c>
      <c r="EV32" s="128">
        <f>'PROJECT TA Y TB KARINA'!$E86/8</f>
        <v>0</v>
      </c>
      <c r="EW32" s="128">
        <f>'PROJECT TA Y TB KARINA'!$E86/8</f>
        <v>0</v>
      </c>
      <c r="EX32" s="128">
        <f>'PROJECT TA Y TB KARINA'!$E86/8</f>
        <v>0</v>
      </c>
      <c r="EY32" s="128">
        <f>'PROJECT TA Y TB KARINA'!$E86/8</f>
        <v>0</v>
      </c>
      <c r="EZ32" s="128">
        <f>'PROJECT TA Y TB KARINA'!$E86/8</f>
        <v>0</v>
      </c>
      <c r="FA32" s="128">
        <f>'PROJECT TA Y TB KARINA'!$E86/8</f>
        <v>0</v>
      </c>
      <c r="FB32" s="128">
        <f>'PROJECT TA Y TB KARINA'!$E86/8</f>
        <v>0</v>
      </c>
      <c r="FC32" s="128">
        <f>'PROJECT TA Y TB KARINA'!$E86/8</f>
        <v>0</v>
      </c>
      <c r="FD32" s="128">
        <f>'PROJECT TA Y TB KARINA'!$F86/8</f>
        <v>0</v>
      </c>
      <c r="FE32" s="128">
        <f>'PROJECT TA Y TB KARINA'!$F86/8</f>
        <v>0</v>
      </c>
      <c r="FF32" s="128">
        <f>'PROJECT TA Y TB KARINA'!$F86/8</f>
        <v>0</v>
      </c>
      <c r="FG32" s="128">
        <f>'PROJECT TA Y TB KARINA'!$F86/8</f>
        <v>0</v>
      </c>
      <c r="FH32" s="128">
        <f>'PROJECT TA Y TB KARINA'!$F86/8</f>
        <v>0</v>
      </c>
      <c r="FI32" s="128">
        <f>'PROJECT TA Y TB KARINA'!$F86/8</f>
        <v>0</v>
      </c>
      <c r="FJ32" s="128">
        <f>'PROJECT TA Y TB KARINA'!$F86/8</f>
        <v>0</v>
      </c>
      <c r="FK32" s="128">
        <f>'PROJECT TA Y TB KARINA'!$F86/8</f>
        <v>0</v>
      </c>
      <c r="FL32" s="128">
        <f>'PROJECT TA Y TB KARINA'!$G86/8</f>
        <v>0</v>
      </c>
      <c r="FM32" s="128">
        <f>'PROJECT TA Y TB KARINA'!$G86/8</f>
        <v>0</v>
      </c>
      <c r="FN32" s="128">
        <f>'PROJECT TA Y TB KARINA'!$G86/8</f>
        <v>0</v>
      </c>
      <c r="FO32" s="128">
        <f>'PROJECT TA Y TB KARINA'!$G86/8</f>
        <v>0</v>
      </c>
      <c r="FP32" s="128">
        <f>'PROJECT TA Y TB KARINA'!$G86/8</f>
        <v>0</v>
      </c>
      <c r="FQ32" s="128">
        <f>'PROJECT TA Y TB KARINA'!$G86/8</f>
        <v>0</v>
      </c>
      <c r="FR32" s="128">
        <f>'PROJECT TA Y TB KARINA'!$G86/8</f>
        <v>0</v>
      </c>
      <c r="FS32" s="128">
        <f>'PROJECT TA Y TB KARINA'!$G86/8</f>
        <v>0</v>
      </c>
      <c r="FT32" s="128">
        <f>'PROJECT TA Y TB KARINA'!$H86/8</f>
        <v>0</v>
      </c>
      <c r="FU32" s="128">
        <f>'PROJECT TA Y TB KARINA'!$H86/8</f>
        <v>0</v>
      </c>
      <c r="FV32" s="128">
        <f>'PROJECT TA Y TB KARINA'!$H86/8</f>
        <v>0</v>
      </c>
      <c r="FW32" s="128">
        <f>'PROJECT TA Y TB KARINA'!$H86/8</f>
        <v>0</v>
      </c>
      <c r="FX32" s="128">
        <f>'PROJECT TA Y TB KARINA'!$H86/8</f>
        <v>0</v>
      </c>
      <c r="FY32" s="128">
        <f>'PROJECT TA Y TB KARINA'!$H86/8</f>
        <v>0</v>
      </c>
      <c r="FZ32" s="128">
        <f>'PROJECT TA Y TB KARINA'!$H86/8</f>
        <v>0</v>
      </c>
      <c r="GA32" s="128">
        <f>'PROJECT TA Y TB KARINA'!$H86/8</f>
        <v>0</v>
      </c>
      <c r="GB32" s="128">
        <f>'PROJECT TA Y TB KARINA'!$I86/8</f>
        <v>0</v>
      </c>
      <c r="GC32" s="128">
        <f>'PROJECT TA Y TB KARINA'!$I86/8</f>
        <v>0</v>
      </c>
      <c r="GD32" s="128">
        <f>'PROJECT TA Y TB KARINA'!$I86/8</f>
        <v>0</v>
      </c>
      <c r="GE32" s="128">
        <f>'PROJECT TA Y TB KARINA'!$I86/8</f>
        <v>0</v>
      </c>
      <c r="GF32" s="128">
        <f>'PROJECT TA Y TB KARINA'!$I86/8</f>
        <v>0</v>
      </c>
      <c r="GG32" s="128">
        <f>'PROJECT TA Y TB KARINA'!$I86/8</f>
        <v>0</v>
      </c>
      <c r="GH32" s="128">
        <f>'PROJECT TA Y TB KARINA'!$I86/8</f>
        <v>0</v>
      </c>
      <c r="GI32" s="128">
        <f>'PROJECT TA Y TB KARINA'!$I86/8</f>
        <v>0</v>
      </c>
      <c r="GJ32" s="128">
        <f>'PROJECT TA Y TB KARINA'!$J86/8</f>
        <v>0</v>
      </c>
      <c r="GK32" s="128">
        <f>'PROJECT TA Y TB KARINA'!$J86/8</f>
        <v>0</v>
      </c>
      <c r="GL32" s="128">
        <f>'PROJECT TA Y TB KARINA'!$J86/8</f>
        <v>0</v>
      </c>
      <c r="GM32" s="128">
        <f>'PROJECT TA Y TB KARINA'!$J86/8</f>
        <v>0</v>
      </c>
      <c r="GN32" s="128">
        <f>'PROJECT TA Y TB KARINA'!$J86/8</f>
        <v>0</v>
      </c>
      <c r="GO32" s="128">
        <f>'PROJECT TA Y TB KARINA'!$J86/8</f>
        <v>0</v>
      </c>
      <c r="GP32" s="128">
        <f>'PROJECT TA Y TB KARINA'!$J86/8</f>
        <v>0</v>
      </c>
      <c r="GQ32" s="128">
        <f>'PROJECT TA Y TB KARINA'!$J86/8</f>
        <v>0</v>
      </c>
      <c r="GR32" s="128">
        <f>'PROJECT TA Y TB KARINA'!$K86/8</f>
        <v>0</v>
      </c>
      <c r="GS32" s="128">
        <f>'PROJECT TA Y TB KARINA'!$K86/8</f>
        <v>0</v>
      </c>
      <c r="GT32" s="128">
        <f>'PROJECT TA Y TB KARINA'!$K86/8</f>
        <v>0</v>
      </c>
      <c r="GU32" s="128">
        <f>'PROJECT TA Y TB KARINA'!$K86/8</f>
        <v>0</v>
      </c>
      <c r="GV32" s="128">
        <f>'PROJECT TA Y TB KARINA'!$K86/8</f>
        <v>0</v>
      </c>
      <c r="GW32" s="128">
        <f>'PROJECT TA Y TB KARINA'!$K86/8</f>
        <v>0</v>
      </c>
      <c r="GX32" s="128">
        <f>'PROJECT TA Y TB KARINA'!$K86/8</f>
        <v>0</v>
      </c>
      <c r="GY32" s="128">
        <f>'PROJECT TA Y TB KARINA'!$K86/8</f>
        <v>0</v>
      </c>
      <c r="GZ32" s="128">
        <f>'PROJECT TA Y TB KARINA'!$L86/8</f>
        <v>0</v>
      </c>
      <c r="HA32" s="128">
        <f>'PROJECT TA Y TB KARINA'!$L86/8</f>
        <v>0</v>
      </c>
      <c r="HB32" s="128">
        <f>'PROJECT TA Y TB KARINA'!$L86/8</f>
        <v>0</v>
      </c>
      <c r="HC32" s="128">
        <f>'PROJECT TA Y TB KARINA'!$L86/8</f>
        <v>0</v>
      </c>
      <c r="HD32" s="128">
        <f>'PROJECT TA Y TB KARINA'!$L86/8</f>
        <v>0</v>
      </c>
      <c r="HE32" s="128">
        <f>'PROJECT TA Y TB KARINA'!$L86/8</f>
        <v>0</v>
      </c>
      <c r="HF32" s="128">
        <f>'PROJECT TA Y TB KARINA'!$L86/8</f>
        <v>0</v>
      </c>
      <c r="HG32" s="128">
        <f>'PROJECT TA Y TB KARINA'!$L86/8</f>
        <v>0</v>
      </c>
      <c r="HH32" s="128">
        <f>'PROJECT TA Y TB KARINA'!$M86/8</f>
        <v>0</v>
      </c>
      <c r="HI32" s="128">
        <f>'PROJECT TA Y TB KARINA'!$M86/8</f>
        <v>0</v>
      </c>
      <c r="HJ32" s="128">
        <f>'PROJECT TA Y TB KARINA'!$M86/8</f>
        <v>0</v>
      </c>
      <c r="HK32" s="128">
        <f>'PROJECT TA Y TB KARINA'!$M86/8</f>
        <v>0</v>
      </c>
      <c r="HL32" s="128">
        <f>'PROJECT TA Y TB KARINA'!$M86/8</f>
        <v>0</v>
      </c>
      <c r="HM32" s="128">
        <f>'PROJECT TA Y TB KARINA'!$M86/8</f>
        <v>0</v>
      </c>
      <c r="HN32" s="128">
        <f>'PROJECT TA Y TB KARINA'!$M86/8</f>
        <v>0</v>
      </c>
      <c r="HO32" s="128">
        <f>'PROJECT TA Y TB KARINA'!$M86/8</f>
        <v>0</v>
      </c>
      <c r="HP32" s="128">
        <f>'PROJECT TA Y TB KARINA'!$N86/8</f>
        <v>0</v>
      </c>
      <c r="HQ32" s="128">
        <f>'PROJECT TA Y TB KARINA'!$N86/8</f>
        <v>0</v>
      </c>
      <c r="HR32" s="128">
        <f>'PROJECT TA Y TB KARINA'!$N86/8</f>
        <v>0</v>
      </c>
      <c r="HS32" s="128">
        <f>'PROJECT TA Y TB KARINA'!$N86/8</f>
        <v>0</v>
      </c>
      <c r="HT32" s="128">
        <f>'PROJECT TA Y TB KARINA'!$N86/8</f>
        <v>0</v>
      </c>
      <c r="HU32" s="128">
        <f>'PROJECT TA Y TB KARINA'!$N86/8</f>
        <v>0</v>
      </c>
      <c r="HV32" s="128">
        <f>'PROJECT TA Y TB KARINA'!$N86/8</f>
        <v>0</v>
      </c>
      <c r="HW32" s="128">
        <f>'PROJECT TA Y TB KARINA'!$N86/8</f>
        <v>0</v>
      </c>
      <c r="HX32" s="128">
        <f>'PROJECT TA Y TB KARINA'!$O86/8</f>
        <v>0</v>
      </c>
      <c r="HY32" s="128">
        <f>'PROJECT TA Y TB KARINA'!$O86/8</f>
        <v>0</v>
      </c>
      <c r="HZ32" s="128">
        <f>'PROJECT TA Y TB KARINA'!$O86/8</f>
        <v>0</v>
      </c>
      <c r="IA32" s="128">
        <f>'PROJECT TA Y TB KARINA'!$O86/8</f>
        <v>0</v>
      </c>
      <c r="IB32" s="128">
        <f>'PROJECT TA Y TB KARINA'!$O86/8</f>
        <v>0</v>
      </c>
      <c r="IC32" s="128">
        <f>'PROJECT TA Y TB KARINA'!$O86/8</f>
        <v>0</v>
      </c>
      <c r="ID32" s="128">
        <f>'PROJECT TA Y TB KARINA'!$O86/8</f>
        <v>0</v>
      </c>
      <c r="IE32" s="128">
        <f>'PROJECT TA Y TB KARINA'!$O86/8</f>
        <v>0</v>
      </c>
      <c r="IF32" s="128">
        <f>'PROJECT TA Y TB KARINA'!$P86/8</f>
        <v>0</v>
      </c>
      <c r="IG32" s="128">
        <f>'PROJECT TA Y TB KARINA'!$P86/8</f>
        <v>0</v>
      </c>
      <c r="IH32" s="128">
        <f>'PROJECT TA Y TB KARINA'!$P86/8</f>
        <v>0</v>
      </c>
      <c r="II32" s="128">
        <f>'PROJECT TA Y TB KARINA'!$P86/8</f>
        <v>0</v>
      </c>
      <c r="IJ32" s="128">
        <f>'PROJECT TA Y TB KARINA'!$P86/8</f>
        <v>0</v>
      </c>
      <c r="IK32" s="128">
        <f>'PROJECT TA Y TB KARINA'!$P86/8</f>
        <v>0</v>
      </c>
      <c r="IL32" s="128">
        <f>'PROJECT TA Y TB KARINA'!$P86/8</f>
        <v>0</v>
      </c>
      <c r="IM32" s="128">
        <f>'PROJECT TA Y TB KARINA'!$P86/8</f>
        <v>0</v>
      </c>
      <c r="IN32" s="128">
        <f>'PROJECT TA Y TB KARINA'!$Q86/8</f>
        <v>0</v>
      </c>
      <c r="IO32" s="128">
        <f>'PROJECT TA Y TB KARINA'!$Q86/8</f>
        <v>0</v>
      </c>
      <c r="IP32" s="128">
        <f>'PROJECT TA Y TB KARINA'!$Q86/8</f>
        <v>0</v>
      </c>
      <c r="IQ32" s="128">
        <f>'PROJECT TA Y TB KARINA'!$Q86/8</f>
        <v>0</v>
      </c>
      <c r="IR32" s="128">
        <f>'PROJECT TA Y TB KARINA'!$Q86/8</f>
        <v>0</v>
      </c>
      <c r="IS32" s="128">
        <f>'PROJECT TA Y TB KARINA'!$Q86/8</f>
        <v>0</v>
      </c>
      <c r="IT32" s="128">
        <f>'PROJECT TA Y TB KARINA'!$Q86/8</f>
        <v>0</v>
      </c>
      <c r="IU32" s="128">
        <f>'PROJECT TA Y TB KARINA'!$Q86/8</f>
        <v>0</v>
      </c>
      <c r="IV32" s="128">
        <f>'PROJECT TA Y TB KARINA'!$R86/8</f>
        <v>0</v>
      </c>
      <c r="IW32" s="128">
        <f>'PROJECT TA Y TB KARINA'!$R86/8</f>
        <v>0</v>
      </c>
      <c r="IX32" s="128">
        <f>'PROJECT TA Y TB KARINA'!$R86/8</f>
        <v>0</v>
      </c>
      <c r="IY32" s="128">
        <f>'PROJECT TA Y TB KARINA'!$R86/8</f>
        <v>0</v>
      </c>
      <c r="IZ32" s="128">
        <f>'PROJECT TA Y TB KARINA'!$R86/8</f>
        <v>0</v>
      </c>
      <c r="JA32" s="128">
        <f>'PROJECT TA Y TB KARINA'!$R86/8</f>
        <v>0</v>
      </c>
      <c r="JB32" s="128">
        <f>'PROJECT TA Y TB KARINA'!$R86/8</f>
        <v>0</v>
      </c>
      <c r="JC32" s="128">
        <f>'PROJECT TA Y TB KARINA'!$R86/8</f>
        <v>0</v>
      </c>
      <c r="JD32" s="128">
        <f>'PROJECT TA Y TB KARINA'!$S86/8</f>
        <v>0</v>
      </c>
      <c r="JE32" s="128">
        <f>'PROJECT TA Y TB KARINA'!$S86/8</f>
        <v>0</v>
      </c>
      <c r="JF32" s="128">
        <f>'PROJECT TA Y TB KARINA'!$S86/8</f>
        <v>0</v>
      </c>
      <c r="JG32" s="128">
        <f>'PROJECT TA Y TB KARINA'!$S86/8</f>
        <v>0</v>
      </c>
      <c r="JH32" s="128">
        <f>'PROJECT TA Y TB KARINA'!$S86/8</f>
        <v>0</v>
      </c>
      <c r="JI32" s="128">
        <f>'PROJECT TA Y TB KARINA'!$S86/8</f>
        <v>0</v>
      </c>
      <c r="JJ32" s="128">
        <f>'PROJECT TA Y TB KARINA'!$S86/8</f>
        <v>0</v>
      </c>
      <c r="JK32" s="128">
        <f>'PROJECT TA Y TB KARINA'!$S86/8</f>
        <v>0</v>
      </c>
      <c r="JL32" s="128">
        <f>'PROJECT TA Y TB KARINA'!$T86/8</f>
        <v>0</v>
      </c>
      <c r="JM32" s="128">
        <f>'PROJECT TA Y TB KARINA'!$T86/8</f>
        <v>0</v>
      </c>
      <c r="JN32" s="128">
        <f>'PROJECT TA Y TB KARINA'!$T86/8</f>
        <v>0</v>
      </c>
      <c r="JO32" s="128">
        <f>'PROJECT TA Y TB KARINA'!$T86/8</f>
        <v>0</v>
      </c>
      <c r="JP32" s="128">
        <f>'PROJECT TA Y TB KARINA'!$T86/8</f>
        <v>0</v>
      </c>
      <c r="JQ32" s="128">
        <f>'PROJECT TA Y TB KARINA'!$T86/8</f>
        <v>0</v>
      </c>
      <c r="JR32" s="128">
        <f>'PROJECT TA Y TB KARINA'!$T86/8</f>
        <v>0</v>
      </c>
      <c r="JS32" s="128">
        <f>'PROJECT TA Y TB KARINA'!$T86/8</f>
        <v>0</v>
      </c>
      <c r="JT32" s="128" t="e">
        <f>'PROJECT TA Y TB KARINA'!#REF!/8</f>
        <v>#REF!</v>
      </c>
      <c r="JU32" s="128" t="e">
        <f>'PROJECT TA Y TB KARINA'!#REF!/8</f>
        <v>#REF!</v>
      </c>
      <c r="JV32" s="128" t="e">
        <f>'PROJECT TA Y TB KARINA'!#REF!/8</f>
        <v>#REF!</v>
      </c>
      <c r="JW32" s="128" t="e">
        <f>'PROJECT TA Y TB KARINA'!#REF!/8</f>
        <v>#REF!</v>
      </c>
      <c r="JX32" s="128" t="e">
        <f>'PROJECT TA Y TB KARINA'!#REF!/8</f>
        <v>#REF!</v>
      </c>
      <c r="JY32" s="128" t="e">
        <f>'PROJECT TA Y TB KARINA'!#REF!/8</f>
        <v>#REF!</v>
      </c>
      <c r="JZ32" s="128" t="e">
        <f>'PROJECT TA Y TB KARINA'!#REF!/8</f>
        <v>#REF!</v>
      </c>
      <c r="KA32" s="128" t="e">
        <f>'PROJECT TA Y TB KARINA'!#REF!/8</f>
        <v>#REF!</v>
      </c>
    </row>
    <row r="33" spans="1:287" ht="21">
      <c r="A33" s="130" t="s">
        <v>486</v>
      </c>
      <c r="B33" s="128" t="e">
        <f>'PROJECT TA Y TB KARINA'!$C$29/8</f>
        <v>#REF!</v>
      </c>
      <c r="C33" s="128" t="e">
        <f>'PROJECT TA Y TB KARINA'!$C$29/8</f>
        <v>#REF!</v>
      </c>
      <c r="D33" s="128" t="e">
        <f>'PROJECT TA Y TB KARINA'!$C$29/8</f>
        <v>#REF!</v>
      </c>
      <c r="E33" s="128" t="e">
        <f>'PROJECT TA Y TB KARINA'!$C$29/8</f>
        <v>#REF!</v>
      </c>
      <c r="F33" s="128" t="e">
        <f>'PROJECT TA Y TB KARINA'!$C$29/8</f>
        <v>#REF!</v>
      </c>
      <c r="G33" s="128" t="e">
        <f>'PROJECT TA Y TB KARINA'!$C$29/8</f>
        <v>#REF!</v>
      </c>
      <c r="H33" s="128" t="e">
        <f>'PROJECT TA Y TB KARINA'!$C$29/8</f>
        <v>#REF!</v>
      </c>
      <c r="I33" s="128" t="e">
        <f>'PROJECT TA Y TB KARINA'!$E29/8</f>
        <v>#REF!</v>
      </c>
      <c r="J33" s="128" t="e">
        <f>'PROJECT TA Y TB KARINA'!$E29/8</f>
        <v>#REF!</v>
      </c>
      <c r="K33" s="128" t="e">
        <f>'PROJECT TA Y TB KARINA'!$E29/8</f>
        <v>#REF!</v>
      </c>
      <c r="L33" s="128" t="e">
        <f>'PROJECT TA Y TB KARINA'!$E29/8</f>
        <v>#REF!</v>
      </c>
      <c r="M33" s="128" t="e">
        <f>'PROJECT TA Y TB KARINA'!$E29/8</f>
        <v>#REF!</v>
      </c>
      <c r="N33" s="128" t="e">
        <f>'PROJECT TA Y TB KARINA'!$E29/8</f>
        <v>#REF!</v>
      </c>
      <c r="O33" s="128" t="e">
        <f>'PROJECT TA Y TB KARINA'!$E29/8</f>
        <v>#REF!</v>
      </c>
      <c r="P33" s="128" t="e">
        <f>'PROJECT TA Y TB KARINA'!$E29/8</f>
        <v>#REF!</v>
      </c>
      <c r="Q33" s="128" t="e">
        <f>'PROJECT TA Y TB KARINA'!$F29/8</f>
        <v>#REF!</v>
      </c>
      <c r="R33" s="128" t="e">
        <f>'PROJECT TA Y TB KARINA'!$F29/8</f>
        <v>#REF!</v>
      </c>
      <c r="S33" s="128" t="e">
        <f>'PROJECT TA Y TB KARINA'!$F29/8</f>
        <v>#REF!</v>
      </c>
      <c r="T33" s="128" t="e">
        <f>'PROJECT TA Y TB KARINA'!$F29/8</f>
        <v>#REF!</v>
      </c>
      <c r="U33" s="128" t="e">
        <f>'PROJECT TA Y TB KARINA'!$F29/8</f>
        <v>#REF!</v>
      </c>
      <c r="V33" s="128" t="e">
        <f>'PROJECT TA Y TB KARINA'!$F29/8</f>
        <v>#REF!</v>
      </c>
      <c r="W33" s="128" t="e">
        <f>'PROJECT TA Y TB KARINA'!$F29/8</f>
        <v>#REF!</v>
      </c>
      <c r="X33" s="128" t="e">
        <f>'PROJECT TA Y TB KARINA'!$F29/8</f>
        <v>#REF!</v>
      </c>
      <c r="Y33" s="128" t="e">
        <f>'PROJECT TA Y TB KARINA'!$G29/8</f>
        <v>#REF!</v>
      </c>
      <c r="Z33" s="128" t="e">
        <f>'PROJECT TA Y TB KARINA'!$G29/8</f>
        <v>#REF!</v>
      </c>
      <c r="AA33" s="128" t="e">
        <f>'PROJECT TA Y TB KARINA'!$G29/8</f>
        <v>#REF!</v>
      </c>
      <c r="AB33" s="128" t="e">
        <f>'PROJECT TA Y TB KARINA'!$G29/8</f>
        <v>#REF!</v>
      </c>
      <c r="AC33" s="128" t="e">
        <f>'PROJECT TA Y TB KARINA'!$G29/8</f>
        <v>#REF!</v>
      </c>
      <c r="AD33" s="128" t="e">
        <f>'PROJECT TA Y TB KARINA'!$G29/8</f>
        <v>#REF!</v>
      </c>
      <c r="AE33" s="128" t="e">
        <f>'PROJECT TA Y TB KARINA'!$G29/8</f>
        <v>#REF!</v>
      </c>
      <c r="AF33" s="128" t="e">
        <f>'PROJECT TA Y TB KARINA'!$G29/8</f>
        <v>#REF!</v>
      </c>
      <c r="AG33" s="128" t="e">
        <f>'PROJECT TA Y TB KARINA'!$H29/8</f>
        <v>#REF!</v>
      </c>
      <c r="AH33" s="128" t="e">
        <f>'PROJECT TA Y TB KARINA'!$H29/8</f>
        <v>#REF!</v>
      </c>
      <c r="AI33" s="128" t="e">
        <f>'PROJECT TA Y TB KARINA'!$H29/8</f>
        <v>#REF!</v>
      </c>
      <c r="AJ33" s="128" t="e">
        <f>'PROJECT TA Y TB KARINA'!$H29/8</f>
        <v>#REF!</v>
      </c>
      <c r="AK33" s="128" t="e">
        <f>'PROJECT TA Y TB KARINA'!$H29/8</f>
        <v>#REF!</v>
      </c>
      <c r="AL33" s="128" t="e">
        <f>'PROJECT TA Y TB KARINA'!$H29/8</f>
        <v>#REF!</v>
      </c>
      <c r="AM33" s="128" t="e">
        <f>'PROJECT TA Y TB KARINA'!$H29/8</f>
        <v>#REF!</v>
      </c>
      <c r="AN33" s="128" t="e">
        <f>'PROJECT TA Y TB KARINA'!$H29/8</f>
        <v>#REF!</v>
      </c>
      <c r="AO33" s="128" t="e">
        <f>'PROJECT TA Y TB KARINA'!$I29/8</f>
        <v>#REF!</v>
      </c>
      <c r="AP33" s="128" t="e">
        <f>'PROJECT TA Y TB KARINA'!$I29/8</f>
        <v>#REF!</v>
      </c>
      <c r="AQ33" s="128" t="e">
        <f>'PROJECT TA Y TB KARINA'!$I29/8</f>
        <v>#REF!</v>
      </c>
      <c r="AR33" s="128" t="e">
        <f>'PROJECT TA Y TB KARINA'!$I29/8</f>
        <v>#REF!</v>
      </c>
      <c r="AS33" s="128" t="e">
        <f>'PROJECT TA Y TB KARINA'!$I29/8</f>
        <v>#REF!</v>
      </c>
      <c r="AT33" s="128" t="e">
        <f>'PROJECT TA Y TB KARINA'!$I29/8</f>
        <v>#REF!</v>
      </c>
      <c r="AU33" s="128" t="e">
        <f>'PROJECT TA Y TB KARINA'!$I29/8</f>
        <v>#REF!</v>
      </c>
      <c r="AV33" s="128" t="e">
        <f>'PROJECT TA Y TB KARINA'!$I29/8</f>
        <v>#REF!</v>
      </c>
      <c r="AW33" s="128" t="e">
        <f>'PROJECT TA Y TB KARINA'!$J29/8</f>
        <v>#REF!</v>
      </c>
      <c r="AX33" s="128" t="e">
        <f>'PROJECT TA Y TB KARINA'!$J29/8</f>
        <v>#REF!</v>
      </c>
      <c r="AY33" s="128" t="e">
        <f>'PROJECT TA Y TB KARINA'!$J29/8</f>
        <v>#REF!</v>
      </c>
      <c r="AZ33" s="128" t="e">
        <f>'PROJECT TA Y TB KARINA'!$J29/8</f>
        <v>#REF!</v>
      </c>
      <c r="BA33" s="128" t="e">
        <f>'PROJECT TA Y TB KARINA'!$J29/8</f>
        <v>#REF!</v>
      </c>
      <c r="BB33" s="128" t="e">
        <f>'PROJECT TA Y TB KARINA'!$J29/8</f>
        <v>#REF!</v>
      </c>
      <c r="BC33" s="128" t="e">
        <f>'PROJECT TA Y TB KARINA'!$J29/8</f>
        <v>#REF!</v>
      </c>
      <c r="BD33" s="128" t="e">
        <f>'PROJECT TA Y TB KARINA'!$J29/8</f>
        <v>#REF!</v>
      </c>
      <c r="BE33" s="128" t="e">
        <f>'PROJECT TA Y TB KARINA'!$K29/8</f>
        <v>#REF!</v>
      </c>
      <c r="BF33" s="128" t="e">
        <f>'PROJECT TA Y TB KARINA'!$K29/8</f>
        <v>#REF!</v>
      </c>
      <c r="BG33" s="128" t="e">
        <f>'PROJECT TA Y TB KARINA'!$K29/8</f>
        <v>#REF!</v>
      </c>
      <c r="BH33" s="128" t="e">
        <f>'PROJECT TA Y TB KARINA'!$K29/8</f>
        <v>#REF!</v>
      </c>
      <c r="BI33" s="128" t="e">
        <f>'PROJECT TA Y TB KARINA'!$K29/8</f>
        <v>#REF!</v>
      </c>
      <c r="BJ33" s="128" t="e">
        <f>'PROJECT TA Y TB KARINA'!$K29/8</f>
        <v>#REF!</v>
      </c>
      <c r="BK33" s="128" t="e">
        <f>'PROJECT TA Y TB KARINA'!$K29/8</f>
        <v>#REF!</v>
      </c>
      <c r="BL33" s="128" t="e">
        <f>'PROJECT TA Y TB KARINA'!$K29/8</f>
        <v>#REF!</v>
      </c>
      <c r="BM33" s="128" t="e">
        <f>'PROJECT TA Y TB KARINA'!$L29/8</f>
        <v>#REF!</v>
      </c>
      <c r="BN33" s="128" t="e">
        <f>'PROJECT TA Y TB KARINA'!$L29/8</f>
        <v>#REF!</v>
      </c>
      <c r="BO33" s="128" t="e">
        <f>'PROJECT TA Y TB KARINA'!$L29/8</f>
        <v>#REF!</v>
      </c>
      <c r="BP33" s="128" t="e">
        <f>'PROJECT TA Y TB KARINA'!$L29/8</f>
        <v>#REF!</v>
      </c>
      <c r="BQ33" s="128" t="e">
        <f>'PROJECT TA Y TB KARINA'!$L29/8</f>
        <v>#REF!</v>
      </c>
      <c r="BR33" s="128" t="e">
        <f>'PROJECT TA Y TB KARINA'!$L29/8</f>
        <v>#REF!</v>
      </c>
      <c r="BS33" s="128" t="e">
        <f>'PROJECT TA Y TB KARINA'!$L29/8</f>
        <v>#REF!</v>
      </c>
      <c r="BT33" s="128" t="e">
        <f>'PROJECT TA Y TB KARINA'!$L29/8</f>
        <v>#REF!</v>
      </c>
      <c r="BU33" s="128" t="e">
        <f>'PROJECT TA Y TB KARINA'!$M29/8</f>
        <v>#REF!</v>
      </c>
      <c r="BV33" s="128" t="e">
        <f>'PROJECT TA Y TB KARINA'!$M29/8</f>
        <v>#REF!</v>
      </c>
      <c r="BW33" s="128" t="e">
        <f>'PROJECT TA Y TB KARINA'!$M29/8</f>
        <v>#REF!</v>
      </c>
      <c r="BX33" s="128" t="e">
        <f>'PROJECT TA Y TB KARINA'!$M29/8</f>
        <v>#REF!</v>
      </c>
      <c r="BY33" s="128" t="e">
        <f>'PROJECT TA Y TB KARINA'!$M29/8</f>
        <v>#REF!</v>
      </c>
      <c r="BZ33" s="128" t="e">
        <f>'PROJECT TA Y TB KARINA'!$M29/8</f>
        <v>#REF!</v>
      </c>
      <c r="CA33" s="128" t="e">
        <f>'PROJECT TA Y TB KARINA'!$M29/8</f>
        <v>#REF!</v>
      </c>
      <c r="CB33" s="128" t="e">
        <f>'PROJECT TA Y TB KARINA'!$M29/8</f>
        <v>#REF!</v>
      </c>
      <c r="CC33" s="128" t="e">
        <f>'PROJECT TA Y TB KARINA'!$N29/8</f>
        <v>#REF!</v>
      </c>
      <c r="CD33" s="128" t="e">
        <f>'PROJECT TA Y TB KARINA'!$N29/8</f>
        <v>#REF!</v>
      </c>
      <c r="CE33" s="128" t="e">
        <f>'PROJECT TA Y TB KARINA'!$N29/8</f>
        <v>#REF!</v>
      </c>
      <c r="CF33" s="128" t="e">
        <f>'PROJECT TA Y TB KARINA'!$N29/8</f>
        <v>#REF!</v>
      </c>
      <c r="CG33" s="128" t="e">
        <f>'PROJECT TA Y TB KARINA'!$N29/8</f>
        <v>#REF!</v>
      </c>
      <c r="CH33" s="128" t="e">
        <f>'PROJECT TA Y TB KARINA'!$N29/8</f>
        <v>#REF!</v>
      </c>
      <c r="CI33" s="128" t="e">
        <f>'PROJECT TA Y TB KARINA'!$N29/8</f>
        <v>#REF!</v>
      </c>
      <c r="CJ33" s="128" t="e">
        <f>'PROJECT TA Y TB KARINA'!$N29/8</f>
        <v>#REF!</v>
      </c>
      <c r="CK33" s="128" t="e">
        <f>'PROJECT TA Y TB KARINA'!$O29/8</f>
        <v>#REF!</v>
      </c>
      <c r="CL33" s="128" t="e">
        <f>'PROJECT TA Y TB KARINA'!$O29/8</f>
        <v>#REF!</v>
      </c>
      <c r="CM33" s="128" t="e">
        <f>'PROJECT TA Y TB KARINA'!$O29/8</f>
        <v>#REF!</v>
      </c>
      <c r="CN33" s="128" t="e">
        <f>'PROJECT TA Y TB KARINA'!$O29/8</f>
        <v>#REF!</v>
      </c>
      <c r="CO33" s="128" t="e">
        <f>'PROJECT TA Y TB KARINA'!$O29/8</f>
        <v>#REF!</v>
      </c>
      <c r="CP33" s="128" t="e">
        <f>'PROJECT TA Y TB KARINA'!$O29/8</f>
        <v>#REF!</v>
      </c>
      <c r="CQ33" s="128" t="e">
        <f>'PROJECT TA Y TB KARINA'!$O29/8</f>
        <v>#REF!</v>
      </c>
      <c r="CR33" s="128" t="e">
        <f>'PROJECT TA Y TB KARINA'!$O29/8</f>
        <v>#REF!</v>
      </c>
      <c r="CS33" s="128" t="e">
        <f>'PROJECT TA Y TB KARINA'!$P29/8</f>
        <v>#REF!</v>
      </c>
      <c r="CT33" s="128" t="e">
        <f>'PROJECT TA Y TB KARINA'!$P29/8</f>
        <v>#REF!</v>
      </c>
      <c r="CU33" s="128" t="e">
        <f>'PROJECT TA Y TB KARINA'!$P29/8</f>
        <v>#REF!</v>
      </c>
      <c r="CV33" s="128" t="e">
        <f>'PROJECT TA Y TB KARINA'!$P29/8</f>
        <v>#REF!</v>
      </c>
      <c r="CW33" s="128" t="e">
        <f>'PROJECT TA Y TB KARINA'!$P29/8</f>
        <v>#REF!</v>
      </c>
      <c r="CX33" s="128" t="e">
        <f>'PROJECT TA Y TB KARINA'!$P29/8</f>
        <v>#REF!</v>
      </c>
      <c r="CY33" s="128" t="e">
        <f>'PROJECT TA Y TB KARINA'!$P29/8</f>
        <v>#REF!</v>
      </c>
      <c r="CZ33" s="128" t="e">
        <f>'PROJECT TA Y TB KARINA'!$P29/8</f>
        <v>#REF!</v>
      </c>
      <c r="DA33" s="128" t="e">
        <f>'PROJECT TA Y TB KARINA'!$Q29/8</f>
        <v>#REF!</v>
      </c>
      <c r="DB33" s="128" t="e">
        <f>'PROJECT TA Y TB KARINA'!$Q29/8</f>
        <v>#REF!</v>
      </c>
      <c r="DC33" s="128" t="e">
        <f>'PROJECT TA Y TB KARINA'!$Q29/8</f>
        <v>#REF!</v>
      </c>
      <c r="DD33" s="128" t="e">
        <f>'PROJECT TA Y TB KARINA'!$Q29/8</f>
        <v>#REF!</v>
      </c>
      <c r="DE33" s="128" t="e">
        <f>'PROJECT TA Y TB KARINA'!$Q29/8</f>
        <v>#REF!</v>
      </c>
      <c r="DF33" s="128" t="e">
        <f>'PROJECT TA Y TB KARINA'!$Q29/8</f>
        <v>#REF!</v>
      </c>
      <c r="DG33" s="128" t="e">
        <f>'PROJECT TA Y TB KARINA'!$Q29/8</f>
        <v>#REF!</v>
      </c>
      <c r="DH33" s="128" t="e">
        <f>'PROJECT TA Y TB KARINA'!$Q29/8</f>
        <v>#REF!</v>
      </c>
      <c r="DI33" s="128" t="e">
        <f>'PROJECT TA Y TB KARINA'!$R29/8</f>
        <v>#REF!</v>
      </c>
      <c r="DJ33" s="128" t="e">
        <f>'PROJECT TA Y TB KARINA'!$R29/8</f>
        <v>#REF!</v>
      </c>
      <c r="DK33" s="128" t="e">
        <f>'PROJECT TA Y TB KARINA'!$R29/8</f>
        <v>#REF!</v>
      </c>
      <c r="DL33" s="128" t="e">
        <f>'PROJECT TA Y TB KARINA'!$R29/8</f>
        <v>#REF!</v>
      </c>
      <c r="DM33" s="128" t="e">
        <f>'PROJECT TA Y TB KARINA'!$R29/8</f>
        <v>#REF!</v>
      </c>
      <c r="DN33" s="128" t="e">
        <f>'PROJECT TA Y TB KARINA'!$R29/8</f>
        <v>#REF!</v>
      </c>
      <c r="DO33" s="128" t="e">
        <f>'PROJECT TA Y TB KARINA'!$R29/8</f>
        <v>#REF!</v>
      </c>
      <c r="DP33" s="128" t="e">
        <f>'PROJECT TA Y TB KARINA'!$R29/8</f>
        <v>#REF!</v>
      </c>
      <c r="DQ33" s="128" t="e">
        <f>'PROJECT TA Y TB KARINA'!$S29/8</f>
        <v>#REF!</v>
      </c>
      <c r="DR33" s="128" t="e">
        <f>'PROJECT TA Y TB KARINA'!$S29/8</f>
        <v>#REF!</v>
      </c>
      <c r="DS33" s="128" t="e">
        <f>'PROJECT TA Y TB KARINA'!$S29/8</f>
        <v>#REF!</v>
      </c>
      <c r="DT33" s="128" t="e">
        <f>'PROJECT TA Y TB KARINA'!$S29/8</f>
        <v>#REF!</v>
      </c>
      <c r="DU33" s="128" t="e">
        <f>'PROJECT TA Y TB KARINA'!$S29/8</f>
        <v>#REF!</v>
      </c>
      <c r="DV33" s="128" t="e">
        <f>'PROJECT TA Y TB KARINA'!$S29/8</f>
        <v>#REF!</v>
      </c>
      <c r="DW33" s="128" t="e">
        <f>'PROJECT TA Y TB KARINA'!$S29/8</f>
        <v>#REF!</v>
      </c>
      <c r="DX33" s="128" t="e">
        <f>'PROJECT TA Y TB KARINA'!$S29/8</f>
        <v>#REF!</v>
      </c>
      <c r="DY33" s="128" t="e">
        <f>'PROJECT TA Y TB KARINA'!$T29/8</f>
        <v>#REF!</v>
      </c>
      <c r="DZ33" s="128" t="e">
        <f>'PROJECT TA Y TB KARINA'!$T29/8</f>
        <v>#REF!</v>
      </c>
      <c r="EA33" s="128" t="e">
        <f>'PROJECT TA Y TB KARINA'!$T29/8</f>
        <v>#REF!</v>
      </c>
      <c r="EB33" s="128" t="e">
        <f>'PROJECT TA Y TB KARINA'!$T29/8</f>
        <v>#REF!</v>
      </c>
      <c r="EC33" s="128" t="e">
        <f>'PROJECT TA Y TB KARINA'!$T29/8</f>
        <v>#REF!</v>
      </c>
      <c r="ED33" s="128" t="e">
        <f>'PROJECT TA Y TB KARINA'!$T29/8</f>
        <v>#REF!</v>
      </c>
      <c r="EE33" s="128" t="e">
        <f>'PROJECT TA Y TB KARINA'!$T29/8</f>
        <v>#REF!</v>
      </c>
      <c r="EF33" s="128" t="e">
        <f>'PROJECT TA Y TB KARINA'!$T29/8</f>
        <v>#REF!</v>
      </c>
      <c r="EG33" s="128" t="e">
        <f>'PROJECT TA Y TB KARINA'!#REF!/8</f>
        <v>#REF!</v>
      </c>
      <c r="EH33" s="128" t="e">
        <f>'PROJECT TA Y TB KARINA'!#REF!/8</f>
        <v>#REF!</v>
      </c>
      <c r="EI33" s="128" t="e">
        <f>'PROJECT TA Y TB KARINA'!#REF!/8</f>
        <v>#REF!</v>
      </c>
      <c r="EJ33" s="128" t="e">
        <f>'PROJECT TA Y TB KARINA'!#REF!/8</f>
        <v>#REF!</v>
      </c>
      <c r="EK33" s="128" t="e">
        <f>'PROJECT TA Y TB KARINA'!#REF!/8</f>
        <v>#REF!</v>
      </c>
      <c r="EL33" s="128" t="e">
        <f>'PROJECT TA Y TB KARINA'!#REF!/8</f>
        <v>#REF!</v>
      </c>
      <c r="EM33" s="128" t="e">
        <f>'PROJECT TA Y TB KARINA'!#REF!/8</f>
        <v>#REF!</v>
      </c>
      <c r="EN33" s="128" t="e">
        <f>'PROJECT TA Y TB KARINA'!#REF!/8</f>
        <v>#REF!</v>
      </c>
      <c r="EO33" s="128">
        <f>'PROJECT TA Y TB KARINA'!$C87/8</f>
        <v>0</v>
      </c>
      <c r="EP33" s="128">
        <f>'PROJECT TA Y TB KARINA'!$C87/8</f>
        <v>0</v>
      </c>
      <c r="EQ33" s="128">
        <f>'PROJECT TA Y TB KARINA'!$C87/8</f>
        <v>0</v>
      </c>
      <c r="ER33" s="128">
        <f>'PROJECT TA Y TB KARINA'!$C87/8</f>
        <v>0</v>
      </c>
      <c r="ES33" s="128">
        <f>'PROJECT TA Y TB KARINA'!$C87/8</f>
        <v>0</v>
      </c>
      <c r="ET33" s="128">
        <f>'PROJECT TA Y TB KARINA'!$C87/8</f>
        <v>0</v>
      </c>
      <c r="EU33" s="128">
        <f>'PROJECT TA Y TB KARINA'!$C87/8</f>
        <v>0</v>
      </c>
      <c r="EV33" s="128">
        <f>'PROJECT TA Y TB KARINA'!$E87/8</f>
        <v>0</v>
      </c>
      <c r="EW33" s="128">
        <f>'PROJECT TA Y TB KARINA'!$E87/8</f>
        <v>0</v>
      </c>
      <c r="EX33" s="128">
        <f>'PROJECT TA Y TB KARINA'!$E87/8</f>
        <v>0</v>
      </c>
      <c r="EY33" s="128">
        <f>'PROJECT TA Y TB KARINA'!$E87/8</f>
        <v>0</v>
      </c>
      <c r="EZ33" s="128">
        <f>'PROJECT TA Y TB KARINA'!$E87/8</f>
        <v>0</v>
      </c>
      <c r="FA33" s="128">
        <f>'PROJECT TA Y TB KARINA'!$E87/8</f>
        <v>0</v>
      </c>
      <c r="FB33" s="128">
        <f>'PROJECT TA Y TB KARINA'!$E87/8</f>
        <v>0</v>
      </c>
      <c r="FC33" s="128">
        <f>'PROJECT TA Y TB KARINA'!$E87/8</f>
        <v>0</v>
      </c>
      <c r="FD33" s="128">
        <f>'PROJECT TA Y TB KARINA'!$F87/8</f>
        <v>0</v>
      </c>
      <c r="FE33" s="128">
        <f>'PROJECT TA Y TB KARINA'!$F87/8</f>
        <v>0</v>
      </c>
      <c r="FF33" s="128">
        <f>'PROJECT TA Y TB KARINA'!$F87/8</f>
        <v>0</v>
      </c>
      <c r="FG33" s="128">
        <f>'PROJECT TA Y TB KARINA'!$F87/8</f>
        <v>0</v>
      </c>
      <c r="FH33" s="128">
        <f>'PROJECT TA Y TB KARINA'!$F87/8</f>
        <v>0</v>
      </c>
      <c r="FI33" s="128">
        <f>'PROJECT TA Y TB KARINA'!$F87/8</f>
        <v>0</v>
      </c>
      <c r="FJ33" s="128">
        <f>'PROJECT TA Y TB KARINA'!$F87/8</f>
        <v>0</v>
      </c>
      <c r="FK33" s="128">
        <f>'PROJECT TA Y TB KARINA'!$F87/8</f>
        <v>0</v>
      </c>
      <c r="FL33" s="128">
        <f>'PROJECT TA Y TB KARINA'!$G87/8</f>
        <v>0</v>
      </c>
      <c r="FM33" s="128">
        <f>'PROJECT TA Y TB KARINA'!$G87/8</f>
        <v>0</v>
      </c>
      <c r="FN33" s="128">
        <f>'PROJECT TA Y TB KARINA'!$G87/8</f>
        <v>0</v>
      </c>
      <c r="FO33" s="128">
        <f>'PROJECT TA Y TB KARINA'!$G87/8</f>
        <v>0</v>
      </c>
      <c r="FP33" s="128">
        <f>'PROJECT TA Y TB KARINA'!$G87/8</f>
        <v>0</v>
      </c>
      <c r="FQ33" s="128">
        <f>'PROJECT TA Y TB KARINA'!$G87/8</f>
        <v>0</v>
      </c>
      <c r="FR33" s="128">
        <f>'PROJECT TA Y TB KARINA'!$G87/8</f>
        <v>0</v>
      </c>
      <c r="FS33" s="128">
        <f>'PROJECT TA Y TB KARINA'!$G87/8</f>
        <v>0</v>
      </c>
      <c r="FT33" s="128">
        <f>'PROJECT TA Y TB KARINA'!$H87/8</f>
        <v>0</v>
      </c>
      <c r="FU33" s="128">
        <f>'PROJECT TA Y TB KARINA'!$H87/8</f>
        <v>0</v>
      </c>
      <c r="FV33" s="128">
        <f>'PROJECT TA Y TB KARINA'!$H87/8</f>
        <v>0</v>
      </c>
      <c r="FW33" s="128">
        <f>'PROJECT TA Y TB KARINA'!$H87/8</f>
        <v>0</v>
      </c>
      <c r="FX33" s="128">
        <f>'PROJECT TA Y TB KARINA'!$H87/8</f>
        <v>0</v>
      </c>
      <c r="FY33" s="128">
        <f>'PROJECT TA Y TB KARINA'!$H87/8</f>
        <v>0</v>
      </c>
      <c r="FZ33" s="128">
        <f>'PROJECT TA Y TB KARINA'!$H87/8</f>
        <v>0</v>
      </c>
      <c r="GA33" s="128">
        <f>'PROJECT TA Y TB KARINA'!$H87/8</f>
        <v>0</v>
      </c>
      <c r="GB33" s="128">
        <f>'PROJECT TA Y TB KARINA'!$I87/8</f>
        <v>0</v>
      </c>
      <c r="GC33" s="128">
        <f>'PROJECT TA Y TB KARINA'!$I87/8</f>
        <v>0</v>
      </c>
      <c r="GD33" s="128">
        <f>'PROJECT TA Y TB KARINA'!$I87/8</f>
        <v>0</v>
      </c>
      <c r="GE33" s="128">
        <f>'PROJECT TA Y TB KARINA'!$I87/8</f>
        <v>0</v>
      </c>
      <c r="GF33" s="128">
        <f>'PROJECT TA Y TB KARINA'!$I87/8</f>
        <v>0</v>
      </c>
      <c r="GG33" s="128">
        <f>'PROJECT TA Y TB KARINA'!$I87/8</f>
        <v>0</v>
      </c>
      <c r="GH33" s="128">
        <f>'PROJECT TA Y TB KARINA'!$I87/8</f>
        <v>0</v>
      </c>
      <c r="GI33" s="128">
        <f>'PROJECT TA Y TB KARINA'!$I87/8</f>
        <v>0</v>
      </c>
      <c r="GJ33" s="128">
        <f>'PROJECT TA Y TB KARINA'!$J87/8</f>
        <v>0</v>
      </c>
      <c r="GK33" s="128">
        <f>'PROJECT TA Y TB KARINA'!$J87/8</f>
        <v>0</v>
      </c>
      <c r="GL33" s="128">
        <f>'PROJECT TA Y TB KARINA'!$J87/8</f>
        <v>0</v>
      </c>
      <c r="GM33" s="128">
        <f>'PROJECT TA Y TB KARINA'!$J87/8</f>
        <v>0</v>
      </c>
      <c r="GN33" s="128">
        <f>'PROJECT TA Y TB KARINA'!$J87/8</f>
        <v>0</v>
      </c>
      <c r="GO33" s="128">
        <f>'PROJECT TA Y TB KARINA'!$J87/8</f>
        <v>0</v>
      </c>
      <c r="GP33" s="128">
        <f>'PROJECT TA Y TB KARINA'!$J87/8</f>
        <v>0</v>
      </c>
      <c r="GQ33" s="128">
        <f>'PROJECT TA Y TB KARINA'!$J87/8</f>
        <v>0</v>
      </c>
      <c r="GR33" s="128">
        <f>'PROJECT TA Y TB KARINA'!$K87/8</f>
        <v>0</v>
      </c>
      <c r="GS33" s="128">
        <f>'PROJECT TA Y TB KARINA'!$K87/8</f>
        <v>0</v>
      </c>
      <c r="GT33" s="128">
        <f>'PROJECT TA Y TB KARINA'!$K87/8</f>
        <v>0</v>
      </c>
      <c r="GU33" s="128">
        <f>'PROJECT TA Y TB KARINA'!$K87/8</f>
        <v>0</v>
      </c>
      <c r="GV33" s="128">
        <f>'PROJECT TA Y TB KARINA'!$K87/8</f>
        <v>0</v>
      </c>
      <c r="GW33" s="128">
        <f>'PROJECT TA Y TB KARINA'!$K87/8</f>
        <v>0</v>
      </c>
      <c r="GX33" s="128">
        <f>'PROJECT TA Y TB KARINA'!$K87/8</f>
        <v>0</v>
      </c>
      <c r="GY33" s="128">
        <f>'PROJECT TA Y TB KARINA'!$K87/8</f>
        <v>0</v>
      </c>
      <c r="GZ33" s="128">
        <f>'PROJECT TA Y TB KARINA'!$L87/8</f>
        <v>0</v>
      </c>
      <c r="HA33" s="128">
        <f>'PROJECT TA Y TB KARINA'!$L87/8</f>
        <v>0</v>
      </c>
      <c r="HB33" s="128">
        <f>'PROJECT TA Y TB KARINA'!$L87/8</f>
        <v>0</v>
      </c>
      <c r="HC33" s="128">
        <f>'PROJECT TA Y TB KARINA'!$L87/8</f>
        <v>0</v>
      </c>
      <c r="HD33" s="128">
        <f>'PROJECT TA Y TB KARINA'!$L87/8</f>
        <v>0</v>
      </c>
      <c r="HE33" s="128">
        <f>'PROJECT TA Y TB KARINA'!$L87/8</f>
        <v>0</v>
      </c>
      <c r="HF33" s="128">
        <f>'PROJECT TA Y TB KARINA'!$L87/8</f>
        <v>0</v>
      </c>
      <c r="HG33" s="128">
        <f>'PROJECT TA Y TB KARINA'!$L87/8</f>
        <v>0</v>
      </c>
      <c r="HH33" s="128">
        <f>'PROJECT TA Y TB KARINA'!$M87/8</f>
        <v>0</v>
      </c>
      <c r="HI33" s="128">
        <f>'PROJECT TA Y TB KARINA'!$M87/8</f>
        <v>0</v>
      </c>
      <c r="HJ33" s="128">
        <f>'PROJECT TA Y TB KARINA'!$M87/8</f>
        <v>0</v>
      </c>
      <c r="HK33" s="128">
        <f>'PROJECT TA Y TB KARINA'!$M87/8</f>
        <v>0</v>
      </c>
      <c r="HL33" s="128">
        <f>'PROJECT TA Y TB KARINA'!$M87/8</f>
        <v>0</v>
      </c>
      <c r="HM33" s="128">
        <f>'PROJECT TA Y TB KARINA'!$M87/8</f>
        <v>0</v>
      </c>
      <c r="HN33" s="128">
        <f>'PROJECT TA Y TB KARINA'!$M87/8</f>
        <v>0</v>
      </c>
      <c r="HO33" s="128">
        <f>'PROJECT TA Y TB KARINA'!$M87/8</f>
        <v>0</v>
      </c>
      <c r="HP33" s="128">
        <f>'PROJECT TA Y TB KARINA'!$N87/8</f>
        <v>0</v>
      </c>
      <c r="HQ33" s="128">
        <f>'PROJECT TA Y TB KARINA'!$N87/8</f>
        <v>0</v>
      </c>
      <c r="HR33" s="128">
        <f>'PROJECT TA Y TB KARINA'!$N87/8</f>
        <v>0</v>
      </c>
      <c r="HS33" s="128">
        <f>'PROJECT TA Y TB KARINA'!$N87/8</f>
        <v>0</v>
      </c>
      <c r="HT33" s="128">
        <f>'PROJECT TA Y TB KARINA'!$N87/8</f>
        <v>0</v>
      </c>
      <c r="HU33" s="128">
        <f>'PROJECT TA Y TB KARINA'!$N87/8</f>
        <v>0</v>
      </c>
      <c r="HV33" s="128">
        <f>'PROJECT TA Y TB KARINA'!$N87/8</f>
        <v>0</v>
      </c>
      <c r="HW33" s="128">
        <f>'PROJECT TA Y TB KARINA'!$N87/8</f>
        <v>0</v>
      </c>
      <c r="HX33" s="128">
        <f>'PROJECT TA Y TB KARINA'!$O87/8</f>
        <v>0</v>
      </c>
      <c r="HY33" s="128">
        <f>'PROJECT TA Y TB KARINA'!$O87/8</f>
        <v>0</v>
      </c>
      <c r="HZ33" s="128">
        <f>'PROJECT TA Y TB KARINA'!$O87/8</f>
        <v>0</v>
      </c>
      <c r="IA33" s="128">
        <f>'PROJECT TA Y TB KARINA'!$O87/8</f>
        <v>0</v>
      </c>
      <c r="IB33" s="128">
        <f>'PROJECT TA Y TB KARINA'!$O87/8</f>
        <v>0</v>
      </c>
      <c r="IC33" s="128">
        <f>'PROJECT TA Y TB KARINA'!$O87/8</f>
        <v>0</v>
      </c>
      <c r="ID33" s="128">
        <f>'PROJECT TA Y TB KARINA'!$O87/8</f>
        <v>0</v>
      </c>
      <c r="IE33" s="128">
        <f>'PROJECT TA Y TB KARINA'!$O87/8</f>
        <v>0</v>
      </c>
      <c r="IF33" s="128">
        <f>'PROJECT TA Y TB KARINA'!$P87/8</f>
        <v>0</v>
      </c>
      <c r="IG33" s="128">
        <f>'PROJECT TA Y TB KARINA'!$P87/8</f>
        <v>0</v>
      </c>
      <c r="IH33" s="128">
        <f>'PROJECT TA Y TB KARINA'!$P87/8</f>
        <v>0</v>
      </c>
      <c r="II33" s="128">
        <f>'PROJECT TA Y TB KARINA'!$P87/8</f>
        <v>0</v>
      </c>
      <c r="IJ33" s="128">
        <f>'PROJECT TA Y TB KARINA'!$P87/8</f>
        <v>0</v>
      </c>
      <c r="IK33" s="128">
        <f>'PROJECT TA Y TB KARINA'!$P87/8</f>
        <v>0</v>
      </c>
      <c r="IL33" s="128">
        <f>'PROJECT TA Y TB KARINA'!$P87/8</f>
        <v>0</v>
      </c>
      <c r="IM33" s="128">
        <f>'PROJECT TA Y TB KARINA'!$P87/8</f>
        <v>0</v>
      </c>
      <c r="IN33" s="128">
        <f>'PROJECT TA Y TB KARINA'!$Q87/8</f>
        <v>0</v>
      </c>
      <c r="IO33" s="128">
        <f>'PROJECT TA Y TB KARINA'!$Q87/8</f>
        <v>0</v>
      </c>
      <c r="IP33" s="128">
        <f>'PROJECT TA Y TB KARINA'!$Q87/8</f>
        <v>0</v>
      </c>
      <c r="IQ33" s="128">
        <f>'PROJECT TA Y TB KARINA'!$Q87/8</f>
        <v>0</v>
      </c>
      <c r="IR33" s="128">
        <f>'PROJECT TA Y TB KARINA'!$Q87/8</f>
        <v>0</v>
      </c>
      <c r="IS33" s="128">
        <f>'PROJECT TA Y TB KARINA'!$Q87/8</f>
        <v>0</v>
      </c>
      <c r="IT33" s="128">
        <f>'PROJECT TA Y TB KARINA'!$Q87/8</f>
        <v>0</v>
      </c>
      <c r="IU33" s="128">
        <f>'PROJECT TA Y TB KARINA'!$Q87/8</f>
        <v>0</v>
      </c>
      <c r="IV33" s="128">
        <f>'PROJECT TA Y TB KARINA'!$R87/8</f>
        <v>0</v>
      </c>
      <c r="IW33" s="128">
        <f>'PROJECT TA Y TB KARINA'!$R87/8</f>
        <v>0</v>
      </c>
      <c r="IX33" s="128">
        <f>'PROJECT TA Y TB KARINA'!$R87/8</f>
        <v>0</v>
      </c>
      <c r="IY33" s="128">
        <f>'PROJECT TA Y TB KARINA'!$R87/8</f>
        <v>0</v>
      </c>
      <c r="IZ33" s="128">
        <f>'PROJECT TA Y TB KARINA'!$R87/8</f>
        <v>0</v>
      </c>
      <c r="JA33" s="128">
        <f>'PROJECT TA Y TB KARINA'!$R87/8</f>
        <v>0</v>
      </c>
      <c r="JB33" s="128">
        <f>'PROJECT TA Y TB KARINA'!$R87/8</f>
        <v>0</v>
      </c>
      <c r="JC33" s="128">
        <f>'PROJECT TA Y TB KARINA'!$R87/8</f>
        <v>0</v>
      </c>
      <c r="JD33" s="128">
        <f>'PROJECT TA Y TB KARINA'!$S87/8</f>
        <v>0</v>
      </c>
      <c r="JE33" s="128">
        <f>'PROJECT TA Y TB KARINA'!$S87/8</f>
        <v>0</v>
      </c>
      <c r="JF33" s="128">
        <f>'PROJECT TA Y TB KARINA'!$S87/8</f>
        <v>0</v>
      </c>
      <c r="JG33" s="128">
        <f>'PROJECT TA Y TB KARINA'!$S87/8</f>
        <v>0</v>
      </c>
      <c r="JH33" s="128">
        <f>'PROJECT TA Y TB KARINA'!$S87/8</f>
        <v>0</v>
      </c>
      <c r="JI33" s="128">
        <f>'PROJECT TA Y TB KARINA'!$S87/8</f>
        <v>0</v>
      </c>
      <c r="JJ33" s="128">
        <f>'PROJECT TA Y TB KARINA'!$S87/8</f>
        <v>0</v>
      </c>
      <c r="JK33" s="128">
        <f>'PROJECT TA Y TB KARINA'!$S87/8</f>
        <v>0</v>
      </c>
      <c r="JL33" s="128">
        <f>'PROJECT TA Y TB KARINA'!$T87/8</f>
        <v>0</v>
      </c>
      <c r="JM33" s="128">
        <f>'PROJECT TA Y TB KARINA'!$T87/8</f>
        <v>0</v>
      </c>
      <c r="JN33" s="128">
        <f>'PROJECT TA Y TB KARINA'!$T87/8</f>
        <v>0</v>
      </c>
      <c r="JO33" s="128">
        <f>'PROJECT TA Y TB KARINA'!$T87/8</f>
        <v>0</v>
      </c>
      <c r="JP33" s="128">
        <f>'PROJECT TA Y TB KARINA'!$T87/8</f>
        <v>0</v>
      </c>
      <c r="JQ33" s="128">
        <f>'PROJECT TA Y TB KARINA'!$T87/8</f>
        <v>0</v>
      </c>
      <c r="JR33" s="128">
        <f>'PROJECT TA Y TB KARINA'!$T87/8</f>
        <v>0</v>
      </c>
      <c r="JS33" s="128">
        <f>'PROJECT TA Y TB KARINA'!$T87/8</f>
        <v>0</v>
      </c>
      <c r="JT33" s="128" t="e">
        <f>'PROJECT TA Y TB KARINA'!#REF!/8</f>
        <v>#REF!</v>
      </c>
      <c r="JU33" s="128" t="e">
        <f>'PROJECT TA Y TB KARINA'!#REF!/8</f>
        <v>#REF!</v>
      </c>
      <c r="JV33" s="128" t="e">
        <f>'PROJECT TA Y TB KARINA'!#REF!/8</f>
        <v>#REF!</v>
      </c>
      <c r="JW33" s="128" t="e">
        <f>'PROJECT TA Y TB KARINA'!#REF!/8</f>
        <v>#REF!</v>
      </c>
      <c r="JX33" s="128" t="e">
        <f>'PROJECT TA Y TB KARINA'!#REF!/8</f>
        <v>#REF!</v>
      </c>
      <c r="JY33" s="128" t="e">
        <f>'PROJECT TA Y TB KARINA'!#REF!/8</f>
        <v>#REF!</v>
      </c>
      <c r="JZ33" s="128" t="e">
        <f>'PROJECT TA Y TB KARINA'!#REF!/8</f>
        <v>#REF!</v>
      </c>
      <c r="KA33" s="128" t="e">
        <f>'PROJECT TA Y TB KARINA'!#REF!/8</f>
        <v>#REF!</v>
      </c>
    </row>
    <row r="34" spans="1:287" ht="21">
      <c r="A34" s="130" t="s">
        <v>487</v>
      </c>
      <c r="B34" s="128" t="e">
        <f>'PROJECT TA Y TB KARINA'!$C$30/8</f>
        <v>#REF!</v>
      </c>
      <c r="C34" s="128" t="e">
        <f>'PROJECT TA Y TB KARINA'!$C$30/8</f>
        <v>#REF!</v>
      </c>
      <c r="D34" s="128" t="e">
        <f>'PROJECT TA Y TB KARINA'!$C$30/8</f>
        <v>#REF!</v>
      </c>
      <c r="E34" s="128" t="e">
        <f>'PROJECT TA Y TB KARINA'!$C$30/8</f>
        <v>#REF!</v>
      </c>
      <c r="F34" s="128" t="e">
        <f>'PROJECT TA Y TB KARINA'!$C$30/8</f>
        <v>#REF!</v>
      </c>
      <c r="G34" s="128" t="e">
        <f>'PROJECT TA Y TB KARINA'!$C$30/8</f>
        <v>#REF!</v>
      </c>
      <c r="H34" s="128" t="e">
        <f>'PROJECT TA Y TB KARINA'!$C$30/8</f>
        <v>#REF!</v>
      </c>
      <c r="I34" s="128" t="e">
        <f>'PROJECT TA Y TB KARINA'!$E30/8</f>
        <v>#REF!</v>
      </c>
      <c r="J34" s="128" t="e">
        <f>'PROJECT TA Y TB KARINA'!$E30/8</f>
        <v>#REF!</v>
      </c>
      <c r="K34" s="128" t="e">
        <f>'PROJECT TA Y TB KARINA'!$E30/8</f>
        <v>#REF!</v>
      </c>
      <c r="L34" s="128" t="e">
        <f>'PROJECT TA Y TB KARINA'!$E30/8</f>
        <v>#REF!</v>
      </c>
      <c r="M34" s="128" t="e">
        <f>'PROJECT TA Y TB KARINA'!$E30/8</f>
        <v>#REF!</v>
      </c>
      <c r="N34" s="128" t="e">
        <f>'PROJECT TA Y TB KARINA'!$E30/8</f>
        <v>#REF!</v>
      </c>
      <c r="O34" s="128" t="e">
        <f>'PROJECT TA Y TB KARINA'!$E30/8</f>
        <v>#REF!</v>
      </c>
      <c r="P34" s="128" t="e">
        <f>'PROJECT TA Y TB KARINA'!$E30/8</f>
        <v>#REF!</v>
      </c>
      <c r="Q34" s="128" t="e">
        <f>'PROJECT TA Y TB KARINA'!$F30/8</f>
        <v>#REF!</v>
      </c>
      <c r="R34" s="128" t="e">
        <f>'PROJECT TA Y TB KARINA'!$F30/8</f>
        <v>#REF!</v>
      </c>
      <c r="S34" s="128" t="e">
        <f>'PROJECT TA Y TB KARINA'!$F30/8</f>
        <v>#REF!</v>
      </c>
      <c r="T34" s="128" t="e">
        <f>'PROJECT TA Y TB KARINA'!$F30/8</f>
        <v>#REF!</v>
      </c>
      <c r="U34" s="128" t="e">
        <f>'PROJECT TA Y TB KARINA'!$F30/8</f>
        <v>#REF!</v>
      </c>
      <c r="V34" s="128" t="e">
        <f>'PROJECT TA Y TB KARINA'!$F30/8</f>
        <v>#REF!</v>
      </c>
      <c r="W34" s="128" t="e">
        <f>'PROJECT TA Y TB KARINA'!$F30/8</f>
        <v>#REF!</v>
      </c>
      <c r="X34" s="128" t="e">
        <f>'PROJECT TA Y TB KARINA'!$F30/8</f>
        <v>#REF!</v>
      </c>
      <c r="Y34" s="128" t="e">
        <f>'PROJECT TA Y TB KARINA'!$G30/8</f>
        <v>#REF!</v>
      </c>
      <c r="Z34" s="128" t="e">
        <f>'PROJECT TA Y TB KARINA'!$G30/8</f>
        <v>#REF!</v>
      </c>
      <c r="AA34" s="128" t="e">
        <f>'PROJECT TA Y TB KARINA'!$G30/8</f>
        <v>#REF!</v>
      </c>
      <c r="AB34" s="128" t="e">
        <f>'PROJECT TA Y TB KARINA'!$G30/8</f>
        <v>#REF!</v>
      </c>
      <c r="AC34" s="128" t="e">
        <f>'PROJECT TA Y TB KARINA'!$G30/8</f>
        <v>#REF!</v>
      </c>
      <c r="AD34" s="128" t="e">
        <f>'PROJECT TA Y TB KARINA'!$G30/8</f>
        <v>#REF!</v>
      </c>
      <c r="AE34" s="128" t="e">
        <f>'PROJECT TA Y TB KARINA'!$G30/8</f>
        <v>#REF!</v>
      </c>
      <c r="AF34" s="128" t="e">
        <f>'PROJECT TA Y TB KARINA'!$G30/8</f>
        <v>#REF!</v>
      </c>
      <c r="AG34" s="128" t="e">
        <f>'PROJECT TA Y TB KARINA'!$H30/8</f>
        <v>#REF!</v>
      </c>
      <c r="AH34" s="128" t="e">
        <f>'PROJECT TA Y TB KARINA'!$H30/8</f>
        <v>#REF!</v>
      </c>
      <c r="AI34" s="128" t="e">
        <f>'PROJECT TA Y TB KARINA'!$H30/8</f>
        <v>#REF!</v>
      </c>
      <c r="AJ34" s="128" t="e">
        <f>'PROJECT TA Y TB KARINA'!$H30/8</f>
        <v>#REF!</v>
      </c>
      <c r="AK34" s="128" t="e">
        <f>'PROJECT TA Y TB KARINA'!$H30/8</f>
        <v>#REF!</v>
      </c>
      <c r="AL34" s="128" t="e">
        <f>'PROJECT TA Y TB KARINA'!$H30/8</f>
        <v>#REF!</v>
      </c>
      <c r="AM34" s="128" t="e">
        <f>'PROJECT TA Y TB KARINA'!$H30/8</f>
        <v>#REF!</v>
      </c>
      <c r="AN34" s="128" t="e">
        <f>'PROJECT TA Y TB KARINA'!$H30/8</f>
        <v>#REF!</v>
      </c>
      <c r="AO34" s="128" t="e">
        <f>'PROJECT TA Y TB KARINA'!$I30/8</f>
        <v>#REF!</v>
      </c>
      <c r="AP34" s="128" t="e">
        <f>'PROJECT TA Y TB KARINA'!$I30/8</f>
        <v>#REF!</v>
      </c>
      <c r="AQ34" s="128" t="e">
        <f>'PROJECT TA Y TB KARINA'!$I30/8</f>
        <v>#REF!</v>
      </c>
      <c r="AR34" s="128" t="e">
        <f>'PROJECT TA Y TB KARINA'!$I30/8</f>
        <v>#REF!</v>
      </c>
      <c r="AS34" s="128" t="e">
        <f>'PROJECT TA Y TB KARINA'!$I30/8</f>
        <v>#REF!</v>
      </c>
      <c r="AT34" s="128" t="e">
        <f>'PROJECT TA Y TB KARINA'!$I30/8</f>
        <v>#REF!</v>
      </c>
      <c r="AU34" s="128" t="e">
        <f>'PROJECT TA Y TB KARINA'!$I30/8</f>
        <v>#REF!</v>
      </c>
      <c r="AV34" s="128" t="e">
        <f>'PROJECT TA Y TB KARINA'!$I30/8</f>
        <v>#REF!</v>
      </c>
      <c r="AW34" s="128" t="e">
        <f>'PROJECT TA Y TB KARINA'!$J30/8</f>
        <v>#REF!</v>
      </c>
      <c r="AX34" s="128" t="e">
        <f>'PROJECT TA Y TB KARINA'!$J30/8</f>
        <v>#REF!</v>
      </c>
      <c r="AY34" s="128" t="e">
        <f>'PROJECT TA Y TB KARINA'!$J30/8</f>
        <v>#REF!</v>
      </c>
      <c r="AZ34" s="128" t="e">
        <f>'PROJECT TA Y TB KARINA'!$J30/8</f>
        <v>#REF!</v>
      </c>
      <c r="BA34" s="128" t="e">
        <f>'PROJECT TA Y TB KARINA'!$J30/8</f>
        <v>#REF!</v>
      </c>
      <c r="BB34" s="128" t="e">
        <f>'PROJECT TA Y TB KARINA'!$J30/8</f>
        <v>#REF!</v>
      </c>
      <c r="BC34" s="128" t="e">
        <f>'PROJECT TA Y TB KARINA'!$J30/8</f>
        <v>#REF!</v>
      </c>
      <c r="BD34" s="128" t="e">
        <f>'PROJECT TA Y TB KARINA'!$J30/8</f>
        <v>#REF!</v>
      </c>
      <c r="BE34" s="128" t="e">
        <f>'PROJECT TA Y TB KARINA'!$K30/8</f>
        <v>#REF!</v>
      </c>
      <c r="BF34" s="128" t="e">
        <f>'PROJECT TA Y TB KARINA'!$K30/8</f>
        <v>#REF!</v>
      </c>
      <c r="BG34" s="128" t="e">
        <f>'PROJECT TA Y TB KARINA'!$K30/8</f>
        <v>#REF!</v>
      </c>
      <c r="BH34" s="128" t="e">
        <f>'PROJECT TA Y TB KARINA'!$K30/8</f>
        <v>#REF!</v>
      </c>
      <c r="BI34" s="128" t="e">
        <f>'PROJECT TA Y TB KARINA'!$K30/8</f>
        <v>#REF!</v>
      </c>
      <c r="BJ34" s="128" t="e">
        <f>'PROJECT TA Y TB KARINA'!$K30/8</f>
        <v>#REF!</v>
      </c>
      <c r="BK34" s="128" t="e">
        <f>'PROJECT TA Y TB KARINA'!$K30/8</f>
        <v>#REF!</v>
      </c>
      <c r="BL34" s="128" t="e">
        <f>'PROJECT TA Y TB KARINA'!$K30/8</f>
        <v>#REF!</v>
      </c>
      <c r="BM34" s="128" t="e">
        <f>'PROJECT TA Y TB KARINA'!$L30/8</f>
        <v>#REF!</v>
      </c>
      <c r="BN34" s="128" t="e">
        <f>'PROJECT TA Y TB KARINA'!$L30/8</f>
        <v>#REF!</v>
      </c>
      <c r="BO34" s="128" t="e">
        <f>'PROJECT TA Y TB KARINA'!$L30/8</f>
        <v>#REF!</v>
      </c>
      <c r="BP34" s="128" t="e">
        <f>'PROJECT TA Y TB KARINA'!$L30/8</f>
        <v>#REF!</v>
      </c>
      <c r="BQ34" s="128" t="e">
        <f>'PROJECT TA Y TB KARINA'!$L30/8</f>
        <v>#REF!</v>
      </c>
      <c r="BR34" s="128" t="e">
        <f>'PROJECT TA Y TB KARINA'!$L30/8</f>
        <v>#REF!</v>
      </c>
      <c r="BS34" s="128" t="e">
        <f>'PROJECT TA Y TB KARINA'!$L30/8</f>
        <v>#REF!</v>
      </c>
      <c r="BT34" s="128" t="e">
        <f>'PROJECT TA Y TB KARINA'!$L30/8</f>
        <v>#REF!</v>
      </c>
      <c r="BU34" s="128" t="e">
        <f>'PROJECT TA Y TB KARINA'!$M30/8</f>
        <v>#REF!</v>
      </c>
      <c r="BV34" s="128" t="e">
        <f>'PROJECT TA Y TB KARINA'!$M30/8</f>
        <v>#REF!</v>
      </c>
      <c r="BW34" s="128" t="e">
        <f>'PROJECT TA Y TB KARINA'!$M30/8</f>
        <v>#REF!</v>
      </c>
      <c r="BX34" s="128" t="e">
        <f>'PROJECT TA Y TB KARINA'!$M30/8</f>
        <v>#REF!</v>
      </c>
      <c r="BY34" s="128" t="e">
        <f>'PROJECT TA Y TB KARINA'!$M30/8</f>
        <v>#REF!</v>
      </c>
      <c r="BZ34" s="128" t="e">
        <f>'PROJECT TA Y TB KARINA'!$M30/8</f>
        <v>#REF!</v>
      </c>
      <c r="CA34" s="128" t="e">
        <f>'PROJECT TA Y TB KARINA'!$M30/8</f>
        <v>#REF!</v>
      </c>
      <c r="CB34" s="128" t="e">
        <f>'PROJECT TA Y TB KARINA'!$M30/8</f>
        <v>#REF!</v>
      </c>
      <c r="CC34" s="128" t="e">
        <f>'PROJECT TA Y TB KARINA'!$N30/8</f>
        <v>#REF!</v>
      </c>
      <c r="CD34" s="128" t="e">
        <f>'PROJECT TA Y TB KARINA'!$N30/8</f>
        <v>#REF!</v>
      </c>
      <c r="CE34" s="128" t="e">
        <f>'PROJECT TA Y TB KARINA'!$N30/8</f>
        <v>#REF!</v>
      </c>
      <c r="CF34" s="128" t="e">
        <f>'PROJECT TA Y TB KARINA'!$N30/8</f>
        <v>#REF!</v>
      </c>
      <c r="CG34" s="128" t="e">
        <f>'PROJECT TA Y TB KARINA'!$N30/8</f>
        <v>#REF!</v>
      </c>
      <c r="CH34" s="128" t="e">
        <f>'PROJECT TA Y TB KARINA'!$N30/8</f>
        <v>#REF!</v>
      </c>
      <c r="CI34" s="128" t="e">
        <f>'PROJECT TA Y TB KARINA'!$N30/8</f>
        <v>#REF!</v>
      </c>
      <c r="CJ34" s="128" t="e">
        <f>'PROJECT TA Y TB KARINA'!$N30/8</f>
        <v>#REF!</v>
      </c>
      <c r="CK34" s="128" t="e">
        <f>'PROJECT TA Y TB KARINA'!$O30/8</f>
        <v>#REF!</v>
      </c>
      <c r="CL34" s="128" t="e">
        <f>'PROJECT TA Y TB KARINA'!$O30/8</f>
        <v>#REF!</v>
      </c>
      <c r="CM34" s="128" t="e">
        <f>'PROJECT TA Y TB KARINA'!$O30/8</f>
        <v>#REF!</v>
      </c>
      <c r="CN34" s="128" t="e">
        <f>'PROJECT TA Y TB KARINA'!$O30/8</f>
        <v>#REF!</v>
      </c>
      <c r="CO34" s="128" t="e">
        <f>'PROJECT TA Y TB KARINA'!$O30/8</f>
        <v>#REF!</v>
      </c>
      <c r="CP34" s="128" t="e">
        <f>'PROJECT TA Y TB KARINA'!$O30/8</f>
        <v>#REF!</v>
      </c>
      <c r="CQ34" s="128" t="e">
        <f>'PROJECT TA Y TB KARINA'!$O30/8</f>
        <v>#REF!</v>
      </c>
      <c r="CR34" s="128" t="e">
        <f>'PROJECT TA Y TB KARINA'!$O30/8</f>
        <v>#REF!</v>
      </c>
      <c r="CS34" s="128" t="e">
        <f>'PROJECT TA Y TB KARINA'!$P30/8</f>
        <v>#REF!</v>
      </c>
      <c r="CT34" s="128" t="e">
        <f>'PROJECT TA Y TB KARINA'!$P30/8</f>
        <v>#REF!</v>
      </c>
      <c r="CU34" s="128" t="e">
        <f>'PROJECT TA Y TB KARINA'!$P30/8</f>
        <v>#REF!</v>
      </c>
      <c r="CV34" s="128" t="e">
        <f>'PROJECT TA Y TB KARINA'!$P30/8</f>
        <v>#REF!</v>
      </c>
      <c r="CW34" s="128" t="e">
        <f>'PROJECT TA Y TB KARINA'!$P30/8</f>
        <v>#REF!</v>
      </c>
      <c r="CX34" s="128" t="e">
        <f>'PROJECT TA Y TB KARINA'!$P30/8</f>
        <v>#REF!</v>
      </c>
      <c r="CY34" s="128" t="e">
        <f>'PROJECT TA Y TB KARINA'!$P30/8</f>
        <v>#REF!</v>
      </c>
      <c r="CZ34" s="128" t="e">
        <f>'PROJECT TA Y TB KARINA'!$P30/8</f>
        <v>#REF!</v>
      </c>
      <c r="DA34" s="128" t="e">
        <f>'PROJECT TA Y TB KARINA'!$Q30/8</f>
        <v>#REF!</v>
      </c>
      <c r="DB34" s="128" t="e">
        <f>'PROJECT TA Y TB KARINA'!$Q30/8</f>
        <v>#REF!</v>
      </c>
      <c r="DC34" s="128" t="e">
        <f>'PROJECT TA Y TB KARINA'!$Q30/8</f>
        <v>#REF!</v>
      </c>
      <c r="DD34" s="128" t="e">
        <f>'PROJECT TA Y TB KARINA'!$Q30/8</f>
        <v>#REF!</v>
      </c>
      <c r="DE34" s="128" t="e">
        <f>'PROJECT TA Y TB KARINA'!$Q30/8</f>
        <v>#REF!</v>
      </c>
      <c r="DF34" s="128" t="e">
        <f>'PROJECT TA Y TB KARINA'!$Q30/8</f>
        <v>#REF!</v>
      </c>
      <c r="DG34" s="128" t="e">
        <f>'PROJECT TA Y TB KARINA'!$Q30/8</f>
        <v>#REF!</v>
      </c>
      <c r="DH34" s="128" t="e">
        <f>'PROJECT TA Y TB KARINA'!$Q30/8</f>
        <v>#REF!</v>
      </c>
      <c r="DI34" s="128" t="e">
        <f>'PROJECT TA Y TB KARINA'!$R30/8</f>
        <v>#REF!</v>
      </c>
      <c r="DJ34" s="128" t="e">
        <f>'PROJECT TA Y TB KARINA'!$R30/8</f>
        <v>#REF!</v>
      </c>
      <c r="DK34" s="128" t="e">
        <f>'PROJECT TA Y TB KARINA'!$R30/8</f>
        <v>#REF!</v>
      </c>
      <c r="DL34" s="128" t="e">
        <f>'PROJECT TA Y TB KARINA'!$R30/8</f>
        <v>#REF!</v>
      </c>
      <c r="DM34" s="128" t="e">
        <f>'PROJECT TA Y TB KARINA'!$R30/8</f>
        <v>#REF!</v>
      </c>
      <c r="DN34" s="128" t="e">
        <f>'PROJECT TA Y TB KARINA'!$R30/8</f>
        <v>#REF!</v>
      </c>
      <c r="DO34" s="128" t="e">
        <f>'PROJECT TA Y TB KARINA'!$R30/8</f>
        <v>#REF!</v>
      </c>
      <c r="DP34" s="128" t="e">
        <f>'PROJECT TA Y TB KARINA'!$R30/8</f>
        <v>#REF!</v>
      </c>
      <c r="DQ34" s="128" t="e">
        <f>'PROJECT TA Y TB KARINA'!$S30/8</f>
        <v>#REF!</v>
      </c>
      <c r="DR34" s="128" t="e">
        <f>'PROJECT TA Y TB KARINA'!$S30/8</f>
        <v>#REF!</v>
      </c>
      <c r="DS34" s="128" t="e">
        <f>'PROJECT TA Y TB KARINA'!$S30/8</f>
        <v>#REF!</v>
      </c>
      <c r="DT34" s="128" t="e">
        <f>'PROJECT TA Y TB KARINA'!$S30/8</f>
        <v>#REF!</v>
      </c>
      <c r="DU34" s="128" t="e">
        <f>'PROJECT TA Y TB KARINA'!$S30/8</f>
        <v>#REF!</v>
      </c>
      <c r="DV34" s="128" t="e">
        <f>'PROJECT TA Y TB KARINA'!$S30/8</f>
        <v>#REF!</v>
      </c>
      <c r="DW34" s="128" t="e">
        <f>'PROJECT TA Y TB KARINA'!$S30/8</f>
        <v>#REF!</v>
      </c>
      <c r="DX34" s="128" t="e">
        <f>'PROJECT TA Y TB KARINA'!$S30/8</f>
        <v>#REF!</v>
      </c>
      <c r="DY34" s="128" t="e">
        <f>'PROJECT TA Y TB KARINA'!$T30/8</f>
        <v>#REF!</v>
      </c>
      <c r="DZ34" s="128" t="e">
        <f>'PROJECT TA Y TB KARINA'!$T30/8</f>
        <v>#REF!</v>
      </c>
      <c r="EA34" s="128" t="e">
        <f>'PROJECT TA Y TB KARINA'!$T30/8</f>
        <v>#REF!</v>
      </c>
      <c r="EB34" s="128" t="e">
        <f>'PROJECT TA Y TB KARINA'!$T30/8</f>
        <v>#REF!</v>
      </c>
      <c r="EC34" s="128" t="e">
        <f>'PROJECT TA Y TB KARINA'!$T30/8</f>
        <v>#REF!</v>
      </c>
      <c r="ED34" s="128" t="e">
        <f>'PROJECT TA Y TB KARINA'!$T30/8</f>
        <v>#REF!</v>
      </c>
      <c r="EE34" s="128" t="e">
        <f>'PROJECT TA Y TB KARINA'!$T30/8</f>
        <v>#REF!</v>
      </c>
      <c r="EF34" s="128" t="e">
        <f>'PROJECT TA Y TB KARINA'!$T30/8</f>
        <v>#REF!</v>
      </c>
      <c r="EG34" s="128" t="e">
        <f>'PROJECT TA Y TB KARINA'!#REF!/8</f>
        <v>#REF!</v>
      </c>
      <c r="EH34" s="128" t="e">
        <f>'PROJECT TA Y TB KARINA'!#REF!/8</f>
        <v>#REF!</v>
      </c>
      <c r="EI34" s="128" t="e">
        <f>'PROJECT TA Y TB KARINA'!#REF!/8</f>
        <v>#REF!</v>
      </c>
      <c r="EJ34" s="128" t="e">
        <f>'PROJECT TA Y TB KARINA'!#REF!/8</f>
        <v>#REF!</v>
      </c>
      <c r="EK34" s="128" t="e">
        <f>'PROJECT TA Y TB KARINA'!#REF!/8</f>
        <v>#REF!</v>
      </c>
      <c r="EL34" s="128" t="e">
        <f>'PROJECT TA Y TB KARINA'!#REF!/8</f>
        <v>#REF!</v>
      </c>
      <c r="EM34" s="128" t="e">
        <f>'PROJECT TA Y TB KARINA'!#REF!/8</f>
        <v>#REF!</v>
      </c>
      <c r="EN34" s="128" t="e">
        <f>'PROJECT TA Y TB KARINA'!#REF!/8</f>
        <v>#REF!</v>
      </c>
      <c r="EO34" s="128">
        <f>'PROJECT TA Y TB KARINA'!$C88/8</f>
        <v>0</v>
      </c>
      <c r="EP34" s="128">
        <f>'PROJECT TA Y TB KARINA'!$C88/8</f>
        <v>0</v>
      </c>
      <c r="EQ34" s="128">
        <f>'PROJECT TA Y TB KARINA'!$C88/8</f>
        <v>0</v>
      </c>
      <c r="ER34" s="128">
        <f>'PROJECT TA Y TB KARINA'!$C88/8</f>
        <v>0</v>
      </c>
      <c r="ES34" s="128">
        <f>'PROJECT TA Y TB KARINA'!$C88/8</f>
        <v>0</v>
      </c>
      <c r="ET34" s="128">
        <f>'PROJECT TA Y TB KARINA'!$C88/8</f>
        <v>0</v>
      </c>
      <c r="EU34" s="128">
        <f>'PROJECT TA Y TB KARINA'!$C88/8</f>
        <v>0</v>
      </c>
      <c r="EV34" s="128">
        <f>'PROJECT TA Y TB KARINA'!$E88/8</f>
        <v>0</v>
      </c>
      <c r="EW34" s="128">
        <f>'PROJECT TA Y TB KARINA'!$E88/8</f>
        <v>0</v>
      </c>
      <c r="EX34" s="128">
        <f>'PROJECT TA Y TB KARINA'!$E88/8</f>
        <v>0</v>
      </c>
      <c r="EY34" s="128">
        <f>'PROJECT TA Y TB KARINA'!$E88/8</f>
        <v>0</v>
      </c>
      <c r="EZ34" s="128">
        <f>'PROJECT TA Y TB KARINA'!$E88/8</f>
        <v>0</v>
      </c>
      <c r="FA34" s="128">
        <f>'PROJECT TA Y TB KARINA'!$E88/8</f>
        <v>0</v>
      </c>
      <c r="FB34" s="128">
        <f>'PROJECT TA Y TB KARINA'!$E88/8</f>
        <v>0</v>
      </c>
      <c r="FC34" s="128">
        <f>'PROJECT TA Y TB KARINA'!$E88/8</f>
        <v>0</v>
      </c>
      <c r="FD34" s="128">
        <f>'PROJECT TA Y TB KARINA'!$F88/8</f>
        <v>0</v>
      </c>
      <c r="FE34" s="128">
        <f>'PROJECT TA Y TB KARINA'!$F88/8</f>
        <v>0</v>
      </c>
      <c r="FF34" s="128">
        <f>'PROJECT TA Y TB KARINA'!$F88/8</f>
        <v>0</v>
      </c>
      <c r="FG34" s="128">
        <f>'PROJECT TA Y TB KARINA'!$F88/8</f>
        <v>0</v>
      </c>
      <c r="FH34" s="128">
        <f>'PROJECT TA Y TB KARINA'!$F88/8</f>
        <v>0</v>
      </c>
      <c r="FI34" s="128">
        <f>'PROJECT TA Y TB KARINA'!$F88/8</f>
        <v>0</v>
      </c>
      <c r="FJ34" s="128">
        <f>'PROJECT TA Y TB KARINA'!$F88/8</f>
        <v>0</v>
      </c>
      <c r="FK34" s="128">
        <f>'PROJECT TA Y TB KARINA'!$F88/8</f>
        <v>0</v>
      </c>
      <c r="FL34" s="128">
        <f>'PROJECT TA Y TB KARINA'!$G88/8</f>
        <v>0</v>
      </c>
      <c r="FM34" s="128">
        <f>'PROJECT TA Y TB KARINA'!$G88/8</f>
        <v>0</v>
      </c>
      <c r="FN34" s="128">
        <f>'PROJECT TA Y TB KARINA'!$G88/8</f>
        <v>0</v>
      </c>
      <c r="FO34" s="128">
        <f>'PROJECT TA Y TB KARINA'!$G88/8</f>
        <v>0</v>
      </c>
      <c r="FP34" s="128">
        <f>'PROJECT TA Y TB KARINA'!$G88/8</f>
        <v>0</v>
      </c>
      <c r="FQ34" s="128">
        <f>'PROJECT TA Y TB KARINA'!$G88/8</f>
        <v>0</v>
      </c>
      <c r="FR34" s="128">
        <f>'PROJECT TA Y TB KARINA'!$G88/8</f>
        <v>0</v>
      </c>
      <c r="FS34" s="128">
        <f>'PROJECT TA Y TB KARINA'!$G88/8</f>
        <v>0</v>
      </c>
      <c r="FT34" s="128">
        <f>'PROJECT TA Y TB KARINA'!$H88/8</f>
        <v>0</v>
      </c>
      <c r="FU34" s="128">
        <f>'PROJECT TA Y TB KARINA'!$H88/8</f>
        <v>0</v>
      </c>
      <c r="FV34" s="128">
        <f>'PROJECT TA Y TB KARINA'!$H88/8</f>
        <v>0</v>
      </c>
      <c r="FW34" s="128">
        <f>'PROJECT TA Y TB KARINA'!$H88/8</f>
        <v>0</v>
      </c>
      <c r="FX34" s="128">
        <f>'PROJECT TA Y TB KARINA'!$H88/8</f>
        <v>0</v>
      </c>
      <c r="FY34" s="128">
        <f>'PROJECT TA Y TB KARINA'!$H88/8</f>
        <v>0</v>
      </c>
      <c r="FZ34" s="128">
        <f>'PROJECT TA Y TB KARINA'!$H88/8</f>
        <v>0</v>
      </c>
      <c r="GA34" s="128">
        <f>'PROJECT TA Y TB KARINA'!$H88/8</f>
        <v>0</v>
      </c>
      <c r="GB34" s="128">
        <f>'PROJECT TA Y TB KARINA'!$I88/8</f>
        <v>0</v>
      </c>
      <c r="GC34" s="128">
        <f>'PROJECT TA Y TB KARINA'!$I88/8</f>
        <v>0</v>
      </c>
      <c r="GD34" s="128">
        <f>'PROJECT TA Y TB KARINA'!$I88/8</f>
        <v>0</v>
      </c>
      <c r="GE34" s="128">
        <f>'PROJECT TA Y TB KARINA'!$I88/8</f>
        <v>0</v>
      </c>
      <c r="GF34" s="128">
        <f>'PROJECT TA Y TB KARINA'!$I88/8</f>
        <v>0</v>
      </c>
      <c r="GG34" s="128">
        <f>'PROJECT TA Y TB KARINA'!$I88/8</f>
        <v>0</v>
      </c>
      <c r="GH34" s="128">
        <f>'PROJECT TA Y TB KARINA'!$I88/8</f>
        <v>0</v>
      </c>
      <c r="GI34" s="128">
        <f>'PROJECT TA Y TB KARINA'!$I88/8</f>
        <v>0</v>
      </c>
      <c r="GJ34" s="128">
        <f>'PROJECT TA Y TB KARINA'!$J88/8</f>
        <v>0</v>
      </c>
      <c r="GK34" s="128">
        <f>'PROJECT TA Y TB KARINA'!$J88/8</f>
        <v>0</v>
      </c>
      <c r="GL34" s="128">
        <f>'PROJECT TA Y TB KARINA'!$J88/8</f>
        <v>0</v>
      </c>
      <c r="GM34" s="128">
        <f>'PROJECT TA Y TB KARINA'!$J88/8</f>
        <v>0</v>
      </c>
      <c r="GN34" s="128">
        <f>'PROJECT TA Y TB KARINA'!$J88/8</f>
        <v>0</v>
      </c>
      <c r="GO34" s="128">
        <f>'PROJECT TA Y TB KARINA'!$J88/8</f>
        <v>0</v>
      </c>
      <c r="GP34" s="128">
        <f>'PROJECT TA Y TB KARINA'!$J88/8</f>
        <v>0</v>
      </c>
      <c r="GQ34" s="128">
        <f>'PROJECT TA Y TB KARINA'!$J88/8</f>
        <v>0</v>
      </c>
      <c r="GR34" s="128">
        <f>'PROJECT TA Y TB KARINA'!$K88/8</f>
        <v>0</v>
      </c>
      <c r="GS34" s="128">
        <f>'PROJECT TA Y TB KARINA'!$K88/8</f>
        <v>0</v>
      </c>
      <c r="GT34" s="128">
        <f>'PROJECT TA Y TB KARINA'!$K88/8</f>
        <v>0</v>
      </c>
      <c r="GU34" s="128">
        <f>'PROJECT TA Y TB KARINA'!$K88/8</f>
        <v>0</v>
      </c>
      <c r="GV34" s="128">
        <f>'PROJECT TA Y TB KARINA'!$K88/8</f>
        <v>0</v>
      </c>
      <c r="GW34" s="128">
        <f>'PROJECT TA Y TB KARINA'!$K88/8</f>
        <v>0</v>
      </c>
      <c r="GX34" s="128">
        <f>'PROJECT TA Y TB KARINA'!$K88/8</f>
        <v>0</v>
      </c>
      <c r="GY34" s="128">
        <f>'PROJECT TA Y TB KARINA'!$K88/8</f>
        <v>0</v>
      </c>
      <c r="GZ34" s="128">
        <f>'PROJECT TA Y TB KARINA'!$L88/8</f>
        <v>0</v>
      </c>
      <c r="HA34" s="128">
        <f>'PROJECT TA Y TB KARINA'!$L88/8</f>
        <v>0</v>
      </c>
      <c r="HB34" s="128">
        <f>'PROJECT TA Y TB KARINA'!$L88/8</f>
        <v>0</v>
      </c>
      <c r="HC34" s="128">
        <f>'PROJECT TA Y TB KARINA'!$L88/8</f>
        <v>0</v>
      </c>
      <c r="HD34" s="128">
        <f>'PROJECT TA Y TB KARINA'!$L88/8</f>
        <v>0</v>
      </c>
      <c r="HE34" s="128">
        <f>'PROJECT TA Y TB KARINA'!$L88/8</f>
        <v>0</v>
      </c>
      <c r="HF34" s="128">
        <f>'PROJECT TA Y TB KARINA'!$L88/8</f>
        <v>0</v>
      </c>
      <c r="HG34" s="128">
        <f>'PROJECT TA Y TB KARINA'!$L88/8</f>
        <v>0</v>
      </c>
      <c r="HH34" s="128">
        <f>'PROJECT TA Y TB KARINA'!$M88/8</f>
        <v>0</v>
      </c>
      <c r="HI34" s="128">
        <f>'PROJECT TA Y TB KARINA'!$M88/8</f>
        <v>0</v>
      </c>
      <c r="HJ34" s="128">
        <f>'PROJECT TA Y TB KARINA'!$M88/8</f>
        <v>0</v>
      </c>
      <c r="HK34" s="128">
        <f>'PROJECT TA Y TB KARINA'!$M88/8</f>
        <v>0</v>
      </c>
      <c r="HL34" s="128">
        <f>'PROJECT TA Y TB KARINA'!$M88/8</f>
        <v>0</v>
      </c>
      <c r="HM34" s="128">
        <f>'PROJECT TA Y TB KARINA'!$M88/8</f>
        <v>0</v>
      </c>
      <c r="HN34" s="128">
        <f>'PROJECT TA Y TB KARINA'!$M88/8</f>
        <v>0</v>
      </c>
      <c r="HO34" s="128">
        <f>'PROJECT TA Y TB KARINA'!$M88/8</f>
        <v>0</v>
      </c>
      <c r="HP34" s="128">
        <f>'PROJECT TA Y TB KARINA'!$N88/8</f>
        <v>0</v>
      </c>
      <c r="HQ34" s="128">
        <f>'PROJECT TA Y TB KARINA'!$N88/8</f>
        <v>0</v>
      </c>
      <c r="HR34" s="128">
        <f>'PROJECT TA Y TB KARINA'!$N88/8</f>
        <v>0</v>
      </c>
      <c r="HS34" s="128">
        <f>'PROJECT TA Y TB KARINA'!$N88/8</f>
        <v>0</v>
      </c>
      <c r="HT34" s="128">
        <f>'PROJECT TA Y TB KARINA'!$N88/8</f>
        <v>0</v>
      </c>
      <c r="HU34" s="128">
        <f>'PROJECT TA Y TB KARINA'!$N88/8</f>
        <v>0</v>
      </c>
      <c r="HV34" s="128">
        <f>'PROJECT TA Y TB KARINA'!$N88/8</f>
        <v>0</v>
      </c>
      <c r="HW34" s="128">
        <f>'PROJECT TA Y TB KARINA'!$N88/8</f>
        <v>0</v>
      </c>
      <c r="HX34" s="128">
        <f>'PROJECT TA Y TB KARINA'!$O88/8</f>
        <v>0</v>
      </c>
      <c r="HY34" s="128">
        <f>'PROJECT TA Y TB KARINA'!$O88/8</f>
        <v>0</v>
      </c>
      <c r="HZ34" s="128">
        <f>'PROJECT TA Y TB KARINA'!$O88/8</f>
        <v>0</v>
      </c>
      <c r="IA34" s="128">
        <f>'PROJECT TA Y TB KARINA'!$O88/8</f>
        <v>0</v>
      </c>
      <c r="IB34" s="128">
        <f>'PROJECT TA Y TB KARINA'!$O88/8</f>
        <v>0</v>
      </c>
      <c r="IC34" s="128">
        <f>'PROJECT TA Y TB KARINA'!$O88/8</f>
        <v>0</v>
      </c>
      <c r="ID34" s="128">
        <f>'PROJECT TA Y TB KARINA'!$O88/8</f>
        <v>0</v>
      </c>
      <c r="IE34" s="128">
        <f>'PROJECT TA Y TB KARINA'!$O88/8</f>
        <v>0</v>
      </c>
      <c r="IF34" s="128">
        <f>'PROJECT TA Y TB KARINA'!$P88/8</f>
        <v>0</v>
      </c>
      <c r="IG34" s="128">
        <f>'PROJECT TA Y TB KARINA'!$P88/8</f>
        <v>0</v>
      </c>
      <c r="IH34" s="128">
        <f>'PROJECT TA Y TB KARINA'!$P88/8</f>
        <v>0</v>
      </c>
      <c r="II34" s="128">
        <f>'PROJECT TA Y TB KARINA'!$P88/8</f>
        <v>0</v>
      </c>
      <c r="IJ34" s="128">
        <f>'PROJECT TA Y TB KARINA'!$P88/8</f>
        <v>0</v>
      </c>
      <c r="IK34" s="128">
        <f>'PROJECT TA Y TB KARINA'!$P88/8</f>
        <v>0</v>
      </c>
      <c r="IL34" s="128">
        <f>'PROJECT TA Y TB KARINA'!$P88/8</f>
        <v>0</v>
      </c>
      <c r="IM34" s="128">
        <f>'PROJECT TA Y TB KARINA'!$P88/8</f>
        <v>0</v>
      </c>
      <c r="IN34" s="128">
        <f>'PROJECT TA Y TB KARINA'!$Q88/8</f>
        <v>0</v>
      </c>
      <c r="IO34" s="128">
        <f>'PROJECT TA Y TB KARINA'!$Q88/8</f>
        <v>0</v>
      </c>
      <c r="IP34" s="128">
        <f>'PROJECT TA Y TB KARINA'!$Q88/8</f>
        <v>0</v>
      </c>
      <c r="IQ34" s="128">
        <f>'PROJECT TA Y TB KARINA'!$Q88/8</f>
        <v>0</v>
      </c>
      <c r="IR34" s="128">
        <f>'PROJECT TA Y TB KARINA'!$Q88/8</f>
        <v>0</v>
      </c>
      <c r="IS34" s="128">
        <f>'PROJECT TA Y TB KARINA'!$Q88/8</f>
        <v>0</v>
      </c>
      <c r="IT34" s="128">
        <f>'PROJECT TA Y TB KARINA'!$Q88/8</f>
        <v>0</v>
      </c>
      <c r="IU34" s="128">
        <f>'PROJECT TA Y TB KARINA'!$Q88/8</f>
        <v>0</v>
      </c>
      <c r="IV34" s="128">
        <f>'PROJECT TA Y TB KARINA'!$R88/8</f>
        <v>0</v>
      </c>
      <c r="IW34" s="128">
        <f>'PROJECT TA Y TB KARINA'!$R88/8</f>
        <v>0</v>
      </c>
      <c r="IX34" s="128">
        <f>'PROJECT TA Y TB KARINA'!$R88/8</f>
        <v>0</v>
      </c>
      <c r="IY34" s="128">
        <f>'PROJECT TA Y TB KARINA'!$R88/8</f>
        <v>0</v>
      </c>
      <c r="IZ34" s="128">
        <f>'PROJECT TA Y TB KARINA'!$R88/8</f>
        <v>0</v>
      </c>
      <c r="JA34" s="128">
        <f>'PROJECT TA Y TB KARINA'!$R88/8</f>
        <v>0</v>
      </c>
      <c r="JB34" s="128">
        <f>'PROJECT TA Y TB KARINA'!$R88/8</f>
        <v>0</v>
      </c>
      <c r="JC34" s="128">
        <f>'PROJECT TA Y TB KARINA'!$R88/8</f>
        <v>0</v>
      </c>
      <c r="JD34" s="128">
        <f>'PROJECT TA Y TB KARINA'!$S88/8</f>
        <v>0</v>
      </c>
      <c r="JE34" s="128">
        <f>'PROJECT TA Y TB KARINA'!$S88/8</f>
        <v>0</v>
      </c>
      <c r="JF34" s="128">
        <f>'PROJECT TA Y TB KARINA'!$S88/8</f>
        <v>0</v>
      </c>
      <c r="JG34" s="128">
        <f>'PROJECT TA Y TB KARINA'!$S88/8</f>
        <v>0</v>
      </c>
      <c r="JH34" s="128">
        <f>'PROJECT TA Y TB KARINA'!$S88/8</f>
        <v>0</v>
      </c>
      <c r="JI34" s="128">
        <f>'PROJECT TA Y TB KARINA'!$S88/8</f>
        <v>0</v>
      </c>
      <c r="JJ34" s="128">
        <f>'PROJECT TA Y TB KARINA'!$S88/8</f>
        <v>0</v>
      </c>
      <c r="JK34" s="128">
        <f>'PROJECT TA Y TB KARINA'!$S88/8</f>
        <v>0</v>
      </c>
      <c r="JL34" s="128">
        <f>'PROJECT TA Y TB KARINA'!$T88/8</f>
        <v>0</v>
      </c>
      <c r="JM34" s="128">
        <f>'PROJECT TA Y TB KARINA'!$T88/8</f>
        <v>0</v>
      </c>
      <c r="JN34" s="128">
        <f>'PROJECT TA Y TB KARINA'!$T88/8</f>
        <v>0</v>
      </c>
      <c r="JO34" s="128">
        <f>'PROJECT TA Y TB KARINA'!$T88/8</f>
        <v>0</v>
      </c>
      <c r="JP34" s="128">
        <f>'PROJECT TA Y TB KARINA'!$T88/8</f>
        <v>0</v>
      </c>
      <c r="JQ34" s="128">
        <f>'PROJECT TA Y TB KARINA'!$T88/8</f>
        <v>0</v>
      </c>
      <c r="JR34" s="128">
        <f>'PROJECT TA Y TB KARINA'!$T88/8</f>
        <v>0</v>
      </c>
      <c r="JS34" s="128">
        <f>'PROJECT TA Y TB KARINA'!$T88/8</f>
        <v>0</v>
      </c>
      <c r="JT34" s="128" t="e">
        <f>'PROJECT TA Y TB KARINA'!#REF!/8</f>
        <v>#REF!</v>
      </c>
      <c r="JU34" s="128" t="e">
        <f>'PROJECT TA Y TB KARINA'!#REF!/8</f>
        <v>#REF!</v>
      </c>
      <c r="JV34" s="128" t="e">
        <f>'PROJECT TA Y TB KARINA'!#REF!/8</f>
        <v>#REF!</v>
      </c>
      <c r="JW34" s="128" t="e">
        <f>'PROJECT TA Y TB KARINA'!#REF!/8</f>
        <v>#REF!</v>
      </c>
      <c r="JX34" s="128" t="e">
        <f>'PROJECT TA Y TB KARINA'!#REF!/8</f>
        <v>#REF!</v>
      </c>
      <c r="JY34" s="128" t="e">
        <f>'PROJECT TA Y TB KARINA'!#REF!/8</f>
        <v>#REF!</v>
      </c>
      <c r="JZ34" s="128" t="e">
        <f>'PROJECT TA Y TB KARINA'!#REF!/8</f>
        <v>#REF!</v>
      </c>
      <c r="KA34" s="128" t="e">
        <f>'PROJECT TA Y TB KARINA'!#REF!/8</f>
        <v>#REF!</v>
      </c>
    </row>
    <row r="35" spans="1:287" ht="21">
      <c r="A35" s="130" t="s">
        <v>488</v>
      </c>
      <c r="B35" s="128" t="e">
        <f>'PROJECT TA Y TB KARINA'!$C$31/8</f>
        <v>#REF!</v>
      </c>
      <c r="C35" s="128" t="e">
        <f>'PROJECT TA Y TB KARINA'!$C$31/8</f>
        <v>#REF!</v>
      </c>
      <c r="D35" s="128" t="e">
        <f>'PROJECT TA Y TB KARINA'!$C$31/8</f>
        <v>#REF!</v>
      </c>
      <c r="E35" s="128" t="e">
        <f>'PROJECT TA Y TB KARINA'!$C$31/8</f>
        <v>#REF!</v>
      </c>
      <c r="F35" s="128" t="e">
        <f>'PROJECT TA Y TB KARINA'!$C$31/8</f>
        <v>#REF!</v>
      </c>
      <c r="G35" s="128" t="e">
        <f>'PROJECT TA Y TB KARINA'!$C$31/8</f>
        <v>#REF!</v>
      </c>
      <c r="H35" s="128" t="e">
        <f>'PROJECT TA Y TB KARINA'!$C$31/8</f>
        <v>#REF!</v>
      </c>
      <c r="I35" s="128" t="e">
        <f>'PROJECT TA Y TB KARINA'!$E31/8</f>
        <v>#REF!</v>
      </c>
      <c r="J35" s="128" t="e">
        <f>'PROJECT TA Y TB KARINA'!$E31/8</f>
        <v>#REF!</v>
      </c>
      <c r="K35" s="128" t="e">
        <f>'PROJECT TA Y TB KARINA'!$E31/8</f>
        <v>#REF!</v>
      </c>
      <c r="L35" s="128" t="e">
        <f>'PROJECT TA Y TB KARINA'!$E31/8</f>
        <v>#REF!</v>
      </c>
      <c r="M35" s="128" t="e">
        <f>'PROJECT TA Y TB KARINA'!$E31/8</f>
        <v>#REF!</v>
      </c>
      <c r="N35" s="128" t="e">
        <f>'PROJECT TA Y TB KARINA'!$E31/8</f>
        <v>#REF!</v>
      </c>
      <c r="O35" s="128" t="e">
        <f>'PROJECT TA Y TB KARINA'!$E31/8</f>
        <v>#REF!</v>
      </c>
      <c r="P35" s="128" t="e">
        <f>'PROJECT TA Y TB KARINA'!$E31/8</f>
        <v>#REF!</v>
      </c>
      <c r="Q35" s="128" t="e">
        <f>'PROJECT TA Y TB KARINA'!$F31/8</f>
        <v>#REF!</v>
      </c>
      <c r="R35" s="128" t="e">
        <f>'PROJECT TA Y TB KARINA'!$F31/8</f>
        <v>#REF!</v>
      </c>
      <c r="S35" s="128" t="e">
        <f>'PROJECT TA Y TB KARINA'!$F31/8</f>
        <v>#REF!</v>
      </c>
      <c r="T35" s="128" t="e">
        <f>'PROJECT TA Y TB KARINA'!$F31/8</f>
        <v>#REF!</v>
      </c>
      <c r="U35" s="128" t="e">
        <f>'PROJECT TA Y TB KARINA'!$F31/8</f>
        <v>#REF!</v>
      </c>
      <c r="V35" s="128" t="e">
        <f>'PROJECT TA Y TB KARINA'!$F31/8</f>
        <v>#REF!</v>
      </c>
      <c r="W35" s="128" t="e">
        <f>'PROJECT TA Y TB KARINA'!$F31/8</f>
        <v>#REF!</v>
      </c>
      <c r="X35" s="128" t="e">
        <f>'PROJECT TA Y TB KARINA'!$F31/8</f>
        <v>#REF!</v>
      </c>
      <c r="Y35" s="128" t="e">
        <f>'PROJECT TA Y TB KARINA'!$G31/8</f>
        <v>#REF!</v>
      </c>
      <c r="Z35" s="128" t="e">
        <f>'PROJECT TA Y TB KARINA'!$G31/8</f>
        <v>#REF!</v>
      </c>
      <c r="AA35" s="128" t="e">
        <f>'PROJECT TA Y TB KARINA'!$G31/8</f>
        <v>#REF!</v>
      </c>
      <c r="AB35" s="128" t="e">
        <f>'PROJECT TA Y TB KARINA'!$G31/8</f>
        <v>#REF!</v>
      </c>
      <c r="AC35" s="128" t="e">
        <f>'PROJECT TA Y TB KARINA'!$G31/8</f>
        <v>#REF!</v>
      </c>
      <c r="AD35" s="128" t="e">
        <f>'PROJECT TA Y TB KARINA'!$G31/8</f>
        <v>#REF!</v>
      </c>
      <c r="AE35" s="128" t="e">
        <f>'PROJECT TA Y TB KARINA'!$G31/8</f>
        <v>#REF!</v>
      </c>
      <c r="AF35" s="128" t="e">
        <f>'PROJECT TA Y TB KARINA'!$G31/8</f>
        <v>#REF!</v>
      </c>
      <c r="AG35" s="128" t="e">
        <f>'PROJECT TA Y TB KARINA'!$H31/8</f>
        <v>#REF!</v>
      </c>
      <c r="AH35" s="128" t="e">
        <f>'PROJECT TA Y TB KARINA'!$H31/8</f>
        <v>#REF!</v>
      </c>
      <c r="AI35" s="128" t="e">
        <f>'PROJECT TA Y TB KARINA'!$H31/8</f>
        <v>#REF!</v>
      </c>
      <c r="AJ35" s="128" t="e">
        <f>'PROJECT TA Y TB KARINA'!$H31/8</f>
        <v>#REF!</v>
      </c>
      <c r="AK35" s="128" t="e">
        <f>'PROJECT TA Y TB KARINA'!$H31/8</f>
        <v>#REF!</v>
      </c>
      <c r="AL35" s="128" t="e">
        <f>'PROJECT TA Y TB KARINA'!$H31/8</f>
        <v>#REF!</v>
      </c>
      <c r="AM35" s="128" t="e">
        <f>'PROJECT TA Y TB KARINA'!$H31/8</f>
        <v>#REF!</v>
      </c>
      <c r="AN35" s="128" t="e">
        <f>'PROJECT TA Y TB KARINA'!$H31/8</f>
        <v>#REF!</v>
      </c>
      <c r="AO35" s="128" t="e">
        <f>'PROJECT TA Y TB KARINA'!$I31/8</f>
        <v>#REF!</v>
      </c>
      <c r="AP35" s="128" t="e">
        <f>'PROJECT TA Y TB KARINA'!$I31/8</f>
        <v>#REF!</v>
      </c>
      <c r="AQ35" s="128" t="e">
        <f>'PROJECT TA Y TB KARINA'!$I31/8</f>
        <v>#REF!</v>
      </c>
      <c r="AR35" s="128" t="e">
        <f>'PROJECT TA Y TB KARINA'!$I31/8</f>
        <v>#REF!</v>
      </c>
      <c r="AS35" s="128" t="e">
        <f>'PROJECT TA Y TB KARINA'!$I31/8</f>
        <v>#REF!</v>
      </c>
      <c r="AT35" s="128" t="e">
        <f>'PROJECT TA Y TB KARINA'!$I31/8</f>
        <v>#REF!</v>
      </c>
      <c r="AU35" s="128" t="e">
        <f>'PROJECT TA Y TB KARINA'!$I31/8</f>
        <v>#REF!</v>
      </c>
      <c r="AV35" s="128" t="e">
        <f>'PROJECT TA Y TB KARINA'!$I31/8</f>
        <v>#REF!</v>
      </c>
      <c r="AW35" s="128" t="e">
        <f>'PROJECT TA Y TB KARINA'!$J31/8</f>
        <v>#REF!</v>
      </c>
      <c r="AX35" s="128" t="e">
        <f>'PROJECT TA Y TB KARINA'!$J31/8</f>
        <v>#REF!</v>
      </c>
      <c r="AY35" s="128" t="e">
        <f>'PROJECT TA Y TB KARINA'!$J31/8</f>
        <v>#REF!</v>
      </c>
      <c r="AZ35" s="128" t="e">
        <f>'PROJECT TA Y TB KARINA'!$J31/8</f>
        <v>#REF!</v>
      </c>
      <c r="BA35" s="128" t="e">
        <f>'PROJECT TA Y TB KARINA'!$J31/8</f>
        <v>#REF!</v>
      </c>
      <c r="BB35" s="128" t="e">
        <f>'PROJECT TA Y TB KARINA'!$J31/8</f>
        <v>#REF!</v>
      </c>
      <c r="BC35" s="128" t="e">
        <f>'PROJECT TA Y TB KARINA'!$J31/8</f>
        <v>#REF!</v>
      </c>
      <c r="BD35" s="128" t="e">
        <f>'PROJECT TA Y TB KARINA'!$J31/8</f>
        <v>#REF!</v>
      </c>
      <c r="BE35" s="128" t="e">
        <f>'PROJECT TA Y TB KARINA'!$K31/8</f>
        <v>#REF!</v>
      </c>
      <c r="BF35" s="128" t="e">
        <f>'PROJECT TA Y TB KARINA'!$K31/8</f>
        <v>#REF!</v>
      </c>
      <c r="BG35" s="128" t="e">
        <f>'PROJECT TA Y TB KARINA'!$K31/8</f>
        <v>#REF!</v>
      </c>
      <c r="BH35" s="128" t="e">
        <f>'PROJECT TA Y TB KARINA'!$K31/8</f>
        <v>#REF!</v>
      </c>
      <c r="BI35" s="128" t="e">
        <f>'PROJECT TA Y TB KARINA'!$K31/8</f>
        <v>#REF!</v>
      </c>
      <c r="BJ35" s="128" t="e">
        <f>'PROJECT TA Y TB KARINA'!$K31/8</f>
        <v>#REF!</v>
      </c>
      <c r="BK35" s="128" t="e">
        <f>'PROJECT TA Y TB KARINA'!$K31/8</f>
        <v>#REF!</v>
      </c>
      <c r="BL35" s="128" t="e">
        <f>'PROJECT TA Y TB KARINA'!$K31/8</f>
        <v>#REF!</v>
      </c>
      <c r="BM35" s="128" t="e">
        <f>'PROJECT TA Y TB KARINA'!$L31/8</f>
        <v>#REF!</v>
      </c>
      <c r="BN35" s="128" t="e">
        <f>'PROJECT TA Y TB KARINA'!$L31/8</f>
        <v>#REF!</v>
      </c>
      <c r="BO35" s="128" t="e">
        <f>'PROJECT TA Y TB KARINA'!$L31/8</f>
        <v>#REF!</v>
      </c>
      <c r="BP35" s="128" t="e">
        <f>'PROJECT TA Y TB KARINA'!$L31/8</f>
        <v>#REF!</v>
      </c>
      <c r="BQ35" s="128" t="e">
        <f>'PROJECT TA Y TB KARINA'!$L31/8</f>
        <v>#REF!</v>
      </c>
      <c r="BR35" s="128" t="e">
        <f>'PROJECT TA Y TB KARINA'!$L31/8</f>
        <v>#REF!</v>
      </c>
      <c r="BS35" s="128" t="e">
        <f>'PROJECT TA Y TB KARINA'!$L31/8</f>
        <v>#REF!</v>
      </c>
      <c r="BT35" s="128" t="e">
        <f>'PROJECT TA Y TB KARINA'!$L31/8</f>
        <v>#REF!</v>
      </c>
      <c r="BU35" s="128" t="e">
        <f>'PROJECT TA Y TB KARINA'!$M31/8</f>
        <v>#REF!</v>
      </c>
      <c r="BV35" s="128" t="e">
        <f>'PROJECT TA Y TB KARINA'!$M31/8</f>
        <v>#REF!</v>
      </c>
      <c r="BW35" s="128" t="e">
        <f>'PROJECT TA Y TB KARINA'!$M31/8</f>
        <v>#REF!</v>
      </c>
      <c r="BX35" s="128" t="e">
        <f>'PROJECT TA Y TB KARINA'!$M31/8</f>
        <v>#REF!</v>
      </c>
      <c r="BY35" s="128" t="e">
        <f>'PROJECT TA Y TB KARINA'!$M31/8</f>
        <v>#REF!</v>
      </c>
      <c r="BZ35" s="128" t="e">
        <f>'PROJECT TA Y TB KARINA'!$M31/8</f>
        <v>#REF!</v>
      </c>
      <c r="CA35" s="128" t="e">
        <f>'PROJECT TA Y TB KARINA'!$M31/8</f>
        <v>#REF!</v>
      </c>
      <c r="CB35" s="128" t="e">
        <f>'PROJECT TA Y TB KARINA'!$M31/8</f>
        <v>#REF!</v>
      </c>
      <c r="CC35" s="128" t="e">
        <f>'PROJECT TA Y TB KARINA'!$N31/8</f>
        <v>#REF!</v>
      </c>
      <c r="CD35" s="128" t="e">
        <f>'PROJECT TA Y TB KARINA'!$N31/8</f>
        <v>#REF!</v>
      </c>
      <c r="CE35" s="128" t="e">
        <f>'PROJECT TA Y TB KARINA'!$N31/8</f>
        <v>#REF!</v>
      </c>
      <c r="CF35" s="128" t="e">
        <f>'PROJECT TA Y TB KARINA'!$N31/8</f>
        <v>#REF!</v>
      </c>
      <c r="CG35" s="128" t="e">
        <f>'PROJECT TA Y TB KARINA'!$N31/8</f>
        <v>#REF!</v>
      </c>
      <c r="CH35" s="128" t="e">
        <f>'PROJECT TA Y TB KARINA'!$N31/8</f>
        <v>#REF!</v>
      </c>
      <c r="CI35" s="128" t="e">
        <f>'PROJECT TA Y TB KARINA'!$N31/8</f>
        <v>#REF!</v>
      </c>
      <c r="CJ35" s="128" t="e">
        <f>'PROJECT TA Y TB KARINA'!$N31/8</f>
        <v>#REF!</v>
      </c>
      <c r="CK35" s="128" t="e">
        <f>'PROJECT TA Y TB KARINA'!$O31/8</f>
        <v>#REF!</v>
      </c>
      <c r="CL35" s="128" t="e">
        <f>'PROJECT TA Y TB KARINA'!$O31/8</f>
        <v>#REF!</v>
      </c>
      <c r="CM35" s="128" t="e">
        <f>'PROJECT TA Y TB KARINA'!$O31/8</f>
        <v>#REF!</v>
      </c>
      <c r="CN35" s="128" t="e">
        <f>'PROJECT TA Y TB KARINA'!$O31/8</f>
        <v>#REF!</v>
      </c>
      <c r="CO35" s="128" t="e">
        <f>'PROJECT TA Y TB KARINA'!$O31/8</f>
        <v>#REF!</v>
      </c>
      <c r="CP35" s="128" t="e">
        <f>'PROJECT TA Y TB KARINA'!$O31/8</f>
        <v>#REF!</v>
      </c>
      <c r="CQ35" s="128" t="e">
        <f>'PROJECT TA Y TB KARINA'!$O31/8</f>
        <v>#REF!</v>
      </c>
      <c r="CR35" s="128" t="e">
        <f>'PROJECT TA Y TB KARINA'!$O31/8</f>
        <v>#REF!</v>
      </c>
      <c r="CS35" s="128" t="e">
        <f>'PROJECT TA Y TB KARINA'!$P31/8</f>
        <v>#REF!</v>
      </c>
      <c r="CT35" s="128" t="e">
        <f>'PROJECT TA Y TB KARINA'!$P31/8</f>
        <v>#REF!</v>
      </c>
      <c r="CU35" s="128" t="e">
        <f>'PROJECT TA Y TB KARINA'!$P31/8</f>
        <v>#REF!</v>
      </c>
      <c r="CV35" s="128" t="e">
        <f>'PROJECT TA Y TB KARINA'!$P31/8</f>
        <v>#REF!</v>
      </c>
      <c r="CW35" s="128" t="e">
        <f>'PROJECT TA Y TB KARINA'!$P31/8</f>
        <v>#REF!</v>
      </c>
      <c r="CX35" s="128" t="e">
        <f>'PROJECT TA Y TB KARINA'!$P31/8</f>
        <v>#REF!</v>
      </c>
      <c r="CY35" s="128" t="e">
        <f>'PROJECT TA Y TB KARINA'!$P31/8</f>
        <v>#REF!</v>
      </c>
      <c r="CZ35" s="128" t="e">
        <f>'PROJECT TA Y TB KARINA'!$P31/8</f>
        <v>#REF!</v>
      </c>
      <c r="DA35" s="128" t="e">
        <f>'PROJECT TA Y TB KARINA'!$Q31/8</f>
        <v>#REF!</v>
      </c>
      <c r="DB35" s="128" t="e">
        <f>'PROJECT TA Y TB KARINA'!$Q31/8</f>
        <v>#REF!</v>
      </c>
      <c r="DC35" s="128" t="e">
        <f>'PROJECT TA Y TB KARINA'!$Q31/8</f>
        <v>#REF!</v>
      </c>
      <c r="DD35" s="128" t="e">
        <f>'PROJECT TA Y TB KARINA'!$Q31/8</f>
        <v>#REF!</v>
      </c>
      <c r="DE35" s="128" t="e">
        <f>'PROJECT TA Y TB KARINA'!$Q31/8</f>
        <v>#REF!</v>
      </c>
      <c r="DF35" s="128" t="e">
        <f>'PROJECT TA Y TB KARINA'!$Q31/8</f>
        <v>#REF!</v>
      </c>
      <c r="DG35" s="128" t="e">
        <f>'PROJECT TA Y TB KARINA'!$Q31/8</f>
        <v>#REF!</v>
      </c>
      <c r="DH35" s="128" t="e">
        <f>'PROJECT TA Y TB KARINA'!$Q31/8</f>
        <v>#REF!</v>
      </c>
      <c r="DI35" s="128" t="e">
        <f>'PROJECT TA Y TB KARINA'!$R31/8</f>
        <v>#REF!</v>
      </c>
      <c r="DJ35" s="128" t="e">
        <f>'PROJECT TA Y TB KARINA'!$R31/8</f>
        <v>#REF!</v>
      </c>
      <c r="DK35" s="128" t="e">
        <f>'PROJECT TA Y TB KARINA'!$R31/8</f>
        <v>#REF!</v>
      </c>
      <c r="DL35" s="128" t="e">
        <f>'PROJECT TA Y TB KARINA'!$R31/8</f>
        <v>#REF!</v>
      </c>
      <c r="DM35" s="128" t="e">
        <f>'PROJECT TA Y TB KARINA'!$R31/8</f>
        <v>#REF!</v>
      </c>
      <c r="DN35" s="128" t="e">
        <f>'PROJECT TA Y TB KARINA'!$R31/8</f>
        <v>#REF!</v>
      </c>
      <c r="DO35" s="128" t="e">
        <f>'PROJECT TA Y TB KARINA'!$R31/8</f>
        <v>#REF!</v>
      </c>
      <c r="DP35" s="128" t="e">
        <f>'PROJECT TA Y TB KARINA'!$R31/8</f>
        <v>#REF!</v>
      </c>
      <c r="DQ35" s="128" t="e">
        <f>'PROJECT TA Y TB KARINA'!$S31/8</f>
        <v>#REF!</v>
      </c>
      <c r="DR35" s="128" t="e">
        <f>'PROJECT TA Y TB KARINA'!$S31/8</f>
        <v>#REF!</v>
      </c>
      <c r="DS35" s="128" t="e">
        <f>'PROJECT TA Y TB KARINA'!$S31/8</f>
        <v>#REF!</v>
      </c>
      <c r="DT35" s="128" t="e">
        <f>'PROJECT TA Y TB KARINA'!$S31/8</f>
        <v>#REF!</v>
      </c>
      <c r="DU35" s="128" t="e">
        <f>'PROJECT TA Y TB KARINA'!$S31/8</f>
        <v>#REF!</v>
      </c>
      <c r="DV35" s="128" t="e">
        <f>'PROJECT TA Y TB KARINA'!$S31/8</f>
        <v>#REF!</v>
      </c>
      <c r="DW35" s="128" t="e">
        <f>'PROJECT TA Y TB KARINA'!$S31/8</f>
        <v>#REF!</v>
      </c>
      <c r="DX35" s="128" t="e">
        <f>'PROJECT TA Y TB KARINA'!$S31/8</f>
        <v>#REF!</v>
      </c>
      <c r="DY35" s="128" t="e">
        <f>'PROJECT TA Y TB KARINA'!$T31/8</f>
        <v>#REF!</v>
      </c>
      <c r="DZ35" s="128" t="e">
        <f>'PROJECT TA Y TB KARINA'!$T31/8</f>
        <v>#REF!</v>
      </c>
      <c r="EA35" s="128" t="e">
        <f>'PROJECT TA Y TB KARINA'!$T31/8</f>
        <v>#REF!</v>
      </c>
      <c r="EB35" s="128" t="e">
        <f>'PROJECT TA Y TB KARINA'!$T31/8</f>
        <v>#REF!</v>
      </c>
      <c r="EC35" s="128" t="e">
        <f>'PROJECT TA Y TB KARINA'!$T31/8</f>
        <v>#REF!</v>
      </c>
      <c r="ED35" s="128" t="e">
        <f>'PROJECT TA Y TB KARINA'!$T31/8</f>
        <v>#REF!</v>
      </c>
      <c r="EE35" s="128" t="e">
        <f>'PROJECT TA Y TB KARINA'!$T31/8</f>
        <v>#REF!</v>
      </c>
      <c r="EF35" s="128" t="e">
        <f>'PROJECT TA Y TB KARINA'!$T31/8</f>
        <v>#REF!</v>
      </c>
      <c r="EG35" s="128" t="e">
        <f>'PROJECT TA Y TB KARINA'!#REF!/8</f>
        <v>#REF!</v>
      </c>
      <c r="EH35" s="128" t="e">
        <f>'PROJECT TA Y TB KARINA'!#REF!/8</f>
        <v>#REF!</v>
      </c>
      <c r="EI35" s="128" t="e">
        <f>'PROJECT TA Y TB KARINA'!#REF!/8</f>
        <v>#REF!</v>
      </c>
      <c r="EJ35" s="128" t="e">
        <f>'PROJECT TA Y TB KARINA'!#REF!/8</f>
        <v>#REF!</v>
      </c>
      <c r="EK35" s="128" t="e">
        <f>'PROJECT TA Y TB KARINA'!#REF!/8</f>
        <v>#REF!</v>
      </c>
      <c r="EL35" s="128" t="e">
        <f>'PROJECT TA Y TB KARINA'!#REF!/8</f>
        <v>#REF!</v>
      </c>
      <c r="EM35" s="128" t="e">
        <f>'PROJECT TA Y TB KARINA'!#REF!/8</f>
        <v>#REF!</v>
      </c>
      <c r="EN35" s="128" t="e">
        <f>'PROJECT TA Y TB KARINA'!#REF!/8</f>
        <v>#REF!</v>
      </c>
      <c r="EO35" s="128">
        <f>'PROJECT TA Y TB KARINA'!$C89/8</f>
        <v>0</v>
      </c>
      <c r="EP35" s="128">
        <f>'PROJECT TA Y TB KARINA'!$C89/8</f>
        <v>0</v>
      </c>
      <c r="EQ35" s="128">
        <f>'PROJECT TA Y TB KARINA'!$C89/8</f>
        <v>0</v>
      </c>
      <c r="ER35" s="128">
        <f>'PROJECT TA Y TB KARINA'!$C89/8</f>
        <v>0</v>
      </c>
      <c r="ES35" s="128">
        <f>'PROJECT TA Y TB KARINA'!$C89/8</f>
        <v>0</v>
      </c>
      <c r="ET35" s="128">
        <f>'PROJECT TA Y TB KARINA'!$C89/8</f>
        <v>0</v>
      </c>
      <c r="EU35" s="128">
        <f>'PROJECT TA Y TB KARINA'!$C89/8</f>
        <v>0</v>
      </c>
      <c r="EV35" s="128">
        <f>'PROJECT TA Y TB KARINA'!$E89/8</f>
        <v>0</v>
      </c>
      <c r="EW35" s="128">
        <f>'PROJECT TA Y TB KARINA'!$E89/8</f>
        <v>0</v>
      </c>
      <c r="EX35" s="128">
        <f>'PROJECT TA Y TB KARINA'!$E89/8</f>
        <v>0</v>
      </c>
      <c r="EY35" s="128">
        <f>'PROJECT TA Y TB KARINA'!$E89/8</f>
        <v>0</v>
      </c>
      <c r="EZ35" s="128">
        <f>'PROJECT TA Y TB KARINA'!$E89/8</f>
        <v>0</v>
      </c>
      <c r="FA35" s="128">
        <f>'PROJECT TA Y TB KARINA'!$E89/8</f>
        <v>0</v>
      </c>
      <c r="FB35" s="128">
        <f>'PROJECT TA Y TB KARINA'!$E89/8</f>
        <v>0</v>
      </c>
      <c r="FC35" s="128">
        <f>'PROJECT TA Y TB KARINA'!$E89/8</f>
        <v>0</v>
      </c>
      <c r="FD35" s="128">
        <f>'PROJECT TA Y TB KARINA'!$F89/8</f>
        <v>0</v>
      </c>
      <c r="FE35" s="128">
        <f>'PROJECT TA Y TB KARINA'!$F89/8</f>
        <v>0</v>
      </c>
      <c r="FF35" s="128">
        <f>'PROJECT TA Y TB KARINA'!$F89/8</f>
        <v>0</v>
      </c>
      <c r="FG35" s="128">
        <f>'PROJECT TA Y TB KARINA'!$F89/8</f>
        <v>0</v>
      </c>
      <c r="FH35" s="128">
        <f>'PROJECT TA Y TB KARINA'!$F89/8</f>
        <v>0</v>
      </c>
      <c r="FI35" s="128">
        <f>'PROJECT TA Y TB KARINA'!$F89/8</f>
        <v>0</v>
      </c>
      <c r="FJ35" s="128">
        <f>'PROJECT TA Y TB KARINA'!$F89/8</f>
        <v>0</v>
      </c>
      <c r="FK35" s="128">
        <f>'PROJECT TA Y TB KARINA'!$F89/8</f>
        <v>0</v>
      </c>
      <c r="FL35" s="128">
        <f>'PROJECT TA Y TB KARINA'!$G89/8</f>
        <v>0</v>
      </c>
      <c r="FM35" s="128">
        <f>'PROJECT TA Y TB KARINA'!$G89/8</f>
        <v>0</v>
      </c>
      <c r="FN35" s="128">
        <f>'PROJECT TA Y TB KARINA'!$G89/8</f>
        <v>0</v>
      </c>
      <c r="FO35" s="128">
        <f>'PROJECT TA Y TB KARINA'!$G89/8</f>
        <v>0</v>
      </c>
      <c r="FP35" s="128">
        <f>'PROJECT TA Y TB KARINA'!$G89/8</f>
        <v>0</v>
      </c>
      <c r="FQ35" s="128">
        <f>'PROJECT TA Y TB KARINA'!$G89/8</f>
        <v>0</v>
      </c>
      <c r="FR35" s="128">
        <f>'PROJECT TA Y TB KARINA'!$G89/8</f>
        <v>0</v>
      </c>
      <c r="FS35" s="128">
        <f>'PROJECT TA Y TB KARINA'!$G89/8</f>
        <v>0</v>
      </c>
      <c r="FT35" s="128">
        <f>'PROJECT TA Y TB KARINA'!$H89/8</f>
        <v>0</v>
      </c>
      <c r="FU35" s="128">
        <f>'PROJECT TA Y TB KARINA'!$H89/8</f>
        <v>0</v>
      </c>
      <c r="FV35" s="128">
        <f>'PROJECT TA Y TB KARINA'!$H89/8</f>
        <v>0</v>
      </c>
      <c r="FW35" s="128">
        <f>'PROJECT TA Y TB KARINA'!$H89/8</f>
        <v>0</v>
      </c>
      <c r="FX35" s="128">
        <f>'PROJECT TA Y TB KARINA'!$H89/8</f>
        <v>0</v>
      </c>
      <c r="FY35" s="128">
        <f>'PROJECT TA Y TB KARINA'!$H89/8</f>
        <v>0</v>
      </c>
      <c r="FZ35" s="128">
        <f>'PROJECT TA Y TB KARINA'!$H89/8</f>
        <v>0</v>
      </c>
      <c r="GA35" s="128">
        <f>'PROJECT TA Y TB KARINA'!$H89/8</f>
        <v>0</v>
      </c>
      <c r="GB35" s="128">
        <f>'PROJECT TA Y TB KARINA'!$I89/8</f>
        <v>0</v>
      </c>
      <c r="GC35" s="128">
        <f>'PROJECT TA Y TB KARINA'!$I89/8</f>
        <v>0</v>
      </c>
      <c r="GD35" s="128">
        <f>'PROJECT TA Y TB KARINA'!$I89/8</f>
        <v>0</v>
      </c>
      <c r="GE35" s="128">
        <f>'PROJECT TA Y TB KARINA'!$I89/8</f>
        <v>0</v>
      </c>
      <c r="GF35" s="128">
        <f>'PROJECT TA Y TB KARINA'!$I89/8</f>
        <v>0</v>
      </c>
      <c r="GG35" s="128">
        <f>'PROJECT TA Y TB KARINA'!$I89/8</f>
        <v>0</v>
      </c>
      <c r="GH35" s="128">
        <f>'PROJECT TA Y TB KARINA'!$I89/8</f>
        <v>0</v>
      </c>
      <c r="GI35" s="128">
        <f>'PROJECT TA Y TB KARINA'!$I89/8</f>
        <v>0</v>
      </c>
      <c r="GJ35" s="128">
        <f>'PROJECT TA Y TB KARINA'!$J89/8</f>
        <v>0</v>
      </c>
      <c r="GK35" s="128">
        <f>'PROJECT TA Y TB KARINA'!$J89/8</f>
        <v>0</v>
      </c>
      <c r="GL35" s="128">
        <f>'PROJECT TA Y TB KARINA'!$J89/8</f>
        <v>0</v>
      </c>
      <c r="GM35" s="128">
        <f>'PROJECT TA Y TB KARINA'!$J89/8</f>
        <v>0</v>
      </c>
      <c r="GN35" s="128">
        <f>'PROJECT TA Y TB KARINA'!$J89/8</f>
        <v>0</v>
      </c>
      <c r="GO35" s="128">
        <f>'PROJECT TA Y TB KARINA'!$J89/8</f>
        <v>0</v>
      </c>
      <c r="GP35" s="128">
        <f>'PROJECT TA Y TB KARINA'!$J89/8</f>
        <v>0</v>
      </c>
      <c r="GQ35" s="128">
        <f>'PROJECT TA Y TB KARINA'!$J89/8</f>
        <v>0</v>
      </c>
      <c r="GR35" s="128">
        <f>'PROJECT TA Y TB KARINA'!$K89/8</f>
        <v>0</v>
      </c>
      <c r="GS35" s="128">
        <f>'PROJECT TA Y TB KARINA'!$K89/8</f>
        <v>0</v>
      </c>
      <c r="GT35" s="128">
        <f>'PROJECT TA Y TB KARINA'!$K89/8</f>
        <v>0</v>
      </c>
      <c r="GU35" s="128">
        <f>'PROJECT TA Y TB KARINA'!$K89/8</f>
        <v>0</v>
      </c>
      <c r="GV35" s="128">
        <f>'PROJECT TA Y TB KARINA'!$K89/8</f>
        <v>0</v>
      </c>
      <c r="GW35" s="128">
        <f>'PROJECT TA Y TB KARINA'!$K89/8</f>
        <v>0</v>
      </c>
      <c r="GX35" s="128">
        <f>'PROJECT TA Y TB KARINA'!$K89/8</f>
        <v>0</v>
      </c>
      <c r="GY35" s="128">
        <f>'PROJECT TA Y TB KARINA'!$K89/8</f>
        <v>0</v>
      </c>
      <c r="GZ35" s="128">
        <f>'PROJECT TA Y TB KARINA'!$L89/8</f>
        <v>0</v>
      </c>
      <c r="HA35" s="128">
        <f>'PROJECT TA Y TB KARINA'!$L89/8</f>
        <v>0</v>
      </c>
      <c r="HB35" s="128">
        <f>'PROJECT TA Y TB KARINA'!$L89/8</f>
        <v>0</v>
      </c>
      <c r="HC35" s="128">
        <f>'PROJECT TA Y TB KARINA'!$L89/8</f>
        <v>0</v>
      </c>
      <c r="HD35" s="128">
        <f>'PROJECT TA Y TB KARINA'!$L89/8</f>
        <v>0</v>
      </c>
      <c r="HE35" s="128">
        <f>'PROJECT TA Y TB KARINA'!$L89/8</f>
        <v>0</v>
      </c>
      <c r="HF35" s="128">
        <f>'PROJECT TA Y TB KARINA'!$L89/8</f>
        <v>0</v>
      </c>
      <c r="HG35" s="128">
        <f>'PROJECT TA Y TB KARINA'!$L89/8</f>
        <v>0</v>
      </c>
      <c r="HH35" s="128">
        <f>'PROJECT TA Y TB KARINA'!$M89/8</f>
        <v>0</v>
      </c>
      <c r="HI35" s="128">
        <f>'PROJECT TA Y TB KARINA'!$M89/8</f>
        <v>0</v>
      </c>
      <c r="HJ35" s="128">
        <f>'PROJECT TA Y TB KARINA'!$M89/8</f>
        <v>0</v>
      </c>
      <c r="HK35" s="128">
        <f>'PROJECT TA Y TB KARINA'!$M89/8</f>
        <v>0</v>
      </c>
      <c r="HL35" s="128">
        <f>'PROJECT TA Y TB KARINA'!$M89/8</f>
        <v>0</v>
      </c>
      <c r="HM35" s="128">
        <f>'PROJECT TA Y TB KARINA'!$M89/8</f>
        <v>0</v>
      </c>
      <c r="HN35" s="128">
        <f>'PROJECT TA Y TB KARINA'!$M89/8</f>
        <v>0</v>
      </c>
      <c r="HO35" s="128">
        <f>'PROJECT TA Y TB KARINA'!$M89/8</f>
        <v>0</v>
      </c>
      <c r="HP35" s="128">
        <f>'PROJECT TA Y TB KARINA'!$N89/8</f>
        <v>0</v>
      </c>
      <c r="HQ35" s="128">
        <f>'PROJECT TA Y TB KARINA'!$N89/8</f>
        <v>0</v>
      </c>
      <c r="HR35" s="128">
        <f>'PROJECT TA Y TB KARINA'!$N89/8</f>
        <v>0</v>
      </c>
      <c r="HS35" s="128">
        <f>'PROJECT TA Y TB KARINA'!$N89/8</f>
        <v>0</v>
      </c>
      <c r="HT35" s="128">
        <f>'PROJECT TA Y TB KARINA'!$N89/8</f>
        <v>0</v>
      </c>
      <c r="HU35" s="128">
        <f>'PROJECT TA Y TB KARINA'!$N89/8</f>
        <v>0</v>
      </c>
      <c r="HV35" s="128">
        <f>'PROJECT TA Y TB KARINA'!$N89/8</f>
        <v>0</v>
      </c>
      <c r="HW35" s="128">
        <f>'PROJECT TA Y TB KARINA'!$N89/8</f>
        <v>0</v>
      </c>
      <c r="HX35" s="128">
        <f>'PROJECT TA Y TB KARINA'!$O89/8</f>
        <v>0</v>
      </c>
      <c r="HY35" s="128">
        <f>'PROJECT TA Y TB KARINA'!$O89/8</f>
        <v>0</v>
      </c>
      <c r="HZ35" s="128">
        <f>'PROJECT TA Y TB KARINA'!$O89/8</f>
        <v>0</v>
      </c>
      <c r="IA35" s="128">
        <f>'PROJECT TA Y TB KARINA'!$O89/8</f>
        <v>0</v>
      </c>
      <c r="IB35" s="128">
        <f>'PROJECT TA Y TB KARINA'!$O89/8</f>
        <v>0</v>
      </c>
      <c r="IC35" s="128">
        <f>'PROJECT TA Y TB KARINA'!$O89/8</f>
        <v>0</v>
      </c>
      <c r="ID35" s="128">
        <f>'PROJECT TA Y TB KARINA'!$O89/8</f>
        <v>0</v>
      </c>
      <c r="IE35" s="128">
        <f>'PROJECT TA Y TB KARINA'!$O89/8</f>
        <v>0</v>
      </c>
      <c r="IF35" s="128">
        <f>'PROJECT TA Y TB KARINA'!$P89/8</f>
        <v>0</v>
      </c>
      <c r="IG35" s="128">
        <f>'PROJECT TA Y TB KARINA'!$P89/8</f>
        <v>0</v>
      </c>
      <c r="IH35" s="128">
        <f>'PROJECT TA Y TB KARINA'!$P89/8</f>
        <v>0</v>
      </c>
      <c r="II35" s="128">
        <f>'PROJECT TA Y TB KARINA'!$P89/8</f>
        <v>0</v>
      </c>
      <c r="IJ35" s="128">
        <f>'PROJECT TA Y TB KARINA'!$P89/8</f>
        <v>0</v>
      </c>
      <c r="IK35" s="128">
        <f>'PROJECT TA Y TB KARINA'!$P89/8</f>
        <v>0</v>
      </c>
      <c r="IL35" s="128">
        <f>'PROJECT TA Y TB KARINA'!$P89/8</f>
        <v>0</v>
      </c>
      <c r="IM35" s="128">
        <f>'PROJECT TA Y TB KARINA'!$P89/8</f>
        <v>0</v>
      </c>
      <c r="IN35" s="128">
        <f>'PROJECT TA Y TB KARINA'!$Q89/8</f>
        <v>0</v>
      </c>
      <c r="IO35" s="128">
        <f>'PROJECT TA Y TB KARINA'!$Q89/8</f>
        <v>0</v>
      </c>
      <c r="IP35" s="128">
        <f>'PROJECT TA Y TB KARINA'!$Q89/8</f>
        <v>0</v>
      </c>
      <c r="IQ35" s="128">
        <f>'PROJECT TA Y TB KARINA'!$Q89/8</f>
        <v>0</v>
      </c>
      <c r="IR35" s="128">
        <f>'PROJECT TA Y TB KARINA'!$Q89/8</f>
        <v>0</v>
      </c>
      <c r="IS35" s="128">
        <f>'PROJECT TA Y TB KARINA'!$Q89/8</f>
        <v>0</v>
      </c>
      <c r="IT35" s="128">
        <f>'PROJECT TA Y TB KARINA'!$Q89/8</f>
        <v>0</v>
      </c>
      <c r="IU35" s="128">
        <f>'PROJECT TA Y TB KARINA'!$Q89/8</f>
        <v>0</v>
      </c>
      <c r="IV35" s="128">
        <f>'PROJECT TA Y TB KARINA'!$R89/8</f>
        <v>0</v>
      </c>
      <c r="IW35" s="128">
        <f>'PROJECT TA Y TB KARINA'!$R89/8</f>
        <v>0</v>
      </c>
      <c r="IX35" s="128">
        <f>'PROJECT TA Y TB KARINA'!$R89/8</f>
        <v>0</v>
      </c>
      <c r="IY35" s="128">
        <f>'PROJECT TA Y TB KARINA'!$R89/8</f>
        <v>0</v>
      </c>
      <c r="IZ35" s="128">
        <f>'PROJECT TA Y TB KARINA'!$R89/8</f>
        <v>0</v>
      </c>
      <c r="JA35" s="128">
        <f>'PROJECT TA Y TB KARINA'!$R89/8</f>
        <v>0</v>
      </c>
      <c r="JB35" s="128">
        <f>'PROJECT TA Y TB KARINA'!$R89/8</f>
        <v>0</v>
      </c>
      <c r="JC35" s="128">
        <f>'PROJECT TA Y TB KARINA'!$R89/8</f>
        <v>0</v>
      </c>
      <c r="JD35" s="128">
        <f>'PROJECT TA Y TB KARINA'!$S89/8</f>
        <v>0</v>
      </c>
      <c r="JE35" s="128">
        <f>'PROJECT TA Y TB KARINA'!$S89/8</f>
        <v>0</v>
      </c>
      <c r="JF35" s="128">
        <f>'PROJECT TA Y TB KARINA'!$S89/8</f>
        <v>0</v>
      </c>
      <c r="JG35" s="128">
        <f>'PROJECT TA Y TB KARINA'!$S89/8</f>
        <v>0</v>
      </c>
      <c r="JH35" s="128">
        <f>'PROJECT TA Y TB KARINA'!$S89/8</f>
        <v>0</v>
      </c>
      <c r="JI35" s="128">
        <f>'PROJECT TA Y TB KARINA'!$S89/8</f>
        <v>0</v>
      </c>
      <c r="JJ35" s="128">
        <f>'PROJECT TA Y TB KARINA'!$S89/8</f>
        <v>0</v>
      </c>
      <c r="JK35" s="128">
        <f>'PROJECT TA Y TB KARINA'!$S89/8</f>
        <v>0</v>
      </c>
      <c r="JL35" s="128">
        <f>'PROJECT TA Y TB KARINA'!$T89/8</f>
        <v>0</v>
      </c>
      <c r="JM35" s="128">
        <f>'PROJECT TA Y TB KARINA'!$T89/8</f>
        <v>0</v>
      </c>
      <c r="JN35" s="128">
        <f>'PROJECT TA Y TB KARINA'!$T89/8</f>
        <v>0</v>
      </c>
      <c r="JO35" s="128">
        <f>'PROJECT TA Y TB KARINA'!$T89/8</f>
        <v>0</v>
      </c>
      <c r="JP35" s="128">
        <f>'PROJECT TA Y TB KARINA'!$T89/8</f>
        <v>0</v>
      </c>
      <c r="JQ35" s="128">
        <f>'PROJECT TA Y TB KARINA'!$T89/8</f>
        <v>0</v>
      </c>
      <c r="JR35" s="128">
        <f>'PROJECT TA Y TB KARINA'!$T89/8</f>
        <v>0</v>
      </c>
      <c r="JS35" s="128">
        <f>'PROJECT TA Y TB KARINA'!$T89/8</f>
        <v>0</v>
      </c>
      <c r="JT35" s="128" t="e">
        <f>'PROJECT TA Y TB KARINA'!#REF!/8</f>
        <v>#REF!</v>
      </c>
      <c r="JU35" s="128" t="e">
        <f>'PROJECT TA Y TB KARINA'!#REF!/8</f>
        <v>#REF!</v>
      </c>
      <c r="JV35" s="128" t="e">
        <f>'PROJECT TA Y TB KARINA'!#REF!/8</f>
        <v>#REF!</v>
      </c>
      <c r="JW35" s="128" t="e">
        <f>'PROJECT TA Y TB KARINA'!#REF!/8</f>
        <v>#REF!</v>
      </c>
      <c r="JX35" s="128" t="e">
        <f>'PROJECT TA Y TB KARINA'!#REF!/8</f>
        <v>#REF!</v>
      </c>
      <c r="JY35" s="128" t="e">
        <f>'PROJECT TA Y TB KARINA'!#REF!/8</f>
        <v>#REF!</v>
      </c>
      <c r="JZ35" s="128" t="e">
        <f>'PROJECT TA Y TB KARINA'!#REF!/8</f>
        <v>#REF!</v>
      </c>
      <c r="KA35" s="128" t="e">
        <f>'PROJECT TA Y TB KARINA'!#REF!/8</f>
        <v>#REF!</v>
      </c>
    </row>
    <row r="36" spans="1:287" ht="21">
      <c r="A36" s="130" t="s">
        <v>489</v>
      </c>
      <c r="B36" s="128" t="e">
        <f>'PROJECT TA Y TB KARINA'!$C$32/8</f>
        <v>#REF!</v>
      </c>
      <c r="C36" s="128" t="e">
        <f>'PROJECT TA Y TB KARINA'!$C$32/8</f>
        <v>#REF!</v>
      </c>
      <c r="D36" s="128" t="e">
        <f>'PROJECT TA Y TB KARINA'!$C$32/8</f>
        <v>#REF!</v>
      </c>
      <c r="E36" s="128" t="e">
        <f>'PROJECT TA Y TB KARINA'!$C$32/8</f>
        <v>#REF!</v>
      </c>
      <c r="F36" s="128" t="e">
        <f>'PROJECT TA Y TB KARINA'!$C$32/8</f>
        <v>#REF!</v>
      </c>
      <c r="G36" s="128" t="e">
        <f>'PROJECT TA Y TB KARINA'!$C$32/8</f>
        <v>#REF!</v>
      </c>
      <c r="H36" s="128" t="e">
        <f>'PROJECT TA Y TB KARINA'!$C$32/8</f>
        <v>#REF!</v>
      </c>
      <c r="I36" s="128" t="e">
        <f>'PROJECT TA Y TB KARINA'!$E32/8</f>
        <v>#REF!</v>
      </c>
      <c r="J36" s="128" t="e">
        <f>'PROJECT TA Y TB KARINA'!$E32/8</f>
        <v>#REF!</v>
      </c>
      <c r="K36" s="128" t="e">
        <f>'PROJECT TA Y TB KARINA'!$E32/8</f>
        <v>#REF!</v>
      </c>
      <c r="L36" s="128" t="e">
        <f>'PROJECT TA Y TB KARINA'!$E32/8</f>
        <v>#REF!</v>
      </c>
      <c r="M36" s="128" t="e">
        <f>'PROJECT TA Y TB KARINA'!$E32/8</f>
        <v>#REF!</v>
      </c>
      <c r="N36" s="128" t="e">
        <f>'PROJECT TA Y TB KARINA'!$E32/8</f>
        <v>#REF!</v>
      </c>
      <c r="O36" s="128" t="e">
        <f>'PROJECT TA Y TB KARINA'!$E32/8</f>
        <v>#REF!</v>
      </c>
      <c r="P36" s="128" t="e">
        <f>'PROJECT TA Y TB KARINA'!$E32/8</f>
        <v>#REF!</v>
      </c>
      <c r="Q36" s="128" t="e">
        <f>'PROJECT TA Y TB KARINA'!$F32/8</f>
        <v>#REF!</v>
      </c>
      <c r="R36" s="128" t="e">
        <f>'PROJECT TA Y TB KARINA'!$F32/8</f>
        <v>#REF!</v>
      </c>
      <c r="S36" s="128" t="e">
        <f>'PROJECT TA Y TB KARINA'!$F32/8</f>
        <v>#REF!</v>
      </c>
      <c r="T36" s="128" t="e">
        <f>'PROJECT TA Y TB KARINA'!$F32/8</f>
        <v>#REF!</v>
      </c>
      <c r="U36" s="128" t="e">
        <f>'PROJECT TA Y TB KARINA'!$F32/8</f>
        <v>#REF!</v>
      </c>
      <c r="V36" s="128" t="e">
        <f>'PROJECT TA Y TB KARINA'!$F32/8</f>
        <v>#REF!</v>
      </c>
      <c r="W36" s="128" t="e">
        <f>'PROJECT TA Y TB KARINA'!$F32/8</f>
        <v>#REF!</v>
      </c>
      <c r="X36" s="128" t="e">
        <f>'PROJECT TA Y TB KARINA'!$F32/8</f>
        <v>#REF!</v>
      </c>
      <c r="Y36" s="128" t="e">
        <f>'PROJECT TA Y TB KARINA'!$G32/8</f>
        <v>#REF!</v>
      </c>
      <c r="Z36" s="128" t="e">
        <f>'PROJECT TA Y TB KARINA'!$G32/8</f>
        <v>#REF!</v>
      </c>
      <c r="AA36" s="128" t="e">
        <f>'PROJECT TA Y TB KARINA'!$G32/8</f>
        <v>#REF!</v>
      </c>
      <c r="AB36" s="128" t="e">
        <f>'PROJECT TA Y TB KARINA'!$G32/8</f>
        <v>#REF!</v>
      </c>
      <c r="AC36" s="128" t="e">
        <f>'PROJECT TA Y TB KARINA'!$G32/8</f>
        <v>#REF!</v>
      </c>
      <c r="AD36" s="128" t="e">
        <f>'PROJECT TA Y TB KARINA'!$G32/8</f>
        <v>#REF!</v>
      </c>
      <c r="AE36" s="128" t="e">
        <f>'PROJECT TA Y TB KARINA'!$G32/8</f>
        <v>#REF!</v>
      </c>
      <c r="AF36" s="128" t="e">
        <f>'PROJECT TA Y TB KARINA'!$G32/8</f>
        <v>#REF!</v>
      </c>
      <c r="AG36" s="128" t="e">
        <f>'PROJECT TA Y TB KARINA'!$H32/8</f>
        <v>#REF!</v>
      </c>
      <c r="AH36" s="128" t="e">
        <f>'PROJECT TA Y TB KARINA'!$H32/8</f>
        <v>#REF!</v>
      </c>
      <c r="AI36" s="128" t="e">
        <f>'PROJECT TA Y TB KARINA'!$H32/8</f>
        <v>#REF!</v>
      </c>
      <c r="AJ36" s="128" t="e">
        <f>'PROJECT TA Y TB KARINA'!$H32/8</f>
        <v>#REF!</v>
      </c>
      <c r="AK36" s="128" t="e">
        <f>'PROJECT TA Y TB KARINA'!$H32/8</f>
        <v>#REF!</v>
      </c>
      <c r="AL36" s="128" t="e">
        <f>'PROJECT TA Y TB KARINA'!$H32/8</f>
        <v>#REF!</v>
      </c>
      <c r="AM36" s="128" t="e">
        <f>'PROJECT TA Y TB KARINA'!$H32/8</f>
        <v>#REF!</v>
      </c>
      <c r="AN36" s="128" t="e">
        <f>'PROJECT TA Y TB KARINA'!$H32/8</f>
        <v>#REF!</v>
      </c>
      <c r="AO36" s="128" t="e">
        <f>'PROJECT TA Y TB KARINA'!$I32/8</f>
        <v>#REF!</v>
      </c>
      <c r="AP36" s="128" t="e">
        <f>'PROJECT TA Y TB KARINA'!$I32/8</f>
        <v>#REF!</v>
      </c>
      <c r="AQ36" s="128" t="e">
        <f>'PROJECT TA Y TB KARINA'!$I32/8</f>
        <v>#REF!</v>
      </c>
      <c r="AR36" s="128" t="e">
        <f>'PROJECT TA Y TB KARINA'!$I32/8</f>
        <v>#REF!</v>
      </c>
      <c r="AS36" s="128" t="e">
        <f>'PROJECT TA Y TB KARINA'!$I32/8</f>
        <v>#REF!</v>
      </c>
      <c r="AT36" s="128" t="e">
        <f>'PROJECT TA Y TB KARINA'!$I32/8</f>
        <v>#REF!</v>
      </c>
      <c r="AU36" s="128" t="e">
        <f>'PROJECT TA Y TB KARINA'!$I32/8</f>
        <v>#REF!</v>
      </c>
      <c r="AV36" s="128" t="e">
        <f>'PROJECT TA Y TB KARINA'!$I32/8</f>
        <v>#REF!</v>
      </c>
      <c r="AW36" s="128" t="e">
        <f>'PROJECT TA Y TB KARINA'!$J32/8</f>
        <v>#REF!</v>
      </c>
      <c r="AX36" s="128" t="e">
        <f>'PROJECT TA Y TB KARINA'!$J32/8</f>
        <v>#REF!</v>
      </c>
      <c r="AY36" s="128" t="e">
        <f>'PROJECT TA Y TB KARINA'!$J32/8</f>
        <v>#REF!</v>
      </c>
      <c r="AZ36" s="128" t="e">
        <f>'PROJECT TA Y TB KARINA'!$J32/8</f>
        <v>#REF!</v>
      </c>
      <c r="BA36" s="128" t="e">
        <f>'PROJECT TA Y TB KARINA'!$J32/8</f>
        <v>#REF!</v>
      </c>
      <c r="BB36" s="128" t="e">
        <f>'PROJECT TA Y TB KARINA'!$J32/8</f>
        <v>#REF!</v>
      </c>
      <c r="BC36" s="128" t="e">
        <f>'PROJECT TA Y TB KARINA'!$J32/8</f>
        <v>#REF!</v>
      </c>
      <c r="BD36" s="128" t="e">
        <f>'PROJECT TA Y TB KARINA'!$J32/8</f>
        <v>#REF!</v>
      </c>
      <c r="BE36" s="128" t="e">
        <f>'PROJECT TA Y TB KARINA'!$K32/8</f>
        <v>#REF!</v>
      </c>
      <c r="BF36" s="128" t="e">
        <f>'PROJECT TA Y TB KARINA'!$K32/8</f>
        <v>#REF!</v>
      </c>
      <c r="BG36" s="128" t="e">
        <f>'PROJECT TA Y TB KARINA'!$K32/8</f>
        <v>#REF!</v>
      </c>
      <c r="BH36" s="128" t="e">
        <f>'PROJECT TA Y TB KARINA'!$K32/8</f>
        <v>#REF!</v>
      </c>
      <c r="BI36" s="128" t="e">
        <f>'PROJECT TA Y TB KARINA'!$K32/8</f>
        <v>#REF!</v>
      </c>
      <c r="BJ36" s="128" t="e">
        <f>'PROJECT TA Y TB KARINA'!$K32/8</f>
        <v>#REF!</v>
      </c>
      <c r="BK36" s="128" t="e">
        <f>'PROJECT TA Y TB KARINA'!$K32/8</f>
        <v>#REF!</v>
      </c>
      <c r="BL36" s="128" t="e">
        <f>'PROJECT TA Y TB KARINA'!$K32/8</f>
        <v>#REF!</v>
      </c>
      <c r="BM36" s="128" t="e">
        <f>'PROJECT TA Y TB KARINA'!$L32/8</f>
        <v>#REF!</v>
      </c>
      <c r="BN36" s="128" t="e">
        <f>'PROJECT TA Y TB KARINA'!$L32/8</f>
        <v>#REF!</v>
      </c>
      <c r="BO36" s="128" t="e">
        <f>'PROJECT TA Y TB KARINA'!$L32/8</f>
        <v>#REF!</v>
      </c>
      <c r="BP36" s="128" t="e">
        <f>'PROJECT TA Y TB KARINA'!$L32/8</f>
        <v>#REF!</v>
      </c>
      <c r="BQ36" s="128" t="e">
        <f>'PROJECT TA Y TB KARINA'!$L32/8</f>
        <v>#REF!</v>
      </c>
      <c r="BR36" s="128" t="e">
        <f>'PROJECT TA Y TB KARINA'!$L32/8</f>
        <v>#REF!</v>
      </c>
      <c r="BS36" s="128" t="e">
        <f>'PROJECT TA Y TB KARINA'!$L32/8</f>
        <v>#REF!</v>
      </c>
      <c r="BT36" s="128" t="e">
        <f>'PROJECT TA Y TB KARINA'!$L32/8</f>
        <v>#REF!</v>
      </c>
      <c r="BU36" s="128" t="e">
        <f>'PROJECT TA Y TB KARINA'!$M32/8</f>
        <v>#REF!</v>
      </c>
      <c r="BV36" s="128" t="e">
        <f>'PROJECT TA Y TB KARINA'!$M32/8</f>
        <v>#REF!</v>
      </c>
      <c r="BW36" s="128" t="e">
        <f>'PROJECT TA Y TB KARINA'!$M32/8</f>
        <v>#REF!</v>
      </c>
      <c r="BX36" s="128" t="e">
        <f>'PROJECT TA Y TB KARINA'!$M32/8</f>
        <v>#REF!</v>
      </c>
      <c r="BY36" s="128" t="e">
        <f>'PROJECT TA Y TB KARINA'!$M32/8</f>
        <v>#REF!</v>
      </c>
      <c r="BZ36" s="128" t="e">
        <f>'PROJECT TA Y TB KARINA'!$M32/8</f>
        <v>#REF!</v>
      </c>
      <c r="CA36" s="128" t="e">
        <f>'PROJECT TA Y TB KARINA'!$M32/8</f>
        <v>#REF!</v>
      </c>
      <c r="CB36" s="128" t="e">
        <f>'PROJECT TA Y TB KARINA'!$M32/8</f>
        <v>#REF!</v>
      </c>
      <c r="CC36" s="128" t="e">
        <f>'PROJECT TA Y TB KARINA'!$N32/8</f>
        <v>#REF!</v>
      </c>
      <c r="CD36" s="128" t="e">
        <f>'PROJECT TA Y TB KARINA'!$N32/8</f>
        <v>#REF!</v>
      </c>
      <c r="CE36" s="128" t="e">
        <f>'PROJECT TA Y TB KARINA'!$N32/8</f>
        <v>#REF!</v>
      </c>
      <c r="CF36" s="128" t="e">
        <f>'PROJECT TA Y TB KARINA'!$N32/8</f>
        <v>#REF!</v>
      </c>
      <c r="CG36" s="128" t="e">
        <f>'PROJECT TA Y TB KARINA'!$N32/8</f>
        <v>#REF!</v>
      </c>
      <c r="CH36" s="128" t="e">
        <f>'PROJECT TA Y TB KARINA'!$N32/8</f>
        <v>#REF!</v>
      </c>
      <c r="CI36" s="128" t="e">
        <f>'PROJECT TA Y TB KARINA'!$N32/8</f>
        <v>#REF!</v>
      </c>
      <c r="CJ36" s="128" t="e">
        <f>'PROJECT TA Y TB KARINA'!$N32/8</f>
        <v>#REF!</v>
      </c>
      <c r="CK36" s="128" t="e">
        <f>'PROJECT TA Y TB KARINA'!$O32/8</f>
        <v>#REF!</v>
      </c>
      <c r="CL36" s="128" t="e">
        <f>'PROJECT TA Y TB KARINA'!$O32/8</f>
        <v>#REF!</v>
      </c>
      <c r="CM36" s="128" t="e">
        <f>'PROJECT TA Y TB KARINA'!$O32/8</f>
        <v>#REF!</v>
      </c>
      <c r="CN36" s="128" t="e">
        <f>'PROJECT TA Y TB KARINA'!$O32/8</f>
        <v>#REF!</v>
      </c>
      <c r="CO36" s="128" t="e">
        <f>'PROJECT TA Y TB KARINA'!$O32/8</f>
        <v>#REF!</v>
      </c>
      <c r="CP36" s="128" t="e">
        <f>'PROJECT TA Y TB KARINA'!$O32/8</f>
        <v>#REF!</v>
      </c>
      <c r="CQ36" s="128" t="e">
        <f>'PROJECT TA Y TB KARINA'!$O32/8</f>
        <v>#REF!</v>
      </c>
      <c r="CR36" s="128" t="e">
        <f>'PROJECT TA Y TB KARINA'!$O32/8</f>
        <v>#REF!</v>
      </c>
      <c r="CS36" s="128" t="e">
        <f>'PROJECT TA Y TB KARINA'!$P32/8</f>
        <v>#REF!</v>
      </c>
      <c r="CT36" s="128" t="e">
        <f>'PROJECT TA Y TB KARINA'!$P32/8</f>
        <v>#REF!</v>
      </c>
      <c r="CU36" s="128" t="e">
        <f>'PROJECT TA Y TB KARINA'!$P32/8</f>
        <v>#REF!</v>
      </c>
      <c r="CV36" s="128" t="e">
        <f>'PROJECT TA Y TB KARINA'!$P32/8</f>
        <v>#REF!</v>
      </c>
      <c r="CW36" s="128" t="e">
        <f>'PROJECT TA Y TB KARINA'!$P32/8</f>
        <v>#REF!</v>
      </c>
      <c r="CX36" s="128" t="e">
        <f>'PROJECT TA Y TB KARINA'!$P32/8</f>
        <v>#REF!</v>
      </c>
      <c r="CY36" s="128" t="e">
        <f>'PROJECT TA Y TB KARINA'!$P32/8</f>
        <v>#REF!</v>
      </c>
      <c r="CZ36" s="128" t="e">
        <f>'PROJECT TA Y TB KARINA'!$P32/8</f>
        <v>#REF!</v>
      </c>
      <c r="DA36" s="128" t="e">
        <f>'PROJECT TA Y TB KARINA'!$Q32/8</f>
        <v>#REF!</v>
      </c>
      <c r="DB36" s="128" t="e">
        <f>'PROJECT TA Y TB KARINA'!$Q32/8</f>
        <v>#REF!</v>
      </c>
      <c r="DC36" s="128" t="e">
        <f>'PROJECT TA Y TB KARINA'!$Q32/8</f>
        <v>#REF!</v>
      </c>
      <c r="DD36" s="128" t="e">
        <f>'PROJECT TA Y TB KARINA'!$Q32/8</f>
        <v>#REF!</v>
      </c>
      <c r="DE36" s="128" t="e">
        <f>'PROJECT TA Y TB KARINA'!$Q32/8</f>
        <v>#REF!</v>
      </c>
      <c r="DF36" s="128" t="e">
        <f>'PROJECT TA Y TB KARINA'!$Q32/8</f>
        <v>#REF!</v>
      </c>
      <c r="DG36" s="128" t="e">
        <f>'PROJECT TA Y TB KARINA'!$Q32/8</f>
        <v>#REF!</v>
      </c>
      <c r="DH36" s="128" t="e">
        <f>'PROJECT TA Y TB KARINA'!$Q32/8</f>
        <v>#REF!</v>
      </c>
      <c r="DI36" s="128" t="e">
        <f>'PROJECT TA Y TB KARINA'!$R32/8</f>
        <v>#REF!</v>
      </c>
      <c r="DJ36" s="128" t="e">
        <f>'PROJECT TA Y TB KARINA'!$R32/8</f>
        <v>#REF!</v>
      </c>
      <c r="DK36" s="128" t="e">
        <f>'PROJECT TA Y TB KARINA'!$R32/8</f>
        <v>#REF!</v>
      </c>
      <c r="DL36" s="128" t="e">
        <f>'PROJECT TA Y TB KARINA'!$R32/8</f>
        <v>#REF!</v>
      </c>
      <c r="DM36" s="128" t="e">
        <f>'PROJECT TA Y TB KARINA'!$R32/8</f>
        <v>#REF!</v>
      </c>
      <c r="DN36" s="128" t="e">
        <f>'PROJECT TA Y TB KARINA'!$R32/8</f>
        <v>#REF!</v>
      </c>
      <c r="DO36" s="128" t="e">
        <f>'PROJECT TA Y TB KARINA'!$R32/8</f>
        <v>#REF!</v>
      </c>
      <c r="DP36" s="128" t="e">
        <f>'PROJECT TA Y TB KARINA'!$R32/8</f>
        <v>#REF!</v>
      </c>
      <c r="DQ36" s="128" t="e">
        <f>'PROJECT TA Y TB KARINA'!$S32/8</f>
        <v>#REF!</v>
      </c>
      <c r="DR36" s="128" t="e">
        <f>'PROJECT TA Y TB KARINA'!$S32/8</f>
        <v>#REF!</v>
      </c>
      <c r="DS36" s="128" t="e">
        <f>'PROJECT TA Y TB KARINA'!$S32/8</f>
        <v>#REF!</v>
      </c>
      <c r="DT36" s="128" t="e">
        <f>'PROJECT TA Y TB KARINA'!$S32/8</f>
        <v>#REF!</v>
      </c>
      <c r="DU36" s="128" t="e">
        <f>'PROJECT TA Y TB KARINA'!$S32/8</f>
        <v>#REF!</v>
      </c>
      <c r="DV36" s="128" t="e">
        <f>'PROJECT TA Y TB KARINA'!$S32/8</f>
        <v>#REF!</v>
      </c>
      <c r="DW36" s="128" t="e">
        <f>'PROJECT TA Y TB KARINA'!$S32/8</f>
        <v>#REF!</v>
      </c>
      <c r="DX36" s="128" t="e">
        <f>'PROJECT TA Y TB KARINA'!$S32/8</f>
        <v>#REF!</v>
      </c>
      <c r="DY36" s="128" t="e">
        <f>'PROJECT TA Y TB KARINA'!$T32/8</f>
        <v>#REF!</v>
      </c>
      <c r="DZ36" s="128" t="e">
        <f>'PROJECT TA Y TB KARINA'!$T32/8</f>
        <v>#REF!</v>
      </c>
      <c r="EA36" s="128" t="e">
        <f>'PROJECT TA Y TB KARINA'!$T32/8</f>
        <v>#REF!</v>
      </c>
      <c r="EB36" s="128" t="e">
        <f>'PROJECT TA Y TB KARINA'!$T32/8</f>
        <v>#REF!</v>
      </c>
      <c r="EC36" s="128" t="e">
        <f>'PROJECT TA Y TB KARINA'!$T32/8</f>
        <v>#REF!</v>
      </c>
      <c r="ED36" s="128" t="e">
        <f>'PROJECT TA Y TB KARINA'!$T32/8</f>
        <v>#REF!</v>
      </c>
      <c r="EE36" s="128" t="e">
        <f>'PROJECT TA Y TB KARINA'!$T32/8</f>
        <v>#REF!</v>
      </c>
      <c r="EF36" s="128" t="e">
        <f>'PROJECT TA Y TB KARINA'!$T32/8</f>
        <v>#REF!</v>
      </c>
      <c r="EG36" s="128" t="e">
        <f>'PROJECT TA Y TB KARINA'!#REF!/8</f>
        <v>#REF!</v>
      </c>
      <c r="EH36" s="128" t="e">
        <f>'PROJECT TA Y TB KARINA'!#REF!/8</f>
        <v>#REF!</v>
      </c>
      <c r="EI36" s="128" t="e">
        <f>'PROJECT TA Y TB KARINA'!#REF!/8</f>
        <v>#REF!</v>
      </c>
      <c r="EJ36" s="128" t="e">
        <f>'PROJECT TA Y TB KARINA'!#REF!/8</f>
        <v>#REF!</v>
      </c>
      <c r="EK36" s="128" t="e">
        <f>'PROJECT TA Y TB KARINA'!#REF!/8</f>
        <v>#REF!</v>
      </c>
      <c r="EL36" s="128" t="e">
        <f>'PROJECT TA Y TB KARINA'!#REF!/8</f>
        <v>#REF!</v>
      </c>
      <c r="EM36" s="128" t="e">
        <f>'PROJECT TA Y TB KARINA'!#REF!/8</f>
        <v>#REF!</v>
      </c>
      <c r="EN36" s="128" t="e">
        <f>'PROJECT TA Y TB KARINA'!#REF!/8</f>
        <v>#REF!</v>
      </c>
      <c r="EO36" s="128">
        <f>'PROJECT TA Y TB KARINA'!$C90/8</f>
        <v>0</v>
      </c>
      <c r="EP36" s="128">
        <f>'PROJECT TA Y TB KARINA'!$C90/8</f>
        <v>0</v>
      </c>
      <c r="EQ36" s="128">
        <f>'PROJECT TA Y TB KARINA'!$C90/8</f>
        <v>0</v>
      </c>
      <c r="ER36" s="128">
        <f>'PROJECT TA Y TB KARINA'!$C90/8</f>
        <v>0</v>
      </c>
      <c r="ES36" s="128">
        <f>'PROJECT TA Y TB KARINA'!$C90/8</f>
        <v>0</v>
      </c>
      <c r="ET36" s="128">
        <f>'PROJECT TA Y TB KARINA'!$C90/8</f>
        <v>0</v>
      </c>
      <c r="EU36" s="128">
        <f>'PROJECT TA Y TB KARINA'!$C90/8</f>
        <v>0</v>
      </c>
      <c r="EV36" s="128">
        <f>'PROJECT TA Y TB KARINA'!$E90/8</f>
        <v>0</v>
      </c>
      <c r="EW36" s="128">
        <f>'PROJECT TA Y TB KARINA'!$E90/8</f>
        <v>0</v>
      </c>
      <c r="EX36" s="128">
        <f>'PROJECT TA Y TB KARINA'!$E90/8</f>
        <v>0</v>
      </c>
      <c r="EY36" s="128">
        <f>'PROJECT TA Y TB KARINA'!$E90/8</f>
        <v>0</v>
      </c>
      <c r="EZ36" s="128">
        <f>'PROJECT TA Y TB KARINA'!$E90/8</f>
        <v>0</v>
      </c>
      <c r="FA36" s="128">
        <f>'PROJECT TA Y TB KARINA'!$E90/8</f>
        <v>0</v>
      </c>
      <c r="FB36" s="128">
        <f>'PROJECT TA Y TB KARINA'!$E90/8</f>
        <v>0</v>
      </c>
      <c r="FC36" s="128">
        <f>'PROJECT TA Y TB KARINA'!$E90/8</f>
        <v>0</v>
      </c>
      <c r="FD36" s="128">
        <f>'PROJECT TA Y TB KARINA'!$F90/8</f>
        <v>0</v>
      </c>
      <c r="FE36" s="128">
        <f>'PROJECT TA Y TB KARINA'!$F90/8</f>
        <v>0</v>
      </c>
      <c r="FF36" s="128">
        <f>'PROJECT TA Y TB KARINA'!$F90/8</f>
        <v>0</v>
      </c>
      <c r="FG36" s="128">
        <f>'PROJECT TA Y TB KARINA'!$F90/8</f>
        <v>0</v>
      </c>
      <c r="FH36" s="128">
        <f>'PROJECT TA Y TB KARINA'!$F90/8</f>
        <v>0</v>
      </c>
      <c r="FI36" s="128">
        <f>'PROJECT TA Y TB KARINA'!$F90/8</f>
        <v>0</v>
      </c>
      <c r="FJ36" s="128">
        <f>'PROJECT TA Y TB KARINA'!$F90/8</f>
        <v>0</v>
      </c>
      <c r="FK36" s="128">
        <f>'PROJECT TA Y TB KARINA'!$F90/8</f>
        <v>0</v>
      </c>
      <c r="FL36" s="128">
        <f>'PROJECT TA Y TB KARINA'!$G90/8</f>
        <v>0</v>
      </c>
      <c r="FM36" s="128">
        <f>'PROJECT TA Y TB KARINA'!$G90/8</f>
        <v>0</v>
      </c>
      <c r="FN36" s="128">
        <f>'PROJECT TA Y TB KARINA'!$G90/8</f>
        <v>0</v>
      </c>
      <c r="FO36" s="128">
        <f>'PROJECT TA Y TB KARINA'!$G90/8</f>
        <v>0</v>
      </c>
      <c r="FP36" s="128">
        <f>'PROJECT TA Y TB KARINA'!$G90/8</f>
        <v>0</v>
      </c>
      <c r="FQ36" s="128">
        <f>'PROJECT TA Y TB KARINA'!$G90/8</f>
        <v>0</v>
      </c>
      <c r="FR36" s="128">
        <f>'PROJECT TA Y TB KARINA'!$G90/8</f>
        <v>0</v>
      </c>
      <c r="FS36" s="128">
        <f>'PROJECT TA Y TB KARINA'!$G90/8</f>
        <v>0</v>
      </c>
      <c r="FT36" s="128">
        <f>'PROJECT TA Y TB KARINA'!$H90/8</f>
        <v>0</v>
      </c>
      <c r="FU36" s="128">
        <f>'PROJECT TA Y TB KARINA'!$H90/8</f>
        <v>0</v>
      </c>
      <c r="FV36" s="128">
        <f>'PROJECT TA Y TB KARINA'!$H90/8</f>
        <v>0</v>
      </c>
      <c r="FW36" s="128">
        <f>'PROJECT TA Y TB KARINA'!$H90/8</f>
        <v>0</v>
      </c>
      <c r="FX36" s="128">
        <f>'PROJECT TA Y TB KARINA'!$H90/8</f>
        <v>0</v>
      </c>
      <c r="FY36" s="128">
        <f>'PROJECT TA Y TB KARINA'!$H90/8</f>
        <v>0</v>
      </c>
      <c r="FZ36" s="128">
        <f>'PROJECT TA Y TB KARINA'!$H90/8</f>
        <v>0</v>
      </c>
      <c r="GA36" s="128">
        <f>'PROJECT TA Y TB KARINA'!$H90/8</f>
        <v>0</v>
      </c>
      <c r="GB36" s="128">
        <f>'PROJECT TA Y TB KARINA'!$I90/8</f>
        <v>0</v>
      </c>
      <c r="GC36" s="128">
        <f>'PROJECT TA Y TB KARINA'!$I90/8</f>
        <v>0</v>
      </c>
      <c r="GD36" s="128">
        <f>'PROJECT TA Y TB KARINA'!$I90/8</f>
        <v>0</v>
      </c>
      <c r="GE36" s="128">
        <f>'PROJECT TA Y TB KARINA'!$I90/8</f>
        <v>0</v>
      </c>
      <c r="GF36" s="128">
        <f>'PROJECT TA Y TB KARINA'!$I90/8</f>
        <v>0</v>
      </c>
      <c r="GG36" s="128">
        <f>'PROJECT TA Y TB KARINA'!$I90/8</f>
        <v>0</v>
      </c>
      <c r="GH36" s="128">
        <f>'PROJECT TA Y TB KARINA'!$I90/8</f>
        <v>0</v>
      </c>
      <c r="GI36" s="128">
        <f>'PROJECT TA Y TB KARINA'!$I90/8</f>
        <v>0</v>
      </c>
      <c r="GJ36" s="128">
        <f>'PROJECT TA Y TB KARINA'!$J90/8</f>
        <v>0</v>
      </c>
      <c r="GK36" s="128">
        <f>'PROJECT TA Y TB KARINA'!$J90/8</f>
        <v>0</v>
      </c>
      <c r="GL36" s="128">
        <f>'PROJECT TA Y TB KARINA'!$J90/8</f>
        <v>0</v>
      </c>
      <c r="GM36" s="128">
        <f>'PROJECT TA Y TB KARINA'!$J90/8</f>
        <v>0</v>
      </c>
      <c r="GN36" s="128">
        <f>'PROJECT TA Y TB KARINA'!$J90/8</f>
        <v>0</v>
      </c>
      <c r="GO36" s="128">
        <f>'PROJECT TA Y TB KARINA'!$J90/8</f>
        <v>0</v>
      </c>
      <c r="GP36" s="128">
        <f>'PROJECT TA Y TB KARINA'!$J90/8</f>
        <v>0</v>
      </c>
      <c r="GQ36" s="128">
        <f>'PROJECT TA Y TB KARINA'!$J90/8</f>
        <v>0</v>
      </c>
      <c r="GR36" s="128">
        <f>'PROJECT TA Y TB KARINA'!$K90/8</f>
        <v>0</v>
      </c>
      <c r="GS36" s="128">
        <f>'PROJECT TA Y TB KARINA'!$K90/8</f>
        <v>0</v>
      </c>
      <c r="GT36" s="128">
        <f>'PROJECT TA Y TB KARINA'!$K90/8</f>
        <v>0</v>
      </c>
      <c r="GU36" s="128">
        <f>'PROJECT TA Y TB KARINA'!$K90/8</f>
        <v>0</v>
      </c>
      <c r="GV36" s="128">
        <f>'PROJECT TA Y TB KARINA'!$K90/8</f>
        <v>0</v>
      </c>
      <c r="GW36" s="128">
        <f>'PROJECT TA Y TB KARINA'!$K90/8</f>
        <v>0</v>
      </c>
      <c r="GX36" s="128">
        <f>'PROJECT TA Y TB KARINA'!$K90/8</f>
        <v>0</v>
      </c>
      <c r="GY36" s="128">
        <f>'PROJECT TA Y TB KARINA'!$K90/8</f>
        <v>0</v>
      </c>
      <c r="GZ36" s="128">
        <f>'PROJECT TA Y TB KARINA'!$L90/8</f>
        <v>0</v>
      </c>
      <c r="HA36" s="128">
        <f>'PROJECT TA Y TB KARINA'!$L90/8</f>
        <v>0</v>
      </c>
      <c r="HB36" s="128">
        <f>'PROJECT TA Y TB KARINA'!$L90/8</f>
        <v>0</v>
      </c>
      <c r="HC36" s="128">
        <f>'PROJECT TA Y TB KARINA'!$L90/8</f>
        <v>0</v>
      </c>
      <c r="HD36" s="128">
        <f>'PROJECT TA Y TB KARINA'!$L90/8</f>
        <v>0</v>
      </c>
      <c r="HE36" s="128">
        <f>'PROJECT TA Y TB KARINA'!$L90/8</f>
        <v>0</v>
      </c>
      <c r="HF36" s="128">
        <f>'PROJECT TA Y TB KARINA'!$L90/8</f>
        <v>0</v>
      </c>
      <c r="HG36" s="128">
        <f>'PROJECT TA Y TB KARINA'!$L90/8</f>
        <v>0</v>
      </c>
      <c r="HH36" s="128">
        <f>'PROJECT TA Y TB KARINA'!$M90/8</f>
        <v>0</v>
      </c>
      <c r="HI36" s="128">
        <f>'PROJECT TA Y TB KARINA'!$M90/8</f>
        <v>0</v>
      </c>
      <c r="HJ36" s="128">
        <f>'PROJECT TA Y TB KARINA'!$M90/8</f>
        <v>0</v>
      </c>
      <c r="HK36" s="128">
        <f>'PROJECT TA Y TB KARINA'!$M90/8</f>
        <v>0</v>
      </c>
      <c r="HL36" s="128">
        <f>'PROJECT TA Y TB KARINA'!$M90/8</f>
        <v>0</v>
      </c>
      <c r="HM36" s="128">
        <f>'PROJECT TA Y TB KARINA'!$M90/8</f>
        <v>0</v>
      </c>
      <c r="HN36" s="128">
        <f>'PROJECT TA Y TB KARINA'!$M90/8</f>
        <v>0</v>
      </c>
      <c r="HO36" s="128">
        <f>'PROJECT TA Y TB KARINA'!$M90/8</f>
        <v>0</v>
      </c>
      <c r="HP36" s="128">
        <f>'PROJECT TA Y TB KARINA'!$N90/8</f>
        <v>0</v>
      </c>
      <c r="HQ36" s="128">
        <f>'PROJECT TA Y TB KARINA'!$N90/8</f>
        <v>0</v>
      </c>
      <c r="HR36" s="128">
        <f>'PROJECT TA Y TB KARINA'!$N90/8</f>
        <v>0</v>
      </c>
      <c r="HS36" s="128">
        <f>'PROJECT TA Y TB KARINA'!$N90/8</f>
        <v>0</v>
      </c>
      <c r="HT36" s="128">
        <f>'PROJECT TA Y TB KARINA'!$N90/8</f>
        <v>0</v>
      </c>
      <c r="HU36" s="128">
        <f>'PROJECT TA Y TB KARINA'!$N90/8</f>
        <v>0</v>
      </c>
      <c r="HV36" s="128">
        <f>'PROJECT TA Y TB KARINA'!$N90/8</f>
        <v>0</v>
      </c>
      <c r="HW36" s="128">
        <f>'PROJECT TA Y TB KARINA'!$N90/8</f>
        <v>0</v>
      </c>
      <c r="HX36" s="128">
        <f>'PROJECT TA Y TB KARINA'!$O90/8</f>
        <v>0</v>
      </c>
      <c r="HY36" s="128">
        <f>'PROJECT TA Y TB KARINA'!$O90/8</f>
        <v>0</v>
      </c>
      <c r="HZ36" s="128">
        <f>'PROJECT TA Y TB KARINA'!$O90/8</f>
        <v>0</v>
      </c>
      <c r="IA36" s="128">
        <f>'PROJECT TA Y TB KARINA'!$O90/8</f>
        <v>0</v>
      </c>
      <c r="IB36" s="128">
        <f>'PROJECT TA Y TB KARINA'!$O90/8</f>
        <v>0</v>
      </c>
      <c r="IC36" s="128">
        <f>'PROJECT TA Y TB KARINA'!$O90/8</f>
        <v>0</v>
      </c>
      <c r="ID36" s="128">
        <f>'PROJECT TA Y TB KARINA'!$O90/8</f>
        <v>0</v>
      </c>
      <c r="IE36" s="128">
        <f>'PROJECT TA Y TB KARINA'!$O90/8</f>
        <v>0</v>
      </c>
      <c r="IF36" s="128">
        <f>'PROJECT TA Y TB KARINA'!$P90/8</f>
        <v>0</v>
      </c>
      <c r="IG36" s="128">
        <f>'PROJECT TA Y TB KARINA'!$P90/8</f>
        <v>0</v>
      </c>
      <c r="IH36" s="128">
        <f>'PROJECT TA Y TB KARINA'!$P90/8</f>
        <v>0</v>
      </c>
      <c r="II36" s="128">
        <f>'PROJECT TA Y TB KARINA'!$P90/8</f>
        <v>0</v>
      </c>
      <c r="IJ36" s="128">
        <f>'PROJECT TA Y TB KARINA'!$P90/8</f>
        <v>0</v>
      </c>
      <c r="IK36" s="128">
        <f>'PROJECT TA Y TB KARINA'!$P90/8</f>
        <v>0</v>
      </c>
      <c r="IL36" s="128">
        <f>'PROJECT TA Y TB KARINA'!$P90/8</f>
        <v>0</v>
      </c>
      <c r="IM36" s="128">
        <f>'PROJECT TA Y TB KARINA'!$P90/8</f>
        <v>0</v>
      </c>
      <c r="IN36" s="128">
        <f>'PROJECT TA Y TB KARINA'!$Q90/8</f>
        <v>0</v>
      </c>
      <c r="IO36" s="128">
        <f>'PROJECT TA Y TB KARINA'!$Q90/8</f>
        <v>0</v>
      </c>
      <c r="IP36" s="128">
        <f>'PROJECT TA Y TB KARINA'!$Q90/8</f>
        <v>0</v>
      </c>
      <c r="IQ36" s="128">
        <f>'PROJECT TA Y TB KARINA'!$Q90/8</f>
        <v>0</v>
      </c>
      <c r="IR36" s="128">
        <f>'PROJECT TA Y TB KARINA'!$Q90/8</f>
        <v>0</v>
      </c>
      <c r="IS36" s="128">
        <f>'PROJECT TA Y TB KARINA'!$Q90/8</f>
        <v>0</v>
      </c>
      <c r="IT36" s="128">
        <f>'PROJECT TA Y TB KARINA'!$Q90/8</f>
        <v>0</v>
      </c>
      <c r="IU36" s="128">
        <f>'PROJECT TA Y TB KARINA'!$Q90/8</f>
        <v>0</v>
      </c>
      <c r="IV36" s="128">
        <f>'PROJECT TA Y TB KARINA'!$R90/8</f>
        <v>0</v>
      </c>
      <c r="IW36" s="128">
        <f>'PROJECT TA Y TB KARINA'!$R90/8</f>
        <v>0</v>
      </c>
      <c r="IX36" s="128">
        <f>'PROJECT TA Y TB KARINA'!$R90/8</f>
        <v>0</v>
      </c>
      <c r="IY36" s="128">
        <f>'PROJECT TA Y TB KARINA'!$R90/8</f>
        <v>0</v>
      </c>
      <c r="IZ36" s="128">
        <f>'PROJECT TA Y TB KARINA'!$R90/8</f>
        <v>0</v>
      </c>
      <c r="JA36" s="128">
        <f>'PROJECT TA Y TB KARINA'!$R90/8</f>
        <v>0</v>
      </c>
      <c r="JB36" s="128">
        <f>'PROJECT TA Y TB KARINA'!$R90/8</f>
        <v>0</v>
      </c>
      <c r="JC36" s="128">
        <f>'PROJECT TA Y TB KARINA'!$R90/8</f>
        <v>0</v>
      </c>
      <c r="JD36" s="128">
        <f>'PROJECT TA Y TB KARINA'!$S90/8</f>
        <v>0</v>
      </c>
      <c r="JE36" s="128">
        <f>'PROJECT TA Y TB KARINA'!$S90/8</f>
        <v>0</v>
      </c>
      <c r="JF36" s="128">
        <f>'PROJECT TA Y TB KARINA'!$S90/8</f>
        <v>0</v>
      </c>
      <c r="JG36" s="128">
        <f>'PROJECT TA Y TB KARINA'!$S90/8</f>
        <v>0</v>
      </c>
      <c r="JH36" s="128">
        <f>'PROJECT TA Y TB KARINA'!$S90/8</f>
        <v>0</v>
      </c>
      <c r="JI36" s="128">
        <f>'PROJECT TA Y TB KARINA'!$S90/8</f>
        <v>0</v>
      </c>
      <c r="JJ36" s="128">
        <f>'PROJECT TA Y TB KARINA'!$S90/8</f>
        <v>0</v>
      </c>
      <c r="JK36" s="128">
        <f>'PROJECT TA Y TB KARINA'!$S90/8</f>
        <v>0</v>
      </c>
      <c r="JL36" s="128">
        <f>'PROJECT TA Y TB KARINA'!$T90/8</f>
        <v>0</v>
      </c>
      <c r="JM36" s="128">
        <f>'PROJECT TA Y TB KARINA'!$T90/8</f>
        <v>0</v>
      </c>
      <c r="JN36" s="128">
        <f>'PROJECT TA Y TB KARINA'!$T90/8</f>
        <v>0</v>
      </c>
      <c r="JO36" s="128">
        <f>'PROJECT TA Y TB KARINA'!$T90/8</f>
        <v>0</v>
      </c>
      <c r="JP36" s="128">
        <f>'PROJECT TA Y TB KARINA'!$T90/8</f>
        <v>0</v>
      </c>
      <c r="JQ36" s="128">
        <f>'PROJECT TA Y TB KARINA'!$T90/8</f>
        <v>0</v>
      </c>
      <c r="JR36" s="128">
        <f>'PROJECT TA Y TB KARINA'!$T90/8</f>
        <v>0</v>
      </c>
      <c r="JS36" s="128">
        <f>'PROJECT TA Y TB KARINA'!$T90/8</f>
        <v>0</v>
      </c>
      <c r="JT36" s="128" t="e">
        <f>'PROJECT TA Y TB KARINA'!#REF!/8</f>
        <v>#REF!</v>
      </c>
      <c r="JU36" s="128" t="e">
        <f>'PROJECT TA Y TB KARINA'!#REF!/8</f>
        <v>#REF!</v>
      </c>
      <c r="JV36" s="128" t="e">
        <f>'PROJECT TA Y TB KARINA'!#REF!/8</f>
        <v>#REF!</v>
      </c>
      <c r="JW36" s="128" t="e">
        <f>'PROJECT TA Y TB KARINA'!#REF!/8</f>
        <v>#REF!</v>
      </c>
      <c r="JX36" s="128" t="e">
        <f>'PROJECT TA Y TB KARINA'!#REF!/8</f>
        <v>#REF!</v>
      </c>
      <c r="JY36" s="128" t="e">
        <f>'PROJECT TA Y TB KARINA'!#REF!/8</f>
        <v>#REF!</v>
      </c>
      <c r="JZ36" s="128" t="e">
        <f>'PROJECT TA Y TB KARINA'!#REF!/8</f>
        <v>#REF!</v>
      </c>
      <c r="KA36" s="128" t="e">
        <f>'PROJECT TA Y TB KARINA'!#REF!/8</f>
        <v>#REF!</v>
      </c>
    </row>
    <row r="37" spans="1:287" ht="21">
      <c r="A37" s="130" t="s">
        <v>490</v>
      </c>
      <c r="B37" s="128" t="e">
        <f>'PROJECT TA Y TB KARINA'!$C$33/8</f>
        <v>#REF!</v>
      </c>
      <c r="C37" s="128" t="e">
        <f>'PROJECT TA Y TB KARINA'!$C$33/8</f>
        <v>#REF!</v>
      </c>
      <c r="D37" s="128" t="e">
        <f>'PROJECT TA Y TB KARINA'!$C$33/8</f>
        <v>#REF!</v>
      </c>
      <c r="E37" s="128" t="e">
        <f>'PROJECT TA Y TB KARINA'!$C$33/8</f>
        <v>#REF!</v>
      </c>
      <c r="F37" s="128" t="e">
        <f>'PROJECT TA Y TB KARINA'!$C$33/8</f>
        <v>#REF!</v>
      </c>
      <c r="G37" s="128" t="e">
        <f>'PROJECT TA Y TB KARINA'!$C$33/8</f>
        <v>#REF!</v>
      </c>
      <c r="H37" s="128" t="e">
        <f>'PROJECT TA Y TB KARINA'!$C$33/8</f>
        <v>#REF!</v>
      </c>
      <c r="I37" s="128" t="e">
        <f>'PROJECT TA Y TB KARINA'!$E33/8</f>
        <v>#REF!</v>
      </c>
      <c r="J37" s="128" t="e">
        <f>'PROJECT TA Y TB KARINA'!$E33/8</f>
        <v>#REF!</v>
      </c>
      <c r="K37" s="128" t="e">
        <f>'PROJECT TA Y TB KARINA'!$E33/8</f>
        <v>#REF!</v>
      </c>
      <c r="L37" s="128" t="e">
        <f>'PROJECT TA Y TB KARINA'!$E33/8</f>
        <v>#REF!</v>
      </c>
      <c r="M37" s="128" t="e">
        <f>'PROJECT TA Y TB KARINA'!$E33/8</f>
        <v>#REF!</v>
      </c>
      <c r="N37" s="128" t="e">
        <f>'PROJECT TA Y TB KARINA'!$E33/8</f>
        <v>#REF!</v>
      </c>
      <c r="O37" s="128" t="e">
        <f>'PROJECT TA Y TB KARINA'!$E33/8</f>
        <v>#REF!</v>
      </c>
      <c r="P37" s="128" t="e">
        <f>'PROJECT TA Y TB KARINA'!$E33/8</f>
        <v>#REF!</v>
      </c>
      <c r="Q37" s="128" t="e">
        <f>'PROJECT TA Y TB KARINA'!$F33/8</f>
        <v>#REF!</v>
      </c>
      <c r="R37" s="128" t="e">
        <f>'PROJECT TA Y TB KARINA'!$F33/8</f>
        <v>#REF!</v>
      </c>
      <c r="S37" s="128" t="e">
        <f>'PROJECT TA Y TB KARINA'!$F33/8</f>
        <v>#REF!</v>
      </c>
      <c r="T37" s="128" t="e">
        <f>'PROJECT TA Y TB KARINA'!$F33/8</f>
        <v>#REF!</v>
      </c>
      <c r="U37" s="128" t="e">
        <f>'PROJECT TA Y TB KARINA'!$F33/8</f>
        <v>#REF!</v>
      </c>
      <c r="V37" s="128" t="e">
        <f>'PROJECT TA Y TB KARINA'!$F33/8</f>
        <v>#REF!</v>
      </c>
      <c r="W37" s="128" t="e">
        <f>'PROJECT TA Y TB KARINA'!$F33/8</f>
        <v>#REF!</v>
      </c>
      <c r="X37" s="128" t="e">
        <f>'PROJECT TA Y TB KARINA'!$F33/8</f>
        <v>#REF!</v>
      </c>
      <c r="Y37" s="128" t="e">
        <f>'PROJECT TA Y TB KARINA'!$G33/8</f>
        <v>#REF!</v>
      </c>
      <c r="Z37" s="128" t="e">
        <f>'PROJECT TA Y TB KARINA'!$G33/8</f>
        <v>#REF!</v>
      </c>
      <c r="AA37" s="128" t="e">
        <f>'PROJECT TA Y TB KARINA'!$G33/8</f>
        <v>#REF!</v>
      </c>
      <c r="AB37" s="128" t="e">
        <f>'PROJECT TA Y TB KARINA'!$G33/8</f>
        <v>#REF!</v>
      </c>
      <c r="AC37" s="128" t="e">
        <f>'PROJECT TA Y TB KARINA'!$G33/8</f>
        <v>#REF!</v>
      </c>
      <c r="AD37" s="128" t="e">
        <f>'PROJECT TA Y TB KARINA'!$G33/8</f>
        <v>#REF!</v>
      </c>
      <c r="AE37" s="128" t="e">
        <f>'PROJECT TA Y TB KARINA'!$G33/8</f>
        <v>#REF!</v>
      </c>
      <c r="AF37" s="128" t="e">
        <f>'PROJECT TA Y TB KARINA'!$G33/8</f>
        <v>#REF!</v>
      </c>
      <c r="AG37" s="128" t="e">
        <f>'PROJECT TA Y TB KARINA'!$H33/8</f>
        <v>#REF!</v>
      </c>
      <c r="AH37" s="128" t="e">
        <f>'PROJECT TA Y TB KARINA'!$H33/8</f>
        <v>#REF!</v>
      </c>
      <c r="AI37" s="128" t="e">
        <f>'PROJECT TA Y TB KARINA'!$H33/8</f>
        <v>#REF!</v>
      </c>
      <c r="AJ37" s="128" t="e">
        <f>'PROJECT TA Y TB KARINA'!$H33/8</f>
        <v>#REF!</v>
      </c>
      <c r="AK37" s="128" t="e">
        <f>'PROJECT TA Y TB KARINA'!$H33/8</f>
        <v>#REF!</v>
      </c>
      <c r="AL37" s="128" t="e">
        <f>'PROJECT TA Y TB KARINA'!$H33/8</f>
        <v>#REF!</v>
      </c>
      <c r="AM37" s="128" t="e">
        <f>'PROJECT TA Y TB KARINA'!$H33/8</f>
        <v>#REF!</v>
      </c>
      <c r="AN37" s="128" t="e">
        <f>'PROJECT TA Y TB KARINA'!$H33/8</f>
        <v>#REF!</v>
      </c>
      <c r="AO37" s="128" t="e">
        <f>'PROJECT TA Y TB KARINA'!$I33/8</f>
        <v>#REF!</v>
      </c>
      <c r="AP37" s="128" t="e">
        <f>'PROJECT TA Y TB KARINA'!$I33/8</f>
        <v>#REF!</v>
      </c>
      <c r="AQ37" s="128" t="e">
        <f>'PROJECT TA Y TB KARINA'!$I33/8</f>
        <v>#REF!</v>
      </c>
      <c r="AR37" s="128" t="e">
        <f>'PROJECT TA Y TB KARINA'!$I33/8</f>
        <v>#REF!</v>
      </c>
      <c r="AS37" s="128" t="e">
        <f>'PROJECT TA Y TB KARINA'!$I33/8</f>
        <v>#REF!</v>
      </c>
      <c r="AT37" s="128" t="e">
        <f>'PROJECT TA Y TB KARINA'!$I33/8</f>
        <v>#REF!</v>
      </c>
      <c r="AU37" s="128" t="e">
        <f>'PROJECT TA Y TB KARINA'!$I33/8</f>
        <v>#REF!</v>
      </c>
      <c r="AV37" s="128" t="e">
        <f>'PROJECT TA Y TB KARINA'!$I33/8</f>
        <v>#REF!</v>
      </c>
      <c r="AW37" s="128" t="e">
        <f>'PROJECT TA Y TB KARINA'!$J33/8</f>
        <v>#REF!</v>
      </c>
      <c r="AX37" s="128" t="e">
        <f>'PROJECT TA Y TB KARINA'!$J33/8</f>
        <v>#REF!</v>
      </c>
      <c r="AY37" s="128" t="e">
        <f>'PROJECT TA Y TB KARINA'!$J33/8</f>
        <v>#REF!</v>
      </c>
      <c r="AZ37" s="128" t="e">
        <f>'PROJECT TA Y TB KARINA'!$J33/8</f>
        <v>#REF!</v>
      </c>
      <c r="BA37" s="128" t="e">
        <f>'PROJECT TA Y TB KARINA'!$J33/8</f>
        <v>#REF!</v>
      </c>
      <c r="BB37" s="128" t="e">
        <f>'PROJECT TA Y TB KARINA'!$J33/8</f>
        <v>#REF!</v>
      </c>
      <c r="BC37" s="128" t="e">
        <f>'PROJECT TA Y TB KARINA'!$J33/8</f>
        <v>#REF!</v>
      </c>
      <c r="BD37" s="128" t="e">
        <f>'PROJECT TA Y TB KARINA'!$J33/8</f>
        <v>#REF!</v>
      </c>
      <c r="BE37" s="128" t="e">
        <f>'PROJECT TA Y TB KARINA'!$K33/8</f>
        <v>#REF!</v>
      </c>
      <c r="BF37" s="128" t="e">
        <f>'PROJECT TA Y TB KARINA'!$K33/8</f>
        <v>#REF!</v>
      </c>
      <c r="BG37" s="128" t="e">
        <f>'PROJECT TA Y TB KARINA'!$K33/8</f>
        <v>#REF!</v>
      </c>
      <c r="BH37" s="128" t="e">
        <f>'PROJECT TA Y TB KARINA'!$K33/8</f>
        <v>#REF!</v>
      </c>
      <c r="BI37" s="128" t="e">
        <f>'PROJECT TA Y TB KARINA'!$K33/8</f>
        <v>#REF!</v>
      </c>
      <c r="BJ37" s="128" t="e">
        <f>'PROJECT TA Y TB KARINA'!$K33/8</f>
        <v>#REF!</v>
      </c>
      <c r="BK37" s="128" t="e">
        <f>'PROJECT TA Y TB KARINA'!$K33/8</f>
        <v>#REF!</v>
      </c>
      <c r="BL37" s="128" t="e">
        <f>'PROJECT TA Y TB KARINA'!$K33/8</f>
        <v>#REF!</v>
      </c>
      <c r="BM37" s="128" t="e">
        <f>'PROJECT TA Y TB KARINA'!$L33/8</f>
        <v>#REF!</v>
      </c>
      <c r="BN37" s="128" t="e">
        <f>'PROJECT TA Y TB KARINA'!$L33/8</f>
        <v>#REF!</v>
      </c>
      <c r="BO37" s="128" t="e">
        <f>'PROJECT TA Y TB KARINA'!$L33/8</f>
        <v>#REF!</v>
      </c>
      <c r="BP37" s="128" t="e">
        <f>'PROJECT TA Y TB KARINA'!$L33/8</f>
        <v>#REF!</v>
      </c>
      <c r="BQ37" s="128" t="e">
        <f>'PROJECT TA Y TB KARINA'!$L33/8</f>
        <v>#REF!</v>
      </c>
      <c r="BR37" s="128" t="e">
        <f>'PROJECT TA Y TB KARINA'!$L33/8</f>
        <v>#REF!</v>
      </c>
      <c r="BS37" s="128" t="e">
        <f>'PROJECT TA Y TB KARINA'!$L33/8</f>
        <v>#REF!</v>
      </c>
      <c r="BT37" s="128" t="e">
        <f>'PROJECT TA Y TB KARINA'!$L33/8</f>
        <v>#REF!</v>
      </c>
      <c r="BU37" s="128" t="e">
        <f>'PROJECT TA Y TB KARINA'!$M33/8</f>
        <v>#REF!</v>
      </c>
      <c r="BV37" s="128" t="e">
        <f>'PROJECT TA Y TB KARINA'!$M33/8</f>
        <v>#REF!</v>
      </c>
      <c r="BW37" s="128" t="e">
        <f>'PROJECT TA Y TB KARINA'!$M33/8</f>
        <v>#REF!</v>
      </c>
      <c r="BX37" s="128" t="e">
        <f>'PROJECT TA Y TB KARINA'!$M33/8</f>
        <v>#REF!</v>
      </c>
      <c r="BY37" s="128" t="e">
        <f>'PROJECT TA Y TB KARINA'!$M33/8</f>
        <v>#REF!</v>
      </c>
      <c r="BZ37" s="128" t="e">
        <f>'PROJECT TA Y TB KARINA'!$M33/8</f>
        <v>#REF!</v>
      </c>
      <c r="CA37" s="128" t="e">
        <f>'PROJECT TA Y TB KARINA'!$M33/8</f>
        <v>#REF!</v>
      </c>
      <c r="CB37" s="128" t="e">
        <f>'PROJECT TA Y TB KARINA'!$M33/8</f>
        <v>#REF!</v>
      </c>
      <c r="CC37" s="128" t="e">
        <f>'PROJECT TA Y TB KARINA'!$N33/8</f>
        <v>#REF!</v>
      </c>
      <c r="CD37" s="128" t="e">
        <f>'PROJECT TA Y TB KARINA'!$N33/8</f>
        <v>#REF!</v>
      </c>
      <c r="CE37" s="128" t="e">
        <f>'PROJECT TA Y TB KARINA'!$N33/8</f>
        <v>#REF!</v>
      </c>
      <c r="CF37" s="128" t="e">
        <f>'PROJECT TA Y TB KARINA'!$N33/8</f>
        <v>#REF!</v>
      </c>
      <c r="CG37" s="128" t="e">
        <f>'PROJECT TA Y TB KARINA'!$N33/8</f>
        <v>#REF!</v>
      </c>
      <c r="CH37" s="128" t="e">
        <f>'PROJECT TA Y TB KARINA'!$N33/8</f>
        <v>#REF!</v>
      </c>
      <c r="CI37" s="128" t="e">
        <f>'PROJECT TA Y TB KARINA'!$N33/8</f>
        <v>#REF!</v>
      </c>
      <c r="CJ37" s="128" t="e">
        <f>'PROJECT TA Y TB KARINA'!$N33/8</f>
        <v>#REF!</v>
      </c>
      <c r="CK37" s="128" t="e">
        <f>'PROJECT TA Y TB KARINA'!$O33/8</f>
        <v>#REF!</v>
      </c>
      <c r="CL37" s="128" t="e">
        <f>'PROJECT TA Y TB KARINA'!$O33/8</f>
        <v>#REF!</v>
      </c>
      <c r="CM37" s="128" t="e">
        <f>'PROJECT TA Y TB KARINA'!$O33/8</f>
        <v>#REF!</v>
      </c>
      <c r="CN37" s="128" t="e">
        <f>'PROJECT TA Y TB KARINA'!$O33/8</f>
        <v>#REF!</v>
      </c>
      <c r="CO37" s="128" t="e">
        <f>'PROJECT TA Y TB KARINA'!$O33/8</f>
        <v>#REF!</v>
      </c>
      <c r="CP37" s="128" t="e">
        <f>'PROJECT TA Y TB KARINA'!$O33/8</f>
        <v>#REF!</v>
      </c>
      <c r="CQ37" s="128" t="e">
        <f>'PROJECT TA Y TB KARINA'!$O33/8</f>
        <v>#REF!</v>
      </c>
      <c r="CR37" s="128" t="e">
        <f>'PROJECT TA Y TB KARINA'!$O33/8</f>
        <v>#REF!</v>
      </c>
      <c r="CS37" s="128" t="e">
        <f>'PROJECT TA Y TB KARINA'!$P33/8</f>
        <v>#REF!</v>
      </c>
      <c r="CT37" s="128" t="e">
        <f>'PROJECT TA Y TB KARINA'!$P33/8</f>
        <v>#REF!</v>
      </c>
      <c r="CU37" s="128" t="e">
        <f>'PROJECT TA Y TB KARINA'!$P33/8</f>
        <v>#REF!</v>
      </c>
      <c r="CV37" s="128" t="e">
        <f>'PROJECT TA Y TB KARINA'!$P33/8</f>
        <v>#REF!</v>
      </c>
      <c r="CW37" s="128" t="e">
        <f>'PROJECT TA Y TB KARINA'!$P33/8</f>
        <v>#REF!</v>
      </c>
      <c r="CX37" s="128" t="e">
        <f>'PROJECT TA Y TB KARINA'!$P33/8</f>
        <v>#REF!</v>
      </c>
      <c r="CY37" s="128" t="e">
        <f>'PROJECT TA Y TB KARINA'!$P33/8</f>
        <v>#REF!</v>
      </c>
      <c r="CZ37" s="128" t="e">
        <f>'PROJECT TA Y TB KARINA'!$P33/8</f>
        <v>#REF!</v>
      </c>
      <c r="DA37" s="128" t="e">
        <f>'PROJECT TA Y TB KARINA'!$Q33/8</f>
        <v>#REF!</v>
      </c>
      <c r="DB37" s="128" t="e">
        <f>'PROJECT TA Y TB KARINA'!$Q33/8</f>
        <v>#REF!</v>
      </c>
      <c r="DC37" s="128" t="e">
        <f>'PROJECT TA Y TB KARINA'!$Q33/8</f>
        <v>#REF!</v>
      </c>
      <c r="DD37" s="128" t="e">
        <f>'PROJECT TA Y TB KARINA'!$Q33/8</f>
        <v>#REF!</v>
      </c>
      <c r="DE37" s="128" t="e">
        <f>'PROJECT TA Y TB KARINA'!$Q33/8</f>
        <v>#REF!</v>
      </c>
      <c r="DF37" s="128" t="e">
        <f>'PROJECT TA Y TB KARINA'!$Q33/8</f>
        <v>#REF!</v>
      </c>
      <c r="DG37" s="128" t="e">
        <f>'PROJECT TA Y TB KARINA'!$Q33/8</f>
        <v>#REF!</v>
      </c>
      <c r="DH37" s="128" t="e">
        <f>'PROJECT TA Y TB KARINA'!$Q33/8</f>
        <v>#REF!</v>
      </c>
      <c r="DI37" s="128" t="e">
        <f>'PROJECT TA Y TB KARINA'!$R33/8</f>
        <v>#REF!</v>
      </c>
      <c r="DJ37" s="128" t="e">
        <f>'PROJECT TA Y TB KARINA'!$R33/8</f>
        <v>#REF!</v>
      </c>
      <c r="DK37" s="128" t="e">
        <f>'PROJECT TA Y TB KARINA'!$R33/8</f>
        <v>#REF!</v>
      </c>
      <c r="DL37" s="128" t="e">
        <f>'PROJECT TA Y TB KARINA'!$R33/8</f>
        <v>#REF!</v>
      </c>
      <c r="DM37" s="128" t="e">
        <f>'PROJECT TA Y TB KARINA'!$R33/8</f>
        <v>#REF!</v>
      </c>
      <c r="DN37" s="128" t="e">
        <f>'PROJECT TA Y TB KARINA'!$R33/8</f>
        <v>#REF!</v>
      </c>
      <c r="DO37" s="128" t="e">
        <f>'PROJECT TA Y TB KARINA'!$R33/8</f>
        <v>#REF!</v>
      </c>
      <c r="DP37" s="128" t="e">
        <f>'PROJECT TA Y TB KARINA'!$R33/8</f>
        <v>#REF!</v>
      </c>
      <c r="DQ37" s="128" t="e">
        <f>'PROJECT TA Y TB KARINA'!$S33/8</f>
        <v>#REF!</v>
      </c>
      <c r="DR37" s="128" t="e">
        <f>'PROJECT TA Y TB KARINA'!$S33/8</f>
        <v>#REF!</v>
      </c>
      <c r="DS37" s="128" t="e">
        <f>'PROJECT TA Y TB KARINA'!$S33/8</f>
        <v>#REF!</v>
      </c>
      <c r="DT37" s="128" t="e">
        <f>'PROJECT TA Y TB KARINA'!$S33/8</f>
        <v>#REF!</v>
      </c>
      <c r="DU37" s="128" t="e">
        <f>'PROJECT TA Y TB KARINA'!$S33/8</f>
        <v>#REF!</v>
      </c>
      <c r="DV37" s="128" t="e">
        <f>'PROJECT TA Y TB KARINA'!$S33/8</f>
        <v>#REF!</v>
      </c>
      <c r="DW37" s="128" t="e">
        <f>'PROJECT TA Y TB KARINA'!$S33/8</f>
        <v>#REF!</v>
      </c>
      <c r="DX37" s="128" t="e">
        <f>'PROJECT TA Y TB KARINA'!$S33/8</f>
        <v>#REF!</v>
      </c>
      <c r="DY37" s="128" t="e">
        <f>'PROJECT TA Y TB KARINA'!$T33/8</f>
        <v>#REF!</v>
      </c>
      <c r="DZ37" s="128" t="e">
        <f>'PROJECT TA Y TB KARINA'!$T33/8</f>
        <v>#REF!</v>
      </c>
      <c r="EA37" s="128" t="e">
        <f>'PROJECT TA Y TB KARINA'!$T33/8</f>
        <v>#REF!</v>
      </c>
      <c r="EB37" s="128" t="e">
        <f>'PROJECT TA Y TB KARINA'!$T33/8</f>
        <v>#REF!</v>
      </c>
      <c r="EC37" s="128" t="e">
        <f>'PROJECT TA Y TB KARINA'!$T33/8</f>
        <v>#REF!</v>
      </c>
      <c r="ED37" s="128" t="e">
        <f>'PROJECT TA Y TB KARINA'!$T33/8</f>
        <v>#REF!</v>
      </c>
      <c r="EE37" s="128" t="e">
        <f>'PROJECT TA Y TB KARINA'!$T33/8</f>
        <v>#REF!</v>
      </c>
      <c r="EF37" s="128" t="e">
        <f>'PROJECT TA Y TB KARINA'!$T33/8</f>
        <v>#REF!</v>
      </c>
      <c r="EG37" s="128" t="e">
        <f>'PROJECT TA Y TB KARINA'!#REF!/8</f>
        <v>#REF!</v>
      </c>
      <c r="EH37" s="128" t="e">
        <f>'PROJECT TA Y TB KARINA'!#REF!/8</f>
        <v>#REF!</v>
      </c>
      <c r="EI37" s="128" t="e">
        <f>'PROJECT TA Y TB KARINA'!#REF!/8</f>
        <v>#REF!</v>
      </c>
      <c r="EJ37" s="128" t="e">
        <f>'PROJECT TA Y TB KARINA'!#REF!/8</f>
        <v>#REF!</v>
      </c>
      <c r="EK37" s="128" t="e">
        <f>'PROJECT TA Y TB KARINA'!#REF!/8</f>
        <v>#REF!</v>
      </c>
      <c r="EL37" s="128" t="e">
        <f>'PROJECT TA Y TB KARINA'!#REF!/8</f>
        <v>#REF!</v>
      </c>
      <c r="EM37" s="128" t="e">
        <f>'PROJECT TA Y TB KARINA'!#REF!/8</f>
        <v>#REF!</v>
      </c>
      <c r="EN37" s="128" t="e">
        <f>'PROJECT TA Y TB KARINA'!#REF!/8</f>
        <v>#REF!</v>
      </c>
      <c r="EO37" s="128">
        <f>'PROJECT TA Y TB KARINA'!$C91/8</f>
        <v>0</v>
      </c>
      <c r="EP37" s="128">
        <f>'PROJECT TA Y TB KARINA'!$C91/8</f>
        <v>0</v>
      </c>
      <c r="EQ37" s="128">
        <f>'PROJECT TA Y TB KARINA'!$C91/8</f>
        <v>0</v>
      </c>
      <c r="ER37" s="128">
        <f>'PROJECT TA Y TB KARINA'!$C91/8</f>
        <v>0</v>
      </c>
      <c r="ES37" s="128">
        <f>'PROJECT TA Y TB KARINA'!$C91/8</f>
        <v>0</v>
      </c>
      <c r="ET37" s="128">
        <f>'PROJECT TA Y TB KARINA'!$C91/8</f>
        <v>0</v>
      </c>
      <c r="EU37" s="128">
        <f>'PROJECT TA Y TB KARINA'!$C91/8</f>
        <v>0</v>
      </c>
      <c r="EV37" s="128">
        <f>'PROJECT TA Y TB KARINA'!$E91/8</f>
        <v>0</v>
      </c>
      <c r="EW37" s="128">
        <f>'PROJECT TA Y TB KARINA'!$E91/8</f>
        <v>0</v>
      </c>
      <c r="EX37" s="128">
        <f>'PROJECT TA Y TB KARINA'!$E91/8</f>
        <v>0</v>
      </c>
      <c r="EY37" s="128">
        <f>'PROJECT TA Y TB KARINA'!$E91/8</f>
        <v>0</v>
      </c>
      <c r="EZ37" s="128">
        <f>'PROJECT TA Y TB KARINA'!$E91/8</f>
        <v>0</v>
      </c>
      <c r="FA37" s="128">
        <f>'PROJECT TA Y TB KARINA'!$E91/8</f>
        <v>0</v>
      </c>
      <c r="FB37" s="128">
        <f>'PROJECT TA Y TB KARINA'!$E91/8</f>
        <v>0</v>
      </c>
      <c r="FC37" s="128">
        <f>'PROJECT TA Y TB KARINA'!$E91/8</f>
        <v>0</v>
      </c>
      <c r="FD37" s="128">
        <f>'PROJECT TA Y TB KARINA'!$F91/8</f>
        <v>0</v>
      </c>
      <c r="FE37" s="128">
        <f>'PROJECT TA Y TB KARINA'!$F91/8</f>
        <v>0</v>
      </c>
      <c r="FF37" s="128">
        <f>'PROJECT TA Y TB KARINA'!$F91/8</f>
        <v>0</v>
      </c>
      <c r="FG37" s="128">
        <f>'PROJECT TA Y TB KARINA'!$F91/8</f>
        <v>0</v>
      </c>
      <c r="FH37" s="128">
        <f>'PROJECT TA Y TB KARINA'!$F91/8</f>
        <v>0</v>
      </c>
      <c r="FI37" s="128">
        <f>'PROJECT TA Y TB KARINA'!$F91/8</f>
        <v>0</v>
      </c>
      <c r="FJ37" s="128">
        <f>'PROJECT TA Y TB KARINA'!$F91/8</f>
        <v>0</v>
      </c>
      <c r="FK37" s="128">
        <f>'PROJECT TA Y TB KARINA'!$F91/8</f>
        <v>0</v>
      </c>
      <c r="FL37" s="128">
        <f>'PROJECT TA Y TB KARINA'!$G91/8</f>
        <v>0</v>
      </c>
      <c r="FM37" s="128">
        <f>'PROJECT TA Y TB KARINA'!$G91/8</f>
        <v>0</v>
      </c>
      <c r="FN37" s="128">
        <f>'PROJECT TA Y TB KARINA'!$G91/8</f>
        <v>0</v>
      </c>
      <c r="FO37" s="128">
        <f>'PROJECT TA Y TB KARINA'!$G91/8</f>
        <v>0</v>
      </c>
      <c r="FP37" s="128">
        <f>'PROJECT TA Y TB KARINA'!$G91/8</f>
        <v>0</v>
      </c>
      <c r="FQ37" s="128">
        <f>'PROJECT TA Y TB KARINA'!$G91/8</f>
        <v>0</v>
      </c>
      <c r="FR37" s="128">
        <f>'PROJECT TA Y TB KARINA'!$G91/8</f>
        <v>0</v>
      </c>
      <c r="FS37" s="128">
        <f>'PROJECT TA Y TB KARINA'!$G91/8</f>
        <v>0</v>
      </c>
      <c r="FT37" s="128">
        <f>'PROJECT TA Y TB KARINA'!$H91/8</f>
        <v>0</v>
      </c>
      <c r="FU37" s="128">
        <f>'PROJECT TA Y TB KARINA'!$H91/8</f>
        <v>0</v>
      </c>
      <c r="FV37" s="128">
        <f>'PROJECT TA Y TB KARINA'!$H91/8</f>
        <v>0</v>
      </c>
      <c r="FW37" s="128">
        <f>'PROJECT TA Y TB KARINA'!$H91/8</f>
        <v>0</v>
      </c>
      <c r="FX37" s="128">
        <f>'PROJECT TA Y TB KARINA'!$H91/8</f>
        <v>0</v>
      </c>
      <c r="FY37" s="128">
        <f>'PROJECT TA Y TB KARINA'!$H91/8</f>
        <v>0</v>
      </c>
      <c r="FZ37" s="128">
        <f>'PROJECT TA Y TB KARINA'!$H91/8</f>
        <v>0</v>
      </c>
      <c r="GA37" s="128">
        <f>'PROJECT TA Y TB KARINA'!$H91/8</f>
        <v>0</v>
      </c>
      <c r="GB37" s="128">
        <f>'PROJECT TA Y TB KARINA'!$I91/8</f>
        <v>0</v>
      </c>
      <c r="GC37" s="128">
        <f>'PROJECT TA Y TB KARINA'!$I91/8</f>
        <v>0</v>
      </c>
      <c r="GD37" s="128">
        <f>'PROJECT TA Y TB KARINA'!$I91/8</f>
        <v>0</v>
      </c>
      <c r="GE37" s="128">
        <f>'PROJECT TA Y TB KARINA'!$I91/8</f>
        <v>0</v>
      </c>
      <c r="GF37" s="128">
        <f>'PROJECT TA Y TB KARINA'!$I91/8</f>
        <v>0</v>
      </c>
      <c r="GG37" s="128">
        <f>'PROJECT TA Y TB KARINA'!$I91/8</f>
        <v>0</v>
      </c>
      <c r="GH37" s="128">
        <f>'PROJECT TA Y TB KARINA'!$I91/8</f>
        <v>0</v>
      </c>
      <c r="GI37" s="128">
        <f>'PROJECT TA Y TB KARINA'!$I91/8</f>
        <v>0</v>
      </c>
      <c r="GJ37" s="128">
        <f>'PROJECT TA Y TB KARINA'!$J91/8</f>
        <v>0</v>
      </c>
      <c r="GK37" s="128">
        <f>'PROJECT TA Y TB KARINA'!$J91/8</f>
        <v>0</v>
      </c>
      <c r="GL37" s="128">
        <f>'PROJECT TA Y TB KARINA'!$J91/8</f>
        <v>0</v>
      </c>
      <c r="GM37" s="128">
        <f>'PROJECT TA Y TB KARINA'!$J91/8</f>
        <v>0</v>
      </c>
      <c r="GN37" s="128">
        <f>'PROJECT TA Y TB KARINA'!$J91/8</f>
        <v>0</v>
      </c>
      <c r="GO37" s="128">
        <f>'PROJECT TA Y TB KARINA'!$J91/8</f>
        <v>0</v>
      </c>
      <c r="GP37" s="128">
        <f>'PROJECT TA Y TB KARINA'!$J91/8</f>
        <v>0</v>
      </c>
      <c r="GQ37" s="128">
        <f>'PROJECT TA Y TB KARINA'!$J91/8</f>
        <v>0</v>
      </c>
      <c r="GR37" s="128">
        <f>'PROJECT TA Y TB KARINA'!$K91/8</f>
        <v>0</v>
      </c>
      <c r="GS37" s="128">
        <f>'PROJECT TA Y TB KARINA'!$K91/8</f>
        <v>0</v>
      </c>
      <c r="GT37" s="128">
        <f>'PROJECT TA Y TB KARINA'!$K91/8</f>
        <v>0</v>
      </c>
      <c r="GU37" s="128">
        <f>'PROJECT TA Y TB KARINA'!$K91/8</f>
        <v>0</v>
      </c>
      <c r="GV37" s="128">
        <f>'PROJECT TA Y TB KARINA'!$K91/8</f>
        <v>0</v>
      </c>
      <c r="GW37" s="128">
        <f>'PROJECT TA Y TB KARINA'!$K91/8</f>
        <v>0</v>
      </c>
      <c r="GX37" s="128">
        <f>'PROJECT TA Y TB KARINA'!$K91/8</f>
        <v>0</v>
      </c>
      <c r="GY37" s="128">
        <f>'PROJECT TA Y TB KARINA'!$K91/8</f>
        <v>0</v>
      </c>
      <c r="GZ37" s="128">
        <f>'PROJECT TA Y TB KARINA'!$L91/8</f>
        <v>0</v>
      </c>
      <c r="HA37" s="128">
        <f>'PROJECT TA Y TB KARINA'!$L91/8</f>
        <v>0</v>
      </c>
      <c r="HB37" s="128">
        <f>'PROJECT TA Y TB KARINA'!$L91/8</f>
        <v>0</v>
      </c>
      <c r="HC37" s="128">
        <f>'PROJECT TA Y TB KARINA'!$L91/8</f>
        <v>0</v>
      </c>
      <c r="HD37" s="128">
        <f>'PROJECT TA Y TB KARINA'!$L91/8</f>
        <v>0</v>
      </c>
      <c r="HE37" s="128">
        <f>'PROJECT TA Y TB KARINA'!$L91/8</f>
        <v>0</v>
      </c>
      <c r="HF37" s="128">
        <f>'PROJECT TA Y TB KARINA'!$L91/8</f>
        <v>0</v>
      </c>
      <c r="HG37" s="128">
        <f>'PROJECT TA Y TB KARINA'!$L91/8</f>
        <v>0</v>
      </c>
      <c r="HH37" s="128">
        <f>'PROJECT TA Y TB KARINA'!$M91/8</f>
        <v>0</v>
      </c>
      <c r="HI37" s="128">
        <f>'PROJECT TA Y TB KARINA'!$M91/8</f>
        <v>0</v>
      </c>
      <c r="HJ37" s="128">
        <f>'PROJECT TA Y TB KARINA'!$M91/8</f>
        <v>0</v>
      </c>
      <c r="HK37" s="128">
        <f>'PROJECT TA Y TB KARINA'!$M91/8</f>
        <v>0</v>
      </c>
      <c r="HL37" s="128">
        <f>'PROJECT TA Y TB KARINA'!$M91/8</f>
        <v>0</v>
      </c>
      <c r="HM37" s="128">
        <f>'PROJECT TA Y TB KARINA'!$M91/8</f>
        <v>0</v>
      </c>
      <c r="HN37" s="128">
        <f>'PROJECT TA Y TB KARINA'!$M91/8</f>
        <v>0</v>
      </c>
      <c r="HO37" s="128">
        <f>'PROJECT TA Y TB KARINA'!$M91/8</f>
        <v>0</v>
      </c>
      <c r="HP37" s="128">
        <f>'PROJECT TA Y TB KARINA'!$N91/8</f>
        <v>0</v>
      </c>
      <c r="HQ37" s="128">
        <f>'PROJECT TA Y TB KARINA'!$N91/8</f>
        <v>0</v>
      </c>
      <c r="HR37" s="128">
        <f>'PROJECT TA Y TB KARINA'!$N91/8</f>
        <v>0</v>
      </c>
      <c r="HS37" s="128">
        <f>'PROJECT TA Y TB KARINA'!$N91/8</f>
        <v>0</v>
      </c>
      <c r="HT37" s="128">
        <f>'PROJECT TA Y TB KARINA'!$N91/8</f>
        <v>0</v>
      </c>
      <c r="HU37" s="128">
        <f>'PROJECT TA Y TB KARINA'!$N91/8</f>
        <v>0</v>
      </c>
      <c r="HV37" s="128">
        <f>'PROJECT TA Y TB KARINA'!$N91/8</f>
        <v>0</v>
      </c>
      <c r="HW37" s="128">
        <f>'PROJECT TA Y TB KARINA'!$N91/8</f>
        <v>0</v>
      </c>
      <c r="HX37" s="128">
        <f>'PROJECT TA Y TB KARINA'!$O91/8</f>
        <v>0</v>
      </c>
      <c r="HY37" s="128">
        <f>'PROJECT TA Y TB KARINA'!$O91/8</f>
        <v>0</v>
      </c>
      <c r="HZ37" s="128">
        <f>'PROJECT TA Y TB KARINA'!$O91/8</f>
        <v>0</v>
      </c>
      <c r="IA37" s="128">
        <f>'PROJECT TA Y TB KARINA'!$O91/8</f>
        <v>0</v>
      </c>
      <c r="IB37" s="128">
        <f>'PROJECT TA Y TB KARINA'!$O91/8</f>
        <v>0</v>
      </c>
      <c r="IC37" s="128">
        <f>'PROJECT TA Y TB KARINA'!$O91/8</f>
        <v>0</v>
      </c>
      <c r="ID37" s="128">
        <f>'PROJECT TA Y TB KARINA'!$O91/8</f>
        <v>0</v>
      </c>
      <c r="IE37" s="128">
        <f>'PROJECT TA Y TB KARINA'!$O91/8</f>
        <v>0</v>
      </c>
      <c r="IF37" s="128">
        <f>'PROJECT TA Y TB KARINA'!$P91/8</f>
        <v>0</v>
      </c>
      <c r="IG37" s="128">
        <f>'PROJECT TA Y TB KARINA'!$P91/8</f>
        <v>0</v>
      </c>
      <c r="IH37" s="128">
        <f>'PROJECT TA Y TB KARINA'!$P91/8</f>
        <v>0</v>
      </c>
      <c r="II37" s="128">
        <f>'PROJECT TA Y TB KARINA'!$P91/8</f>
        <v>0</v>
      </c>
      <c r="IJ37" s="128">
        <f>'PROJECT TA Y TB KARINA'!$P91/8</f>
        <v>0</v>
      </c>
      <c r="IK37" s="128">
        <f>'PROJECT TA Y TB KARINA'!$P91/8</f>
        <v>0</v>
      </c>
      <c r="IL37" s="128">
        <f>'PROJECT TA Y TB KARINA'!$P91/8</f>
        <v>0</v>
      </c>
      <c r="IM37" s="128">
        <f>'PROJECT TA Y TB KARINA'!$P91/8</f>
        <v>0</v>
      </c>
      <c r="IN37" s="128">
        <f>'PROJECT TA Y TB KARINA'!$Q91/8</f>
        <v>0</v>
      </c>
      <c r="IO37" s="128">
        <f>'PROJECT TA Y TB KARINA'!$Q91/8</f>
        <v>0</v>
      </c>
      <c r="IP37" s="128">
        <f>'PROJECT TA Y TB KARINA'!$Q91/8</f>
        <v>0</v>
      </c>
      <c r="IQ37" s="128">
        <f>'PROJECT TA Y TB KARINA'!$Q91/8</f>
        <v>0</v>
      </c>
      <c r="IR37" s="128">
        <f>'PROJECT TA Y TB KARINA'!$Q91/8</f>
        <v>0</v>
      </c>
      <c r="IS37" s="128">
        <f>'PROJECT TA Y TB KARINA'!$Q91/8</f>
        <v>0</v>
      </c>
      <c r="IT37" s="128">
        <f>'PROJECT TA Y TB KARINA'!$Q91/8</f>
        <v>0</v>
      </c>
      <c r="IU37" s="128">
        <f>'PROJECT TA Y TB KARINA'!$Q91/8</f>
        <v>0</v>
      </c>
      <c r="IV37" s="128">
        <f>'PROJECT TA Y TB KARINA'!$R91/8</f>
        <v>0</v>
      </c>
      <c r="IW37" s="128">
        <f>'PROJECT TA Y TB KARINA'!$R91/8</f>
        <v>0</v>
      </c>
      <c r="IX37" s="128">
        <f>'PROJECT TA Y TB KARINA'!$R91/8</f>
        <v>0</v>
      </c>
      <c r="IY37" s="128">
        <f>'PROJECT TA Y TB KARINA'!$R91/8</f>
        <v>0</v>
      </c>
      <c r="IZ37" s="128">
        <f>'PROJECT TA Y TB KARINA'!$R91/8</f>
        <v>0</v>
      </c>
      <c r="JA37" s="128">
        <f>'PROJECT TA Y TB KARINA'!$R91/8</f>
        <v>0</v>
      </c>
      <c r="JB37" s="128">
        <f>'PROJECT TA Y TB KARINA'!$R91/8</f>
        <v>0</v>
      </c>
      <c r="JC37" s="128">
        <f>'PROJECT TA Y TB KARINA'!$R91/8</f>
        <v>0</v>
      </c>
      <c r="JD37" s="128">
        <f>'PROJECT TA Y TB KARINA'!$S91/8</f>
        <v>0</v>
      </c>
      <c r="JE37" s="128">
        <f>'PROJECT TA Y TB KARINA'!$S91/8</f>
        <v>0</v>
      </c>
      <c r="JF37" s="128">
        <f>'PROJECT TA Y TB KARINA'!$S91/8</f>
        <v>0</v>
      </c>
      <c r="JG37" s="128">
        <f>'PROJECT TA Y TB KARINA'!$S91/8</f>
        <v>0</v>
      </c>
      <c r="JH37" s="128">
        <f>'PROJECT TA Y TB KARINA'!$S91/8</f>
        <v>0</v>
      </c>
      <c r="JI37" s="128">
        <f>'PROJECT TA Y TB KARINA'!$S91/8</f>
        <v>0</v>
      </c>
      <c r="JJ37" s="128">
        <f>'PROJECT TA Y TB KARINA'!$S91/8</f>
        <v>0</v>
      </c>
      <c r="JK37" s="128">
        <f>'PROJECT TA Y TB KARINA'!$S91/8</f>
        <v>0</v>
      </c>
      <c r="JL37" s="128">
        <f>'PROJECT TA Y TB KARINA'!$T91/8</f>
        <v>0</v>
      </c>
      <c r="JM37" s="128">
        <f>'PROJECT TA Y TB KARINA'!$T91/8</f>
        <v>0</v>
      </c>
      <c r="JN37" s="128">
        <f>'PROJECT TA Y TB KARINA'!$T91/8</f>
        <v>0</v>
      </c>
      <c r="JO37" s="128">
        <f>'PROJECT TA Y TB KARINA'!$T91/8</f>
        <v>0</v>
      </c>
      <c r="JP37" s="128">
        <f>'PROJECT TA Y TB KARINA'!$T91/8</f>
        <v>0</v>
      </c>
      <c r="JQ37" s="128">
        <f>'PROJECT TA Y TB KARINA'!$T91/8</f>
        <v>0</v>
      </c>
      <c r="JR37" s="128">
        <f>'PROJECT TA Y TB KARINA'!$T91/8</f>
        <v>0</v>
      </c>
      <c r="JS37" s="128">
        <f>'PROJECT TA Y TB KARINA'!$T91/8</f>
        <v>0</v>
      </c>
      <c r="JT37" s="128" t="e">
        <f>'PROJECT TA Y TB KARINA'!#REF!/8</f>
        <v>#REF!</v>
      </c>
      <c r="JU37" s="128" t="e">
        <f>'PROJECT TA Y TB KARINA'!#REF!/8</f>
        <v>#REF!</v>
      </c>
      <c r="JV37" s="128" t="e">
        <f>'PROJECT TA Y TB KARINA'!#REF!/8</f>
        <v>#REF!</v>
      </c>
      <c r="JW37" s="128" t="e">
        <f>'PROJECT TA Y TB KARINA'!#REF!/8</f>
        <v>#REF!</v>
      </c>
      <c r="JX37" s="128" t="e">
        <f>'PROJECT TA Y TB KARINA'!#REF!/8</f>
        <v>#REF!</v>
      </c>
      <c r="JY37" s="128" t="e">
        <f>'PROJECT TA Y TB KARINA'!#REF!/8</f>
        <v>#REF!</v>
      </c>
      <c r="JZ37" s="128" t="e">
        <f>'PROJECT TA Y TB KARINA'!#REF!/8</f>
        <v>#REF!</v>
      </c>
      <c r="KA37" s="128" t="e">
        <f>'PROJECT TA Y TB KARINA'!#REF!/8</f>
        <v>#REF!</v>
      </c>
    </row>
    <row r="38" spans="1:287" ht="21">
      <c r="A38" s="130" t="s">
        <v>491</v>
      </c>
      <c r="B38" s="128" t="e">
        <f>'PROJECT TA Y TB KARINA'!$C$34/8</f>
        <v>#REF!</v>
      </c>
      <c r="C38" s="128" t="e">
        <f>'PROJECT TA Y TB KARINA'!$C$34/8</f>
        <v>#REF!</v>
      </c>
      <c r="D38" s="128" t="e">
        <f>'PROJECT TA Y TB KARINA'!$C$34/8</f>
        <v>#REF!</v>
      </c>
      <c r="E38" s="128" t="e">
        <f>'PROJECT TA Y TB KARINA'!$C$34/8</f>
        <v>#REF!</v>
      </c>
      <c r="F38" s="128" t="e">
        <f>'PROJECT TA Y TB KARINA'!$C$34/8</f>
        <v>#REF!</v>
      </c>
      <c r="G38" s="128" t="e">
        <f>'PROJECT TA Y TB KARINA'!$C$34/8</f>
        <v>#REF!</v>
      </c>
      <c r="H38" s="128" t="e">
        <f>'PROJECT TA Y TB KARINA'!$C$34/8</f>
        <v>#REF!</v>
      </c>
      <c r="I38" s="128" t="e">
        <f>'PROJECT TA Y TB KARINA'!$E34/8</f>
        <v>#REF!</v>
      </c>
      <c r="J38" s="128" t="e">
        <f>'PROJECT TA Y TB KARINA'!$E34/8</f>
        <v>#REF!</v>
      </c>
      <c r="K38" s="128" t="e">
        <f>'PROJECT TA Y TB KARINA'!$E34/8</f>
        <v>#REF!</v>
      </c>
      <c r="L38" s="128" t="e">
        <f>'PROJECT TA Y TB KARINA'!$E34/8</f>
        <v>#REF!</v>
      </c>
      <c r="M38" s="128" t="e">
        <f>'PROJECT TA Y TB KARINA'!$E34/8</f>
        <v>#REF!</v>
      </c>
      <c r="N38" s="128" t="e">
        <f>'PROJECT TA Y TB KARINA'!$E34/8</f>
        <v>#REF!</v>
      </c>
      <c r="O38" s="128" t="e">
        <f>'PROJECT TA Y TB KARINA'!$E34/8</f>
        <v>#REF!</v>
      </c>
      <c r="P38" s="128" t="e">
        <f>'PROJECT TA Y TB KARINA'!$E34/8</f>
        <v>#REF!</v>
      </c>
      <c r="Q38" s="128" t="e">
        <f>'PROJECT TA Y TB KARINA'!$F34/8</f>
        <v>#REF!</v>
      </c>
      <c r="R38" s="128" t="e">
        <f>'PROJECT TA Y TB KARINA'!$F34/8</f>
        <v>#REF!</v>
      </c>
      <c r="S38" s="128" t="e">
        <f>'PROJECT TA Y TB KARINA'!$F34/8</f>
        <v>#REF!</v>
      </c>
      <c r="T38" s="128" t="e">
        <f>'PROJECT TA Y TB KARINA'!$F34/8</f>
        <v>#REF!</v>
      </c>
      <c r="U38" s="128" t="e">
        <f>'PROJECT TA Y TB KARINA'!$F34/8</f>
        <v>#REF!</v>
      </c>
      <c r="V38" s="128" t="e">
        <f>'PROJECT TA Y TB KARINA'!$F34/8</f>
        <v>#REF!</v>
      </c>
      <c r="W38" s="128" t="e">
        <f>'PROJECT TA Y TB KARINA'!$F34/8</f>
        <v>#REF!</v>
      </c>
      <c r="X38" s="128" t="e">
        <f>'PROJECT TA Y TB KARINA'!$F34/8</f>
        <v>#REF!</v>
      </c>
      <c r="Y38" s="128" t="e">
        <f>'PROJECT TA Y TB KARINA'!$G34/8</f>
        <v>#REF!</v>
      </c>
      <c r="Z38" s="128" t="e">
        <f>'PROJECT TA Y TB KARINA'!$G34/8</f>
        <v>#REF!</v>
      </c>
      <c r="AA38" s="128" t="e">
        <f>'PROJECT TA Y TB KARINA'!$G34/8</f>
        <v>#REF!</v>
      </c>
      <c r="AB38" s="128" t="e">
        <f>'PROJECT TA Y TB KARINA'!$G34/8</f>
        <v>#REF!</v>
      </c>
      <c r="AC38" s="128" t="e">
        <f>'PROJECT TA Y TB KARINA'!$G34/8</f>
        <v>#REF!</v>
      </c>
      <c r="AD38" s="128" t="e">
        <f>'PROJECT TA Y TB KARINA'!$G34/8</f>
        <v>#REF!</v>
      </c>
      <c r="AE38" s="128" t="e">
        <f>'PROJECT TA Y TB KARINA'!$G34/8</f>
        <v>#REF!</v>
      </c>
      <c r="AF38" s="128" t="e">
        <f>'PROJECT TA Y TB KARINA'!$G34/8</f>
        <v>#REF!</v>
      </c>
      <c r="AG38" s="128" t="e">
        <f>'PROJECT TA Y TB KARINA'!$H34/8</f>
        <v>#REF!</v>
      </c>
      <c r="AH38" s="128" t="e">
        <f>'PROJECT TA Y TB KARINA'!$H34/8</f>
        <v>#REF!</v>
      </c>
      <c r="AI38" s="128" t="e">
        <f>'PROJECT TA Y TB KARINA'!$H34/8</f>
        <v>#REF!</v>
      </c>
      <c r="AJ38" s="128" t="e">
        <f>'PROJECT TA Y TB KARINA'!$H34/8</f>
        <v>#REF!</v>
      </c>
      <c r="AK38" s="128" t="e">
        <f>'PROJECT TA Y TB KARINA'!$H34/8</f>
        <v>#REF!</v>
      </c>
      <c r="AL38" s="128" t="e">
        <f>'PROJECT TA Y TB KARINA'!$H34/8</f>
        <v>#REF!</v>
      </c>
      <c r="AM38" s="128" t="e">
        <f>'PROJECT TA Y TB KARINA'!$H34/8</f>
        <v>#REF!</v>
      </c>
      <c r="AN38" s="128" t="e">
        <f>'PROJECT TA Y TB KARINA'!$H34/8</f>
        <v>#REF!</v>
      </c>
      <c r="AO38" s="128" t="e">
        <f>'PROJECT TA Y TB KARINA'!$I34/8</f>
        <v>#REF!</v>
      </c>
      <c r="AP38" s="128" t="e">
        <f>'PROJECT TA Y TB KARINA'!$I34/8</f>
        <v>#REF!</v>
      </c>
      <c r="AQ38" s="128" t="e">
        <f>'PROJECT TA Y TB KARINA'!$I34/8</f>
        <v>#REF!</v>
      </c>
      <c r="AR38" s="128" t="e">
        <f>'PROJECT TA Y TB KARINA'!$I34/8</f>
        <v>#REF!</v>
      </c>
      <c r="AS38" s="128" t="e">
        <f>'PROJECT TA Y TB KARINA'!$I34/8</f>
        <v>#REF!</v>
      </c>
      <c r="AT38" s="128" t="e">
        <f>'PROJECT TA Y TB KARINA'!$I34/8</f>
        <v>#REF!</v>
      </c>
      <c r="AU38" s="128" t="e">
        <f>'PROJECT TA Y TB KARINA'!$I34/8</f>
        <v>#REF!</v>
      </c>
      <c r="AV38" s="128" t="e">
        <f>'PROJECT TA Y TB KARINA'!$I34/8</f>
        <v>#REF!</v>
      </c>
      <c r="AW38" s="128" t="e">
        <f>'PROJECT TA Y TB KARINA'!$J34/8</f>
        <v>#REF!</v>
      </c>
      <c r="AX38" s="128" t="e">
        <f>'PROJECT TA Y TB KARINA'!$J34/8</f>
        <v>#REF!</v>
      </c>
      <c r="AY38" s="128" t="e">
        <f>'PROJECT TA Y TB KARINA'!$J34/8</f>
        <v>#REF!</v>
      </c>
      <c r="AZ38" s="128" t="e">
        <f>'PROJECT TA Y TB KARINA'!$J34/8</f>
        <v>#REF!</v>
      </c>
      <c r="BA38" s="128" t="e">
        <f>'PROJECT TA Y TB KARINA'!$J34/8</f>
        <v>#REF!</v>
      </c>
      <c r="BB38" s="128" t="e">
        <f>'PROJECT TA Y TB KARINA'!$J34/8</f>
        <v>#REF!</v>
      </c>
      <c r="BC38" s="128" t="e">
        <f>'PROJECT TA Y TB KARINA'!$J34/8</f>
        <v>#REF!</v>
      </c>
      <c r="BD38" s="128" t="e">
        <f>'PROJECT TA Y TB KARINA'!$J34/8</f>
        <v>#REF!</v>
      </c>
      <c r="BE38" s="128" t="e">
        <f>'PROJECT TA Y TB KARINA'!$K34/8</f>
        <v>#REF!</v>
      </c>
      <c r="BF38" s="128" t="e">
        <f>'PROJECT TA Y TB KARINA'!$K34/8</f>
        <v>#REF!</v>
      </c>
      <c r="BG38" s="128" t="e">
        <f>'PROJECT TA Y TB KARINA'!$K34/8</f>
        <v>#REF!</v>
      </c>
      <c r="BH38" s="128" t="e">
        <f>'PROJECT TA Y TB KARINA'!$K34/8</f>
        <v>#REF!</v>
      </c>
      <c r="BI38" s="128" t="e">
        <f>'PROJECT TA Y TB KARINA'!$K34/8</f>
        <v>#REF!</v>
      </c>
      <c r="BJ38" s="128" t="e">
        <f>'PROJECT TA Y TB KARINA'!$K34/8</f>
        <v>#REF!</v>
      </c>
      <c r="BK38" s="128" t="e">
        <f>'PROJECT TA Y TB KARINA'!$K34/8</f>
        <v>#REF!</v>
      </c>
      <c r="BL38" s="128" t="e">
        <f>'PROJECT TA Y TB KARINA'!$K34/8</f>
        <v>#REF!</v>
      </c>
      <c r="BM38" s="128" t="e">
        <f>'PROJECT TA Y TB KARINA'!$L34/8</f>
        <v>#REF!</v>
      </c>
      <c r="BN38" s="128" t="e">
        <f>'PROJECT TA Y TB KARINA'!$L34/8</f>
        <v>#REF!</v>
      </c>
      <c r="BO38" s="128" t="e">
        <f>'PROJECT TA Y TB KARINA'!$L34/8</f>
        <v>#REF!</v>
      </c>
      <c r="BP38" s="128" t="e">
        <f>'PROJECT TA Y TB KARINA'!$L34/8</f>
        <v>#REF!</v>
      </c>
      <c r="BQ38" s="128" t="e">
        <f>'PROJECT TA Y TB KARINA'!$L34/8</f>
        <v>#REF!</v>
      </c>
      <c r="BR38" s="128" t="e">
        <f>'PROJECT TA Y TB KARINA'!$L34/8</f>
        <v>#REF!</v>
      </c>
      <c r="BS38" s="128" t="e">
        <f>'PROJECT TA Y TB KARINA'!$L34/8</f>
        <v>#REF!</v>
      </c>
      <c r="BT38" s="128" t="e">
        <f>'PROJECT TA Y TB KARINA'!$L34/8</f>
        <v>#REF!</v>
      </c>
      <c r="BU38" s="128" t="e">
        <f>'PROJECT TA Y TB KARINA'!$M34/8</f>
        <v>#REF!</v>
      </c>
      <c r="BV38" s="128" t="e">
        <f>'PROJECT TA Y TB KARINA'!$M34/8</f>
        <v>#REF!</v>
      </c>
      <c r="BW38" s="128" t="e">
        <f>'PROJECT TA Y TB KARINA'!$M34/8</f>
        <v>#REF!</v>
      </c>
      <c r="BX38" s="128" t="e">
        <f>'PROJECT TA Y TB KARINA'!$M34/8</f>
        <v>#REF!</v>
      </c>
      <c r="BY38" s="128" t="e">
        <f>'PROJECT TA Y TB KARINA'!$M34/8</f>
        <v>#REF!</v>
      </c>
      <c r="BZ38" s="128" t="e">
        <f>'PROJECT TA Y TB KARINA'!$M34/8</f>
        <v>#REF!</v>
      </c>
      <c r="CA38" s="128" t="e">
        <f>'PROJECT TA Y TB KARINA'!$M34/8</f>
        <v>#REF!</v>
      </c>
      <c r="CB38" s="128" t="e">
        <f>'PROJECT TA Y TB KARINA'!$M34/8</f>
        <v>#REF!</v>
      </c>
      <c r="CC38" s="128" t="e">
        <f>'PROJECT TA Y TB KARINA'!$N34/8</f>
        <v>#REF!</v>
      </c>
      <c r="CD38" s="128" t="e">
        <f>'PROJECT TA Y TB KARINA'!$N34/8</f>
        <v>#REF!</v>
      </c>
      <c r="CE38" s="128" t="e">
        <f>'PROJECT TA Y TB KARINA'!$N34/8</f>
        <v>#REF!</v>
      </c>
      <c r="CF38" s="128" t="e">
        <f>'PROJECT TA Y TB KARINA'!$N34/8</f>
        <v>#REF!</v>
      </c>
      <c r="CG38" s="128" t="e">
        <f>'PROJECT TA Y TB KARINA'!$N34/8</f>
        <v>#REF!</v>
      </c>
      <c r="CH38" s="128" t="e">
        <f>'PROJECT TA Y TB KARINA'!$N34/8</f>
        <v>#REF!</v>
      </c>
      <c r="CI38" s="128" t="e">
        <f>'PROJECT TA Y TB KARINA'!$N34/8</f>
        <v>#REF!</v>
      </c>
      <c r="CJ38" s="128" t="e">
        <f>'PROJECT TA Y TB KARINA'!$N34/8</f>
        <v>#REF!</v>
      </c>
      <c r="CK38" s="128" t="e">
        <f>'PROJECT TA Y TB KARINA'!$O34/8</f>
        <v>#REF!</v>
      </c>
      <c r="CL38" s="128" t="e">
        <f>'PROJECT TA Y TB KARINA'!$O34/8</f>
        <v>#REF!</v>
      </c>
      <c r="CM38" s="128" t="e">
        <f>'PROJECT TA Y TB KARINA'!$O34/8</f>
        <v>#REF!</v>
      </c>
      <c r="CN38" s="128" t="e">
        <f>'PROJECT TA Y TB KARINA'!$O34/8</f>
        <v>#REF!</v>
      </c>
      <c r="CO38" s="128" t="e">
        <f>'PROJECT TA Y TB KARINA'!$O34/8</f>
        <v>#REF!</v>
      </c>
      <c r="CP38" s="128" t="e">
        <f>'PROJECT TA Y TB KARINA'!$O34/8</f>
        <v>#REF!</v>
      </c>
      <c r="CQ38" s="128" t="e">
        <f>'PROJECT TA Y TB KARINA'!$O34/8</f>
        <v>#REF!</v>
      </c>
      <c r="CR38" s="128" t="e">
        <f>'PROJECT TA Y TB KARINA'!$O34/8</f>
        <v>#REF!</v>
      </c>
      <c r="CS38" s="128" t="e">
        <f>'PROJECT TA Y TB KARINA'!$P34/8</f>
        <v>#REF!</v>
      </c>
      <c r="CT38" s="128" t="e">
        <f>'PROJECT TA Y TB KARINA'!$P34/8</f>
        <v>#REF!</v>
      </c>
      <c r="CU38" s="128" t="e">
        <f>'PROJECT TA Y TB KARINA'!$P34/8</f>
        <v>#REF!</v>
      </c>
      <c r="CV38" s="128" t="e">
        <f>'PROJECT TA Y TB KARINA'!$P34/8</f>
        <v>#REF!</v>
      </c>
      <c r="CW38" s="128" t="e">
        <f>'PROJECT TA Y TB KARINA'!$P34/8</f>
        <v>#REF!</v>
      </c>
      <c r="CX38" s="128" t="e">
        <f>'PROJECT TA Y TB KARINA'!$P34/8</f>
        <v>#REF!</v>
      </c>
      <c r="CY38" s="128" t="e">
        <f>'PROJECT TA Y TB KARINA'!$P34/8</f>
        <v>#REF!</v>
      </c>
      <c r="CZ38" s="128" t="e">
        <f>'PROJECT TA Y TB KARINA'!$P34/8</f>
        <v>#REF!</v>
      </c>
      <c r="DA38" s="128" t="e">
        <f>'PROJECT TA Y TB KARINA'!$Q34/8</f>
        <v>#REF!</v>
      </c>
      <c r="DB38" s="128" t="e">
        <f>'PROJECT TA Y TB KARINA'!$Q34/8</f>
        <v>#REF!</v>
      </c>
      <c r="DC38" s="128" t="e">
        <f>'PROJECT TA Y TB KARINA'!$Q34/8</f>
        <v>#REF!</v>
      </c>
      <c r="DD38" s="128" t="e">
        <f>'PROJECT TA Y TB KARINA'!$Q34/8</f>
        <v>#REF!</v>
      </c>
      <c r="DE38" s="128" t="e">
        <f>'PROJECT TA Y TB KARINA'!$Q34/8</f>
        <v>#REF!</v>
      </c>
      <c r="DF38" s="128" t="e">
        <f>'PROJECT TA Y TB KARINA'!$Q34/8</f>
        <v>#REF!</v>
      </c>
      <c r="DG38" s="128" t="e">
        <f>'PROJECT TA Y TB KARINA'!$Q34/8</f>
        <v>#REF!</v>
      </c>
      <c r="DH38" s="128" t="e">
        <f>'PROJECT TA Y TB KARINA'!$Q34/8</f>
        <v>#REF!</v>
      </c>
      <c r="DI38" s="128" t="e">
        <f>'PROJECT TA Y TB KARINA'!$R34/8</f>
        <v>#REF!</v>
      </c>
      <c r="DJ38" s="128" t="e">
        <f>'PROJECT TA Y TB KARINA'!$R34/8</f>
        <v>#REF!</v>
      </c>
      <c r="DK38" s="128" t="e">
        <f>'PROJECT TA Y TB KARINA'!$R34/8</f>
        <v>#REF!</v>
      </c>
      <c r="DL38" s="128" t="e">
        <f>'PROJECT TA Y TB KARINA'!$R34/8</f>
        <v>#REF!</v>
      </c>
      <c r="DM38" s="128" t="e">
        <f>'PROJECT TA Y TB KARINA'!$R34/8</f>
        <v>#REF!</v>
      </c>
      <c r="DN38" s="128" t="e">
        <f>'PROJECT TA Y TB KARINA'!$R34/8</f>
        <v>#REF!</v>
      </c>
      <c r="DO38" s="128" t="e">
        <f>'PROJECT TA Y TB KARINA'!$R34/8</f>
        <v>#REF!</v>
      </c>
      <c r="DP38" s="128" t="e">
        <f>'PROJECT TA Y TB KARINA'!$R34/8</f>
        <v>#REF!</v>
      </c>
      <c r="DQ38" s="128" t="e">
        <f>'PROJECT TA Y TB KARINA'!$S34/8</f>
        <v>#REF!</v>
      </c>
      <c r="DR38" s="128" t="e">
        <f>'PROJECT TA Y TB KARINA'!$S34/8</f>
        <v>#REF!</v>
      </c>
      <c r="DS38" s="128" t="e">
        <f>'PROJECT TA Y TB KARINA'!$S34/8</f>
        <v>#REF!</v>
      </c>
      <c r="DT38" s="128" t="e">
        <f>'PROJECT TA Y TB KARINA'!$S34/8</f>
        <v>#REF!</v>
      </c>
      <c r="DU38" s="128" t="e">
        <f>'PROJECT TA Y TB KARINA'!$S34/8</f>
        <v>#REF!</v>
      </c>
      <c r="DV38" s="128" t="e">
        <f>'PROJECT TA Y TB KARINA'!$S34/8</f>
        <v>#REF!</v>
      </c>
      <c r="DW38" s="128" t="e">
        <f>'PROJECT TA Y TB KARINA'!$S34/8</f>
        <v>#REF!</v>
      </c>
      <c r="DX38" s="128" t="e">
        <f>'PROJECT TA Y TB KARINA'!$S34/8</f>
        <v>#REF!</v>
      </c>
      <c r="DY38" s="128" t="e">
        <f>'PROJECT TA Y TB KARINA'!$T34/8</f>
        <v>#REF!</v>
      </c>
      <c r="DZ38" s="128" t="e">
        <f>'PROJECT TA Y TB KARINA'!$T34/8</f>
        <v>#REF!</v>
      </c>
      <c r="EA38" s="128" t="e">
        <f>'PROJECT TA Y TB KARINA'!$T34/8</f>
        <v>#REF!</v>
      </c>
      <c r="EB38" s="128" t="e">
        <f>'PROJECT TA Y TB KARINA'!$T34/8</f>
        <v>#REF!</v>
      </c>
      <c r="EC38" s="128" t="e">
        <f>'PROJECT TA Y TB KARINA'!$T34/8</f>
        <v>#REF!</v>
      </c>
      <c r="ED38" s="128" t="e">
        <f>'PROJECT TA Y TB KARINA'!$T34/8</f>
        <v>#REF!</v>
      </c>
      <c r="EE38" s="128" t="e">
        <f>'PROJECT TA Y TB KARINA'!$T34/8</f>
        <v>#REF!</v>
      </c>
      <c r="EF38" s="128" t="e">
        <f>'PROJECT TA Y TB KARINA'!$T34/8</f>
        <v>#REF!</v>
      </c>
      <c r="EG38" s="128" t="e">
        <f>'PROJECT TA Y TB KARINA'!#REF!/8</f>
        <v>#REF!</v>
      </c>
      <c r="EH38" s="128" t="e">
        <f>'PROJECT TA Y TB KARINA'!#REF!/8</f>
        <v>#REF!</v>
      </c>
      <c r="EI38" s="128" t="e">
        <f>'PROJECT TA Y TB KARINA'!#REF!/8</f>
        <v>#REF!</v>
      </c>
      <c r="EJ38" s="128" t="e">
        <f>'PROJECT TA Y TB KARINA'!#REF!/8</f>
        <v>#REF!</v>
      </c>
      <c r="EK38" s="128" t="e">
        <f>'PROJECT TA Y TB KARINA'!#REF!/8</f>
        <v>#REF!</v>
      </c>
      <c r="EL38" s="128" t="e">
        <f>'PROJECT TA Y TB KARINA'!#REF!/8</f>
        <v>#REF!</v>
      </c>
      <c r="EM38" s="128" t="e">
        <f>'PROJECT TA Y TB KARINA'!#REF!/8</f>
        <v>#REF!</v>
      </c>
      <c r="EN38" s="128" t="e">
        <f>'PROJECT TA Y TB KARINA'!#REF!/8</f>
        <v>#REF!</v>
      </c>
      <c r="EO38" s="128">
        <f>'PROJECT TA Y TB KARINA'!$C92/8</f>
        <v>0</v>
      </c>
      <c r="EP38" s="128">
        <f>'PROJECT TA Y TB KARINA'!$C92/8</f>
        <v>0</v>
      </c>
      <c r="EQ38" s="128">
        <f>'PROJECT TA Y TB KARINA'!$C92/8</f>
        <v>0</v>
      </c>
      <c r="ER38" s="128">
        <f>'PROJECT TA Y TB KARINA'!$C92/8</f>
        <v>0</v>
      </c>
      <c r="ES38" s="128">
        <f>'PROJECT TA Y TB KARINA'!$C92/8</f>
        <v>0</v>
      </c>
      <c r="ET38" s="128">
        <f>'PROJECT TA Y TB KARINA'!$C92/8</f>
        <v>0</v>
      </c>
      <c r="EU38" s="128">
        <f>'PROJECT TA Y TB KARINA'!$C92/8</f>
        <v>0</v>
      </c>
      <c r="EV38" s="128">
        <f>'PROJECT TA Y TB KARINA'!$E92/8</f>
        <v>0</v>
      </c>
      <c r="EW38" s="128">
        <f>'PROJECT TA Y TB KARINA'!$E92/8</f>
        <v>0</v>
      </c>
      <c r="EX38" s="128">
        <f>'PROJECT TA Y TB KARINA'!$E92/8</f>
        <v>0</v>
      </c>
      <c r="EY38" s="128">
        <f>'PROJECT TA Y TB KARINA'!$E92/8</f>
        <v>0</v>
      </c>
      <c r="EZ38" s="128">
        <f>'PROJECT TA Y TB KARINA'!$E92/8</f>
        <v>0</v>
      </c>
      <c r="FA38" s="128">
        <f>'PROJECT TA Y TB KARINA'!$E92/8</f>
        <v>0</v>
      </c>
      <c r="FB38" s="128">
        <f>'PROJECT TA Y TB KARINA'!$E92/8</f>
        <v>0</v>
      </c>
      <c r="FC38" s="128">
        <f>'PROJECT TA Y TB KARINA'!$E92/8</f>
        <v>0</v>
      </c>
      <c r="FD38" s="128">
        <f>'PROJECT TA Y TB KARINA'!$F92/8</f>
        <v>0</v>
      </c>
      <c r="FE38" s="128">
        <f>'PROJECT TA Y TB KARINA'!$F92/8</f>
        <v>0</v>
      </c>
      <c r="FF38" s="128">
        <f>'PROJECT TA Y TB KARINA'!$F92/8</f>
        <v>0</v>
      </c>
      <c r="FG38" s="128">
        <f>'PROJECT TA Y TB KARINA'!$F92/8</f>
        <v>0</v>
      </c>
      <c r="FH38" s="128">
        <f>'PROJECT TA Y TB KARINA'!$F92/8</f>
        <v>0</v>
      </c>
      <c r="FI38" s="128">
        <f>'PROJECT TA Y TB KARINA'!$F92/8</f>
        <v>0</v>
      </c>
      <c r="FJ38" s="128">
        <f>'PROJECT TA Y TB KARINA'!$F92/8</f>
        <v>0</v>
      </c>
      <c r="FK38" s="128">
        <f>'PROJECT TA Y TB KARINA'!$F92/8</f>
        <v>0</v>
      </c>
      <c r="FL38" s="128">
        <f>'PROJECT TA Y TB KARINA'!$G92/8</f>
        <v>0</v>
      </c>
      <c r="FM38" s="128">
        <f>'PROJECT TA Y TB KARINA'!$G92/8</f>
        <v>0</v>
      </c>
      <c r="FN38" s="128">
        <f>'PROJECT TA Y TB KARINA'!$G92/8</f>
        <v>0</v>
      </c>
      <c r="FO38" s="128">
        <f>'PROJECT TA Y TB KARINA'!$G92/8</f>
        <v>0</v>
      </c>
      <c r="FP38" s="128">
        <f>'PROJECT TA Y TB KARINA'!$G92/8</f>
        <v>0</v>
      </c>
      <c r="FQ38" s="128">
        <f>'PROJECT TA Y TB KARINA'!$G92/8</f>
        <v>0</v>
      </c>
      <c r="FR38" s="128">
        <f>'PROJECT TA Y TB KARINA'!$G92/8</f>
        <v>0</v>
      </c>
      <c r="FS38" s="128">
        <f>'PROJECT TA Y TB KARINA'!$G92/8</f>
        <v>0</v>
      </c>
      <c r="FT38" s="128">
        <f>'PROJECT TA Y TB KARINA'!$H92/8</f>
        <v>0</v>
      </c>
      <c r="FU38" s="128">
        <f>'PROJECT TA Y TB KARINA'!$H92/8</f>
        <v>0</v>
      </c>
      <c r="FV38" s="128">
        <f>'PROJECT TA Y TB KARINA'!$H92/8</f>
        <v>0</v>
      </c>
      <c r="FW38" s="128">
        <f>'PROJECT TA Y TB KARINA'!$H92/8</f>
        <v>0</v>
      </c>
      <c r="FX38" s="128">
        <f>'PROJECT TA Y TB KARINA'!$H92/8</f>
        <v>0</v>
      </c>
      <c r="FY38" s="128">
        <f>'PROJECT TA Y TB KARINA'!$H92/8</f>
        <v>0</v>
      </c>
      <c r="FZ38" s="128">
        <f>'PROJECT TA Y TB KARINA'!$H92/8</f>
        <v>0</v>
      </c>
      <c r="GA38" s="128">
        <f>'PROJECT TA Y TB KARINA'!$H92/8</f>
        <v>0</v>
      </c>
      <c r="GB38" s="128">
        <f>'PROJECT TA Y TB KARINA'!$I92/8</f>
        <v>0</v>
      </c>
      <c r="GC38" s="128">
        <f>'PROJECT TA Y TB KARINA'!$I92/8</f>
        <v>0</v>
      </c>
      <c r="GD38" s="128">
        <f>'PROJECT TA Y TB KARINA'!$I92/8</f>
        <v>0</v>
      </c>
      <c r="GE38" s="128">
        <f>'PROJECT TA Y TB KARINA'!$I92/8</f>
        <v>0</v>
      </c>
      <c r="GF38" s="128">
        <f>'PROJECT TA Y TB KARINA'!$I92/8</f>
        <v>0</v>
      </c>
      <c r="GG38" s="128">
        <f>'PROJECT TA Y TB KARINA'!$I92/8</f>
        <v>0</v>
      </c>
      <c r="GH38" s="128">
        <f>'PROJECT TA Y TB KARINA'!$I92/8</f>
        <v>0</v>
      </c>
      <c r="GI38" s="128">
        <f>'PROJECT TA Y TB KARINA'!$I92/8</f>
        <v>0</v>
      </c>
      <c r="GJ38" s="128">
        <f>'PROJECT TA Y TB KARINA'!$J92/8</f>
        <v>0</v>
      </c>
      <c r="GK38" s="128">
        <f>'PROJECT TA Y TB KARINA'!$J92/8</f>
        <v>0</v>
      </c>
      <c r="GL38" s="128">
        <f>'PROJECT TA Y TB KARINA'!$J92/8</f>
        <v>0</v>
      </c>
      <c r="GM38" s="128">
        <f>'PROJECT TA Y TB KARINA'!$J92/8</f>
        <v>0</v>
      </c>
      <c r="GN38" s="128">
        <f>'PROJECT TA Y TB KARINA'!$J92/8</f>
        <v>0</v>
      </c>
      <c r="GO38" s="128">
        <f>'PROJECT TA Y TB KARINA'!$J92/8</f>
        <v>0</v>
      </c>
      <c r="GP38" s="128">
        <f>'PROJECT TA Y TB KARINA'!$J92/8</f>
        <v>0</v>
      </c>
      <c r="GQ38" s="128">
        <f>'PROJECT TA Y TB KARINA'!$J92/8</f>
        <v>0</v>
      </c>
      <c r="GR38" s="128">
        <f>'PROJECT TA Y TB KARINA'!$K92/8</f>
        <v>0</v>
      </c>
      <c r="GS38" s="128">
        <f>'PROJECT TA Y TB KARINA'!$K92/8</f>
        <v>0</v>
      </c>
      <c r="GT38" s="128">
        <f>'PROJECT TA Y TB KARINA'!$K92/8</f>
        <v>0</v>
      </c>
      <c r="GU38" s="128">
        <f>'PROJECT TA Y TB KARINA'!$K92/8</f>
        <v>0</v>
      </c>
      <c r="GV38" s="128">
        <f>'PROJECT TA Y TB KARINA'!$K92/8</f>
        <v>0</v>
      </c>
      <c r="GW38" s="128">
        <f>'PROJECT TA Y TB KARINA'!$K92/8</f>
        <v>0</v>
      </c>
      <c r="GX38" s="128">
        <f>'PROJECT TA Y TB KARINA'!$K92/8</f>
        <v>0</v>
      </c>
      <c r="GY38" s="128">
        <f>'PROJECT TA Y TB KARINA'!$K92/8</f>
        <v>0</v>
      </c>
      <c r="GZ38" s="128">
        <f>'PROJECT TA Y TB KARINA'!$L92/8</f>
        <v>0</v>
      </c>
      <c r="HA38" s="128">
        <f>'PROJECT TA Y TB KARINA'!$L92/8</f>
        <v>0</v>
      </c>
      <c r="HB38" s="128">
        <f>'PROJECT TA Y TB KARINA'!$L92/8</f>
        <v>0</v>
      </c>
      <c r="HC38" s="128">
        <f>'PROJECT TA Y TB KARINA'!$L92/8</f>
        <v>0</v>
      </c>
      <c r="HD38" s="128">
        <f>'PROJECT TA Y TB KARINA'!$L92/8</f>
        <v>0</v>
      </c>
      <c r="HE38" s="128">
        <f>'PROJECT TA Y TB KARINA'!$L92/8</f>
        <v>0</v>
      </c>
      <c r="HF38" s="128">
        <f>'PROJECT TA Y TB KARINA'!$L92/8</f>
        <v>0</v>
      </c>
      <c r="HG38" s="128">
        <f>'PROJECT TA Y TB KARINA'!$L92/8</f>
        <v>0</v>
      </c>
      <c r="HH38" s="128">
        <f>'PROJECT TA Y TB KARINA'!$M92/8</f>
        <v>0</v>
      </c>
      <c r="HI38" s="128">
        <f>'PROJECT TA Y TB KARINA'!$M92/8</f>
        <v>0</v>
      </c>
      <c r="HJ38" s="128">
        <f>'PROJECT TA Y TB KARINA'!$M92/8</f>
        <v>0</v>
      </c>
      <c r="HK38" s="128">
        <f>'PROJECT TA Y TB KARINA'!$M92/8</f>
        <v>0</v>
      </c>
      <c r="HL38" s="128">
        <f>'PROJECT TA Y TB KARINA'!$M92/8</f>
        <v>0</v>
      </c>
      <c r="HM38" s="128">
        <f>'PROJECT TA Y TB KARINA'!$M92/8</f>
        <v>0</v>
      </c>
      <c r="HN38" s="128">
        <f>'PROJECT TA Y TB KARINA'!$M92/8</f>
        <v>0</v>
      </c>
      <c r="HO38" s="128">
        <f>'PROJECT TA Y TB KARINA'!$M92/8</f>
        <v>0</v>
      </c>
      <c r="HP38" s="128">
        <f>'PROJECT TA Y TB KARINA'!$N92/8</f>
        <v>0</v>
      </c>
      <c r="HQ38" s="128">
        <f>'PROJECT TA Y TB KARINA'!$N92/8</f>
        <v>0</v>
      </c>
      <c r="HR38" s="128">
        <f>'PROJECT TA Y TB KARINA'!$N92/8</f>
        <v>0</v>
      </c>
      <c r="HS38" s="128">
        <f>'PROJECT TA Y TB KARINA'!$N92/8</f>
        <v>0</v>
      </c>
      <c r="HT38" s="128">
        <f>'PROJECT TA Y TB KARINA'!$N92/8</f>
        <v>0</v>
      </c>
      <c r="HU38" s="128">
        <f>'PROJECT TA Y TB KARINA'!$N92/8</f>
        <v>0</v>
      </c>
      <c r="HV38" s="128">
        <f>'PROJECT TA Y TB KARINA'!$N92/8</f>
        <v>0</v>
      </c>
      <c r="HW38" s="128">
        <f>'PROJECT TA Y TB KARINA'!$N92/8</f>
        <v>0</v>
      </c>
      <c r="HX38" s="128">
        <f>'PROJECT TA Y TB KARINA'!$O92/8</f>
        <v>0</v>
      </c>
      <c r="HY38" s="128">
        <f>'PROJECT TA Y TB KARINA'!$O92/8</f>
        <v>0</v>
      </c>
      <c r="HZ38" s="128">
        <f>'PROJECT TA Y TB KARINA'!$O92/8</f>
        <v>0</v>
      </c>
      <c r="IA38" s="128">
        <f>'PROJECT TA Y TB KARINA'!$O92/8</f>
        <v>0</v>
      </c>
      <c r="IB38" s="128">
        <f>'PROJECT TA Y TB KARINA'!$O92/8</f>
        <v>0</v>
      </c>
      <c r="IC38" s="128">
        <f>'PROJECT TA Y TB KARINA'!$O92/8</f>
        <v>0</v>
      </c>
      <c r="ID38" s="128">
        <f>'PROJECT TA Y TB KARINA'!$O92/8</f>
        <v>0</v>
      </c>
      <c r="IE38" s="128">
        <f>'PROJECT TA Y TB KARINA'!$O92/8</f>
        <v>0</v>
      </c>
      <c r="IF38" s="128">
        <f>'PROJECT TA Y TB KARINA'!$P92/8</f>
        <v>0</v>
      </c>
      <c r="IG38" s="128">
        <f>'PROJECT TA Y TB KARINA'!$P92/8</f>
        <v>0</v>
      </c>
      <c r="IH38" s="128">
        <f>'PROJECT TA Y TB KARINA'!$P92/8</f>
        <v>0</v>
      </c>
      <c r="II38" s="128">
        <f>'PROJECT TA Y TB KARINA'!$P92/8</f>
        <v>0</v>
      </c>
      <c r="IJ38" s="128">
        <f>'PROJECT TA Y TB KARINA'!$P92/8</f>
        <v>0</v>
      </c>
      <c r="IK38" s="128">
        <f>'PROJECT TA Y TB KARINA'!$P92/8</f>
        <v>0</v>
      </c>
      <c r="IL38" s="128">
        <f>'PROJECT TA Y TB KARINA'!$P92/8</f>
        <v>0</v>
      </c>
      <c r="IM38" s="128">
        <f>'PROJECT TA Y TB KARINA'!$P92/8</f>
        <v>0</v>
      </c>
      <c r="IN38" s="128">
        <f>'PROJECT TA Y TB KARINA'!$Q92/8</f>
        <v>0</v>
      </c>
      <c r="IO38" s="128">
        <f>'PROJECT TA Y TB KARINA'!$Q92/8</f>
        <v>0</v>
      </c>
      <c r="IP38" s="128">
        <f>'PROJECT TA Y TB KARINA'!$Q92/8</f>
        <v>0</v>
      </c>
      <c r="IQ38" s="128">
        <f>'PROJECT TA Y TB KARINA'!$Q92/8</f>
        <v>0</v>
      </c>
      <c r="IR38" s="128">
        <f>'PROJECT TA Y TB KARINA'!$Q92/8</f>
        <v>0</v>
      </c>
      <c r="IS38" s="128">
        <f>'PROJECT TA Y TB KARINA'!$Q92/8</f>
        <v>0</v>
      </c>
      <c r="IT38" s="128">
        <f>'PROJECT TA Y TB KARINA'!$Q92/8</f>
        <v>0</v>
      </c>
      <c r="IU38" s="128">
        <f>'PROJECT TA Y TB KARINA'!$Q92/8</f>
        <v>0</v>
      </c>
      <c r="IV38" s="128">
        <f>'PROJECT TA Y TB KARINA'!$R92/8</f>
        <v>0</v>
      </c>
      <c r="IW38" s="128">
        <f>'PROJECT TA Y TB KARINA'!$R92/8</f>
        <v>0</v>
      </c>
      <c r="IX38" s="128">
        <f>'PROJECT TA Y TB KARINA'!$R92/8</f>
        <v>0</v>
      </c>
      <c r="IY38" s="128">
        <f>'PROJECT TA Y TB KARINA'!$R92/8</f>
        <v>0</v>
      </c>
      <c r="IZ38" s="128">
        <f>'PROJECT TA Y TB KARINA'!$R92/8</f>
        <v>0</v>
      </c>
      <c r="JA38" s="128">
        <f>'PROJECT TA Y TB KARINA'!$R92/8</f>
        <v>0</v>
      </c>
      <c r="JB38" s="128">
        <f>'PROJECT TA Y TB KARINA'!$R92/8</f>
        <v>0</v>
      </c>
      <c r="JC38" s="128">
        <f>'PROJECT TA Y TB KARINA'!$R92/8</f>
        <v>0</v>
      </c>
      <c r="JD38" s="128">
        <f>'PROJECT TA Y TB KARINA'!$S92/8</f>
        <v>0</v>
      </c>
      <c r="JE38" s="128">
        <f>'PROJECT TA Y TB KARINA'!$S92/8</f>
        <v>0</v>
      </c>
      <c r="JF38" s="128">
        <f>'PROJECT TA Y TB KARINA'!$S92/8</f>
        <v>0</v>
      </c>
      <c r="JG38" s="128">
        <f>'PROJECT TA Y TB KARINA'!$S92/8</f>
        <v>0</v>
      </c>
      <c r="JH38" s="128">
        <f>'PROJECT TA Y TB KARINA'!$S92/8</f>
        <v>0</v>
      </c>
      <c r="JI38" s="128">
        <f>'PROJECT TA Y TB KARINA'!$S92/8</f>
        <v>0</v>
      </c>
      <c r="JJ38" s="128">
        <f>'PROJECT TA Y TB KARINA'!$S92/8</f>
        <v>0</v>
      </c>
      <c r="JK38" s="128">
        <f>'PROJECT TA Y TB KARINA'!$S92/8</f>
        <v>0</v>
      </c>
      <c r="JL38" s="128">
        <f>'PROJECT TA Y TB KARINA'!$T92/8</f>
        <v>0</v>
      </c>
      <c r="JM38" s="128">
        <f>'PROJECT TA Y TB KARINA'!$T92/8</f>
        <v>0</v>
      </c>
      <c r="JN38" s="128">
        <f>'PROJECT TA Y TB KARINA'!$T92/8</f>
        <v>0</v>
      </c>
      <c r="JO38" s="128">
        <f>'PROJECT TA Y TB KARINA'!$T92/8</f>
        <v>0</v>
      </c>
      <c r="JP38" s="128">
        <f>'PROJECT TA Y TB KARINA'!$T92/8</f>
        <v>0</v>
      </c>
      <c r="JQ38" s="128">
        <f>'PROJECT TA Y TB KARINA'!$T92/8</f>
        <v>0</v>
      </c>
      <c r="JR38" s="128">
        <f>'PROJECT TA Y TB KARINA'!$T92/8</f>
        <v>0</v>
      </c>
      <c r="JS38" s="128">
        <f>'PROJECT TA Y TB KARINA'!$T92/8</f>
        <v>0</v>
      </c>
      <c r="JT38" s="128" t="e">
        <f>'PROJECT TA Y TB KARINA'!#REF!/8</f>
        <v>#REF!</v>
      </c>
      <c r="JU38" s="128" t="e">
        <f>'PROJECT TA Y TB KARINA'!#REF!/8</f>
        <v>#REF!</v>
      </c>
      <c r="JV38" s="128" t="e">
        <f>'PROJECT TA Y TB KARINA'!#REF!/8</f>
        <v>#REF!</v>
      </c>
      <c r="JW38" s="128" t="e">
        <f>'PROJECT TA Y TB KARINA'!#REF!/8</f>
        <v>#REF!</v>
      </c>
      <c r="JX38" s="128" t="e">
        <f>'PROJECT TA Y TB KARINA'!#REF!/8</f>
        <v>#REF!</v>
      </c>
      <c r="JY38" s="128" t="e">
        <f>'PROJECT TA Y TB KARINA'!#REF!/8</f>
        <v>#REF!</v>
      </c>
      <c r="JZ38" s="128" t="e">
        <f>'PROJECT TA Y TB KARINA'!#REF!/8</f>
        <v>#REF!</v>
      </c>
      <c r="KA38" s="128" t="e">
        <f>'PROJECT TA Y TB KARINA'!#REF!/8</f>
        <v>#REF!</v>
      </c>
    </row>
    <row r="39" spans="1:287" ht="21">
      <c r="A39" s="130" t="s">
        <v>492</v>
      </c>
      <c r="B39" s="128" t="e">
        <f>'PROJECT TA Y TB KARINA'!$C$35/8</f>
        <v>#REF!</v>
      </c>
      <c r="C39" s="128" t="e">
        <f>'PROJECT TA Y TB KARINA'!$C$35/8</f>
        <v>#REF!</v>
      </c>
      <c r="D39" s="128" t="e">
        <f>'PROJECT TA Y TB KARINA'!$C$35/8</f>
        <v>#REF!</v>
      </c>
      <c r="E39" s="128" t="e">
        <f>'PROJECT TA Y TB KARINA'!$C$35/8</f>
        <v>#REF!</v>
      </c>
      <c r="F39" s="128" t="e">
        <f>'PROJECT TA Y TB KARINA'!$C$35/8</f>
        <v>#REF!</v>
      </c>
      <c r="G39" s="128" t="e">
        <f>'PROJECT TA Y TB KARINA'!$C$35/8</f>
        <v>#REF!</v>
      </c>
      <c r="H39" s="128" t="e">
        <f>'PROJECT TA Y TB KARINA'!$C$35/8</f>
        <v>#REF!</v>
      </c>
      <c r="I39" s="128" t="e">
        <f>'PROJECT TA Y TB KARINA'!$E35/8</f>
        <v>#REF!</v>
      </c>
      <c r="J39" s="128" t="e">
        <f>'PROJECT TA Y TB KARINA'!$E35/8</f>
        <v>#REF!</v>
      </c>
      <c r="K39" s="128" t="e">
        <f>'PROJECT TA Y TB KARINA'!$E35/8</f>
        <v>#REF!</v>
      </c>
      <c r="L39" s="128" t="e">
        <f>'PROJECT TA Y TB KARINA'!$E35/8</f>
        <v>#REF!</v>
      </c>
      <c r="M39" s="128" t="e">
        <f>'PROJECT TA Y TB KARINA'!$E35/8</f>
        <v>#REF!</v>
      </c>
      <c r="N39" s="128" t="e">
        <f>'PROJECT TA Y TB KARINA'!$E35/8</f>
        <v>#REF!</v>
      </c>
      <c r="O39" s="128" t="e">
        <f>'PROJECT TA Y TB KARINA'!$E35/8</f>
        <v>#REF!</v>
      </c>
      <c r="P39" s="128" t="e">
        <f>'PROJECT TA Y TB KARINA'!$E35/8</f>
        <v>#REF!</v>
      </c>
      <c r="Q39" s="128" t="e">
        <f>'PROJECT TA Y TB KARINA'!$F35/8</f>
        <v>#REF!</v>
      </c>
      <c r="R39" s="128" t="e">
        <f>'PROJECT TA Y TB KARINA'!$F35/8</f>
        <v>#REF!</v>
      </c>
      <c r="S39" s="128" t="e">
        <f>'PROJECT TA Y TB KARINA'!$F35/8</f>
        <v>#REF!</v>
      </c>
      <c r="T39" s="128" t="e">
        <f>'PROJECT TA Y TB KARINA'!$F35/8</f>
        <v>#REF!</v>
      </c>
      <c r="U39" s="128" t="e">
        <f>'PROJECT TA Y TB KARINA'!$F35/8</f>
        <v>#REF!</v>
      </c>
      <c r="V39" s="128" t="e">
        <f>'PROJECT TA Y TB KARINA'!$F35/8</f>
        <v>#REF!</v>
      </c>
      <c r="W39" s="128" t="e">
        <f>'PROJECT TA Y TB KARINA'!$F35/8</f>
        <v>#REF!</v>
      </c>
      <c r="X39" s="128" t="e">
        <f>'PROJECT TA Y TB KARINA'!$F35/8</f>
        <v>#REF!</v>
      </c>
      <c r="Y39" s="128" t="e">
        <f>'PROJECT TA Y TB KARINA'!$G35/8</f>
        <v>#REF!</v>
      </c>
      <c r="Z39" s="128" t="e">
        <f>'PROJECT TA Y TB KARINA'!$G35/8</f>
        <v>#REF!</v>
      </c>
      <c r="AA39" s="128" t="e">
        <f>'PROJECT TA Y TB KARINA'!$G35/8</f>
        <v>#REF!</v>
      </c>
      <c r="AB39" s="128" t="e">
        <f>'PROJECT TA Y TB KARINA'!$G35/8</f>
        <v>#REF!</v>
      </c>
      <c r="AC39" s="128" t="e">
        <f>'PROJECT TA Y TB KARINA'!$G35/8</f>
        <v>#REF!</v>
      </c>
      <c r="AD39" s="128" t="e">
        <f>'PROJECT TA Y TB KARINA'!$G35/8</f>
        <v>#REF!</v>
      </c>
      <c r="AE39" s="128" t="e">
        <f>'PROJECT TA Y TB KARINA'!$G35/8</f>
        <v>#REF!</v>
      </c>
      <c r="AF39" s="128" t="e">
        <f>'PROJECT TA Y TB KARINA'!$G35/8</f>
        <v>#REF!</v>
      </c>
      <c r="AG39" s="128" t="e">
        <f>'PROJECT TA Y TB KARINA'!$H35/8</f>
        <v>#REF!</v>
      </c>
      <c r="AH39" s="128" t="e">
        <f>'PROJECT TA Y TB KARINA'!$H35/8</f>
        <v>#REF!</v>
      </c>
      <c r="AI39" s="128" t="e">
        <f>'PROJECT TA Y TB KARINA'!$H35/8</f>
        <v>#REF!</v>
      </c>
      <c r="AJ39" s="128" t="e">
        <f>'PROJECT TA Y TB KARINA'!$H35/8</f>
        <v>#REF!</v>
      </c>
      <c r="AK39" s="128" t="e">
        <f>'PROJECT TA Y TB KARINA'!$H35/8</f>
        <v>#REF!</v>
      </c>
      <c r="AL39" s="128" t="e">
        <f>'PROJECT TA Y TB KARINA'!$H35/8</f>
        <v>#REF!</v>
      </c>
      <c r="AM39" s="128" t="e">
        <f>'PROJECT TA Y TB KARINA'!$H35/8</f>
        <v>#REF!</v>
      </c>
      <c r="AN39" s="128" t="e">
        <f>'PROJECT TA Y TB KARINA'!$H35/8</f>
        <v>#REF!</v>
      </c>
      <c r="AO39" s="128" t="e">
        <f>'PROJECT TA Y TB KARINA'!$I35/8</f>
        <v>#REF!</v>
      </c>
      <c r="AP39" s="128" t="e">
        <f>'PROJECT TA Y TB KARINA'!$I35/8</f>
        <v>#REF!</v>
      </c>
      <c r="AQ39" s="128" t="e">
        <f>'PROJECT TA Y TB KARINA'!$I35/8</f>
        <v>#REF!</v>
      </c>
      <c r="AR39" s="128" t="e">
        <f>'PROJECT TA Y TB KARINA'!$I35/8</f>
        <v>#REF!</v>
      </c>
      <c r="AS39" s="128" t="e">
        <f>'PROJECT TA Y TB KARINA'!$I35/8</f>
        <v>#REF!</v>
      </c>
      <c r="AT39" s="128" t="e">
        <f>'PROJECT TA Y TB KARINA'!$I35/8</f>
        <v>#REF!</v>
      </c>
      <c r="AU39" s="128" t="e">
        <f>'PROJECT TA Y TB KARINA'!$I35/8</f>
        <v>#REF!</v>
      </c>
      <c r="AV39" s="128" t="e">
        <f>'PROJECT TA Y TB KARINA'!$I35/8</f>
        <v>#REF!</v>
      </c>
      <c r="AW39" s="128" t="e">
        <f>'PROJECT TA Y TB KARINA'!$J35/8</f>
        <v>#REF!</v>
      </c>
      <c r="AX39" s="128" t="e">
        <f>'PROJECT TA Y TB KARINA'!$J35/8</f>
        <v>#REF!</v>
      </c>
      <c r="AY39" s="128" t="e">
        <f>'PROJECT TA Y TB KARINA'!$J35/8</f>
        <v>#REF!</v>
      </c>
      <c r="AZ39" s="128" t="e">
        <f>'PROJECT TA Y TB KARINA'!$J35/8</f>
        <v>#REF!</v>
      </c>
      <c r="BA39" s="128" t="e">
        <f>'PROJECT TA Y TB KARINA'!$J35/8</f>
        <v>#REF!</v>
      </c>
      <c r="BB39" s="128" t="e">
        <f>'PROJECT TA Y TB KARINA'!$J35/8</f>
        <v>#REF!</v>
      </c>
      <c r="BC39" s="128" t="e">
        <f>'PROJECT TA Y TB KARINA'!$J35/8</f>
        <v>#REF!</v>
      </c>
      <c r="BD39" s="128" t="e">
        <f>'PROJECT TA Y TB KARINA'!$J35/8</f>
        <v>#REF!</v>
      </c>
      <c r="BE39" s="128" t="e">
        <f>'PROJECT TA Y TB KARINA'!$K35/8</f>
        <v>#REF!</v>
      </c>
      <c r="BF39" s="128" t="e">
        <f>'PROJECT TA Y TB KARINA'!$K35/8</f>
        <v>#REF!</v>
      </c>
      <c r="BG39" s="128" t="e">
        <f>'PROJECT TA Y TB KARINA'!$K35/8</f>
        <v>#REF!</v>
      </c>
      <c r="BH39" s="128" t="e">
        <f>'PROJECT TA Y TB KARINA'!$K35/8</f>
        <v>#REF!</v>
      </c>
      <c r="BI39" s="128" t="e">
        <f>'PROJECT TA Y TB KARINA'!$K35/8</f>
        <v>#REF!</v>
      </c>
      <c r="BJ39" s="128" t="e">
        <f>'PROJECT TA Y TB KARINA'!$K35/8</f>
        <v>#REF!</v>
      </c>
      <c r="BK39" s="128" t="e">
        <f>'PROJECT TA Y TB KARINA'!$K35/8</f>
        <v>#REF!</v>
      </c>
      <c r="BL39" s="128" t="e">
        <f>'PROJECT TA Y TB KARINA'!$K35/8</f>
        <v>#REF!</v>
      </c>
      <c r="BM39" s="128" t="e">
        <f>'PROJECT TA Y TB KARINA'!$L35/8</f>
        <v>#REF!</v>
      </c>
      <c r="BN39" s="128" t="e">
        <f>'PROJECT TA Y TB KARINA'!$L35/8</f>
        <v>#REF!</v>
      </c>
      <c r="BO39" s="128" t="e">
        <f>'PROJECT TA Y TB KARINA'!$L35/8</f>
        <v>#REF!</v>
      </c>
      <c r="BP39" s="128" t="e">
        <f>'PROJECT TA Y TB KARINA'!$L35/8</f>
        <v>#REF!</v>
      </c>
      <c r="BQ39" s="128" t="e">
        <f>'PROJECT TA Y TB KARINA'!$L35/8</f>
        <v>#REF!</v>
      </c>
      <c r="BR39" s="128" t="e">
        <f>'PROJECT TA Y TB KARINA'!$L35/8</f>
        <v>#REF!</v>
      </c>
      <c r="BS39" s="128" t="e">
        <f>'PROJECT TA Y TB KARINA'!$L35/8</f>
        <v>#REF!</v>
      </c>
      <c r="BT39" s="128" t="e">
        <f>'PROJECT TA Y TB KARINA'!$L35/8</f>
        <v>#REF!</v>
      </c>
      <c r="BU39" s="128" t="e">
        <f>'PROJECT TA Y TB KARINA'!$M35/8</f>
        <v>#REF!</v>
      </c>
      <c r="BV39" s="128" t="e">
        <f>'PROJECT TA Y TB KARINA'!$M35/8</f>
        <v>#REF!</v>
      </c>
      <c r="BW39" s="128" t="e">
        <f>'PROJECT TA Y TB KARINA'!$M35/8</f>
        <v>#REF!</v>
      </c>
      <c r="BX39" s="128" t="e">
        <f>'PROJECT TA Y TB KARINA'!$M35/8</f>
        <v>#REF!</v>
      </c>
      <c r="BY39" s="128" t="e">
        <f>'PROJECT TA Y TB KARINA'!$M35/8</f>
        <v>#REF!</v>
      </c>
      <c r="BZ39" s="128" t="e">
        <f>'PROJECT TA Y TB KARINA'!$M35/8</f>
        <v>#REF!</v>
      </c>
      <c r="CA39" s="128" t="e">
        <f>'PROJECT TA Y TB KARINA'!$M35/8</f>
        <v>#REF!</v>
      </c>
      <c r="CB39" s="128" t="e">
        <f>'PROJECT TA Y TB KARINA'!$M35/8</f>
        <v>#REF!</v>
      </c>
      <c r="CC39" s="128" t="e">
        <f>'PROJECT TA Y TB KARINA'!$N35/8</f>
        <v>#REF!</v>
      </c>
      <c r="CD39" s="128" t="e">
        <f>'PROJECT TA Y TB KARINA'!$N35/8</f>
        <v>#REF!</v>
      </c>
      <c r="CE39" s="128" t="e">
        <f>'PROJECT TA Y TB KARINA'!$N35/8</f>
        <v>#REF!</v>
      </c>
      <c r="CF39" s="128" t="e">
        <f>'PROJECT TA Y TB KARINA'!$N35/8</f>
        <v>#REF!</v>
      </c>
      <c r="CG39" s="128" t="e">
        <f>'PROJECT TA Y TB KARINA'!$N35/8</f>
        <v>#REF!</v>
      </c>
      <c r="CH39" s="128" t="e">
        <f>'PROJECT TA Y TB KARINA'!$N35/8</f>
        <v>#REF!</v>
      </c>
      <c r="CI39" s="128" t="e">
        <f>'PROJECT TA Y TB KARINA'!$N35/8</f>
        <v>#REF!</v>
      </c>
      <c r="CJ39" s="128" t="e">
        <f>'PROJECT TA Y TB KARINA'!$N35/8</f>
        <v>#REF!</v>
      </c>
      <c r="CK39" s="128" t="e">
        <f>'PROJECT TA Y TB KARINA'!$O35/8</f>
        <v>#REF!</v>
      </c>
      <c r="CL39" s="128" t="e">
        <f>'PROJECT TA Y TB KARINA'!$O35/8</f>
        <v>#REF!</v>
      </c>
      <c r="CM39" s="128" t="e">
        <f>'PROJECT TA Y TB KARINA'!$O35/8</f>
        <v>#REF!</v>
      </c>
      <c r="CN39" s="128" t="e">
        <f>'PROJECT TA Y TB KARINA'!$O35/8</f>
        <v>#REF!</v>
      </c>
      <c r="CO39" s="128" t="e">
        <f>'PROJECT TA Y TB KARINA'!$O35/8</f>
        <v>#REF!</v>
      </c>
      <c r="CP39" s="128" t="e">
        <f>'PROJECT TA Y TB KARINA'!$O35/8</f>
        <v>#REF!</v>
      </c>
      <c r="CQ39" s="128" t="e">
        <f>'PROJECT TA Y TB KARINA'!$O35/8</f>
        <v>#REF!</v>
      </c>
      <c r="CR39" s="128" t="e">
        <f>'PROJECT TA Y TB KARINA'!$O35/8</f>
        <v>#REF!</v>
      </c>
      <c r="CS39" s="128" t="e">
        <f>'PROJECT TA Y TB KARINA'!$P35/8</f>
        <v>#REF!</v>
      </c>
      <c r="CT39" s="128" t="e">
        <f>'PROJECT TA Y TB KARINA'!$P35/8</f>
        <v>#REF!</v>
      </c>
      <c r="CU39" s="128" t="e">
        <f>'PROJECT TA Y TB KARINA'!$P35/8</f>
        <v>#REF!</v>
      </c>
      <c r="CV39" s="128" t="e">
        <f>'PROJECT TA Y TB KARINA'!$P35/8</f>
        <v>#REF!</v>
      </c>
      <c r="CW39" s="128" t="e">
        <f>'PROJECT TA Y TB KARINA'!$P35/8</f>
        <v>#REF!</v>
      </c>
      <c r="CX39" s="128" t="e">
        <f>'PROJECT TA Y TB KARINA'!$P35/8</f>
        <v>#REF!</v>
      </c>
      <c r="CY39" s="128" t="e">
        <f>'PROJECT TA Y TB KARINA'!$P35/8</f>
        <v>#REF!</v>
      </c>
      <c r="CZ39" s="128" t="e">
        <f>'PROJECT TA Y TB KARINA'!$P35/8</f>
        <v>#REF!</v>
      </c>
      <c r="DA39" s="128" t="e">
        <f>'PROJECT TA Y TB KARINA'!$Q35/8</f>
        <v>#REF!</v>
      </c>
      <c r="DB39" s="128" t="e">
        <f>'PROJECT TA Y TB KARINA'!$Q35/8</f>
        <v>#REF!</v>
      </c>
      <c r="DC39" s="128" t="e">
        <f>'PROJECT TA Y TB KARINA'!$Q35/8</f>
        <v>#REF!</v>
      </c>
      <c r="DD39" s="128" t="e">
        <f>'PROJECT TA Y TB KARINA'!$Q35/8</f>
        <v>#REF!</v>
      </c>
      <c r="DE39" s="128" t="e">
        <f>'PROJECT TA Y TB KARINA'!$Q35/8</f>
        <v>#REF!</v>
      </c>
      <c r="DF39" s="128" t="e">
        <f>'PROJECT TA Y TB KARINA'!$Q35/8</f>
        <v>#REF!</v>
      </c>
      <c r="DG39" s="128" t="e">
        <f>'PROJECT TA Y TB KARINA'!$Q35/8</f>
        <v>#REF!</v>
      </c>
      <c r="DH39" s="128" t="e">
        <f>'PROJECT TA Y TB KARINA'!$Q35/8</f>
        <v>#REF!</v>
      </c>
      <c r="DI39" s="128" t="e">
        <f>'PROJECT TA Y TB KARINA'!$R35/8</f>
        <v>#REF!</v>
      </c>
      <c r="DJ39" s="128" t="e">
        <f>'PROJECT TA Y TB KARINA'!$R35/8</f>
        <v>#REF!</v>
      </c>
      <c r="DK39" s="128" t="e">
        <f>'PROJECT TA Y TB KARINA'!$R35/8</f>
        <v>#REF!</v>
      </c>
      <c r="DL39" s="128" t="e">
        <f>'PROJECT TA Y TB KARINA'!$R35/8</f>
        <v>#REF!</v>
      </c>
      <c r="DM39" s="128" t="e">
        <f>'PROJECT TA Y TB KARINA'!$R35/8</f>
        <v>#REF!</v>
      </c>
      <c r="DN39" s="128" t="e">
        <f>'PROJECT TA Y TB KARINA'!$R35/8</f>
        <v>#REF!</v>
      </c>
      <c r="DO39" s="128" t="e">
        <f>'PROJECT TA Y TB KARINA'!$R35/8</f>
        <v>#REF!</v>
      </c>
      <c r="DP39" s="128" t="e">
        <f>'PROJECT TA Y TB KARINA'!$R35/8</f>
        <v>#REF!</v>
      </c>
      <c r="DQ39" s="128" t="e">
        <f>'PROJECT TA Y TB KARINA'!$S35/8</f>
        <v>#REF!</v>
      </c>
      <c r="DR39" s="128" t="e">
        <f>'PROJECT TA Y TB KARINA'!$S35/8</f>
        <v>#REF!</v>
      </c>
      <c r="DS39" s="128" t="e">
        <f>'PROJECT TA Y TB KARINA'!$S35/8</f>
        <v>#REF!</v>
      </c>
      <c r="DT39" s="128" t="e">
        <f>'PROJECT TA Y TB KARINA'!$S35/8</f>
        <v>#REF!</v>
      </c>
      <c r="DU39" s="128" t="e">
        <f>'PROJECT TA Y TB KARINA'!$S35/8</f>
        <v>#REF!</v>
      </c>
      <c r="DV39" s="128" t="e">
        <f>'PROJECT TA Y TB KARINA'!$S35/8</f>
        <v>#REF!</v>
      </c>
      <c r="DW39" s="128" t="e">
        <f>'PROJECT TA Y TB KARINA'!$S35/8</f>
        <v>#REF!</v>
      </c>
      <c r="DX39" s="128" t="e">
        <f>'PROJECT TA Y TB KARINA'!$S35/8</f>
        <v>#REF!</v>
      </c>
      <c r="DY39" s="128" t="e">
        <f>'PROJECT TA Y TB KARINA'!$T35/8</f>
        <v>#REF!</v>
      </c>
      <c r="DZ39" s="128" t="e">
        <f>'PROJECT TA Y TB KARINA'!$T35/8</f>
        <v>#REF!</v>
      </c>
      <c r="EA39" s="128" t="e">
        <f>'PROJECT TA Y TB KARINA'!$T35/8</f>
        <v>#REF!</v>
      </c>
      <c r="EB39" s="128" t="e">
        <f>'PROJECT TA Y TB KARINA'!$T35/8</f>
        <v>#REF!</v>
      </c>
      <c r="EC39" s="128" t="e">
        <f>'PROJECT TA Y TB KARINA'!$T35/8</f>
        <v>#REF!</v>
      </c>
      <c r="ED39" s="128" t="e">
        <f>'PROJECT TA Y TB KARINA'!$T35/8</f>
        <v>#REF!</v>
      </c>
      <c r="EE39" s="128" t="e">
        <f>'PROJECT TA Y TB KARINA'!$T35/8</f>
        <v>#REF!</v>
      </c>
      <c r="EF39" s="128" t="e">
        <f>'PROJECT TA Y TB KARINA'!$T35/8</f>
        <v>#REF!</v>
      </c>
      <c r="EG39" s="128" t="e">
        <f>'PROJECT TA Y TB KARINA'!#REF!/8</f>
        <v>#REF!</v>
      </c>
      <c r="EH39" s="128" t="e">
        <f>'PROJECT TA Y TB KARINA'!#REF!/8</f>
        <v>#REF!</v>
      </c>
      <c r="EI39" s="128" t="e">
        <f>'PROJECT TA Y TB KARINA'!#REF!/8</f>
        <v>#REF!</v>
      </c>
      <c r="EJ39" s="128" t="e">
        <f>'PROJECT TA Y TB KARINA'!#REF!/8</f>
        <v>#REF!</v>
      </c>
      <c r="EK39" s="128" t="e">
        <f>'PROJECT TA Y TB KARINA'!#REF!/8</f>
        <v>#REF!</v>
      </c>
      <c r="EL39" s="128" t="e">
        <f>'PROJECT TA Y TB KARINA'!#REF!/8</f>
        <v>#REF!</v>
      </c>
      <c r="EM39" s="128" t="e">
        <f>'PROJECT TA Y TB KARINA'!#REF!/8</f>
        <v>#REF!</v>
      </c>
      <c r="EN39" s="128" t="e">
        <f>'PROJECT TA Y TB KARINA'!#REF!/8</f>
        <v>#REF!</v>
      </c>
      <c r="EO39" s="128">
        <f>'PROJECT TA Y TB KARINA'!$C93/8</f>
        <v>0</v>
      </c>
      <c r="EP39" s="128">
        <f>'PROJECT TA Y TB KARINA'!$C93/8</f>
        <v>0</v>
      </c>
      <c r="EQ39" s="128">
        <f>'PROJECT TA Y TB KARINA'!$C93/8</f>
        <v>0</v>
      </c>
      <c r="ER39" s="128">
        <f>'PROJECT TA Y TB KARINA'!$C93/8</f>
        <v>0</v>
      </c>
      <c r="ES39" s="128">
        <f>'PROJECT TA Y TB KARINA'!$C93/8</f>
        <v>0</v>
      </c>
      <c r="ET39" s="128">
        <f>'PROJECT TA Y TB KARINA'!$C93/8</f>
        <v>0</v>
      </c>
      <c r="EU39" s="128">
        <f>'PROJECT TA Y TB KARINA'!$C93/8</f>
        <v>0</v>
      </c>
      <c r="EV39" s="128">
        <f>'PROJECT TA Y TB KARINA'!$E93/8</f>
        <v>0</v>
      </c>
      <c r="EW39" s="128">
        <f>'PROJECT TA Y TB KARINA'!$E93/8</f>
        <v>0</v>
      </c>
      <c r="EX39" s="128">
        <f>'PROJECT TA Y TB KARINA'!$E93/8</f>
        <v>0</v>
      </c>
      <c r="EY39" s="128">
        <f>'PROJECT TA Y TB KARINA'!$E93/8</f>
        <v>0</v>
      </c>
      <c r="EZ39" s="128">
        <f>'PROJECT TA Y TB KARINA'!$E93/8</f>
        <v>0</v>
      </c>
      <c r="FA39" s="128">
        <f>'PROJECT TA Y TB KARINA'!$E93/8</f>
        <v>0</v>
      </c>
      <c r="FB39" s="128">
        <f>'PROJECT TA Y TB KARINA'!$E93/8</f>
        <v>0</v>
      </c>
      <c r="FC39" s="128">
        <f>'PROJECT TA Y TB KARINA'!$E93/8</f>
        <v>0</v>
      </c>
      <c r="FD39" s="128">
        <f>'PROJECT TA Y TB KARINA'!$F93/8</f>
        <v>0</v>
      </c>
      <c r="FE39" s="128">
        <f>'PROJECT TA Y TB KARINA'!$F93/8</f>
        <v>0</v>
      </c>
      <c r="FF39" s="128">
        <f>'PROJECT TA Y TB KARINA'!$F93/8</f>
        <v>0</v>
      </c>
      <c r="FG39" s="128">
        <f>'PROJECT TA Y TB KARINA'!$F93/8</f>
        <v>0</v>
      </c>
      <c r="FH39" s="128">
        <f>'PROJECT TA Y TB KARINA'!$F93/8</f>
        <v>0</v>
      </c>
      <c r="FI39" s="128">
        <f>'PROJECT TA Y TB KARINA'!$F93/8</f>
        <v>0</v>
      </c>
      <c r="FJ39" s="128">
        <f>'PROJECT TA Y TB KARINA'!$F93/8</f>
        <v>0</v>
      </c>
      <c r="FK39" s="128">
        <f>'PROJECT TA Y TB KARINA'!$F93/8</f>
        <v>0</v>
      </c>
      <c r="FL39" s="128">
        <f>'PROJECT TA Y TB KARINA'!$G93/8</f>
        <v>0</v>
      </c>
      <c r="FM39" s="128">
        <f>'PROJECT TA Y TB KARINA'!$G93/8</f>
        <v>0</v>
      </c>
      <c r="FN39" s="128">
        <f>'PROJECT TA Y TB KARINA'!$G93/8</f>
        <v>0</v>
      </c>
      <c r="FO39" s="128">
        <f>'PROJECT TA Y TB KARINA'!$G93/8</f>
        <v>0</v>
      </c>
      <c r="FP39" s="128">
        <f>'PROJECT TA Y TB KARINA'!$G93/8</f>
        <v>0</v>
      </c>
      <c r="FQ39" s="128">
        <f>'PROJECT TA Y TB KARINA'!$G93/8</f>
        <v>0</v>
      </c>
      <c r="FR39" s="128">
        <f>'PROJECT TA Y TB KARINA'!$G93/8</f>
        <v>0</v>
      </c>
      <c r="FS39" s="128">
        <f>'PROJECT TA Y TB KARINA'!$G93/8</f>
        <v>0</v>
      </c>
      <c r="FT39" s="128">
        <f>'PROJECT TA Y TB KARINA'!$H93/8</f>
        <v>0</v>
      </c>
      <c r="FU39" s="128">
        <f>'PROJECT TA Y TB KARINA'!$H93/8</f>
        <v>0</v>
      </c>
      <c r="FV39" s="128">
        <f>'PROJECT TA Y TB KARINA'!$H93/8</f>
        <v>0</v>
      </c>
      <c r="FW39" s="128">
        <f>'PROJECT TA Y TB KARINA'!$H93/8</f>
        <v>0</v>
      </c>
      <c r="FX39" s="128">
        <f>'PROJECT TA Y TB KARINA'!$H93/8</f>
        <v>0</v>
      </c>
      <c r="FY39" s="128">
        <f>'PROJECT TA Y TB KARINA'!$H93/8</f>
        <v>0</v>
      </c>
      <c r="FZ39" s="128">
        <f>'PROJECT TA Y TB KARINA'!$H93/8</f>
        <v>0</v>
      </c>
      <c r="GA39" s="128">
        <f>'PROJECT TA Y TB KARINA'!$H93/8</f>
        <v>0</v>
      </c>
      <c r="GB39" s="128">
        <f>'PROJECT TA Y TB KARINA'!$I93/8</f>
        <v>0</v>
      </c>
      <c r="GC39" s="128">
        <f>'PROJECT TA Y TB KARINA'!$I93/8</f>
        <v>0</v>
      </c>
      <c r="GD39" s="128">
        <f>'PROJECT TA Y TB KARINA'!$I93/8</f>
        <v>0</v>
      </c>
      <c r="GE39" s="128">
        <f>'PROJECT TA Y TB KARINA'!$I93/8</f>
        <v>0</v>
      </c>
      <c r="GF39" s="128">
        <f>'PROJECT TA Y TB KARINA'!$I93/8</f>
        <v>0</v>
      </c>
      <c r="GG39" s="128">
        <f>'PROJECT TA Y TB KARINA'!$I93/8</f>
        <v>0</v>
      </c>
      <c r="GH39" s="128">
        <f>'PROJECT TA Y TB KARINA'!$I93/8</f>
        <v>0</v>
      </c>
      <c r="GI39" s="128">
        <f>'PROJECT TA Y TB KARINA'!$I93/8</f>
        <v>0</v>
      </c>
      <c r="GJ39" s="128">
        <f>'PROJECT TA Y TB KARINA'!$J93/8</f>
        <v>0</v>
      </c>
      <c r="GK39" s="128">
        <f>'PROJECT TA Y TB KARINA'!$J93/8</f>
        <v>0</v>
      </c>
      <c r="GL39" s="128">
        <f>'PROJECT TA Y TB KARINA'!$J93/8</f>
        <v>0</v>
      </c>
      <c r="GM39" s="128">
        <f>'PROJECT TA Y TB KARINA'!$J93/8</f>
        <v>0</v>
      </c>
      <c r="GN39" s="128">
        <f>'PROJECT TA Y TB KARINA'!$J93/8</f>
        <v>0</v>
      </c>
      <c r="GO39" s="128">
        <f>'PROJECT TA Y TB KARINA'!$J93/8</f>
        <v>0</v>
      </c>
      <c r="GP39" s="128">
        <f>'PROJECT TA Y TB KARINA'!$J93/8</f>
        <v>0</v>
      </c>
      <c r="GQ39" s="128">
        <f>'PROJECT TA Y TB KARINA'!$J93/8</f>
        <v>0</v>
      </c>
      <c r="GR39" s="128">
        <f>'PROJECT TA Y TB KARINA'!$K93/8</f>
        <v>0</v>
      </c>
      <c r="GS39" s="128">
        <f>'PROJECT TA Y TB KARINA'!$K93/8</f>
        <v>0</v>
      </c>
      <c r="GT39" s="128">
        <f>'PROJECT TA Y TB KARINA'!$K93/8</f>
        <v>0</v>
      </c>
      <c r="GU39" s="128">
        <f>'PROJECT TA Y TB KARINA'!$K93/8</f>
        <v>0</v>
      </c>
      <c r="GV39" s="128">
        <f>'PROJECT TA Y TB KARINA'!$K93/8</f>
        <v>0</v>
      </c>
      <c r="GW39" s="128">
        <f>'PROJECT TA Y TB KARINA'!$K93/8</f>
        <v>0</v>
      </c>
      <c r="GX39" s="128">
        <f>'PROJECT TA Y TB KARINA'!$K93/8</f>
        <v>0</v>
      </c>
      <c r="GY39" s="128">
        <f>'PROJECT TA Y TB KARINA'!$K93/8</f>
        <v>0</v>
      </c>
      <c r="GZ39" s="128">
        <f>'PROJECT TA Y TB KARINA'!$L93/8</f>
        <v>0</v>
      </c>
      <c r="HA39" s="128">
        <f>'PROJECT TA Y TB KARINA'!$L93/8</f>
        <v>0</v>
      </c>
      <c r="HB39" s="128">
        <f>'PROJECT TA Y TB KARINA'!$L93/8</f>
        <v>0</v>
      </c>
      <c r="HC39" s="128">
        <f>'PROJECT TA Y TB KARINA'!$L93/8</f>
        <v>0</v>
      </c>
      <c r="HD39" s="128">
        <f>'PROJECT TA Y TB KARINA'!$L93/8</f>
        <v>0</v>
      </c>
      <c r="HE39" s="128">
        <f>'PROJECT TA Y TB KARINA'!$L93/8</f>
        <v>0</v>
      </c>
      <c r="HF39" s="128">
        <f>'PROJECT TA Y TB KARINA'!$L93/8</f>
        <v>0</v>
      </c>
      <c r="HG39" s="128">
        <f>'PROJECT TA Y TB KARINA'!$L93/8</f>
        <v>0</v>
      </c>
      <c r="HH39" s="128">
        <f>'PROJECT TA Y TB KARINA'!$M93/8</f>
        <v>0</v>
      </c>
      <c r="HI39" s="128">
        <f>'PROJECT TA Y TB KARINA'!$M93/8</f>
        <v>0</v>
      </c>
      <c r="HJ39" s="128">
        <f>'PROJECT TA Y TB KARINA'!$M93/8</f>
        <v>0</v>
      </c>
      <c r="HK39" s="128">
        <f>'PROJECT TA Y TB KARINA'!$M93/8</f>
        <v>0</v>
      </c>
      <c r="HL39" s="128">
        <f>'PROJECT TA Y TB KARINA'!$M93/8</f>
        <v>0</v>
      </c>
      <c r="HM39" s="128">
        <f>'PROJECT TA Y TB KARINA'!$M93/8</f>
        <v>0</v>
      </c>
      <c r="HN39" s="128">
        <f>'PROJECT TA Y TB KARINA'!$M93/8</f>
        <v>0</v>
      </c>
      <c r="HO39" s="128">
        <f>'PROJECT TA Y TB KARINA'!$M93/8</f>
        <v>0</v>
      </c>
      <c r="HP39" s="128">
        <f>'PROJECT TA Y TB KARINA'!$N93/8</f>
        <v>0</v>
      </c>
      <c r="HQ39" s="128">
        <f>'PROJECT TA Y TB KARINA'!$N93/8</f>
        <v>0</v>
      </c>
      <c r="HR39" s="128">
        <f>'PROJECT TA Y TB KARINA'!$N93/8</f>
        <v>0</v>
      </c>
      <c r="HS39" s="128">
        <f>'PROJECT TA Y TB KARINA'!$N93/8</f>
        <v>0</v>
      </c>
      <c r="HT39" s="128">
        <f>'PROJECT TA Y TB KARINA'!$N93/8</f>
        <v>0</v>
      </c>
      <c r="HU39" s="128">
        <f>'PROJECT TA Y TB KARINA'!$N93/8</f>
        <v>0</v>
      </c>
      <c r="HV39" s="128">
        <f>'PROJECT TA Y TB KARINA'!$N93/8</f>
        <v>0</v>
      </c>
      <c r="HW39" s="128">
        <f>'PROJECT TA Y TB KARINA'!$N93/8</f>
        <v>0</v>
      </c>
      <c r="HX39" s="128">
        <f>'PROJECT TA Y TB KARINA'!$O93/8</f>
        <v>0</v>
      </c>
      <c r="HY39" s="128">
        <f>'PROJECT TA Y TB KARINA'!$O93/8</f>
        <v>0</v>
      </c>
      <c r="HZ39" s="128">
        <f>'PROJECT TA Y TB KARINA'!$O93/8</f>
        <v>0</v>
      </c>
      <c r="IA39" s="128">
        <f>'PROJECT TA Y TB KARINA'!$O93/8</f>
        <v>0</v>
      </c>
      <c r="IB39" s="128">
        <f>'PROJECT TA Y TB KARINA'!$O93/8</f>
        <v>0</v>
      </c>
      <c r="IC39" s="128">
        <f>'PROJECT TA Y TB KARINA'!$O93/8</f>
        <v>0</v>
      </c>
      <c r="ID39" s="128">
        <f>'PROJECT TA Y TB KARINA'!$O93/8</f>
        <v>0</v>
      </c>
      <c r="IE39" s="128">
        <f>'PROJECT TA Y TB KARINA'!$O93/8</f>
        <v>0</v>
      </c>
      <c r="IF39" s="128">
        <f>'PROJECT TA Y TB KARINA'!$P93/8</f>
        <v>0</v>
      </c>
      <c r="IG39" s="128">
        <f>'PROJECT TA Y TB KARINA'!$P93/8</f>
        <v>0</v>
      </c>
      <c r="IH39" s="128">
        <f>'PROJECT TA Y TB KARINA'!$P93/8</f>
        <v>0</v>
      </c>
      <c r="II39" s="128">
        <f>'PROJECT TA Y TB KARINA'!$P93/8</f>
        <v>0</v>
      </c>
      <c r="IJ39" s="128">
        <f>'PROJECT TA Y TB KARINA'!$P93/8</f>
        <v>0</v>
      </c>
      <c r="IK39" s="128">
        <f>'PROJECT TA Y TB KARINA'!$P93/8</f>
        <v>0</v>
      </c>
      <c r="IL39" s="128">
        <f>'PROJECT TA Y TB KARINA'!$P93/8</f>
        <v>0</v>
      </c>
      <c r="IM39" s="128">
        <f>'PROJECT TA Y TB KARINA'!$P93/8</f>
        <v>0</v>
      </c>
      <c r="IN39" s="128">
        <f>'PROJECT TA Y TB KARINA'!$Q93/8</f>
        <v>0</v>
      </c>
      <c r="IO39" s="128">
        <f>'PROJECT TA Y TB KARINA'!$Q93/8</f>
        <v>0</v>
      </c>
      <c r="IP39" s="128">
        <f>'PROJECT TA Y TB KARINA'!$Q93/8</f>
        <v>0</v>
      </c>
      <c r="IQ39" s="128">
        <f>'PROJECT TA Y TB KARINA'!$Q93/8</f>
        <v>0</v>
      </c>
      <c r="IR39" s="128">
        <f>'PROJECT TA Y TB KARINA'!$Q93/8</f>
        <v>0</v>
      </c>
      <c r="IS39" s="128">
        <f>'PROJECT TA Y TB KARINA'!$Q93/8</f>
        <v>0</v>
      </c>
      <c r="IT39" s="128">
        <f>'PROJECT TA Y TB KARINA'!$Q93/8</f>
        <v>0</v>
      </c>
      <c r="IU39" s="128">
        <f>'PROJECT TA Y TB KARINA'!$Q93/8</f>
        <v>0</v>
      </c>
      <c r="IV39" s="128">
        <f>'PROJECT TA Y TB KARINA'!$R93/8</f>
        <v>0</v>
      </c>
      <c r="IW39" s="128">
        <f>'PROJECT TA Y TB KARINA'!$R93/8</f>
        <v>0</v>
      </c>
      <c r="IX39" s="128">
        <f>'PROJECT TA Y TB KARINA'!$R93/8</f>
        <v>0</v>
      </c>
      <c r="IY39" s="128">
        <f>'PROJECT TA Y TB KARINA'!$R93/8</f>
        <v>0</v>
      </c>
      <c r="IZ39" s="128">
        <f>'PROJECT TA Y TB KARINA'!$R93/8</f>
        <v>0</v>
      </c>
      <c r="JA39" s="128">
        <f>'PROJECT TA Y TB KARINA'!$R93/8</f>
        <v>0</v>
      </c>
      <c r="JB39" s="128">
        <f>'PROJECT TA Y TB KARINA'!$R93/8</f>
        <v>0</v>
      </c>
      <c r="JC39" s="128">
        <f>'PROJECT TA Y TB KARINA'!$R93/8</f>
        <v>0</v>
      </c>
      <c r="JD39" s="128">
        <f>'PROJECT TA Y TB KARINA'!$S93/8</f>
        <v>0</v>
      </c>
      <c r="JE39" s="128">
        <f>'PROJECT TA Y TB KARINA'!$S93/8</f>
        <v>0</v>
      </c>
      <c r="JF39" s="128">
        <f>'PROJECT TA Y TB KARINA'!$S93/8</f>
        <v>0</v>
      </c>
      <c r="JG39" s="128">
        <f>'PROJECT TA Y TB KARINA'!$S93/8</f>
        <v>0</v>
      </c>
      <c r="JH39" s="128">
        <f>'PROJECT TA Y TB KARINA'!$S93/8</f>
        <v>0</v>
      </c>
      <c r="JI39" s="128">
        <f>'PROJECT TA Y TB KARINA'!$S93/8</f>
        <v>0</v>
      </c>
      <c r="JJ39" s="128">
        <f>'PROJECT TA Y TB KARINA'!$S93/8</f>
        <v>0</v>
      </c>
      <c r="JK39" s="128">
        <f>'PROJECT TA Y TB KARINA'!$S93/8</f>
        <v>0</v>
      </c>
      <c r="JL39" s="128">
        <f>'PROJECT TA Y TB KARINA'!$T93/8</f>
        <v>0</v>
      </c>
      <c r="JM39" s="128">
        <f>'PROJECT TA Y TB KARINA'!$T93/8</f>
        <v>0</v>
      </c>
      <c r="JN39" s="128">
        <f>'PROJECT TA Y TB KARINA'!$T93/8</f>
        <v>0</v>
      </c>
      <c r="JO39" s="128">
        <f>'PROJECT TA Y TB KARINA'!$T93/8</f>
        <v>0</v>
      </c>
      <c r="JP39" s="128">
        <f>'PROJECT TA Y TB KARINA'!$T93/8</f>
        <v>0</v>
      </c>
      <c r="JQ39" s="128">
        <f>'PROJECT TA Y TB KARINA'!$T93/8</f>
        <v>0</v>
      </c>
      <c r="JR39" s="128">
        <f>'PROJECT TA Y TB KARINA'!$T93/8</f>
        <v>0</v>
      </c>
      <c r="JS39" s="128">
        <f>'PROJECT TA Y TB KARINA'!$T93/8</f>
        <v>0</v>
      </c>
      <c r="JT39" s="128" t="e">
        <f>'PROJECT TA Y TB KARINA'!#REF!/8</f>
        <v>#REF!</v>
      </c>
      <c r="JU39" s="128" t="e">
        <f>'PROJECT TA Y TB KARINA'!#REF!/8</f>
        <v>#REF!</v>
      </c>
      <c r="JV39" s="128" t="e">
        <f>'PROJECT TA Y TB KARINA'!#REF!/8</f>
        <v>#REF!</v>
      </c>
      <c r="JW39" s="128" t="e">
        <f>'PROJECT TA Y TB KARINA'!#REF!/8</f>
        <v>#REF!</v>
      </c>
      <c r="JX39" s="128" t="e">
        <f>'PROJECT TA Y TB KARINA'!#REF!/8</f>
        <v>#REF!</v>
      </c>
      <c r="JY39" s="128" t="e">
        <f>'PROJECT TA Y TB KARINA'!#REF!/8</f>
        <v>#REF!</v>
      </c>
      <c r="JZ39" s="128" t="e">
        <f>'PROJECT TA Y TB KARINA'!#REF!/8</f>
        <v>#REF!</v>
      </c>
      <c r="KA39" s="128" t="e">
        <f>'PROJECT TA Y TB KARINA'!#REF!/8</f>
        <v>#REF!</v>
      </c>
    </row>
    <row r="40" spans="1:287" ht="21">
      <c r="A40" s="130" t="s">
        <v>493</v>
      </c>
      <c r="B40" s="128" t="e">
        <f>'PROJECT TA Y TB KARINA'!$C$36/8</f>
        <v>#REF!</v>
      </c>
      <c r="C40" s="128" t="e">
        <f>'PROJECT TA Y TB KARINA'!$C$36/8</f>
        <v>#REF!</v>
      </c>
      <c r="D40" s="128" t="e">
        <f>'PROJECT TA Y TB KARINA'!$C$36/8</f>
        <v>#REF!</v>
      </c>
      <c r="E40" s="128" t="e">
        <f>'PROJECT TA Y TB KARINA'!$C$36/8</f>
        <v>#REF!</v>
      </c>
      <c r="F40" s="128" t="e">
        <f>'PROJECT TA Y TB KARINA'!$C$36/8</f>
        <v>#REF!</v>
      </c>
      <c r="G40" s="128" t="e">
        <f>'PROJECT TA Y TB KARINA'!$C$36/8</f>
        <v>#REF!</v>
      </c>
      <c r="H40" s="128" t="e">
        <f>'PROJECT TA Y TB KARINA'!$C$36/8</f>
        <v>#REF!</v>
      </c>
      <c r="I40" s="128" t="e">
        <f>'PROJECT TA Y TB KARINA'!$E36/8</f>
        <v>#REF!</v>
      </c>
      <c r="J40" s="128" t="e">
        <f>'PROJECT TA Y TB KARINA'!$E36/8</f>
        <v>#REF!</v>
      </c>
      <c r="K40" s="128" t="e">
        <f>'PROJECT TA Y TB KARINA'!$E36/8</f>
        <v>#REF!</v>
      </c>
      <c r="L40" s="128" t="e">
        <f>'PROJECT TA Y TB KARINA'!$E36/8</f>
        <v>#REF!</v>
      </c>
      <c r="M40" s="128" t="e">
        <f>'PROJECT TA Y TB KARINA'!$E36/8</f>
        <v>#REF!</v>
      </c>
      <c r="N40" s="128" t="e">
        <f>'PROJECT TA Y TB KARINA'!$E36/8</f>
        <v>#REF!</v>
      </c>
      <c r="O40" s="128" t="e">
        <f>'PROJECT TA Y TB KARINA'!$E36/8</f>
        <v>#REF!</v>
      </c>
      <c r="P40" s="128" t="e">
        <f>'PROJECT TA Y TB KARINA'!$E36/8</f>
        <v>#REF!</v>
      </c>
      <c r="Q40" s="128" t="e">
        <f>'PROJECT TA Y TB KARINA'!$F36/8</f>
        <v>#REF!</v>
      </c>
      <c r="R40" s="128" t="e">
        <f>'PROJECT TA Y TB KARINA'!$F36/8</f>
        <v>#REF!</v>
      </c>
      <c r="S40" s="128" t="e">
        <f>'PROJECT TA Y TB KARINA'!$F36/8</f>
        <v>#REF!</v>
      </c>
      <c r="T40" s="128" t="e">
        <f>'PROJECT TA Y TB KARINA'!$F36/8</f>
        <v>#REF!</v>
      </c>
      <c r="U40" s="128" t="e">
        <f>'PROJECT TA Y TB KARINA'!$F36/8</f>
        <v>#REF!</v>
      </c>
      <c r="V40" s="128" t="e">
        <f>'PROJECT TA Y TB KARINA'!$F36/8</f>
        <v>#REF!</v>
      </c>
      <c r="W40" s="128" t="e">
        <f>'PROJECT TA Y TB KARINA'!$F36/8</f>
        <v>#REF!</v>
      </c>
      <c r="X40" s="128" t="e">
        <f>'PROJECT TA Y TB KARINA'!$F36/8</f>
        <v>#REF!</v>
      </c>
      <c r="Y40" s="128" t="e">
        <f>'PROJECT TA Y TB KARINA'!$G36/8</f>
        <v>#REF!</v>
      </c>
      <c r="Z40" s="128" t="e">
        <f>'PROJECT TA Y TB KARINA'!$G36/8</f>
        <v>#REF!</v>
      </c>
      <c r="AA40" s="128" t="e">
        <f>'PROJECT TA Y TB KARINA'!$G36/8</f>
        <v>#REF!</v>
      </c>
      <c r="AB40" s="128" t="e">
        <f>'PROJECT TA Y TB KARINA'!$G36/8</f>
        <v>#REF!</v>
      </c>
      <c r="AC40" s="128" t="e">
        <f>'PROJECT TA Y TB KARINA'!$G36/8</f>
        <v>#REF!</v>
      </c>
      <c r="AD40" s="128" t="e">
        <f>'PROJECT TA Y TB KARINA'!$G36/8</f>
        <v>#REF!</v>
      </c>
      <c r="AE40" s="128" t="e">
        <f>'PROJECT TA Y TB KARINA'!$G36/8</f>
        <v>#REF!</v>
      </c>
      <c r="AF40" s="128" t="e">
        <f>'PROJECT TA Y TB KARINA'!$G36/8</f>
        <v>#REF!</v>
      </c>
      <c r="AG40" s="128" t="e">
        <f>'PROJECT TA Y TB KARINA'!$H36/8</f>
        <v>#REF!</v>
      </c>
      <c r="AH40" s="128" t="e">
        <f>'PROJECT TA Y TB KARINA'!$H36/8</f>
        <v>#REF!</v>
      </c>
      <c r="AI40" s="128" t="e">
        <f>'PROJECT TA Y TB KARINA'!$H36/8</f>
        <v>#REF!</v>
      </c>
      <c r="AJ40" s="128" t="e">
        <f>'PROJECT TA Y TB KARINA'!$H36/8</f>
        <v>#REF!</v>
      </c>
      <c r="AK40" s="128" t="e">
        <f>'PROJECT TA Y TB KARINA'!$H36/8</f>
        <v>#REF!</v>
      </c>
      <c r="AL40" s="128" t="e">
        <f>'PROJECT TA Y TB KARINA'!$H36/8</f>
        <v>#REF!</v>
      </c>
      <c r="AM40" s="128" t="e">
        <f>'PROJECT TA Y TB KARINA'!$H36/8</f>
        <v>#REF!</v>
      </c>
      <c r="AN40" s="128" t="e">
        <f>'PROJECT TA Y TB KARINA'!$H36/8</f>
        <v>#REF!</v>
      </c>
      <c r="AO40" s="128" t="e">
        <f>'PROJECT TA Y TB KARINA'!$I36/8</f>
        <v>#REF!</v>
      </c>
      <c r="AP40" s="128" t="e">
        <f>'PROJECT TA Y TB KARINA'!$I36/8</f>
        <v>#REF!</v>
      </c>
      <c r="AQ40" s="128" t="e">
        <f>'PROJECT TA Y TB KARINA'!$I36/8</f>
        <v>#REF!</v>
      </c>
      <c r="AR40" s="128" t="e">
        <f>'PROJECT TA Y TB KARINA'!$I36/8</f>
        <v>#REF!</v>
      </c>
      <c r="AS40" s="128" t="e">
        <f>'PROJECT TA Y TB KARINA'!$I36/8</f>
        <v>#REF!</v>
      </c>
      <c r="AT40" s="128" t="e">
        <f>'PROJECT TA Y TB KARINA'!$I36/8</f>
        <v>#REF!</v>
      </c>
      <c r="AU40" s="128" t="e">
        <f>'PROJECT TA Y TB KARINA'!$I36/8</f>
        <v>#REF!</v>
      </c>
      <c r="AV40" s="128" t="e">
        <f>'PROJECT TA Y TB KARINA'!$I36/8</f>
        <v>#REF!</v>
      </c>
      <c r="AW40" s="128" t="e">
        <f>'PROJECT TA Y TB KARINA'!$J36/8</f>
        <v>#REF!</v>
      </c>
      <c r="AX40" s="128" t="e">
        <f>'PROJECT TA Y TB KARINA'!$J36/8</f>
        <v>#REF!</v>
      </c>
      <c r="AY40" s="128" t="e">
        <f>'PROJECT TA Y TB KARINA'!$J36/8</f>
        <v>#REF!</v>
      </c>
      <c r="AZ40" s="128" t="e">
        <f>'PROJECT TA Y TB KARINA'!$J36/8</f>
        <v>#REF!</v>
      </c>
      <c r="BA40" s="128" t="e">
        <f>'PROJECT TA Y TB KARINA'!$J36/8</f>
        <v>#REF!</v>
      </c>
      <c r="BB40" s="128" t="e">
        <f>'PROJECT TA Y TB KARINA'!$J36/8</f>
        <v>#REF!</v>
      </c>
      <c r="BC40" s="128" t="e">
        <f>'PROJECT TA Y TB KARINA'!$J36/8</f>
        <v>#REF!</v>
      </c>
      <c r="BD40" s="128" t="e">
        <f>'PROJECT TA Y TB KARINA'!$J36/8</f>
        <v>#REF!</v>
      </c>
      <c r="BE40" s="128" t="e">
        <f>'PROJECT TA Y TB KARINA'!$K36/8</f>
        <v>#REF!</v>
      </c>
      <c r="BF40" s="128" t="e">
        <f>'PROJECT TA Y TB KARINA'!$K36/8</f>
        <v>#REF!</v>
      </c>
      <c r="BG40" s="128" t="e">
        <f>'PROJECT TA Y TB KARINA'!$K36/8</f>
        <v>#REF!</v>
      </c>
      <c r="BH40" s="128" t="e">
        <f>'PROJECT TA Y TB KARINA'!$K36/8</f>
        <v>#REF!</v>
      </c>
      <c r="BI40" s="128" t="e">
        <f>'PROJECT TA Y TB KARINA'!$K36/8</f>
        <v>#REF!</v>
      </c>
      <c r="BJ40" s="128" t="e">
        <f>'PROJECT TA Y TB KARINA'!$K36/8</f>
        <v>#REF!</v>
      </c>
      <c r="BK40" s="128" t="e">
        <f>'PROJECT TA Y TB KARINA'!$K36/8</f>
        <v>#REF!</v>
      </c>
      <c r="BL40" s="128" t="e">
        <f>'PROJECT TA Y TB KARINA'!$K36/8</f>
        <v>#REF!</v>
      </c>
      <c r="BM40" s="128" t="e">
        <f>'PROJECT TA Y TB KARINA'!$L36/8</f>
        <v>#REF!</v>
      </c>
      <c r="BN40" s="128" t="e">
        <f>'PROJECT TA Y TB KARINA'!$L36/8</f>
        <v>#REF!</v>
      </c>
      <c r="BO40" s="128" t="e">
        <f>'PROJECT TA Y TB KARINA'!$L36/8</f>
        <v>#REF!</v>
      </c>
      <c r="BP40" s="128" t="e">
        <f>'PROJECT TA Y TB KARINA'!$L36/8</f>
        <v>#REF!</v>
      </c>
      <c r="BQ40" s="128" t="e">
        <f>'PROJECT TA Y TB KARINA'!$L36/8</f>
        <v>#REF!</v>
      </c>
      <c r="BR40" s="128" t="e">
        <f>'PROJECT TA Y TB KARINA'!$L36/8</f>
        <v>#REF!</v>
      </c>
      <c r="BS40" s="128" t="e">
        <f>'PROJECT TA Y TB KARINA'!$L36/8</f>
        <v>#REF!</v>
      </c>
      <c r="BT40" s="128" t="e">
        <f>'PROJECT TA Y TB KARINA'!$L36/8</f>
        <v>#REF!</v>
      </c>
      <c r="BU40" s="128" t="e">
        <f>'PROJECT TA Y TB KARINA'!$M36/8</f>
        <v>#REF!</v>
      </c>
      <c r="BV40" s="128" t="e">
        <f>'PROJECT TA Y TB KARINA'!$M36/8</f>
        <v>#REF!</v>
      </c>
      <c r="BW40" s="128" t="e">
        <f>'PROJECT TA Y TB KARINA'!$M36/8</f>
        <v>#REF!</v>
      </c>
      <c r="BX40" s="128" t="e">
        <f>'PROJECT TA Y TB KARINA'!$M36/8</f>
        <v>#REF!</v>
      </c>
      <c r="BY40" s="128" t="e">
        <f>'PROJECT TA Y TB KARINA'!$M36/8</f>
        <v>#REF!</v>
      </c>
      <c r="BZ40" s="128" t="e">
        <f>'PROJECT TA Y TB KARINA'!$M36/8</f>
        <v>#REF!</v>
      </c>
      <c r="CA40" s="128" t="e">
        <f>'PROJECT TA Y TB KARINA'!$M36/8</f>
        <v>#REF!</v>
      </c>
      <c r="CB40" s="128" t="e">
        <f>'PROJECT TA Y TB KARINA'!$M36/8</f>
        <v>#REF!</v>
      </c>
      <c r="CC40" s="128" t="e">
        <f>'PROJECT TA Y TB KARINA'!$N36/8</f>
        <v>#REF!</v>
      </c>
      <c r="CD40" s="128" t="e">
        <f>'PROJECT TA Y TB KARINA'!$N36/8</f>
        <v>#REF!</v>
      </c>
      <c r="CE40" s="128" t="e">
        <f>'PROJECT TA Y TB KARINA'!$N36/8</f>
        <v>#REF!</v>
      </c>
      <c r="CF40" s="128" t="e">
        <f>'PROJECT TA Y TB KARINA'!$N36/8</f>
        <v>#REF!</v>
      </c>
      <c r="CG40" s="128" t="e">
        <f>'PROJECT TA Y TB KARINA'!$N36/8</f>
        <v>#REF!</v>
      </c>
      <c r="CH40" s="128" t="e">
        <f>'PROJECT TA Y TB KARINA'!$N36/8</f>
        <v>#REF!</v>
      </c>
      <c r="CI40" s="128" t="e">
        <f>'PROJECT TA Y TB KARINA'!$N36/8</f>
        <v>#REF!</v>
      </c>
      <c r="CJ40" s="128" t="e">
        <f>'PROJECT TA Y TB KARINA'!$N36/8</f>
        <v>#REF!</v>
      </c>
      <c r="CK40" s="128" t="e">
        <f>'PROJECT TA Y TB KARINA'!$O36/8</f>
        <v>#REF!</v>
      </c>
      <c r="CL40" s="128" t="e">
        <f>'PROJECT TA Y TB KARINA'!$O36/8</f>
        <v>#REF!</v>
      </c>
      <c r="CM40" s="128" t="e">
        <f>'PROJECT TA Y TB KARINA'!$O36/8</f>
        <v>#REF!</v>
      </c>
      <c r="CN40" s="128" t="e">
        <f>'PROJECT TA Y TB KARINA'!$O36/8</f>
        <v>#REF!</v>
      </c>
      <c r="CO40" s="128" t="e">
        <f>'PROJECT TA Y TB KARINA'!$O36/8</f>
        <v>#REF!</v>
      </c>
      <c r="CP40" s="128" t="e">
        <f>'PROJECT TA Y TB KARINA'!$O36/8</f>
        <v>#REF!</v>
      </c>
      <c r="CQ40" s="128" t="e">
        <f>'PROJECT TA Y TB KARINA'!$O36/8</f>
        <v>#REF!</v>
      </c>
      <c r="CR40" s="128" t="e">
        <f>'PROJECT TA Y TB KARINA'!$O36/8</f>
        <v>#REF!</v>
      </c>
      <c r="CS40" s="128" t="e">
        <f>'PROJECT TA Y TB KARINA'!$P36/8</f>
        <v>#REF!</v>
      </c>
      <c r="CT40" s="128" t="e">
        <f>'PROJECT TA Y TB KARINA'!$P36/8</f>
        <v>#REF!</v>
      </c>
      <c r="CU40" s="128" t="e">
        <f>'PROJECT TA Y TB KARINA'!$P36/8</f>
        <v>#REF!</v>
      </c>
      <c r="CV40" s="128" t="e">
        <f>'PROJECT TA Y TB KARINA'!$P36/8</f>
        <v>#REF!</v>
      </c>
      <c r="CW40" s="128" t="e">
        <f>'PROJECT TA Y TB KARINA'!$P36/8</f>
        <v>#REF!</v>
      </c>
      <c r="CX40" s="128" t="e">
        <f>'PROJECT TA Y TB KARINA'!$P36/8</f>
        <v>#REF!</v>
      </c>
      <c r="CY40" s="128" t="e">
        <f>'PROJECT TA Y TB KARINA'!$P36/8</f>
        <v>#REF!</v>
      </c>
      <c r="CZ40" s="128" t="e">
        <f>'PROJECT TA Y TB KARINA'!$P36/8</f>
        <v>#REF!</v>
      </c>
      <c r="DA40" s="128" t="e">
        <f>'PROJECT TA Y TB KARINA'!$Q36/8</f>
        <v>#REF!</v>
      </c>
      <c r="DB40" s="128" t="e">
        <f>'PROJECT TA Y TB KARINA'!$Q36/8</f>
        <v>#REF!</v>
      </c>
      <c r="DC40" s="128" t="e">
        <f>'PROJECT TA Y TB KARINA'!$Q36/8</f>
        <v>#REF!</v>
      </c>
      <c r="DD40" s="128" t="e">
        <f>'PROJECT TA Y TB KARINA'!$Q36/8</f>
        <v>#REF!</v>
      </c>
      <c r="DE40" s="128" t="e">
        <f>'PROJECT TA Y TB KARINA'!$Q36/8</f>
        <v>#REF!</v>
      </c>
      <c r="DF40" s="128" t="e">
        <f>'PROJECT TA Y TB KARINA'!$Q36/8</f>
        <v>#REF!</v>
      </c>
      <c r="DG40" s="128" t="e">
        <f>'PROJECT TA Y TB KARINA'!$Q36/8</f>
        <v>#REF!</v>
      </c>
      <c r="DH40" s="128" t="e">
        <f>'PROJECT TA Y TB KARINA'!$Q36/8</f>
        <v>#REF!</v>
      </c>
      <c r="DI40" s="128" t="e">
        <f>'PROJECT TA Y TB KARINA'!$R36/8</f>
        <v>#REF!</v>
      </c>
      <c r="DJ40" s="128" t="e">
        <f>'PROJECT TA Y TB KARINA'!$R36/8</f>
        <v>#REF!</v>
      </c>
      <c r="DK40" s="128" t="e">
        <f>'PROJECT TA Y TB KARINA'!$R36/8</f>
        <v>#REF!</v>
      </c>
      <c r="DL40" s="128" t="e">
        <f>'PROJECT TA Y TB KARINA'!$R36/8</f>
        <v>#REF!</v>
      </c>
      <c r="DM40" s="128" t="e">
        <f>'PROJECT TA Y TB KARINA'!$R36/8</f>
        <v>#REF!</v>
      </c>
      <c r="DN40" s="128" t="e">
        <f>'PROJECT TA Y TB KARINA'!$R36/8</f>
        <v>#REF!</v>
      </c>
      <c r="DO40" s="128" t="e">
        <f>'PROJECT TA Y TB KARINA'!$R36/8</f>
        <v>#REF!</v>
      </c>
      <c r="DP40" s="128" t="e">
        <f>'PROJECT TA Y TB KARINA'!$R36/8</f>
        <v>#REF!</v>
      </c>
      <c r="DQ40" s="128" t="e">
        <f>'PROJECT TA Y TB KARINA'!$S36/8</f>
        <v>#REF!</v>
      </c>
      <c r="DR40" s="128" t="e">
        <f>'PROJECT TA Y TB KARINA'!$S36/8</f>
        <v>#REF!</v>
      </c>
      <c r="DS40" s="128" t="e">
        <f>'PROJECT TA Y TB KARINA'!$S36/8</f>
        <v>#REF!</v>
      </c>
      <c r="DT40" s="128" t="e">
        <f>'PROJECT TA Y TB KARINA'!$S36/8</f>
        <v>#REF!</v>
      </c>
      <c r="DU40" s="128" t="e">
        <f>'PROJECT TA Y TB KARINA'!$S36/8</f>
        <v>#REF!</v>
      </c>
      <c r="DV40" s="128" t="e">
        <f>'PROJECT TA Y TB KARINA'!$S36/8</f>
        <v>#REF!</v>
      </c>
      <c r="DW40" s="128" t="e">
        <f>'PROJECT TA Y TB KARINA'!$S36/8</f>
        <v>#REF!</v>
      </c>
      <c r="DX40" s="128" t="e">
        <f>'PROJECT TA Y TB KARINA'!$S36/8</f>
        <v>#REF!</v>
      </c>
      <c r="DY40" s="128" t="e">
        <f>'PROJECT TA Y TB KARINA'!$T36/8</f>
        <v>#REF!</v>
      </c>
      <c r="DZ40" s="128" t="e">
        <f>'PROJECT TA Y TB KARINA'!$T36/8</f>
        <v>#REF!</v>
      </c>
      <c r="EA40" s="128" t="e">
        <f>'PROJECT TA Y TB KARINA'!$T36/8</f>
        <v>#REF!</v>
      </c>
      <c r="EB40" s="128" t="e">
        <f>'PROJECT TA Y TB KARINA'!$T36/8</f>
        <v>#REF!</v>
      </c>
      <c r="EC40" s="128" t="e">
        <f>'PROJECT TA Y TB KARINA'!$T36/8</f>
        <v>#REF!</v>
      </c>
      <c r="ED40" s="128" t="e">
        <f>'PROJECT TA Y TB KARINA'!$T36/8</f>
        <v>#REF!</v>
      </c>
      <c r="EE40" s="128" t="e">
        <f>'PROJECT TA Y TB KARINA'!$T36/8</f>
        <v>#REF!</v>
      </c>
      <c r="EF40" s="128" t="e">
        <f>'PROJECT TA Y TB KARINA'!$T36/8</f>
        <v>#REF!</v>
      </c>
      <c r="EG40" s="128" t="e">
        <f>'PROJECT TA Y TB KARINA'!#REF!/8</f>
        <v>#REF!</v>
      </c>
      <c r="EH40" s="128" t="e">
        <f>'PROJECT TA Y TB KARINA'!#REF!/8</f>
        <v>#REF!</v>
      </c>
      <c r="EI40" s="128" t="e">
        <f>'PROJECT TA Y TB KARINA'!#REF!/8</f>
        <v>#REF!</v>
      </c>
      <c r="EJ40" s="128" t="e">
        <f>'PROJECT TA Y TB KARINA'!#REF!/8</f>
        <v>#REF!</v>
      </c>
      <c r="EK40" s="128" t="e">
        <f>'PROJECT TA Y TB KARINA'!#REF!/8</f>
        <v>#REF!</v>
      </c>
      <c r="EL40" s="128" t="e">
        <f>'PROJECT TA Y TB KARINA'!#REF!/8</f>
        <v>#REF!</v>
      </c>
      <c r="EM40" s="128" t="e">
        <f>'PROJECT TA Y TB KARINA'!#REF!/8</f>
        <v>#REF!</v>
      </c>
      <c r="EN40" s="128" t="e">
        <f>'PROJECT TA Y TB KARINA'!#REF!/8</f>
        <v>#REF!</v>
      </c>
      <c r="EO40" s="128">
        <f>'PROJECT TA Y TB KARINA'!$C94/8</f>
        <v>0</v>
      </c>
      <c r="EP40" s="128">
        <f>'PROJECT TA Y TB KARINA'!$C94/8</f>
        <v>0</v>
      </c>
      <c r="EQ40" s="128">
        <f>'PROJECT TA Y TB KARINA'!$C94/8</f>
        <v>0</v>
      </c>
      <c r="ER40" s="128">
        <f>'PROJECT TA Y TB KARINA'!$C94/8</f>
        <v>0</v>
      </c>
      <c r="ES40" s="128">
        <f>'PROJECT TA Y TB KARINA'!$C94/8</f>
        <v>0</v>
      </c>
      <c r="ET40" s="128">
        <f>'PROJECT TA Y TB KARINA'!$C94/8</f>
        <v>0</v>
      </c>
      <c r="EU40" s="128">
        <f>'PROJECT TA Y TB KARINA'!$C94/8</f>
        <v>0</v>
      </c>
      <c r="EV40" s="128">
        <f>'PROJECT TA Y TB KARINA'!$E94/8</f>
        <v>0</v>
      </c>
      <c r="EW40" s="128">
        <f>'PROJECT TA Y TB KARINA'!$E94/8</f>
        <v>0</v>
      </c>
      <c r="EX40" s="128">
        <f>'PROJECT TA Y TB KARINA'!$E94/8</f>
        <v>0</v>
      </c>
      <c r="EY40" s="128">
        <f>'PROJECT TA Y TB KARINA'!$E94/8</f>
        <v>0</v>
      </c>
      <c r="EZ40" s="128">
        <f>'PROJECT TA Y TB KARINA'!$E94/8</f>
        <v>0</v>
      </c>
      <c r="FA40" s="128">
        <f>'PROJECT TA Y TB KARINA'!$E94/8</f>
        <v>0</v>
      </c>
      <c r="FB40" s="128">
        <f>'PROJECT TA Y TB KARINA'!$E94/8</f>
        <v>0</v>
      </c>
      <c r="FC40" s="128">
        <f>'PROJECT TA Y TB KARINA'!$E94/8</f>
        <v>0</v>
      </c>
      <c r="FD40" s="128">
        <f>'PROJECT TA Y TB KARINA'!$F94/8</f>
        <v>0</v>
      </c>
      <c r="FE40" s="128">
        <f>'PROJECT TA Y TB KARINA'!$F94/8</f>
        <v>0</v>
      </c>
      <c r="FF40" s="128">
        <f>'PROJECT TA Y TB KARINA'!$F94/8</f>
        <v>0</v>
      </c>
      <c r="FG40" s="128">
        <f>'PROJECT TA Y TB KARINA'!$F94/8</f>
        <v>0</v>
      </c>
      <c r="FH40" s="128">
        <f>'PROJECT TA Y TB KARINA'!$F94/8</f>
        <v>0</v>
      </c>
      <c r="FI40" s="128">
        <f>'PROJECT TA Y TB KARINA'!$F94/8</f>
        <v>0</v>
      </c>
      <c r="FJ40" s="128">
        <f>'PROJECT TA Y TB KARINA'!$F94/8</f>
        <v>0</v>
      </c>
      <c r="FK40" s="128">
        <f>'PROJECT TA Y TB KARINA'!$F94/8</f>
        <v>0</v>
      </c>
      <c r="FL40" s="128">
        <f>'PROJECT TA Y TB KARINA'!$G94/8</f>
        <v>0</v>
      </c>
      <c r="FM40" s="128">
        <f>'PROJECT TA Y TB KARINA'!$G94/8</f>
        <v>0</v>
      </c>
      <c r="FN40" s="128">
        <f>'PROJECT TA Y TB KARINA'!$G94/8</f>
        <v>0</v>
      </c>
      <c r="FO40" s="128">
        <f>'PROJECT TA Y TB KARINA'!$G94/8</f>
        <v>0</v>
      </c>
      <c r="FP40" s="128">
        <f>'PROJECT TA Y TB KARINA'!$G94/8</f>
        <v>0</v>
      </c>
      <c r="FQ40" s="128">
        <f>'PROJECT TA Y TB KARINA'!$G94/8</f>
        <v>0</v>
      </c>
      <c r="FR40" s="128">
        <f>'PROJECT TA Y TB KARINA'!$G94/8</f>
        <v>0</v>
      </c>
      <c r="FS40" s="128">
        <f>'PROJECT TA Y TB KARINA'!$G94/8</f>
        <v>0</v>
      </c>
      <c r="FT40" s="128">
        <f>'PROJECT TA Y TB KARINA'!$H94/8</f>
        <v>0</v>
      </c>
      <c r="FU40" s="128">
        <f>'PROJECT TA Y TB KARINA'!$H94/8</f>
        <v>0</v>
      </c>
      <c r="FV40" s="128">
        <f>'PROJECT TA Y TB KARINA'!$H94/8</f>
        <v>0</v>
      </c>
      <c r="FW40" s="128">
        <f>'PROJECT TA Y TB KARINA'!$H94/8</f>
        <v>0</v>
      </c>
      <c r="FX40" s="128">
        <f>'PROJECT TA Y TB KARINA'!$H94/8</f>
        <v>0</v>
      </c>
      <c r="FY40" s="128">
        <f>'PROJECT TA Y TB KARINA'!$H94/8</f>
        <v>0</v>
      </c>
      <c r="FZ40" s="128">
        <f>'PROJECT TA Y TB KARINA'!$H94/8</f>
        <v>0</v>
      </c>
      <c r="GA40" s="128">
        <f>'PROJECT TA Y TB KARINA'!$H94/8</f>
        <v>0</v>
      </c>
      <c r="GB40" s="128">
        <f>'PROJECT TA Y TB KARINA'!$I94/8</f>
        <v>0</v>
      </c>
      <c r="GC40" s="128">
        <f>'PROJECT TA Y TB KARINA'!$I94/8</f>
        <v>0</v>
      </c>
      <c r="GD40" s="128">
        <f>'PROJECT TA Y TB KARINA'!$I94/8</f>
        <v>0</v>
      </c>
      <c r="GE40" s="128">
        <f>'PROJECT TA Y TB KARINA'!$I94/8</f>
        <v>0</v>
      </c>
      <c r="GF40" s="128">
        <f>'PROJECT TA Y TB KARINA'!$I94/8</f>
        <v>0</v>
      </c>
      <c r="GG40" s="128">
        <f>'PROJECT TA Y TB KARINA'!$I94/8</f>
        <v>0</v>
      </c>
      <c r="GH40" s="128">
        <f>'PROJECT TA Y TB KARINA'!$I94/8</f>
        <v>0</v>
      </c>
      <c r="GI40" s="128">
        <f>'PROJECT TA Y TB KARINA'!$I94/8</f>
        <v>0</v>
      </c>
      <c r="GJ40" s="128">
        <f>'PROJECT TA Y TB KARINA'!$J94/8</f>
        <v>0</v>
      </c>
      <c r="GK40" s="128">
        <f>'PROJECT TA Y TB KARINA'!$J94/8</f>
        <v>0</v>
      </c>
      <c r="GL40" s="128">
        <f>'PROJECT TA Y TB KARINA'!$J94/8</f>
        <v>0</v>
      </c>
      <c r="GM40" s="128">
        <f>'PROJECT TA Y TB KARINA'!$J94/8</f>
        <v>0</v>
      </c>
      <c r="GN40" s="128">
        <f>'PROJECT TA Y TB KARINA'!$J94/8</f>
        <v>0</v>
      </c>
      <c r="GO40" s="128">
        <f>'PROJECT TA Y TB KARINA'!$J94/8</f>
        <v>0</v>
      </c>
      <c r="GP40" s="128">
        <f>'PROJECT TA Y TB KARINA'!$J94/8</f>
        <v>0</v>
      </c>
      <c r="GQ40" s="128">
        <f>'PROJECT TA Y TB KARINA'!$J94/8</f>
        <v>0</v>
      </c>
      <c r="GR40" s="128">
        <f>'PROJECT TA Y TB KARINA'!$K94/8</f>
        <v>0</v>
      </c>
      <c r="GS40" s="128">
        <f>'PROJECT TA Y TB KARINA'!$K94/8</f>
        <v>0</v>
      </c>
      <c r="GT40" s="128">
        <f>'PROJECT TA Y TB KARINA'!$K94/8</f>
        <v>0</v>
      </c>
      <c r="GU40" s="128">
        <f>'PROJECT TA Y TB KARINA'!$K94/8</f>
        <v>0</v>
      </c>
      <c r="GV40" s="128">
        <f>'PROJECT TA Y TB KARINA'!$K94/8</f>
        <v>0</v>
      </c>
      <c r="GW40" s="128">
        <f>'PROJECT TA Y TB KARINA'!$K94/8</f>
        <v>0</v>
      </c>
      <c r="GX40" s="128">
        <f>'PROJECT TA Y TB KARINA'!$K94/8</f>
        <v>0</v>
      </c>
      <c r="GY40" s="128">
        <f>'PROJECT TA Y TB KARINA'!$K94/8</f>
        <v>0</v>
      </c>
      <c r="GZ40" s="128">
        <f>'PROJECT TA Y TB KARINA'!$L94/8</f>
        <v>0</v>
      </c>
      <c r="HA40" s="128">
        <f>'PROJECT TA Y TB KARINA'!$L94/8</f>
        <v>0</v>
      </c>
      <c r="HB40" s="128">
        <f>'PROJECT TA Y TB KARINA'!$L94/8</f>
        <v>0</v>
      </c>
      <c r="HC40" s="128">
        <f>'PROJECT TA Y TB KARINA'!$L94/8</f>
        <v>0</v>
      </c>
      <c r="HD40" s="128">
        <f>'PROJECT TA Y TB KARINA'!$L94/8</f>
        <v>0</v>
      </c>
      <c r="HE40" s="128">
        <f>'PROJECT TA Y TB KARINA'!$L94/8</f>
        <v>0</v>
      </c>
      <c r="HF40" s="128">
        <f>'PROJECT TA Y TB KARINA'!$L94/8</f>
        <v>0</v>
      </c>
      <c r="HG40" s="128">
        <f>'PROJECT TA Y TB KARINA'!$L94/8</f>
        <v>0</v>
      </c>
      <c r="HH40" s="128">
        <f>'PROJECT TA Y TB KARINA'!$M94/8</f>
        <v>0</v>
      </c>
      <c r="HI40" s="128">
        <f>'PROJECT TA Y TB KARINA'!$M94/8</f>
        <v>0</v>
      </c>
      <c r="HJ40" s="128">
        <f>'PROJECT TA Y TB KARINA'!$M94/8</f>
        <v>0</v>
      </c>
      <c r="HK40" s="128">
        <f>'PROJECT TA Y TB KARINA'!$M94/8</f>
        <v>0</v>
      </c>
      <c r="HL40" s="128">
        <f>'PROJECT TA Y TB KARINA'!$M94/8</f>
        <v>0</v>
      </c>
      <c r="HM40" s="128">
        <f>'PROJECT TA Y TB KARINA'!$M94/8</f>
        <v>0</v>
      </c>
      <c r="HN40" s="128">
        <f>'PROJECT TA Y TB KARINA'!$M94/8</f>
        <v>0</v>
      </c>
      <c r="HO40" s="128">
        <f>'PROJECT TA Y TB KARINA'!$M94/8</f>
        <v>0</v>
      </c>
      <c r="HP40" s="128">
        <f>'PROJECT TA Y TB KARINA'!$N94/8</f>
        <v>0</v>
      </c>
      <c r="HQ40" s="128">
        <f>'PROJECT TA Y TB KARINA'!$N94/8</f>
        <v>0</v>
      </c>
      <c r="HR40" s="128">
        <f>'PROJECT TA Y TB KARINA'!$N94/8</f>
        <v>0</v>
      </c>
      <c r="HS40" s="128">
        <f>'PROJECT TA Y TB KARINA'!$N94/8</f>
        <v>0</v>
      </c>
      <c r="HT40" s="128">
        <f>'PROJECT TA Y TB KARINA'!$N94/8</f>
        <v>0</v>
      </c>
      <c r="HU40" s="128">
        <f>'PROJECT TA Y TB KARINA'!$N94/8</f>
        <v>0</v>
      </c>
      <c r="HV40" s="128">
        <f>'PROJECT TA Y TB KARINA'!$N94/8</f>
        <v>0</v>
      </c>
      <c r="HW40" s="128">
        <f>'PROJECT TA Y TB KARINA'!$N94/8</f>
        <v>0</v>
      </c>
      <c r="HX40" s="128">
        <f>'PROJECT TA Y TB KARINA'!$O94/8</f>
        <v>0</v>
      </c>
      <c r="HY40" s="128">
        <f>'PROJECT TA Y TB KARINA'!$O94/8</f>
        <v>0</v>
      </c>
      <c r="HZ40" s="128">
        <f>'PROJECT TA Y TB KARINA'!$O94/8</f>
        <v>0</v>
      </c>
      <c r="IA40" s="128">
        <f>'PROJECT TA Y TB KARINA'!$O94/8</f>
        <v>0</v>
      </c>
      <c r="IB40" s="128">
        <f>'PROJECT TA Y TB KARINA'!$O94/8</f>
        <v>0</v>
      </c>
      <c r="IC40" s="128">
        <f>'PROJECT TA Y TB KARINA'!$O94/8</f>
        <v>0</v>
      </c>
      <c r="ID40" s="128">
        <f>'PROJECT TA Y TB KARINA'!$O94/8</f>
        <v>0</v>
      </c>
      <c r="IE40" s="128">
        <f>'PROJECT TA Y TB KARINA'!$O94/8</f>
        <v>0</v>
      </c>
      <c r="IF40" s="128">
        <f>'PROJECT TA Y TB KARINA'!$P94/8</f>
        <v>0</v>
      </c>
      <c r="IG40" s="128">
        <f>'PROJECT TA Y TB KARINA'!$P94/8</f>
        <v>0</v>
      </c>
      <c r="IH40" s="128">
        <f>'PROJECT TA Y TB KARINA'!$P94/8</f>
        <v>0</v>
      </c>
      <c r="II40" s="128">
        <f>'PROJECT TA Y TB KARINA'!$P94/8</f>
        <v>0</v>
      </c>
      <c r="IJ40" s="128">
        <f>'PROJECT TA Y TB KARINA'!$P94/8</f>
        <v>0</v>
      </c>
      <c r="IK40" s="128">
        <f>'PROJECT TA Y TB KARINA'!$P94/8</f>
        <v>0</v>
      </c>
      <c r="IL40" s="128">
        <f>'PROJECT TA Y TB KARINA'!$P94/8</f>
        <v>0</v>
      </c>
      <c r="IM40" s="128">
        <f>'PROJECT TA Y TB KARINA'!$P94/8</f>
        <v>0</v>
      </c>
      <c r="IN40" s="128">
        <f>'PROJECT TA Y TB KARINA'!$Q94/8</f>
        <v>0</v>
      </c>
      <c r="IO40" s="128">
        <f>'PROJECT TA Y TB KARINA'!$Q94/8</f>
        <v>0</v>
      </c>
      <c r="IP40" s="128">
        <f>'PROJECT TA Y TB KARINA'!$Q94/8</f>
        <v>0</v>
      </c>
      <c r="IQ40" s="128">
        <f>'PROJECT TA Y TB KARINA'!$Q94/8</f>
        <v>0</v>
      </c>
      <c r="IR40" s="128">
        <f>'PROJECT TA Y TB KARINA'!$Q94/8</f>
        <v>0</v>
      </c>
      <c r="IS40" s="128">
        <f>'PROJECT TA Y TB KARINA'!$Q94/8</f>
        <v>0</v>
      </c>
      <c r="IT40" s="128">
        <f>'PROJECT TA Y TB KARINA'!$Q94/8</f>
        <v>0</v>
      </c>
      <c r="IU40" s="128">
        <f>'PROJECT TA Y TB KARINA'!$Q94/8</f>
        <v>0</v>
      </c>
      <c r="IV40" s="128">
        <f>'PROJECT TA Y TB KARINA'!$R94/8</f>
        <v>0</v>
      </c>
      <c r="IW40" s="128">
        <f>'PROJECT TA Y TB KARINA'!$R94/8</f>
        <v>0</v>
      </c>
      <c r="IX40" s="128">
        <f>'PROJECT TA Y TB KARINA'!$R94/8</f>
        <v>0</v>
      </c>
      <c r="IY40" s="128">
        <f>'PROJECT TA Y TB KARINA'!$R94/8</f>
        <v>0</v>
      </c>
      <c r="IZ40" s="128">
        <f>'PROJECT TA Y TB KARINA'!$R94/8</f>
        <v>0</v>
      </c>
      <c r="JA40" s="128">
        <f>'PROJECT TA Y TB KARINA'!$R94/8</f>
        <v>0</v>
      </c>
      <c r="JB40" s="128">
        <f>'PROJECT TA Y TB KARINA'!$R94/8</f>
        <v>0</v>
      </c>
      <c r="JC40" s="128">
        <f>'PROJECT TA Y TB KARINA'!$R94/8</f>
        <v>0</v>
      </c>
      <c r="JD40" s="128">
        <f>'PROJECT TA Y TB KARINA'!$S94/8</f>
        <v>0</v>
      </c>
      <c r="JE40" s="128">
        <f>'PROJECT TA Y TB KARINA'!$S94/8</f>
        <v>0</v>
      </c>
      <c r="JF40" s="128">
        <f>'PROJECT TA Y TB KARINA'!$S94/8</f>
        <v>0</v>
      </c>
      <c r="JG40" s="128">
        <f>'PROJECT TA Y TB KARINA'!$S94/8</f>
        <v>0</v>
      </c>
      <c r="JH40" s="128">
        <f>'PROJECT TA Y TB KARINA'!$S94/8</f>
        <v>0</v>
      </c>
      <c r="JI40" s="128">
        <f>'PROJECT TA Y TB KARINA'!$S94/8</f>
        <v>0</v>
      </c>
      <c r="JJ40" s="128">
        <f>'PROJECT TA Y TB KARINA'!$S94/8</f>
        <v>0</v>
      </c>
      <c r="JK40" s="128">
        <f>'PROJECT TA Y TB KARINA'!$S94/8</f>
        <v>0</v>
      </c>
      <c r="JL40" s="128">
        <f>'PROJECT TA Y TB KARINA'!$T94/8</f>
        <v>0</v>
      </c>
      <c r="JM40" s="128">
        <f>'PROJECT TA Y TB KARINA'!$T94/8</f>
        <v>0</v>
      </c>
      <c r="JN40" s="128">
        <f>'PROJECT TA Y TB KARINA'!$T94/8</f>
        <v>0</v>
      </c>
      <c r="JO40" s="128">
        <f>'PROJECT TA Y TB KARINA'!$T94/8</f>
        <v>0</v>
      </c>
      <c r="JP40" s="128">
        <f>'PROJECT TA Y TB KARINA'!$T94/8</f>
        <v>0</v>
      </c>
      <c r="JQ40" s="128">
        <f>'PROJECT TA Y TB KARINA'!$T94/8</f>
        <v>0</v>
      </c>
      <c r="JR40" s="128">
        <f>'PROJECT TA Y TB KARINA'!$T94/8</f>
        <v>0</v>
      </c>
      <c r="JS40" s="128">
        <f>'PROJECT TA Y TB KARINA'!$T94/8</f>
        <v>0</v>
      </c>
      <c r="JT40" s="128" t="e">
        <f>'PROJECT TA Y TB KARINA'!#REF!/8</f>
        <v>#REF!</v>
      </c>
      <c r="JU40" s="128" t="e">
        <f>'PROJECT TA Y TB KARINA'!#REF!/8</f>
        <v>#REF!</v>
      </c>
      <c r="JV40" s="128" t="e">
        <f>'PROJECT TA Y TB KARINA'!#REF!/8</f>
        <v>#REF!</v>
      </c>
      <c r="JW40" s="128" t="e">
        <f>'PROJECT TA Y TB KARINA'!#REF!/8</f>
        <v>#REF!</v>
      </c>
      <c r="JX40" s="128" t="e">
        <f>'PROJECT TA Y TB KARINA'!#REF!/8</f>
        <v>#REF!</v>
      </c>
      <c r="JY40" s="128" t="e">
        <f>'PROJECT TA Y TB KARINA'!#REF!/8</f>
        <v>#REF!</v>
      </c>
      <c r="JZ40" s="128" t="e">
        <f>'PROJECT TA Y TB KARINA'!#REF!/8</f>
        <v>#REF!</v>
      </c>
      <c r="KA40" s="128" t="e">
        <f>'PROJECT TA Y TB KARINA'!#REF!/8</f>
        <v>#REF!</v>
      </c>
    </row>
    <row r="41" spans="1:287" ht="21">
      <c r="A41" s="130" t="s">
        <v>494</v>
      </c>
      <c r="B41" s="128" t="e">
        <f>'PROJECT TA Y TB KARINA'!$C$37/8</f>
        <v>#REF!</v>
      </c>
      <c r="C41" s="128" t="e">
        <f>'PROJECT TA Y TB KARINA'!$C$37/8</f>
        <v>#REF!</v>
      </c>
      <c r="D41" s="128" t="e">
        <f>'PROJECT TA Y TB KARINA'!$C$37/8</f>
        <v>#REF!</v>
      </c>
      <c r="E41" s="128" t="e">
        <f>'PROJECT TA Y TB KARINA'!$C$37/8</f>
        <v>#REF!</v>
      </c>
      <c r="F41" s="128" t="e">
        <f>'PROJECT TA Y TB KARINA'!$C$37/8</f>
        <v>#REF!</v>
      </c>
      <c r="G41" s="128" t="e">
        <f>'PROJECT TA Y TB KARINA'!$C$37/8</f>
        <v>#REF!</v>
      </c>
      <c r="H41" s="128" t="e">
        <f>'PROJECT TA Y TB KARINA'!$C$37/8</f>
        <v>#REF!</v>
      </c>
      <c r="I41" s="128" t="e">
        <f>'PROJECT TA Y TB KARINA'!$E37/8</f>
        <v>#REF!</v>
      </c>
      <c r="J41" s="128" t="e">
        <f>'PROJECT TA Y TB KARINA'!$E37/8</f>
        <v>#REF!</v>
      </c>
      <c r="K41" s="128" t="e">
        <f>'PROJECT TA Y TB KARINA'!$E37/8</f>
        <v>#REF!</v>
      </c>
      <c r="L41" s="128" t="e">
        <f>'PROJECT TA Y TB KARINA'!$E37/8</f>
        <v>#REF!</v>
      </c>
      <c r="M41" s="128" t="e">
        <f>'PROJECT TA Y TB KARINA'!$E37/8</f>
        <v>#REF!</v>
      </c>
      <c r="N41" s="128" t="e">
        <f>'PROJECT TA Y TB KARINA'!$E37/8</f>
        <v>#REF!</v>
      </c>
      <c r="O41" s="128" t="e">
        <f>'PROJECT TA Y TB KARINA'!$E37/8</f>
        <v>#REF!</v>
      </c>
      <c r="P41" s="128" t="e">
        <f>'PROJECT TA Y TB KARINA'!$E37/8</f>
        <v>#REF!</v>
      </c>
      <c r="Q41" s="128" t="e">
        <f>'PROJECT TA Y TB KARINA'!$F37/8</f>
        <v>#REF!</v>
      </c>
      <c r="R41" s="128" t="e">
        <f>'PROJECT TA Y TB KARINA'!$F37/8</f>
        <v>#REF!</v>
      </c>
      <c r="S41" s="128" t="e">
        <f>'PROJECT TA Y TB KARINA'!$F37/8</f>
        <v>#REF!</v>
      </c>
      <c r="T41" s="128" t="e">
        <f>'PROJECT TA Y TB KARINA'!$F37/8</f>
        <v>#REF!</v>
      </c>
      <c r="U41" s="128" t="e">
        <f>'PROJECT TA Y TB KARINA'!$F37/8</f>
        <v>#REF!</v>
      </c>
      <c r="V41" s="128" t="e">
        <f>'PROJECT TA Y TB KARINA'!$F37/8</f>
        <v>#REF!</v>
      </c>
      <c r="W41" s="128" t="e">
        <f>'PROJECT TA Y TB KARINA'!$F37/8</f>
        <v>#REF!</v>
      </c>
      <c r="X41" s="128" t="e">
        <f>'PROJECT TA Y TB KARINA'!$F37/8</f>
        <v>#REF!</v>
      </c>
      <c r="Y41" s="128" t="e">
        <f>'PROJECT TA Y TB KARINA'!$G37/8</f>
        <v>#REF!</v>
      </c>
      <c r="Z41" s="128" t="e">
        <f>'PROJECT TA Y TB KARINA'!$G37/8</f>
        <v>#REF!</v>
      </c>
      <c r="AA41" s="128" t="e">
        <f>'PROJECT TA Y TB KARINA'!$G37/8</f>
        <v>#REF!</v>
      </c>
      <c r="AB41" s="128" t="e">
        <f>'PROJECT TA Y TB KARINA'!$G37/8</f>
        <v>#REF!</v>
      </c>
      <c r="AC41" s="128" t="e">
        <f>'PROJECT TA Y TB KARINA'!$G37/8</f>
        <v>#REF!</v>
      </c>
      <c r="AD41" s="128" t="e">
        <f>'PROJECT TA Y TB KARINA'!$G37/8</f>
        <v>#REF!</v>
      </c>
      <c r="AE41" s="128" t="e">
        <f>'PROJECT TA Y TB KARINA'!$G37/8</f>
        <v>#REF!</v>
      </c>
      <c r="AF41" s="128" t="e">
        <f>'PROJECT TA Y TB KARINA'!$G37/8</f>
        <v>#REF!</v>
      </c>
      <c r="AG41" s="128" t="e">
        <f>'PROJECT TA Y TB KARINA'!$H37/8</f>
        <v>#REF!</v>
      </c>
      <c r="AH41" s="128" t="e">
        <f>'PROJECT TA Y TB KARINA'!$H37/8</f>
        <v>#REF!</v>
      </c>
      <c r="AI41" s="128" t="e">
        <f>'PROJECT TA Y TB KARINA'!$H37/8</f>
        <v>#REF!</v>
      </c>
      <c r="AJ41" s="128" t="e">
        <f>'PROJECT TA Y TB KARINA'!$H37/8</f>
        <v>#REF!</v>
      </c>
      <c r="AK41" s="128" t="e">
        <f>'PROJECT TA Y TB KARINA'!$H37/8</f>
        <v>#REF!</v>
      </c>
      <c r="AL41" s="128" t="e">
        <f>'PROJECT TA Y TB KARINA'!$H37/8</f>
        <v>#REF!</v>
      </c>
      <c r="AM41" s="128" t="e">
        <f>'PROJECT TA Y TB KARINA'!$H37/8</f>
        <v>#REF!</v>
      </c>
      <c r="AN41" s="128" t="e">
        <f>'PROJECT TA Y TB KARINA'!$H37/8</f>
        <v>#REF!</v>
      </c>
      <c r="AO41" s="128" t="e">
        <f>'PROJECT TA Y TB KARINA'!$I37/8</f>
        <v>#REF!</v>
      </c>
      <c r="AP41" s="128" t="e">
        <f>'PROJECT TA Y TB KARINA'!$I37/8</f>
        <v>#REF!</v>
      </c>
      <c r="AQ41" s="128" t="e">
        <f>'PROJECT TA Y TB KARINA'!$I37/8</f>
        <v>#REF!</v>
      </c>
      <c r="AR41" s="128" t="e">
        <f>'PROJECT TA Y TB KARINA'!$I37/8</f>
        <v>#REF!</v>
      </c>
      <c r="AS41" s="128" t="e">
        <f>'PROJECT TA Y TB KARINA'!$I37/8</f>
        <v>#REF!</v>
      </c>
      <c r="AT41" s="128" t="e">
        <f>'PROJECT TA Y TB KARINA'!$I37/8</f>
        <v>#REF!</v>
      </c>
      <c r="AU41" s="128" t="e">
        <f>'PROJECT TA Y TB KARINA'!$I37/8</f>
        <v>#REF!</v>
      </c>
      <c r="AV41" s="128" t="e">
        <f>'PROJECT TA Y TB KARINA'!$I37/8</f>
        <v>#REF!</v>
      </c>
      <c r="AW41" s="128" t="e">
        <f>'PROJECT TA Y TB KARINA'!$J37/8</f>
        <v>#REF!</v>
      </c>
      <c r="AX41" s="128" t="e">
        <f>'PROJECT TA Y TB KARINA'!$J37/8</f>
        <v>#REF!</v>
      </c>
      <c r="AY41" s="128" t="e">
        <f>'PROJECT TA Y TB KARINA'!$J37/8</f>
        <v>#REF!</v>
      </c>
      <c r="AZ41" s="128" t="e">
        <f>'PROJECT TA Y TB KARINA'!$J37/8</f>
        <v>#REF!</v>
      </c>
      <c r="BA41" s="128" t="e">
        <f>'PROJECT TA Y TB KARINA'!$J37/8</f>
        <v>#REF!</v>
      </c>
      <c r="BB41" s="128" t="e">
        <f>'PROJECT TA Y TB KARINA'!$J37/8</f>
        <v>#REF!</v>
      </c>
      <c r="BC41" s="128" t="e">
        <f>'PROJECT TA Y TB KARINA'!$J37/8</f>
        <v>#REF!</v>
      </c>
      <c r="BD41" s="128" t="e">
        <f>'PROJECT TA Y TB KARINA'!$J37/8</f>
        <v>#REF!</v>
      </c>
      <c r="BE41" s="128" t="e">
        <f>'PROJECT TA Y TB KARINA'!$K37/8</f>
        <v>#REF!</v>
      </c>
      <c r="BF41" s="128" t="e">
        <f>'PROJECT TA Y TB KARINA'!$K37/8</f>
        <v>#REF!</v>
      </c>
      <c r="BG41" s="128" t="e">
        <f>'PROJECT TA Y TB KARINA'!$K37/8</f>
        <v>#REF!</v>
      </c>
      <c r="BH41" s="128" t="e">
        <f>'PROJECT TA Y TB KARINA'!$K37/8</f>
        <v>#REF!</v>
      </c>
      <c r="BI41" s="128" t="e">
        <f>'PROJECT TA Y TB KARINA'!$K37/8</f>
        <v>#REF!</v>
      </c>
      <c r="BJ41" s="128" t="e">
        <f>'PROJECT TA Y TB KARINA'!$K37/8</f>
        <v>#REF!</v>
      </c>
      <c r="BK41" s="128" t="e">
        <f>'PROJECT TA Y TB KARINA'!$K37/8</f>
        <v>#REF!</v>
      </c>
      <c r="BL41" s="128" t="e">
        <f>'PROJECT TA Y TB KARINA'!$K37/8</f>
        <v>#REF!</v>
      </c>
      <c r="BM41" s="128" t="e">
        <f>'PROJECT TA Y TB KARINA'!$L37/8</f>
        <v>#REF!</v>
      </c>
      <c r="BN41" s="128" t="e">
        <f>'PROJECT TA Y TB KARINA'!$L37/8</f>
        <v>#REF!</v>
      </c>
      <c r="BO41" s="128" t="e">
        <f>'PROJECT TA Y TB KARINA'!$L37/8</f>
        <v>#REF!</v>
      </c>
      <c r="BP41" s="128" t="e">
        <f>'PROJECT TA Y TB KARINA'!$L37/8</f>
        <v>#REF!</v>
      </c>
      <c r="BQ41" s="128" t="e">
        <f>'PROJECT TA Y TB KARINA'!$L37/8</f>
        <v>#REF!</v>
      </c>
      <c r="BR41" s="128" t="e">
        <f>'PROJECT TA Y TB KARINA'!$L37/8</f>
        <v>#REF!</v>
      </c>
      <c r="BS41" s="128" t="e">
        <f>'PROJECT TA Y TB KARINA'!$L37/8</f>
        <v>#REF!</v>
      </c>
      <c r="BT41" s="128" t="e">
        <f>'PROJECT TA Y TB KARINA'!$L37/8</f>
        <v>#REF!</v>
      </c>
      <c r="BU41" s="128" t="e">
        <f>'PROJECT TA Y TB KARINA'!$M37/8</f>
        <v>#REF!</v>
      </c>
      <c r="BV41" s="128" t="e">
        <f>'PROJECT TA Y TB KARINA'!$M37/8</f>
        <v>#REF!</v>
      </c>
      <c r="BW41" s="128" t="e">
        <f>'PROJECT TA Y TB KARINA'!$M37/8</f>
        <v>#REF!</v>
      </c>
      <c r="BX41" s="128" t="e">
        <f>'PROJECT TA Y TB KARINA'!$M37/8</f>
        <v>#REF!</v>
      </c>
      <c r="BY41" s="128" t="e">
        <f>'PROJECT TA Y TB KARINA'!$M37/8</f>
        <v>#REF!</v>
      </c>
      <c r="BZ41" s="128" t="e">
        <f>'PROJECT TA Y TB KARINA'!$M37/8</f>
        <v>#REF!</v>
      </c>
      <c r="CA41" s="128" t="e">
        <f>'PROJECT TA Y TB KARINA'!$M37/8</f>
        <v>#REF!</v>
      </c>
      <c r="CB41" s="128" t="e">
        <f>'PROJECT TA Y TB KARINA'!$M37/8</f>
        <v>#REF!</v>
      </c>
      <c r="CC41" s="128" t="e">
        <f>'PROJECT TA Y TB KARINA'!$N37/8</f>
        <v>#REF!</v>
      </c>
      <c r="CD41" s="128" t="e">
        <f>'PROJECT TA Y TB KARINA'!$N37/8</f>
        <v>#REF!</v>
      </c>
      <c r="CE41" s="128" t="e">
        <f>'PROJECT TA Y TB KARINA'!$N37/8</f>
        <v>#REF!</v>
      </c>
      <c r="CF41" s="128" t="e">
        <f>'PROJECT TA Y TB KARINA'!$N37/8</f>
        <v>#REF!</v>
      </c>
      <c r="CG41" s="128" t="e">
        <f>'PROJECT TA Y TB KARINA'!$N37/8</f>
        <v>#REF!</v>
      </c>
      <c r="CH41" s="128" t="e">
        <f>'PROJECT TA Y TB KARINA'!$N37/8</f>
        <v>#REF!</v>
      </c>
      <c r="CI41" s="128" t="e">
        <f>'PROJECT TA Y TB KARINA'!$N37/8</f>
        <v>#REF!</v>
      </c>
      <c r="CJ41" s="128" t="e">
        <f>'PROJECT TA Y TB KARINA'!$N37/8</f>
        <v>#REF!</v>
      </c>
      <c r="CK41" s="128" t="e">
        <f>'PROJECT TA Y TB KARINA'!$O37/8</f>
        <v>#REF!</v>
      </c>
      <c r="CL41" s="128" t="e">
        <f>'PROJECT TA Y TB KARINA'!$O37/8</f>
        <v>#REF!</v>
      </c>
      <c r="CM41" s="128" t="e">
        <f>'PROJECT TA Y TB KARINA'!$O37/8</f>
        <v>#REF!</v>
      </c>
      <c r="CN41" s="128" t="e">
        <f>'PROJECT TA Y TB KARINA'!$O37/8</f>
        <v>#REF!</v>
      </c>
      <c r="CO41" s="128" t="e">
        <f>'PROJECT TA Y TB KARINA'!$O37/8</f>
        <v>#REF!</v>
      </c>
      <c r="CP41" s="128" t="e">
        <f>'PROJECT TA Y TB KARINA'!$O37/8</f>
        <v>#REF!</v>
      </c>
      <c r="CQ41" s="128" t="e">
        <f>'PROJECT TA Y TB KARINA'!$O37/8</f>
        <v>#REF!</v>
      </c>
      <c r="CR41" s="128" t="e">
        <f>'PROJECT TA Y TB KARINA'!$O37/8</f>
        <v>#REF!</v>
      </c>
      <c r="CS41" s="128" t="e">
        <f>'PROJECT TA Y TB KARINA'!$P37/8</f>
        <v>#REF!</v>
      </c>
      <c r="CT41" s="128" t="e">
        <f>'PROJECT TA Y TB KARINA'!$P37/8</f>
        <v>#REF!</v>
      </c>
      <c r="CU41" s="128" t="e">
        <f>'PROJECT TA Y TB KARINA'!$P37/8</f>
        <v>#REF!</v>
      </c>
      <c r="CV41" s="128" t="e">
        <f>'PROJECT TA Y TB KARINA'!$P37/8</f>
        <v>#REF!</v>
      </c>
      <c r="CW41" s="128" t="e">
        <f>'PROJECT TA Y TB KARINA'!$P37/8</f>
        <v>#REF!</v>
      </c>
      <c r="CX41" s="128" t="e">
        <f>'PROJECT TA Y TB KARINA'!$P37/8</f>
        <v>#REF!</v>
      </c>
      <c r="CY41" s="128" t="e">
        <f>'PROJECT TA Y TB KARINA'!$P37/8</f>
        <v>#REF!</v>
      </c>
      <c r="CZ41" s="128" t="e">
        <f>'PROJECT TA Y TB KARINA'!$P37/8</f>
        <v>#REF!</v>
      </c>
      <c r="DA41" s="128" t="e">
        <f>'PROJECT TA Y TB KARINA'!$Q37/8</f>
        <v>#REF!</v>
      </c>
      <c r="DB41" s="128" t="e">
        <f>'PROJECT TA Y TB KARINA'!$Q37/8</f>
        <v>#REF!</v>
      </c>
      <c r="DC41" s="128" t="e">
        <f>'PROJECT TA Y TB KARINA'!$Q37/8</f>
        <v>#REF!</v>
      </c>
      <c r="DD41" s="128" t="e">
        <f>'PROJECT TA Y TB KARINA'!$Q37/8</f>
        <v>#REF!</v>
      </c>
      <c r="DE41" s="128" t="e">
        <f>'PROJECT TA Y TB KARINA'!$Q37/8</f>
        <v>#REF!</v>
      </c>
      <c r="DF41" s="128" t="e">
        <f>'PROJECT TA Y TB KARINA'!$Q37/8</f>
        <v>#REF!</v>
      </c>
      <c r="DG41" s="128" t="e">
        <f>'PROJECT TA Y TB KARINA'!$Q37/8</f>
        <v>#REF!</v>
      </c>
      <c r="DH41" s="128" t="e">
        <f>'PROJECT TA Y TB KARINA'!$Q37/8</f>
        <v>#REF!</v>
      </c>
      <c r="DI41" s="128" t="e">
        <f>'PROJECT TA Y TB KARINA'!$R37/8</f>
        <v>#REF!</v>
      </c>
      <c r="DJ41" s="128" t="e">
        <f>'PROJECT TA Y TB KARINA'!$R37/8</f>
        <v>#REF!</v>
      </c>
      <c r="DK41" s="128" t="e">
        <f>'PROJECT TA Y TB KARINA'!$R37/8</f>
        <v>#REF!</v>
      </c>
      <c r="DL41" s="128" t="e">
        <f>'PROJECT TA Y TB KARINA'!$R37/8</f>
        <v>#REF!</v>
      </c>
      <c r="DM41" s="128" t="e">
        <f>'PROJECT TA Y TB KARINA'!$R37/8</f>
        <v>#REF!</v>
      </c>
      <c r="DN41" s="128" t="e">
        <f>'PROJECT TA Y TB KARINA'!$R37/8</f>
        <v>#REF!</v>
      </c>
      <c r="DO41" s="128" t="e">
        <f>'PROJECT TA Y TB KARINA'!$R37/8</f>
        <v>#REF!</v>
      </c>
      <c r="DP41" s="128" t="e">
        <f>'PROJECT TA Y TB KARINA'!$R37/8</f>
        <v>#REF!</v>
      </c>
      <c r="DQ41" s="128" t="e">
        <f>'PROJECT TA Y TB KARINA'!$S37/8</f>
        <v>#REF!</v>
      </c>
      <c r="DR41" s="128" t="e">
        <f>'PROJECT TA Y TB KARINA'!$S37/8</f>
        <v>#REF!</v>
      </c>
      <c r="DS41" s="128" t="e">
        <f>'PROJECT TA Y TB KARINA'!$S37/8</f>
        <v>#REF!</v>
      </c>
      <c r="DT41" s="128" t="e">
        <f>'PROJECT TA Y TB KARINA'!$S37/8</f>
        <v>#REF!</v>
      </c>
      <c r="DU41" s="128" t="e">
        <f>'PROJECT TA Y TB KARINA'!$S37/8</f>
        <v>#REF!</v>
      </c>
      <c r="DV41" s="128" t="e">
        <f>'PROJECT TA Y TB KARINA'!$S37/8</f>
        <v>#REF!</v>
      </c>
      <c r="DW41" s="128" t="e">
        <f>'PROJECT TA Y TB KARINA'!$S37/8</f>
        <v>#REF!</v>
      </c>
      <c r="DX41" s="128" t="e">
        <f>'PROJECT TA Y TB KARINA'!$S37/8</f>
        <v>#REF!</v>
      </c>
      <c r="DY41" s="128" t="e">
        <f>'PROJECT TA Y TB KARINA'!$T37/8</f>
        <v>#REF!</v>
      </c>
      <c r="DZ41" s="128" t="e">
        <f>'PROJECT TA Y TB KARINA'!$T37/8</f>
        <v>#REF!</v>
      </c>
      <c r="EA41" s="128" t="e">
        <f>'PROJECT TA Y TB KARINA'!$T37/8</f>
        <v>#REF!</v>
      </c>
      <c r="EB41" s="128" t="e">
        <f>'PROJECT TA Y TB KARINA'!$T37/8</f>
        <v>#REF!</v>
      </c>
      <c r="EC41" s="128" t="e">
        <f>'PROJECT TA Y TB KARINA'!$T37/8</f>
        <v>#REF!</v>
      </c>
      <c r="ED41" s="128" t="e">
        <f>'PROJECT TA Y TB KARINA'!$T37/8</f>
        <v>#REF!</v>
      </c>
      <c r="EE41" s="128" t="e">
        <f>'PROJECT TA Y TB KARINA'!$T37/8</f>
        <v>#REF!</v>
      </c>
      <c r="EF41" s="128" t="e">
        <f>'PROJECT TA Y TB KARINA'!$T37/8</f>
        <v>#REF!</v>
      </c>
      <c r="EG41" s="128" t="e">
        <f>'PROJECT TA Y TB KARINA'!#REF!/8</f>
        <v>#REF!</v>
      </c>
      <c r="EH41" s="128" t="e">
        <f>'PROJECT TA Y TB KARINA'!#REF!/8</f>
        <v>#REF!</v>
      </c>
      <c r="EI41" s="128" t="e">
        <f>'PROJECT TA Y TB KARINA'!#REF!/8</f>
        <v>#REF!</v>
      </c>
      <c r="EJ41" s="128" t="e">
        <f>'PROJECT TA Y TB KARINA'!#REF!/8</f>
        <v>#REF!</v>
      </c>
      <c r="EK41" s="128" t="e">
        <f>'PROJECT TA Y TB KARINA'!#REF!/8</f>
        <v>#REF!</v>
      </c>
      <c r="EL41" s="128" t="e">
        <f>'PROJECT TA Y TB KARINA'!#REF!/8</f>
        <v>#REF!</v>
      </c>
      <c r="EM41" s="128" t="e">
        <f>'PROJECT TA Y TB KARINA'!#REF!/8</f>
        <v>#REF!</v>
      </c>
      <c r="EN41" s="128" t="e">
        <f>'PROJECT TA Y TB KARINA'!#REF!/8</f>
        <v>#REF!</v>
      </c>
      <c r="EO41" s="128">
        <f>'PROJECT TA Y TB KARINA'!$C95/8</f>
        <v>0</v>
      </c>
      <c r="EP41" s="128">
        <f>'PROJECT TA Y TB KARINA'!$C95/8</f>
        <v>0</v>
      </c>
      <c r="EQ41" s="128">
        <f>'PROJECT TA Y TB KARINA'!$C95/8</f>
        <v>0</v>
      </c>
      <c r="ER41" s="128">
        <f>'PROJECT TA Y TB KARINA'!$C95/8</f>
        <v>0</v>
      </c>
      <c r="ES41" s="128">
        <f>'PROJECT TA Y TB KARINA'!$C95/8</f>
        <v>0</v>
      </c>
      <c r="ET41" s="128">
        <f>'PROJECT TA Y TB KARINA'!$C95/8</f>
        <v>0</v>
      </c>
      <c r="EU41" s="128">
        <f>'PROJECT TA Y TB KARINA'!$C95/8</f>
        <v>0</v>
      </c>
      <c r="EV41" s="128">
        <f>'PROJECT TA Y TB KARINA'!$E95/8</f>
        <v>0</v>
      </c>
      <c r="EW41" s="128">
        <f>'PROJECT TA Y TB KARINA'!$E95/8</f>
        <v>0</v>
      </c>
      <c r="EX41" s="128">
        <f>'PROJECT TA Y TB KARINA'!$E95/8</f>
        <v>0</v>
      </c>
      <c r="EY41" s="128">
        <f>'PROJECT TA Y TB KARINA'!$E95/8</f>
        <v>0</v>
      </c>
      <c r="EZ41" s="128">
        <f>'PROJECT TA Y TB KARINA'!$E95/8</f>
        <v>0</v>
      </c>
      <c r="FA41" s="128">
        <f>'PROJECT TA Y TB KARINA'!$E95/8</f>
        <v>0</v>
      </c>
      <c r="FB41" s="128">
        <f>'PROJECT TA Y TB KARINA'!$E95/8</f>
        <v>0</v>
      </c>
      <c r="FC41" s="128">
        <f>'PROJECT TA Y TB KARINA'!$E95/8</f>
        <v>0</v>
      </c>
      <c r="FD41" s="128">
        <f>'PROJECT TA Y TB KARINA'!$F95/8</f>
        <v>0</v>
      </c>
      <c r="FE41" s="128">
        <f>'PROJECT TA Y TB KARINA'!$F95/8</f>
        <v>0</v>
      </c>
      <c r="FF41" s="128">
        <f>'PROJECT TA Y TB KARINA'!$F95/8</f>
        <v>0</v>
      </c>
      <c r="FG41" s="128">
        <f>'PROJECT TA Y TB KARINA'!$F95/8</f>
        <v>0</v>
      </c>
      <c r="FH41" s="128">
        <f>'PROJECT TA Y TB KARINA'!$F95/8</f>
        <v>0</v>
      </c>
      <c r="FI41" s="128">
        <f>'PROJECT TA Y TB KARINA'!$F95/8</f>
        <v>0</v>
      </c>
      <c r="FJ41" s="128">
        <f>'PROJECT TA Y TB KARINA'!$F95/8</f>
        <v>0</v>
      </c>
      <c r="FK41" s="128">
        <f>'PROJECT TA Y TB KARINA'!$F95/8</f>
        <v>0</v>
      </c>
      <c r="FL41" s="128">
        <f>'PROJECT TA Y TB KARINA'!$G95/8</f>
        <v>0</v>
      </c>
      <c r="FM41" s="128">
        <f>'PROJECT TA Y TB KARINA'!$G95/8</f>
        <v>0</v>
      </c>
      <c r="FN41" s="128">
        <f>'PROJECT TA Y TB KARINA'!$G95/8</f>
        <v>0</v>
      </c>
      <c r="FO41" s="128">
        <f>'PROJECT TA Y TB KARINA'!$G95/8</f>
        <v>0</v>
      </c>
      <c r="FP41" s="128">
        <f>'PROJECT TA Y TB KARINA'!$G95/8</f>
        <v>0</v>
      </c>
      <c r="FQ41" s="128">
        <f>'PROJECT TA Y TB KARINA'!$G95/8</f>
        <v>0</v>
      </c>
      <c r="FR41" s="128">
        <f>'PROJECT TA Y TB KARINA'!$G95/8</f>
        <v>0</v>
      </c>
      <c r="FS41" s="128">
        <f>'PROJECT TA Y TB KARINA'!$G95/8</f>
        <v>0</v>
      </c>
      <c r="FT41" s="128">
        <f>'PROJECT TA Y TB KARINA'!$H95/8</f>
        <v>0</v>
      </c>
      <c r="FU41" s="128">
        <f>'PROJECT TA Y TB KARINA'!$H95/8</f>
        <v>0</v>
      </c>
      <c r="FV41" s="128">
        <f>'PROJECT TA Y TB KARINA'!$H95/8</f>
        <v>0</v>
      </c>
      <c r="FW41" s="128">
        <f>'PROJECT TA Y TB KARINA'!$H95/8</f>
        <v>0</v>
      </c>
      <c r="FX41" s="128">
        <f>'PROJECT TA Y TB KARINA'!$H95/8</f>
        <v>0</v>
      </c>
      <c r="FY41" s="128">
        <f>'PROJECT TA Y TB KARINA'!$H95/8</f>
        <v>0</v>
      </c>
      <c r="FZ41" s="128">
        <f>'PROJECT TA Y TB KARINA'!$H95/8</f>
        <v>0</v>
      </c>
      <c r="GA41" s="128">
        <f>'PROJECT TA Y TB KARINA'!$H95/8</f>
        <v>0</v>
      </c>
      <c r="GB41" s="128">
        <f>'PROJECT TA Y TB KARINA'!$I95/8</f>
        <v>0</v>
      </c>
      <c r="GC41" s="128">
        <f>'PROJECT TA Y TB KARINA'!$I95/8</f>
        <v>0</v>
      </c>
      <c r="GD41" s="128">
        <f>'PROJECT TA Y TB KARINA'!$I95/8</f>
        <v>0</v>
      </c>
      <c r="GE41" s="128">
        <f>'PROJECT TA Y TB KARINA'!$I95/8</f>
        <v>0</v>
      </c>
      <c r="GF41" s="128">
        <f>'PROJECT TA Y TB KARINA'!$I95/8</f>
        <v>0</v>
      </c>
      <c r="GG41" s="128">
        <f>'PROJECT TA Y TB KARINA'!$I95/8</f>
        <v>0</v>
      </c>
      <c r="GH41" s="128">
        <f>'PROJECT TA Y TB KARINA'!$I95/8</f>
        <v>0</v>
      </c>
      <c r="GI41" s="128">
        <f>'PROJECT TA Y TB KARINA'!$I95/8</f>
        <v>0</v>
      </c>
      <c r="GJ41" s="128">
        <f>'PROJECT TA Y TB KARINA'!$J95/8</f>
        <v>0</v>
      </c>
      <c r="GK41" s="128">
        <f>'PROJECT TA Y TB KARINA'!$J95/8</f>
        <v>0</v>
      </c>
      <c r="GL41" s="128">
        <f>'PROJECT TA Y TB KARINA'!$J95/8</f>
        <v>0</v>
      </c>
      <c r="GM41" s="128">
        <f>'PROJECT TA Y TB KARINA'!$J95/8</f>
        <v>0</v>
      </c>
      <c r="GN41" s="128">
        <f>'PROJECT TA Y TB KARINA'!$J95/8</f>
        <v>0</v>
      </c>
      <c r="GO41" s="128">
        <f>'PROJECT TA Y TB KARINA'!$J95/8</f>
        <v>0</v>
      </c>
      <c r="GP41" s="128">
        <f>'PROJECT TA Y TB KARINA'!$J95/8</f>
        <v>0</v>
      </c>
      <c r="GQ41" s="128">
        <f>'PROJECT TA Y TB KARINA'!$J95/8</f>
        <v>0</v>
      </c>
      <c r="GR41" s="128">
        <f>'PROJECT TA Y TB KARINA'!$K95/8</f>
        <v>0</v>
      </c>
      <c r="GS41" s="128">
        <f>'PROJECT TA Y TB KARINA'!$K95/8</f>
        <v>0</v>
      </c>
      <c r="GT41" s="128">
        <f>'PROJECT TA Y TB KARINA'!$K95/8</f>
        <v>0</v>
      </c>
      <c r="GU41" s="128">
        <f>'PROJECT TA Y TB KARINA'!$K95/8</f>
        <v>0</v>
      </c>
      <c r="GV41" s="128">
        <f>'PROJECT TA Y TB KARINA'!$K95/8</f>
        <v>0</v>
      </c>
      <c r="GW41" s="128">
        <f>'PROJECT TA Y TB KARINA'!$K95/8</f>
        <v>0</v>
      </c>
      <c r="GX41" s="128">
        <f>'PROJECT TA Y TB KARINA'!$K95/8</f>
        <v>0</v>
      </c>
      <c r="GY41" s="128">
        <f>'PROJECT TA Y TB KARINA'!$K95/8</f>
        <v>0</v>
      </c>
      <c r="GZ41" s="128">
        <f>'PROJECT TA Y TB KARINA'!$L95/8</f>
        <v>0</v>
      </c>
      <c r="HA41" s="128">
        <f>'PROJECT TA Y TB KARINA'!$L95/8</f>
        <v>0</v>
      </c>
      <c r="HB41" s="128">
        <f>'PROJECT TA Y TB KARINA'!$L95/8</f>
        <v>0</v>
      </c>
      <c r="HC41" s="128">
        <f>'PROJECT TA Y TB KARINA'!$L95/8</f>
        <v>0</v>
      </c>
      <c r="HD41" s="128">
        <f>'PROJECT TA Y TB KARINA'!$L95/8</f>
        <v>0</v>
      </c>
      <c r="HE41" s="128">
        <f>'PROJECT TA Y TB KARINA'!$L95/8</f>
        <v>0</v>
      </c>
      <c r="HF41" s="128">
        <f>'PROJECT TA Y TB KARINA'!$L95/8</f>
        <v>0</v>
      </c>
      <c r="HG41" s="128">
        <f>'PROJECT TA Y TB KARINA'!$L95/8</f>
        <v>0</v>
      </c>
      <c r="HH41" s="128">
        <f>'PROJECT TA Y TB KARINA'!$M95/8</f>
        <v>0</v>
      </c>
      <c r="HI41" s="128">
        <f>'PROJECT TA Y TB KARINA'!$M95/8</f>
        <v>0</v>
      </c>
      <c r="HJ41" s="128">
        <f>'PROJECT TA Y TB KARINA'!$M95/8</f>
        <v>0</v>
      </c>
      <c r="HK41" s="128">
        <f>'PROJECT TA Y TB KARINA'!$M95/8</f>
        <v>0</v>
      </c>
      <c r="HL41" s="128">
        <f>'PROJECT TA Y TB KARINA'!$M95/8</f>
        <v>0</v>
      </c>
      <c r="HM41" s="128">
        <f>'PROJECT TA Y TB KARINA'!$M95/8</f>
        <v>0</v>
      </c>
      <c r="HN41" s="128">
        <f>'PROJECT TA Y TB KARINA'!$M95/8</f>
        <v>0</v>
      </c>
      <c r="HO41" s="128">
        <f>'PROJECT TA Y TB KARINA'!$M95/8</f>
        <v>0</v>
      </c>
      <c r="HP41" s="128">
        <f>'PROJECT TA Y TB KARINA'!$N95/8</f>
        <v>0</v>
      </c>
      <c r="HQ41" s="128">
        <f>'PROJECT TA Y TB KARINA'!$N95/8</f>
        <v>0</v>
      </c>
      <c r="HR41" s="128">
        <f>'PROJECT TA Y TB KARINA'!$N95/8</f>
        <v>0</v>
      </c>
      <c r="HS41" s="128">
        <f>'PROJECT TA Y TB KARINA'!$N95/8</f>
        <v>0</v>
      </c>
      <c r="HT41" s="128">
        <f>'PROJECT TA Y TB KARINA'!$N95/8</f>
        <v>0</v>
      </c>
      <c r="HU41" s="128">
        <f>'PROJECT TA Y TB KARINA'!$N95/8</f>
        <v>0</v>
      </c>
      <c r="HV41" s="128">
        <f>'PROJECT TA Y TB KARINA'!$N95/8</f>
        <v>0</v>
      </c>
      <c r="HW41" s="128">
        <f>'PROJECT TA Y TB KARINA'!$N95/8</f>
        <v>0</v>
      </c>
      <c r="HX41" s="128">
        <f>'PROJECT TA Y TB KARINA'!$O95/8</f>
        <v>0</v>
      </c>
      <c r="HY41" s="128">
        <f>'PROJECT TA Y TB KARINA'!$O95/8</f>
        <v>0</v>
      </c>
      <c r="HZ41" s="128">
        <f>'PROJECT TA Y TB KARINA'!$O95/8</f>
        <v>0</v>
      </c>
      <c r="IA41" s="128">
        <f>'PROJECT TA Y TB KARINA'!$O95/8</f>
        <v>0</v>
      </c>
      <c r="IB41" s="128">
        <f>'PROJECT TA Y TB KARINA'!$O95/8</f>
        <v>0</v>
      </c>
      <c r="IC41" s="128">
        <f>'PROJECT TA Y TB KARINA'!$O95/8</f>
        <v>0</v>
      </c>
      <c r="ID41" s="128">
        <f>'PROJECT TA Y TB KARINA'!$O95/8</f>
        <v>0</v>
      </c>
      <c r="IE41" s="128">
        <f>'PROJECT TA Y TB KARINA'!$O95/8</f>
        <v>0</v>
      </c>
      <c r="IF41" s="128">
        <f>'PROJECT TA Y TB KARINA'!$P95/8</f>
        <v>0</v>
      </c>
      <c r="IG41" s="128">
        <f>'PROJECT TA Y TB KARINA'!$P95/8</f>
        <v>0</v>
      </c>
      <c r="IH41" s="128">
        <f>'PROJECT TA Y TB KARINA'!$P95/8</f>
        <v>0</v>
      </c>
      <c r="II41" s="128">
        <f>'PROJECT TA Y TB KARINA'!$P95/8</f>
        <v>0</v>
      </c>
      <c r="IJ41" s="128">
        <f>'PROJECT TA Y TB KARINA'!$P95/8</f>
        <v>0</v>
      </c>
      <c r="IK41" s="128">
        <f>'PROJECT TA Y TB KARINA'!$P95/8</f>
        <v>0</v>
      </c>
      <c r="IL41" s="128">
        <f>'PROJECT TA Y TB KARINA'!$P95/8</f>
        <v>0</v>
      </c>
      <c r="IM41" s="128">
        <f>'PROJECT TA Y TB KARINA'!$P95/8</f>
        <v>0</v>
      </c>
      <c r="IN41" s="128">
        <f>'PROJECT TA Y TB KARINA'!$Q95/8</f>
        <v>0</v>
      </c>
      <c r="IO41" s="128">
        <f>'PROJECT TA Y TB KARINA'!$Q95/8</f>
        <v>0</v>
      </c>
      <c r="IP41" s="128">
        <f>'PROJECT TA Y TB KARINA'!$Q95/8</f>
        <v>0</v>
      </c>
      <c r="IQ41" s="128">
        <f>'PROJECT TA Y TB KARINA'!$Q95/8</f>
        <v>0</v>
      </c>
      <c r="IR41" s="128">
        <f>'PROJECT TA Y TB KARINA'!$Q95/8</f>
        <v>0</v>
      </c>
      <c r="IS41" s="128">
        <f>'PROJECT TA Y TB KARINA'!$Q95/8</f>
        <v>0</v>
      </c>
      <c r="IT41" s="128">
        <f>'PROJECT TA Y TB KARINA'!$Q95/8</f>
        <v>0</v>
      </c>
      <c r="IU41" s="128">
        <f>'PROJECT TA Y TB KARINA'!$Q95/8</f>
        <v>0</v>
      </c>
      <c r="IV41" s="128">
        <f>'PROJECT TA Y TB KARINA'!$R95/8</f>
        <v>0</v>
      </c>
      <c r="IW41" s="128">
        <f>'PROJECT TA Y TB KARINA'!$R95/8</f>
        <v>0</v>
      </c>
      <c r="IX41" s="128">
        <f>'PROJECT TA Y TB KARINA'!$R95/8</f>
        <v>0</v>
      </c>
      <c r="IY41" s="128">
        <f>'PROJECT TA Y TB KARINA'!$R95/8</f>
        <v>0</v>
      </c>
      <c r="IZ41" s="128">
        <f>'PROJECT TA Y TB KARINA'!$R95/8</f>
        <v>0</v>
      </c>
      <c r="JA41" s="128">
        <f>'PROJECT TA Y TB KARINA'!$R95/8</f>
        <v>0</v>
      </c>
      <c r="JB41" s="128">
        <f>'PROJECT TA Y TB KARINA'!$R95/8</f>
        <v>0</v>
      </c>
      <c r="JC41" s="128">
        <f>'PROJECT TA Y TB KARINA'!$R95/8</f>
        <v>0</v>
      </c>
      <c r="JD41" s="128">
        <f>'PROJECT TA Y TB KARINA'!$S95/8</f>
        <v>0</v>
      </c>
      <c r="JE41" s="128">
        <f>'PROJECT TA Y TB KARINA'!$S95/8</f>
        <v>0</v>
      </c>
      <c r="JF41" s="128">
        <f>'PROJECT TA Y TB KARINA'!$S95/8</f>
        <v>0</v>
      </c>
      <c r="JG41" s="128">
        <f>'PROJECT TA Y TB KARINA'!$S95/8</f>
        <v>0</v>
      </c>
      <c r="JH41" s="128">
        <f>'PROJECT TA Y TB KARINA'!$S95/8</f>
        <v>0</v>
      </c>
      <c r="JI41" s="128">
        <f>'PROJECT TA Y TB KARINA'!$S95/8</f>
        <v>0</v>
      </c>
      <c r="JJ41" s="128">
        <f>'PROJECT TA Y TB KARINA'!$S95/8</f>
        <v>0</v>
      </c>
      <c r="JK41" s="128">
        <f>'PROJECT TA Y TB KARINA'!$S95/8</f>
        <v>0</v>
      </c>
      <c r="JL41" s="128">
        <f>'PROJECT TA Y TB KARINA'!$T95/8</f>
        <v>0</v>
      </c>
      <c r="JM41" s="128">
        <f>'PROJECT TA Y TB KARINA'!$T95/8</f>
        <v>0</v>
      </c>
      <c r="JN41" s="128">
        <f>'PROJECT TA Y TB KARINA'!$T95/8</f>
        <v>0</v>
      </c>
      <c r="JO41" s="128">
        <f>'PROJECT TA Y TB KARINA'!$T95/8</f>
        <v>0</v>
      </c>
      <c r="JP41" s="128">
        <f>'PROJECT TA Y TB KARINA'!$T95/8</f>
        <v>0</v>
      </c>
      <c r="JQ41" s="128">
        <f>'PROJECT TA Y TB KARINA'!$T95/8</f>
        <v>0</v>
      </c>
      <c r="JR41" s="128">
        <f>'PROJECT TA Y TB KARINA'!$T95/8</f>
        <v>0</v>
      </c>
      <c r="JS41" s="128">
        <f>'PROJECT TA Y TB KARINA'!$T95/8</f>
        <v>0</v>
      </c>
      <c r="JT41" s="128" t="e">
        <f>'PROJECT TA Y TB KARINA'!#REF!/8</f>
        <v>#REF!</v>
      </c>
      <c r="JU41" s="128" t="e">
        <f>'PROJECT TA Y TB KARINA'!#REF!/8</f>
        <v>#REF!</v>
      </c>
      <c r="JV41" s="128" t="e">
        <f>'PROJECT TA Y TB KARINA'!#REF!/8</f>
        <v>#REF!</v>
      </c>
      <c r="JW41" s="128" t="e">
        <f>'PROJECT TA Y TB KARINA'!#REF!/8</f>
        <v>#REF!</v>
      </c>
      <c r="JX41" s="128" t="e">
        <f>'PROJECT TA Y TB KARINA'!#REF!/8</f>
        <v>#REF!</v>
      </c>
      <c r="JY41" s="128" t="e">
        <f>'PROJECT TA Y TB KARINA'!#REF!/8</f>
        <v>#REF!</v>
      </c>
      <c r="JZ41" s="128" t="e">
        <f>'PROJECT TA Y TB KARINA'!#REF!/8</f>
        <v>#REF!</v>
      </c>
      <c r="KA41" s="128" t="e">
        <f>'PROJECT TA Y TB KARINA'!#REF!/8</f>
        <v>#REF!</v>
      </c>
    </row>
    <row r="42" spans="1:287" ht="21">
      <c r="A42" s="130" t="s">
        <v>495</v>
      </c>
      <c r="B42" s="128" t="e">
        <f>'PROJECT TA Y TB KARINA'!$C$38/8</f>
        <v>#REF!</v>
      </c>
      <c r="C42" s="128" t="e">
        <f>'PROJECT TA Y TB KARINA'!$C$38/8</f>
        <v>#REF!</v>
      </c>
      <c r="D42" s="128" t="e">
        <f>'PROJECT TA Y TB KARINA'!$C$38/8</f>
        <v>#REF!</v>
      </c>
      <c r="E42" s="128" t="e">
        <f>'PROJECT TA Y TB KARINA'!$C$38/8</f>
        <v>#REF!</v>
      </c>
      <c r="F42" s="128" t="e">
        <f>'PROJECT TA Y TB KARINA'!$C$38/8</f>
        <v>#REF!</v>
      </c>
      <c r="G42" s="128" t="e">
        <f>'PROJECT TA Y TB KARINA'!$C$38/8</f>
        <v>#REF!</v>
      </c>
      <c r="H42" s="128" t="e">
        <f>'PROJECT TA Y TB KARINA'!$C$38/8</f>
        <v>#REF!</v>
      </c>
      <c r="I42" s="128" t="e">
        <f>'PROJECT TA Y TB KARINA'!$E38/8</f>
        <v>#REF!</v>
      </c>
      <c r="J42" s="128" t="e">
        <f>'PROJECT TA Y TB KARINA'!$E38/8</f>
        <v>#REF!</v>
      </c>
      <c r="K42" s="128" t="e">
        <f>'PROJECT TA Y TB KARINA'!$E38/8</f>
        <v>#REF!</v>
      </c>
      <c r="L42" s="128" t="e">
        <f>'PROJECT TA Y TB KARINA'!$E38/8</f>
        <v>#REF!</v>
      </c>
      <c r="M42" s="128" t="e">
        <f>'PROJECT TA Y TB KARINA'!$E38/8</f>
        <v>#REF!</v>
      </c>
      <c r="N42" s="128" t="e">
        <f>'PROJECT TA Y TB KARINA'!$E38/8</f>
        <v>#REF!</v>
      </c>
      <c r="O42" s="128" t="e">
        <f>'PROJECT TA Y TB KARINA'!$E38/8</f>
        <v>#REF!</v>
      </c>
      <c r="P42" s="128" t="e">
        <f>'PROJECT TA Y TB KARINA'!$E38/8</f>
        <v>#REF!</v>
      </c>
      <c r="Q42" s="128" t="e">
        <f>'PROJECT TA Y TB KARINA'!$F38/8</f>
        <v>#REF!</v>
      </c>
      <c r="R42" s="128" t="e">
        <f>'PROJECT TA Y TB KARINA'!$F38/8</f>
        <v>#REF!</v>
      </c>
      <c r="S42" s="128" t="e">
        <f>'PROJECT TA Y TB KARINA'!$F38/8</f>
        <v>#REF!</v>
      </c>
      <c r="T42" s="128" t="e">
        <f>'PROJECT TA Y TB KARINA'!$F38/8</f>
        <v>#REF!</v>
      </c>
      <c r="U42" s="128" t="e">
        <f>'PROJECT TA Y TB KARINA'!$F38/8</f>
        <v>#REF!</v>
      </c>
      <c r="V42" s="128" t="e">
        <f>'PROJECT TA Y TB KARINA'!$F38/8</f>
        <v>#REF!</v>
      </c>
      <c r="W42" s="128" t="e">
        <f>'PROJECT TA Y TB KARINA'!$F38/8</f>
        <v>#REF!</v>
      </c>
      <c r="X42" s="128" t="e">
        <f>'PROJECT TA Y TB KARINA'!$F38/8</f>
        <v>#REF!</v>
      </c>
      <c r="Y42" s="128" t="e">
        <f>'PROJECT TA Y TB KARINA'!$G38/8</f>
        <v>#REF!</v>
      </c>
      <c r="Z42" s="128" t="e">
        <f>'PROJECT TA Y TB KARINA'!$G38/8</f>
        <v>#REF!</v>
      </c>
      <c r="AA42" s="128" t="e">
        <f>'PROJECT TA Y TB KARINA'!$G38/8</f>
        <v>#REF!</v>
      </c>
      <c r="AB42" s="128" t="e">
        <f>'PROJECT TA Y TB KARINA'!$G38/8</f>
        <v>#REF!</v>
      </c>
      <c r="AC42" s="128" t="e">
        <f>'PROJECT TA Y TB KARINA'!$G38/8</f>
        <v>#REF!</v>
      </c>
      <c r="AD42" s="128" t="e">
        <f>'PROJECT TA Y TB KARINA'!$G38/8</f>
        <v>#REF!</v>
      </c>
      <c r="AE42" s="128" t="e">
        <f>'PROJECT TA Y TB KARINA'!$G38/8</f>
        <v>#REF!</v>
      </c>
      <c r="AF42" s="128" t="e">
        <f>'PROJECT TA Y TB KARINA'!$G38/8</f>
        <v>#REF!</v>
      </c>
      <c r="AG42" s="128" t="e">
        <f>'PROJECT TA Y TB KARINA'!$H38/8</f>
        <v>#REF!</v>
      </c>
      <c r="AH42" s="128" t="e">
        <f>'PROJECT TA Y TB KARINA'!$H38/8</f>
        <v>#REF!</v>
      </c>
      <c r="AI42" s="128" t="e">
        <f>'PROJECT TA Y TB KARINA'!$H38/8</f>
        <v>#REF!</v>
      </c>
      <c r="AJ42" s="128" t="e">
        <f>'PROJECT TA Y TB KARINA'!$H38/8</f>
        <v>#REF!</v>
      </c>
      <c r="AK42" s="128" t="e">
        <f>'PROJECT TA Y TB KARINA'!$H38/8</f>
        <v>#REF!</v>
      </c>
      <c r="AL42" s="128" t="e">
        <f>'PROJECT TA Y TB KARINA'!$H38/8</f>
        <v>#REF!</v>
      </c>
      <c r="AM42" s="128" t="e">
        <f>'PROJECT TA Y TB KARINA'!$H38/8</f>
        <v>#REF!</v>
      </c>
      <c r="AN42" s="128" t="e">
        <f>'PROJECT TA Y TB KARINA'!$H38/8</f>
        <v>#REF!</v>
      </c>
      <c r="AO42" s="128" t="e">
        <f>'PROJECT TA Y TB KARINA'!$I38/8</f>
        <v>#REF!</v>
      </c>
      <c r="AP42" s="128" t="e">
        <f>'PROJECT TA Y TB KARINA'!$I38/8</f>
        <v>#REF!</v>
      </c>
      <c r="AQ42" s="128" t="e">
        <f>'PROJECT TA Y TB KARINA'!$I38/8</f>
        <v>#REF!</v>
      </c>
      <c r="AR42" s="128" t="e">
        <f>'PROJECT TA Y TB KARINA'!$I38/8</f>
        <v>#REF!</v>
      </c>
      <c r="AS42" s="128" t="e">
        <f>'PROJECT TA Y TB KARINA'!$I38/8</f>
        <v>#REF!</v>
      </c>
      <c r="AT42" s="128" t="e">
        <f>'PROJECT TA Y TB KARINA'!$I38/8</f>
        <v>#REF!</v>
      </c>
      <c r="AU42" s="128" t="e">
        <f>'PROJECT TA Y TB KARINA'!$I38/8</f>
        <v>#REF!</v>
      </c>
      <c r="AV42" s="128" t="e">
        <f>'PROJECT TA Y TB KARINA'!$I38/8</f>
        <v>#REF!</v>
      </c>
      <c r="AW42" s="128" t="e">
        <f>'PROJECT TA Y TB KARINA'!$J38/8</f>
        <v>#REF!</v>
      </c>
      <c r="AX42" s="128" t="e">
        <f>'PROJECT TA Y TB KARINA'!$J38/8</f>
        <v>#REF!</v>
      </c>
      <c r="AY42" s="128" t="e">
        <f>'PROJECT TA Y TB KARINA'!$J38/8</f>
        <v>#REF!</v>
      </c>
      <c r="AZ42" s="128" t="e">
        <f>'PROJECT TA Y TB KARINA'!$J38/8</f>
        <v>#REF!</v>
      </c>
      <c r="BA42" s="128" t="e">
        <f>'PROJECT TA Y TB KARINA'!$J38/8</f>
        <v>#REF!</v>
      </c>
      <c r="BB42" s="128" t="e">
        <f>'PROJECT TA Y TB KARINA'!$J38/8</f>
        <v>#REF!</v>
      </c>
      <c r="BC42" s="128" t="e">
        <f>'PROJECT TA Y TB KARINA'!$J38/8</f>
        <v>#REF!</v>
      </c>
      <c r="BD42" s="128" t="e">
        <f>'PROJECT TA Y TB KARINA'!$J38/8</f>
        <v>#REF!</v>
      </c>
      <c r="BE42" s="128" t="e">
        <f>'PROJECT TA Y TB KARINA'!$K38/8</f>
        <v>#REF!</v>
      </c>
      <c r="BF42" s="128" t="e">
        <f>'PROJECT TA Y TB KARINA'!$K38/8</f>
        <v>#REF!</v>
      </c>
      <c r="BG42" s="128" t="e">
        <f>'PROJECT TA Y TB KARINA'!$K38/8</f>
        <v>#REF!</v>
      </c>
      <c r="BH42" s="128" t="e">
        <f>'PROJECT TA Y TB KARINA'!$K38/8</f>
        <v>#REF!</v>
      </c>
      <c r="BI42" s="128" t="e">
        <f>'PROJECT TA Y TB KARINA'!$K38/8</f>
        <v>#REF!</v>
      </c>
      <c r="BJ42" s="128" t="e">
        <f>'PROJECT TA Y TB KARINA'!$K38/8</f>
        <v>#REF!</v>
      </c>
      <c r="BK42" s="128" t="e">
        <f>'PROJECT TA Y TB KARINA'!$K38/8</f>
        <v>#REF!</v>
      </c>
      <c r="BL42" s="128" t="e">
        <f>'PROJECT TA Y TB KARINA'!$K38/8</f>
        <v>#REF!</v>
      </c>
      <c r="BM42" s="128" t="e">
        <f>'PROJECT TA Y TB KARINA'!$L38/8</f>
        <v>#REF!</v>
      </c>
      <c r="BN42" s="128" t="e">
        <f>'PROJECT TA Y TB KARINA'!$L38/8</f>
        <v>#REF!</v>
      </c>
      <c r="BO42" s="128" t="e">
        <f>'PROJECT TA Y TB KARINA'!$L38/8</f>
        <v>#REF!</v>
      </c>
      <c r="BP42" s="128" t="e">
        <f>'PROJECT TA Y TB KARINA'!$L38/8</f>
        <v>#REF!</v>
      </c>
      <c r="BQ42" s="128" t="e">
        <f>'PROJECT TA Y TB KARINA'!$L38/8</f>
        <v>#REF!</v>
      </c>
      <c r="BR42" s="128" t="e">
        <f>'PROJECT TA Y TB KARINA'!$L38/8</f>
        <v>#REF!</v>
      </c>
      <c r="BS42" s="128" t="e">
        <f>'PROJECT TA Y TB KARINA'!$L38/8</f>
        <v>#REF!</v>
      </c>
      <c r="BT42" s="128" t="e">
        <f>'PROJECT TA Y TB KARINA'!$L38/8</f>
        <v>#REF!</v>
      </c>
      <c r="BU42" s="128" t="e">
        <f>'PROJECT TA Y TB KARINA'!$M38/8</f>
        <v>#REF!</v>
      </c>
      <c r="BV42" s="128" t="e">
        <f>'PROJECT TA Y TB KARINA'!$M38/8</f>
        <v>#REF!</v>
      </c>
      <c r="BW42" s="128" t="e">
        <f>'PROJECT TA Y TB KARINA'!$M38/8</f>
        <v>#REF!</v>
      </c>
      <c r="BX42" s="128" t="e">
        <f>'PROJECT TA Y TB KARINA'!$M38/8</f>
        <v>#REF!</v>
      </c>
      <c r="BY42" s="128" t="e">
        <f>'PROJECT TA Y TB KARINA'!$M38/8</f>
        <v>#REF!</v>
      </c>
      <c r="BZ42" s="128" t="e">
        <f>'PROJECT TA Y TB KARINA'!$M38/8</f>
        <v>#REF!</v>
      </c>
      <c r="CA42" s="128" t="e">
        <f>'PROJECT TA Y TB KARINA'!$M38/8</f>
        <v>#REF!</v>
      </c>
      <c r="CB42" s="128" t="e">
        <f>'PROJECT TA Y TB KARINA'!$M38/8</f>
        <v>#REF!</v>
      </c>
      <c r="CC42" s="128" t="e">
        <f>'PROJECT TA Y TB KARINA'!$N38/8</f>
        <v>#REF!</v>
      </c>
      <c r="CD42" s="128" t="e">
        <f>'PROJECT TA Y TB KARINA'!$N38/8</f>
        <v>#REF!</v>
      </c>
      <c r="CE42" s="128" t="e">
        <f>'PROJECT TA Y TB KARINA'!$N38/8</f>
        <v>#REF!</v>
      </c>
      <c r="CF42" s="128" t="e">
        <f>'PROJECT TA Y TB KARINA'!$N38/8</f>
        <v>#REF!</v>
      </c>
      <c r="CG42" s="128" t="e">
        <f>'PROJECT TA Y TB KARINA'!$N38/8</f>
        <v>#REF!</v>
      </c>
      <c r="CH42" s="128" t="e">
        <f>'PROJECT TA Y TB KARINA'!$N38/8</f>
        <v>#REF!</v>
      </c>
      <c r="CI42" s="128" t="e">
        <f>'PROJECT TA Y TB KARINA'!$N38/8</f>
        <v>#REF!</v>
      </c>
      <c r="CJ42" s="128" t="e">
        <f>'PROJECT TA Y TB KARINA'!$N38/8</f>
        <v>#REF!</v>
      </c>
      <c r="CK42" s="128" t="e">
        <f>'PROJECT TA Y TB KARINA'!$O38/8</f>
        <v>#REF!</v>
      </c>
      <c r="CL42" s="128" t="e">
        <f>'PROJECT TA Y TB KARINA'!$O38/8</f>
        <v>#REF!</v>
      </c>
      <c r="CM42" s="128" t="e">
        <f>'PROJECT TA Y TB KARINA'!$O38/8</f>
        <v>#REF!</v>
      </c>
      <c r="CN42" s="128" t="e">
        <f>'PROJECT TA Y TB KARINA'!$O38/8</f>
        <v>#REF!</v>
      </c>
      <c r="CO42" s="128" t="e">
        <f>'PROJECT TA Y TB KARINA'!$O38/8</f>
        <v>#REF!</v>
      </c>
      <c r="CP42" s="128" t="e">
        <f>'PROJECT TA Y TB KARINA'!$O38/8</f>
        <v>#REF!</v>
      </c>
      <c r="CQ42" s="128" t="e">
        <f>'PROJECT TA Y TB KARINA'!$O38/8</f>
        <v>#REF!</v>
      </c>
      <c r="CR42" s="128" t="e">
        <f>'PROJECT TA Y TB KARINA'!$O38/8</f>
        <v>#REF!</v>
      </c>
      <c r="CS42" s="128" t="e">
        <f>'PROJECT TA Y TB KARINA'!$P38/8</f>
        <v>#REF!</v>
      </c>
      <c r="CT42" s="128" t="e">
        <f>'PROJECT TA Y TB KARINA'!$P38/8</f>
        <v>#REF!</v>
      </c>
      <c r="CU42" s="128" t="e">
        <f>'PROJECT TA Y TB KARINA'!$P38/8</f>
        <v>#REF!</v>
      </c>
      <c r="CV42" s="128" t="e">
        <f>'PROJECT TA Y TB KARINA'!$P38/8</f>
        <v>#REF!</v>
      </c>
      <c r="CW42" s="128" t="e">
        <f>'PROJECT TA Y TB KARINA'!$P38/8</f>
        <v>#REF!</v>
      </c>
      <c r="CX42" s="128" t="e">
        <f>'PROJECT TA Y TB KARINA'!$P38/8</f>
        <v>#REF!</v>
      </c>
      <c r="CY42" s="128" t="e">
        <f>'PROJECT TA Y TB KARINA'!$P38/8</f>
        <v>#REF!</v>
      </c>
      <c r="CZ42" s="128" t="e">
        <f>'PROJECT TA Y TB KARINA'!$P38/8</f>
        <v>#REF!</v>
      </c>
      <c r="DA42" s="128" t="e">
        <f>'PROJECT TA Y TB KARINA'!$Q38/8</f>
        <v>#REF!</v>
      </c>
      <c r="DB42" s="128" t="e">
        <f>'PROJECT TA Y TB KARINA'!$Q38/8</f>
        <v>#REF!</v>
      </c>
      <c r="DC42" s="128" t="e">
        <f>'PROJECT TA Y TB KARINA'!$Q38/8</f>
        <v>#REF!</v>
      </c>
      <c r="DD42" s="128" t="e">
        <f>'PROJECT TA Y TB KARINA'!$Q38/8</f>
        <v>#REF!</v>
      </c>
      <c r="DE42" s="128" t="e">
        <f>'PROJECT TA Y TB KARINA'!$Q38/8</f>
        <v>#REF!</v>
      </c>
      <c r="DF42" s="128" t="e">
        <f>'PROJECT TA Y TB KARINA'!$Q38/8</f>
        <v>#REF!</v>
      </c>
      <c r="DG42" s="128" t="e">
        <f>'PROJECT TA Y TB KARINA'!$Q38/8</f>
        <v>#REF!</v>
      </c>
      <c r="DH42" s="128" t="e">
        <f>'PROJECT TA Y TB KARINA'!$Q38/8</f>
        <v>#REF!</v>
      </c>
      <c r="DI42" s="128" t="e">
        <f>'PROJECT TA Y TB KARINA'!$R38/8</f>
        <v>#REF!</v>
      </c>
      <c r="DJ42" s="128" t="e">
        <f>'PROJECT TA Y TB KARINA'!$R38/8</f>
        <v>#REF!</v>
      </c>
      <c r="DK42" s="128" t="e">
        <f>'PROJECT TA Y TB KARINA'!$R38/8</f>
        <v>#REF!</v>
      </c>
      <c r="DL42" s="128" t="e">
        <f>'PROJECT TA Y TB KARINA'!$R38/8</f>
        <v>#REF!</v>
      </c>
      <c r="DM42" s="128" t="e">
        <f>'PROJECT TA Y TB KARINA'!$R38/8</f>
        <v>#REF!</v>
      </c>
      <c r="DN42" s="128" t="e">
        <f>'PROJECT TA Y TB KARINA'!$R38/8</f>
        <v>#REF!</v>
      </c>
      <c r="DO42" s="128" t="e">
        <f>'PROJECT TA Y TB KARINA'!$R38/8</f>
        <v>#REF!</v>
      </c>
      <c r="DP42" s="128" t="e">
        <f>'PROJECT TA Y TB KARINA'!$R38/8</f>
        <v>#REF!</v>
      </c>
      <c r="DQ42" s="128" t="e">
        <f>'PROJECT TA Y TB KARINA'!$S38/8</f>
        <v>#REF!</v>
      </c>
      <c r="DR42" s="128" t="e">
        <f>'PROJECT TA Y TB KARINA'!$S38/8</f>
        <v>#REF!</v>
      </c>
      <c r="DS42" s="128" t="e">
        <f>'PROJECT TA Y TB KARINA'!$S38/8</f>
        <v>#REF!</v>
      </c>
      <c r="DT42" s="128" t="e">
        <f>'PROJECT TA Y TB KARINA'!$S38/8</f>
        <v>#REF!</v>
      </c>
      <c r="DU42" s="128" t="e">
        <f>'PROJECT TA Y TB KARINA'!$S38/8</f>
        <v>#REF!</v>
      </c>
      <c r="DV42" s="128" t="e">
        <f>'PROJECT TA Y TB KARINA'!$S38/8</f>
        <v>#REF!</v>
      </c>
      <c r="DW42" s="128" t="e">
        <f>'PROJECT TA Y TB KARINA'!$S38/8</f>
        <v>#REF!</v>
      </c>
      <c r="DX42" s="128" t="e">
        <f>'PROJECT TA Y TB KARINA'!$S38/8</f>
        <v>#REF!</v>
      </c>
      <c r="DY42" s="128" t="e">
        <f>'PROJECT TA Y TB KARINA'!$T38/8</f>
        <v>#REF!</v>
      </c>
      <c r="DZ42" s="128" t="e">
        <f>'PROJECT TA Y TB KARINA'!$T38/8</f>
        <v>#REF!</v>
      </c>
      <c r="EA42" s="128" t="e">
        <f>'PROJECT TA Y TB KARINA'!$T38/8</f>
        <v>#REF!</v>
      </c>
      <c r="EB42" s="128" t="e">
        <f>'PROJECT TA Y TB KARINA'!$T38/8</f>
        <v>#REF!</v>
      </c>
      <c r="EC42" s="128" t="e">
        <f>'PROJECT TA Y TB KARINA'!$T38/8</f>
        <v>#REF!</v>
      </c>
      <c r="ED42" s="128" t="e">
        <f>'PROJECT TA Y TB KARINA'!$T38/8</f>
        <v>#REF!</v>
      </c>
      <c r="EE42" s="128" t="e">
        <f>'PROJECT TA Y TB KARINA'!$T38/8</f>
        <v>#REF!</v>
      </c>
      <c r="EF42" s="128" t="e">
        <f>'PROJECT TA Y TB KARINA'!$T38/8</f>
        <v>#REF!</v>
      </c>
      <c r="EG42" s="128" t="e">
        <f>'PROJECT TA Y TB KARINA'!#REF!/8</f>
        <v>#REF!</v>
      </c>
      <c r="EH42" s="128" t="e">
        <f>'PROJECT TA Y TB KARINA'!#REF!/8</f>
        <v>#REF!</v>
      </c>
      <c r="EI42" s="128" t="e">
        <f>'PROJECT TA Y TB KARINA'!#REF!/8</f>
        <v>#REF!</v>
      </c>
      <c r="EJ42" s="128" t="e">
        <f>'PROJECT TA Y TB KARINA'!#REF!/8</f>
        <v>#REF!</v>
      </c>
      <c r="EK42" s="128" t="e">
        <f>'PROJECT TA Y TB KARINA'!#REF!/8</f>
        <v>#REF!</v>
      </c>
      <c r="EL42" s="128" t="e">
        <f>'PROJECT TA Y TB KARINA'!#REF!/8</f>
        <v>#REF!</v>
      </c>
      <c r="EM42" s="128" t="e">
        <f>'PROJECT TA Y TB KARINA'!#REF!/8</f>
        <v>#REF!</v>
      </c>
      <c r="EN42" s="128" t="e">
        <f>'PROJECT TA Y TB KARINA'!#REF!/8</f>
        <v>#REF!</v>
      </c>
      <c r="EO42" s="128">
        <f>'PROJECT TA Y TB KARINA'!$C96/8</f>
        <v>0</v>
      </c>
      <c r="EP42" s="128">
        <f>'PROJECT TA Y TB KARINA'!$C96/8</f>
        <v>0</v>
      </c>
      <c r="EQ42" s="128">
        <f>'PROJECT TA Y TB KARINA'!$C96/8</f>
        <v>0</v>
      </c>
      <c r="ER42" s="128">
        <f>'PROJECT TA Y TB KARINA'!$C96/8</f>
        <v>0</v>
      </c>
      <c r="ES42" s="128">
        <f>'PROJECT TA Y TB KARINA'!$C96/8</f>
        <v>0</v>
      </c>
      <c r="ET42" s="128">
        <f>'PROJECT TA Y TB KARINA'!$C96/8</f>
        <v>0</v>
      </c>
      <c r="EU42" s="128">
        <f>'PROJECT TA Y TB KARINA'!$C96/8</f>
        <v>0</v>
      </c>
      <c r="EV42" s="128">
        <f>'PROJECT TA Y TB KARINA'!$E96/8</f>
        <v>0</v>
      </c>
      <c r="EW42" s="128">
        <f>'PROJECT TA Y TB KARINA'!$E96/8</f>
        <v>0</v>
      </c>
      <c r="EX42" s="128">
        <f>'PROJECT TA Y TB KARINA'!$E96/8</f>
        <v>0</v>
      </c>
      <c r="EY42" s="128">
        <f>'PROJECT TA Y TB KARINA'!$E96/8</f>
        <v>0</v>
      </c>
      <c r="EZ42" s="128">
        <f>'PROJECT TA Y TB KARINA'!$E96/8</f>
        <v>0</v>
      </c>
      <c r="FA42" s="128">
        <f>'PROJECT TA Y TB KARINA'!$E96/8</f>
        <v>0</v>
      </c>
      <c r="FB42" s="128">
        <f>'PROJECT TA Y TB KARINA'!$E96/8</f>
        <v>0</v>
      </c>
      <c r="FC42" s="128">
        <f>'PROJECT TA Y TB KARINA'!$E96/8</f>
        <v>0</v>
      </c>
      <c r="FD42" s="128">
        <f>'PROJECT TA Y TB KARINA'!$F96/8</f>
        <v>0</v>
      </c>
      <c r="FE42" s="128">
        <f>'PROJECT TA Y TB KARINA'!$F96/8</f>
        <v>0</v>
      </c>
      <c r="FF42" s="128">
        <f>'PROJECT TA Y TB KARINA'!$F96/8</f>
        <v>0</v>
      </c>
      <c r="FG42" s="128">
        <f>'PROJECT TA Y TB KARINA'!$F96/8</f>
        <v>0</v>
      </c>
      <c r="FH42" s="128">
        <f>'PROJECT TA Y TB KARINA'!$F96/8</f>
        <v>0</v>
      </c>
      <c r="FI42" s="128">
        <f>'PROJECT TA Y TB KARINA'!$F96/8</f>
        <v>0</v>
      </c>
      <c r="FJ42" s="128">
        <f>'PROJECT TA Y TB KARINA'!$F96/8</f>
        <v>0</v>
      </c>
      <c r="FK42" s="128">
        <f>'PROJECT TA Y TB KARINA'!$F96/8</f>
        <v>0</v>
      </c>
      <c r="FL42" s="128">
        <f>'PROJECT TA Y TB KARINA'!$G96/8</f>
        <v>0</v>
      </c>
      <c r="FM42" s="128">
        <f>'PROJECT TA Y TB KARINA'!$G96/8</f>
        <v>0</v>
      </c>
      <c r="FN42" s="128">
        <f>'PROJECT TA Y TB KARINA'!$G96/8</f>
        <v>0</v>
      </c>
      <c r="FO42" s="128">
        <f>'PROJECT TA Y TB KARINA'!$G96/8</f>
        <v>0</v>
      </c>
      <c r="FP42" s="128">
        <f>'PROJECT TA Y TB KARINA'!$G96/8</f>
        <v>0</v>
      </c>
      <c r="FQ42" s="128">
        <f>'PROJECT TA Y TB KARINA'!$G96/8</f>
        <v>0</v>
      </c>
      <c r="FR42" s="128">
        <f>'PROJECT TA Y TB KARINA'!$G96/8</f>
        <v>0</v>
      </c>
      <c r="FS42" s="128">
        <f>'PROJECT TA Y TB KARINA'!$G96/8</f>
        <v>0</v>
      </c>
      <c r="FT42" s="128">
        <f>'PROJECT TA Y TB KARINA'!$H96/8</f>
        <v>0</v>
      </c>
      <c r="FU42" s="128">
        <f>'PROJECT TA Y TB KARINA'!$H96/8</f>
        <v>0</v>
      </c>
      <c r="FV42" s="128">
        <f>'PROJECT TA Y TB KARINA'!$H96/8</f>
        <v>0</v>
      </c>
      <c r="FW42" s="128">
        <f>'PROJECT TA Y TB KARINA'!$H96/8</f>
        <v>0</v>
      </c>
      <c r="FX42" s="128">
        <f>'PROJECT TA Y TB KARINA'!$H96/8</f>
        <v>0</v>
      </c>
      <c r="FY42" s="128">
        <f>'PROJECT TA Y TB KARINA'!$H96/8</f>
        <v>0</v>
      </c>
      <c r="FZ42" s="128">
        <f>'PROJECT TA Y TB KARINA'!$H96/8</f>
        <v>0</v>
      </c>
      <c r="GA42" s="128">
        <f>'PROJECT TA Y TB KARINA'!$H96/8</f>
        <v>0</v>
      </c>
      <c r="GB42" s="128">
        <f>'PROJECT TA Y TB KARINA'!$I96/8</f>
        <v>0</v>
      </c>
      <c r="GC42" s="128">
        <f>'PROJECT TA Y TB KARINA'!$I96/8</f>
        <v>0</v>
      </c>
      <c r="GD42" s="128">
        <f>'PROJECT TA Y TB KARINA'!$I96/8</f>
        <v>0</v>
      </c>
      <c r="GE42" s="128">
        <f>'PROJECT TA Y TB KARINA'!$I96/8</f>
        <v>0</v>
      </c>
      <c r="GF42" s="128">
        <f>'PROJECT TA Y TB KARINA'!$I96/8</f>
        <v>0</v>
      </c>
      <c r="GG42" s="128">
        <f>'PROJECT TA Y TB KARINA'!$I96/8</f>
        <v>0</v>
      </c>
      <c r="GH42" s="128">
        <f>'PROJECT TA Y TB KARINA'!$I96/8</f>
        <v>0</v>
      </c>
      <c r="GI42" s="128">
        <f>'PROJECT TA Y TB KARINA'!$I96/8</f>
        <v>0</v>
      </c>
      <c r="GJ42" s="128">
        <f>'PROJECT TA Y TB KARINA'!$J96/8</f>
        <v>0</v>
      </c>
      <c r="GK42" s="128">
        <f>'PROJECT TA Y TB KARINA'!$J96/8</f>
        <v>0</v>
      </c>
      <c r="GL42" s="128">
        <f>'PROJECT TA Y TB KARINA'!$J96/8</f>
        <v>0</v>
      </c>
      <c r="GM42" s="128">
        <f>'PROJECT TA Y TB KARINA'!$J96/8</f>
        <v>0</v>
      </c>
      <c r="GN42" s="128">
        <f>'PROJECT TA Y TB KARINA'!$J96/8</f>
        <v>0</v>
      </c>
      <c r="GO42" s="128">
        <f>'PROJECT TA Y TB KARINA'!$J96/8</f>
        <v>0</v>
      </c>
      <c r="GP42" s="128">
        <f>'PROJECT TA Y TB KARINA'!$J96/8</f>
        <v>0</v>
      </c>
      <c r="GQ42" s="128">
        <f>'PROJECT TA Y TB KARINA'!$J96/8</f>
        <v>0</v>
      </c>
      <c r="GR42" s="128">
        <f>'PROJECT TA Y TB KARINA'!$K96/8</f>
        <v>0</v>
      </c>
      <c r="GS42" s="128">
        <f>'PROJECT TA Y TB KARINA'!$K96/8</f>
        <v>0</v>
      </c>
      <c r="GT42" s="128">
        <f>'PROJECT TA Y TB KARINA'!$K96/8</f>
        <v>0</v>
      </c>
      <c r="GU42" s="128">
        <f>'PROJECT TA Y TB KARINA'!$K96/8</f>
        <v>0</v>
      </c>
      <c r="GV42" s="128">
        <f>'PROJECT TA Y TB KARINA'!$K96/8</f>
        <v>0</v>
      </c>
      <c r="GW42" s="128">
        <f>'PROJECT TA Y TB KARINA'!$K96/8</f>
        <v>0</v>
      </c>
      <c r="GX42" s="128">
        <f>'PROJECT TA Y TB KARINA'!$K96/8</f>
        <v>0</v>
      </c>
      <c r="GY42" s="128">
        <f>'PROJECT TA Y TB KARINA'!$K96/8</f>
        <v>0</v>
      </c>
      <c r="GZ42" s="128">
        <f>'PROJECT TA Y TB KARINA'!$L96/8</f>
        <v>0</v>
      </c>
      <c r="HA42" s="128">
        <f>'PROJECT TA Y TB KARINA'!$L96/8</f>
        <v>0</v>
      </c>
      <c r="HB42" s="128">
        <f>'PROJECT TA Y TB KARINA'!$L96/8</f>
        <v>0</v>
      </c>
      <c r="HC42" s="128">
        <f>'PROJECT TA Y TB KARINA'!$L96/8</f>
        <v>0</v>
      </c>
      <c r="HD42" s="128">
        <f>'PROJECT TA Y TB KARINA'!$L96/8</f>
        <v>0</v>
      </c>
      <c r="HE42" s="128">
        <f>'PROJECT TA Y TB KARINA'!$L96/8</f>
        <v>0</v>
      </c>
      <c r="HF42" s="128">
        <f>'PROJECT TA Y TB KARINA'!$L96/8</f>
        <v>0</v>
      </c>
      <c r="HG42" s="128">
        <f>'PROJECT TA Y TB KARINA'!$L96/8</f>
        <v>0</v>
      </c>
      <c r="HH42" s="128">
        <f>'PROJECT TA Y TB KARINA'!$M96/8</f>
        <v>0</v>
      </c>
      <c r="HI42" s="128">
        <f>'PROJECT TA Y TB KARINA'!$M96/8</f>
        <v>0</v>
      </c>
      <c r="HJ42" s="128">
        <f>'PROJECT TA Y TB KARINA'!$M96/8</f>
        <v>0</v>
      </c>
      <c r="HK42" s="128">
        <f>'PROJECT TA Y TB KARINA'!$M96/8</f>
        <v>0</v>
      </c>
      <c r="HL42" s="128">
        <f>'PROJECT TA Y TB KARINA'!$M96/8</f>
        <v>0</v>
      </c>
      <c r="HM42" s="128">
        <f>'PROJECT TA Y TB KARINA'!$M96/8</f>
        <v>0</v>
      </c>
      <c r="HN42" s="128">
        <f>'PROJECT TA Y TB KARINA'!$M96/8</f>
        <v>0</v>
      </c>
      <c r="HO42" s="128">
        <f>'PROJECT TA Y TB KARINA'!$M96/8</f>
        <v>0</v>
      </c>
      <c r="HP42" s="128">
        <f>'PROJECT TA Y TB KARINA'!$N96/8</f>
        <v>0</v>
      </c>
      <c r="HQ42" s="128">
        <f>'PROJECT TA Y TB KARINA'!$N96/8</f>
        <v>0</v>
      </c>
      <c r="HR42" s="128">
        <f>'PROJECT TA Y TB KARINA'!$N96/8</f>
        <v>0</v>
      </c>
      <c r="HS42" s="128">
        <f>'PROJECT TA Y TB KARINA'!$N96/8</f>
        <v>0</v>
      </c>
      <c r="HT42" s="128">
        <f>'PROJECT TA Y TB KARINA'!$N96/8</f>
        <v>0</v>
      </c>
      <c r="HU42" s="128">
        <f>'PROJECT TA Y TB KARINA'!$N96/8</f>
        <v>0</v>
      </c>
      <c r="HV42" s="128">
        <f>'PROJECT TA Y TB KARINA'!$N96/8</f>
        <v>0</v>
      </c>
      <c r="HW42" s="128">
        <f>'PROJECT TA Y TB KARINA'!$N96/8</f>
        <v>0</v>
      </c>
      <c r="HX42" s="128">
        <f>'PROJECT TA Y TB KARINA'!$O96/8</f>
        <v>0</v>
      </c>
      <c r="HY42" s="128">
        <f>'PROJECT TA Y TB KARINA'!$O96/8</f>
        <v>0</v>
      </c>
      <c r="HZ42" s="128">
        <f>'PROJECT TA Y TB KARINA'!$O96/8</f>
        <v>0</v>
      </c>
      <c r="IA42" s="128">
        <f>'PROJECT TA Y TB KARINA'!$O96/8</f>
        <v>0</v>
      </c>
      <c r="IB42" s="128">
        <f>'PROJECT TA Y TB KARINA'!$O96/8</f>
        <v>0</v>
      </c>
      <c r="IC42" s="128">
        <f>'PROJECT TA Y TB KARINA'!$O96/8</f>
        <v>0</v>
      </c>
      <c r="ID42" s="128">
        <f>'PROJECT TA Y TB KARINA'!$O96/8</f>
        <v>0</v>
      </c>
      <c r="IE42" s="128">
        <f>'PROJECT TA Y TB KARINA'!$O96/8</f>
        <v>0</v>
      </c>
      <c r="IF42" s="128">
        <f>'PROJECT TA Y TB KARINA'!$P96/8</f>
        <v>0</v>
      </c>
      <c r="IG42" s="128">
        <f>'PROJECT TA Y TB KARINA'!$P96/8</f>
        <v>0</v>
      </c>
      <c r="IH42" s="128">
        <f>'PROJECT TA Y TB KARINA'!$P96/8</f>
        <v>0</v>
      </c>
      <c r="II42" s="128">
        <f>'PROJECT TA Y TB KARINA'!$P96/8</f>
        <v>0</v>
      </c>
      <c r="IJ42" s="128">
        <f>'PROJECT TA Y TB KARINA'!$P96/8</f>
        <v>0</v>
      </c>
      <c r="IK42" s="128">
        <f>'PROJECT TA Y TB KARINA'!$P96/8</f>
        <v>0</v>
      </c>
      <c r="IL42" s="128">
        <f>'PROJECT TA Y TB KARINA'!$P96/8</f>
        <v>0</v>
      </c>
      <c r="IM42" s="128">
        <f>'PROJECT TA Y TB KARINA'!$P96/8</f>
        <v>0</v>
      </c>
      <c r="IN42" s="128">
        <f>'PROJECT TA Y TB KARINA'!$Q96/8</f>
        <v>0</v>
      </c>
      <c r="IO42" s="128">
        <f>'PROJECT TA Y TB KARINA'!$Q96/8</f>
        <v>0</v>
      </c>
      <c r="IP42" s="128">
        <f>'PROJECT TA Y TB KARINA'!$Q96/8</f>
        <v>0</v>
      </c>
      <c r="IQ42" s="128">
        <f>'PROJECT TA Y TB KARINA'!$Q96/8</f>
        <v>0</v>
      </c>
      <c r="IR42" s="128">
        <f>'PROJECT TA Y TB KARINA'!$Q96/8</f>
        <v>0</v>
      </c>
      <c r="IS42" s="128">
        <f>'PROJECT TA Y TB KARINA'!$Q96/8</f>
        <v>0</v>
      </c>
      <c r="IT42" s="128">
        <f>'PROJECT TA Y TB KARINA'!$Q96/8</f>
        <v>0</v>
      </c>
      <c r="IU42" s="128">
        <f>'PROJECT TA Y TB KARINA'!$Q96/8</f>
        <v>0</v>
      </c>
      <c r="IV42" s="128">
        <f>'PROJECT TA Y TB KARINA'!$R96/8</f>
        <v>0</v>
      </c>
      <c r="IW42" s="128">
        <f>'PROJECT TA Y TB KARINA'!$R96/8</f>
        <v>0</v>
      </c>
      <c r="IX42" s="128">
        <f>'PROJECT TA Y TB KARINA'!$R96/8</f>
        <v>0</v>
      </c>
      <c r="IY42" s="128">
        <f>'PROJECT TA Y TB KARINA'!$R96/8</f>
        <v>0</v>
      </c>
      <c r="IZ42" s="128">
        <f>'PROJECT TA Y TB KARINA'!$R96/8</f>
        <v>0</v>
      </c>
      <c r="JA42" s="128">
        <f>'PROJECT TA Y TB KARINA'!$R96/8</f>
        <v>0</v>
      </c>
      <c r="JB42" s="128">
        <f>'PROJECT TA Y TB KARINA'!$R96/8</f>
        <v>0</v>
      </c>
      <c r="JC42" s="128">
        <f>'PROJECT TA Y TB KARINA'!$R96/8</f>
        <v>0</v>
      </c>
      <c r="JD42" s="128">
        <f>'PROJECT TA Y TB KARINA'!$S96/8</f>
        <v>0</v>
      </c>
      <c r="JE42" s="128">
        <f>'PROJECT TA Y TB KARINA'!$S96/8</f>
        <v>0</v>
      </c>
      <c r="JF42" s="128">
        <f>'PROJECT TA Y TB KARINA'!$S96/8</f>
        <v>0</v>
      </c>
      <c r="JG42" s="128">
        <f>'PROJECT TA Y TB KARINA'!$S96/8</f>
        <v>0</v>
      </c>
      <c r="JH42" s="128">
        <f>'PROJECT TA Y TB KARINA'!$S96/8</f>
        <v>0</v>
      </c>
      <c r="JI42" s="128">
        <f>'PROJECT TA Y TB KARINA'!$S96/8</f>
        <v>0</v>
      </c>
      <c r="JJ42" s="128">
        <f>'PROJECT TA Y TB KARINA'!$S96/8</f>
        <v>0</v>
      </c>
      <c r="JK42" s="128">
        <f>'PROJECT TA Y TB KARINA'!$S96/8</f>
        <v>0</v>
      </c>
      <c r="JL42" s="128">
        <f>'PROJECT TA Y TB KARINA'!$T96/8</f>
        <v>0</v>
      </c>
      <c r="JM42" s="128">
        <f>'PROJECT TA Y TB KARINA'!$T96/8</f>
        <v>0</v>
      </c>
      <c r="JN42" s="128">
        <f>'PROJECT TA Y TB KARINA'!$T96/8</f>
        <v>0</v>
      </c>
      <c r="JO42" s="128">
        <f>'PROJECT TA Y TB KARINA'!$T96/8</f>
        <v>0</v>
      </c>
      <c r="JP42" s="128">
        <f>'PROJECT TA Y TB KARINA'!$T96/8</f>
        <v>0</v>
      </c>
      <c r="JQ42" s="128">
        <f>'PROJECT TA Y TB KARINA'!$T96/8</f>
        <v>0</v>
      </c>
      <c r="JR42" s="128">
        <f>'PROJECT TA Y TB KARINA'!$T96/8</f>
        <v>0</v>
      </c>
      <c r="JS42" s="128">
        <f>'PROJECT TA Y TB KARINA'!$T96/8</f>
        <v>0</v>
      </c>
      <c r="JT42" s="128" t="e">
        <f>'PROJECT TA Y TB KARINA'!#REF!/8</f>
        <v>#REF!</v>
      </c>
      <c r="JU42" s="128" t="e">
        <f>'PROJECT TA Y TB KARINA'!#REF!/8</f>
        <v>#REF!</v>
      </c>
      <c r="JV42" s="128" t="e">
        <f>'PROJECT TA Y TB KARINA'!#REF!/8</f>
        <v>#REF!</v>
      </c>
      <c r="JW42" s="128" t="e">
        <f>'PROJECT TA Y TB KARINA'!#REF!/8</f>
        <v>#REF!</v>
      </c>
      <c r="JX42" s="128" t="e">
        <f>'PROJECT TA Y TB KARINA'!#REF!/8</f>
        <v>#REF!</v>
      </c>
      <c r="JY42" s="128" t="e">
        <f>'PROJECT TA Y TB KARINA'!#REF!/8</f>
        <v>#REF!</v>
      </c>
      <c r="JZ42" s="128" t="e">
        <f>'PROJECT TA Y TB KARINA'!#REF!/8</f>
        <v>#REF!</v>
      </c>
      <c r="KA42" s="128" t="e">
        <f>'PROJECT TA Y TB KARINA'!#REF!/8</f>
        <v>#REF!</v>
      </c>
    </row>
    <row r="43" spans="1:287" ht="21">
      <c r="A43" s="130" t="s">
        <v>496</v>
      </c>
      <c r="B43" s="128" t="e">
        <f>'PROJECT TA Y TB KARINA'!$C$39/8</f>
        <v>#REF!</v>
      </c>
      <c r="C43" s="128" t="e">
        <f>'PROJECT TA Y TB KARINA'!$C$39/8</f>
        <v>#REF!</v>
      </c>
      <c r="D43" s="128" t="e">
        <f>'PROJECT TA Y TB KARINA'!$C$39/8</f>
        <v>#REF!</v>
      </c>
      <c r="E43" s="128" t="e">
        <f>'PROJECT TA Y TB KARINA'!$C$39/8</f>
        <v>#REF!</v>
      </c>
      <c r="F43" s="128" t="e">
        <f>'PROJECT TA Y TB KARINA'!$C$39/8</f>
        <v>#REF!</v>
      </c>
      <c r="G43" s="128" t="e">
        <f>'PROJECT TA Y TB KARINA'!$C$39/8</f>
        <v>#REF!</v>
      </c>
      <c r="H43" s="128" t="e">
        <f>'PROJECT TA Y TB KARINA'!$C$39/8</f>
        <v>#REF!</v>
      </c>
      <c r="I43" s="128" t="e">
        <f>'PROJECT TA Y TB KARINA'!$E39/8</f>
        <v>#REF!</v>
      </c>
      <c r="J43" s="128" t="e">
        <f>'PROJECT TA Y TB KARINA'!$E39/8</f>
        <v>#REF!</v>
      </c>
      <c r="K43" s="128" t="e">
        <f>'PROJECT TA Y TB KARINA'!$E39/8</f>
        <v>#REF!</v>
      </c>
      <c r="L43" s="128" t="e">
        <f>'PROJECT TA Y TB KARINA'!$E39/8</f>
        <v>#REF!</v>
      </c>
      <c r="M43" s="128" t="e">
        <f>'PROJECT TA Y TB KARINA'!$E39/8</f>
        <v>#REF!</v>
      </c>
      <c r="N43" s="128" t="e">
        <f>'PROJECT TA Y TB KARINA'!$E39/8</f>
        <v>#REF!</v>
      </c>
      <c r="O43" s="128" t="e">
        <f>'PROJECT TA Y TB KARINA'!$E39/8</f>
        <v>#REF!</v>
      </c>
      <c r="P43" s="128" t="e">
        <f>'PROJECT TA Y TB KARINA'!$E39/8</f>
        <v>#REF!</v>
      </c>
      <c r="Q43" s="128" t="e">
        <f>'PROJECT TA Y TB KARINA'!$F39/8</f>
        <v>#REF!</v>
      </c>
      <c r="R43" s="128" t="e">
        <f>'PROJECT TA Y TB KARINA'!$F39/8</f>
        <v>#REF!</v>
      </c>
      <c r="S43" s="128" t="e">
        <f>'PROJECT TA Y TB KARINA'!$F39/8</f>
        <v>#REF!</v>
      </c>
      <c r="T43" s="128" t="e">
        <f>'PROJECT TA Y TB KARINA'!$F39/8</f>
        <v>#REF!</v>
      </c>
      <c r="U43" s="128" t="e">
        <f>'PROJECT TA Y TB KARINA'!$F39/8</f>
        <v>#REF!</v>
      </c>
      <c r="V43" s="128" t="e">
        <f>'PROJECT TA Y TB KARINA'!$F39/8</f>
        <v>#REF!</v>
      </c>
      <c r="W43" s="128" t="e">
        <f>'PROJECT TA Y TB KARINA'!$F39/8</f>
        <v>#REF!</v>
      </c>
      <c r="X43" s="128" t="e">
        <f>'PROJECT TA Y TB KARINA'!$F39/8</f>
        <v>#REF!</v>
      </c>
      <c r="Y43" s="128" t="e">
        <f>'PROJECT TA Y TB KARINA'!$G39/8</f>
        <v>#REF!</v>
      </c>
      <c r="Z43" s="128" t="e">
        <f>'PROJECT TA Y TB KARINA'!$G39/8</f>
        <v>#REF!</v>
      </c>
      <c r="AA43" s="128" t="e">
        <f>'PROJECT TA Y TB KARINA'!$G39/8</f>
        <v>#REF!</v>
      </c>
      <c r="AB43" s="128" t="e">
        <f>'PROJECT TA Y TB KARINA'!$G39/8</f>
        <v>#REF!</v>
      </c>
      <c r="AC43" s="128" t="e">
        <f>'PROJECT TA Y TB KARINA'!$G39/8</f>
        <v>#REF!</v>
      </c>
      <c r="AD43" s="128" t="e">
        <f>'PROJECT TA Y TB KARINA'!$G39/8</f>
        <v>#REF!</v>
      </c>
      <c r="AE43" s="128" t="e">
        <f>'PROJECT TA Y TB KARINA'!$G39/8</f>
        <v>#REF!</v>
      </c>
      <c r="AF43" s="128" t="e">
        <f>'PROJECT TA Y TB KARINA'!$G39/8</f>
        <v>#REF!</v>
      </c>
      <c r="AG43" s="128" t="e">
        <f>'PROJECT TA Y TB KARINA'!$H39/8</f>
        <v>#REF!</v>
      </c>
      <c r="AH43" s="128" t="e">
        <f>'PROJECT TA Y TB KARINA'!$H39/8</f>
        <v>#REF!</v>
      </c>
      <c r="AI43" s="128" t="e">
        <f>'PROJECT TA Y TB KARINA'!$H39/8</f>
        <v>#REF!</v>
      </c>
      <c r="AJ43" s="128" t="e">
        <f>'PROJECT TA Y TB KARINA'!$H39/8</f>
        <v>#REF!</v>
      </c>
      <c r="AK43" s="128" t="e">
        <f>'PROJECT TA Y TB KARINA'!$H39/8</f>
        <v>#REF!</v>
      </c>
      <c r="AL43" s="128" t="e">
        <f>'PROJECT TA Y TB KARINA'!$H39/8</f>
        <v>#REF!</v>
      </c>
      <c r="AM43" s="128" t="e">
        <f>'PROJECT TA Y TB KARINA'!$H39/8</f>
        <v>#REF!</v>
      </c>
      <c r="AN43" s="128" t="e">
        <f>'PROJECT TA Y TB KARINA'!$H39/8</f>
        <v>#REF!</v>
      </c>
      <c r="AO43" s="128" t="e">
        <f>'PROJECT TA Y TB KARINA'!$I39/8</f>
        <v>#REF!</v>
      </c>
      <c r="AP43" s="128" t="e">
        <f>'PROJECT TA Y TB KARINA'!$I39/8</f>
        <v>#REF!</v>
      </c>
      <c r="AQ43" s="128" t="e">
        <f>'PROJECT TA Y TB KARINA'!$I39/8</f>
        <v>#REF!</v>
      </c>
      <c r="AR43" s="128" t="e">
        <f>'PROJECT TA Y TB KARINA'!$I39/8</f>
        <v>#REF!</v>
      </c>
      <c r="AS43" s="128" t="e">
        <f>'PROJECT TA Y TB KARINA'!$I39/8</f>
        <v>#REF!</v>
      </c>
      <c r="AT43" s="128" t="e">
        <f>'PROJECT TA Y TB KARINA'!$I39/8</f>
        <v>#REF!</v>
      </c>
      <c r="AU43" s="128" t="e">
        <f>'PROJECT TA Y TB KARINA'!$I39/8</f>
        <v>#REF!</v>
      </c>
      <c r="AV43" s="128" t="e">
        <f>'PROJECT TA Y TB KARINA'!$I39/8</f>
        <v>#REF!</v>
      </c>
      <c r="AW43" s="128" t="e">
        <f>'PROJECT TA Y TB KARINA'!$J39/8</f>
        <v>#REF!</v>
      </c>
      <c r="AX43" s="128" t="e">
        <f>'PROJECT TA Y TB KARINA'!$J39/8</f>
        <v>#REF!</v>
      </c>
      <c r="AY43" s="128" t="e">
        <f>'PROJECT TA Y TB KARINA'!$J39/8</f>
        <v>#REF!</v>
      </c>
      <c r="AZ43" s="128" t="e">
        <f>'PROJECT TA Y TB KARINA'!$J39/8</f>
        <v>#REF!</v>
      </c>
      <c r="BA43" s="128" t="e">
        <f>'PROJECT TA Y TB KARINA'!$J39/8</f>
        <v>#REF!</v>
      </c>
      <c r="BB43" s="128" t="e">
        <f>'PROJECT TA Y TB KARINA'!$J39/8</f>
        <v>#REF!</v>
      </c>
      <c r="BC43" s="128" t="e">
        <f>'PROJECT TA Y TB KARINA'!$J39/8</f>
        <v>#REF!</v>
      </c>
      <c r="BD43" s="128" t="e">
        <f>'PROJECT TA Y TB KARINA'!$J39/8</f>
        <v>#REF!</v>
      </c>
      <c r="BE43" s="128" t="e">
        <f>'PROJECT TA Y TB KARINA'!$K39/8</f>
        <v>#REF!</v>
      </c>
      <c r="BF43" s="128" t="e">
        <f>'PROJECT TA Y TB KARINA'!$K39/8</f>
        <v>#REF!</v>
      </c>
      <c r="BG43" s="128" t="e">
        <f>'PROJECT TA Y TB KARINA'!$K39/8</f>
        <v>#REF!</v>
      </c>
      <c r="BH43" s="128" t="e">
        <f>'PROJECT TA Y TB KARINA'!$K39/8</f>
        <v>#REF!</v>
      </c>
      <c r="BI43" s="128" t="e">
        <f>'PROJECT TA Y TB KARINA'!$K39/8</f>
        <v>#REF!</v>
      </c>
      <c r="BJ43" s="128" t="e">
        <f>'PROJECT TA Y TB KARINA'!$K39/8</f>
        <v>#REF!</v>
      </c>
      <c r="BK43" s="128" t="e">
        <f>'PROJECT TA Y TB KARINA'!$K39/8</f>
        <v>#REF!</v>
      </c>
      <c r="BL43" s="128" t="e">
        <f>'PROJECT TA Y TB KARINA'!$K39/8</f>
        <v>#REF!</v>
      </c>
      <c r="BM43" s="128" t="e">
        <f>'PROJECT TA Y TB KARINA'!$L39/8</f>
        <v>#REF!</v>
      </c>
      <c r="BN43" s="128" t="e">
        <f>'PROJECT TA Y TB KARINA'!$L39/8</f>
        <v>#REF!</v>
      </c>
      <c r="BO43" s="128" t="e">
        <f>'PROJECT TA Y TB KARINA'!$L39/8</f>
        <v>#REF!</v>
      </c>
      <c r="BP43" s="128" t="e">
        <f>'PROJECT TA Y TB KARINA'!$L39/8</f>
        <v>#REF!</v>
      </c>
      <c r="BQ43" s="128" t="e">
        <f>'PROJECT TA Y TB KARINA'!$L39/8</f>
        <v>#REF!</v>
      </c>
      <c r="BR43" s="128" t="e">
        <f>'PROJECT TA Y TB KARINA'!$L39/8</f>
        <v>#REF!</v>
      </c>
      <c r="BS43" s="128" t="e">
        <f>'PROJECT TA Y TB KARINA'!$L39/8</f>
        <v>#REF!</v>
      </c>
      <c r="BT43" s="128" t="e">
        <f>'PROJECT TA Y TB KARINA'!$L39/8</f>
        <v>#REF!</v>
      </c>
      <c r="BU43" s="128" t="e">
        <f>'PROJECT TA Y TB KARINA'!$M39/8</f>
        <v>#REF!</v>
      </c>
      <c r="BV43" s="128" t="e">
        <f>'PROJECT TA Y TB KARINA'!$M39/8</f>
        <v>#REF!</v>
      </c>
      <c r="BW43" s="128" t="e">
        <f>'PROJECT TA Y TB KARINA'!$M39/8</f>
        <v>#REF!</v>
      </c>
      <c r="BX43" s="128" t="e">
        <f>'PROJECT TA Y TB KARINA'!$M39/8</f>
        <v>#REF!</v>
      </c>
      <c r="BY43" s="128" t="e">
        <f>'PROJECT TA Y TB KARINA'!$M39/8</f>
        <v>#REF!</v>
      </c>
      <c r="BZ43" s="128" t="e">
        <f>'PROJECT TA Y TB KARINA'!$M39/8</f>
        <v>#REF!</v>
      </c>
      <c r="CA43" s="128" t="e">
        <f>'PROJECT TA Y TB KARINA'!$M39/8</f>
        <v>#REF!</v>
      </c>
      <c r="CB43" s="128" t="e">
        <f>'PROJECT TA Y TB KARINA'!$M39/8</f>
        <v>#REF!</v>
      </c>
      <c r="CC43" s="128" t="e">
        <f>'PROJECT TA Y TB KARINA'!$N39/8</f>
        <v>#REF!</v>
      </c>
      <c r="CD43" s="128" t="e">
        <f>'PROJECT TA Y TB KARINA'!$N39/8</f>
        <v>#REF!</v>
      </c>
      <c r="CE43" s="128" t="e">
        <f>'PROJECT TA Y TB KARINA'!$N39/8</f>
        <v>#REF!</v>
      </c>
      <c r="CF43" s="128" t="e">
        <f>'PROJECT TA Y TB KARINA'!$N39/8</f>
        <v>#REF!</v>
      </c>
      <c r="CG43" s="128" t="e">
        <f>'PROJECT TA Y TB KARINA'!$N39/8</f>
        <v>#REF!</v>
      </c>
      <c r="CH43" s="128" t="e">
        <f>'PROJECT TA Y TB KARINA'!$N39/8</f>
        <v>#REF!</v>
      </c>
      <c r="CI43" s="128" t="e">
        <f>'PROJECT TA Y TB KARINA'!$N39/8</f>
        <v>#REF!</v>
      </c>
      <c r="CJ43" s="128" t="e">
        <f>'PROJECT TA Y TB KARINA'!$N39/8</f>
        <v>#REF!</v>
      </c>
      <c r="CK43" s="128" t="e">
        <f>'PROJECT TA Y TB KARINA'!$O39/8</f>
        <v>#REF!</v>
      </c>
      <c r="CL43" s="128" t="e">
        <f>'PROJECT TA Y TB KARINA'!$O39/8</f>
        <v>#REF!</v>
      </c>
      <c r="CM43" s="128" t="e">
        <f>'PROJECT TA Y TB KARINA'!$O39/8</f>
        <v>#REF!</v>
      </c>
      <c r="CN43" s="128" t="e">
        <f>'PROJECT TA Y TB KARINA'!$O39/8</f>
        <v>#REF!</v>
      </c>
      <c r="CO43" s="128" t="e">
        <f>'PROJECT TA Y TB KARINA'!$O39/8</f>
        <v>#REF!</v>
      </c>
      <c r="CP43" s="128" t="e">
        <f>'PROJECT TA Y TB KARINA'!$O39/8</f>
        <v>#REF!</v>
      </c>
      <c r="CQ43" s="128" t="e">
        <f>'PROJECT TA Y TB KARINA'!$O39/8</f>
        <v>#REF!</v>
      </c>
      <c r="CR43" s="128" t="e">
        <f>'PROJECT TA Y TB KARINA'!$O39/8</f>
        <v>#REF!</v>
      </c>
      <c r="CS43" s="128" t="e">
        <f>'PROJECT TA Y TB KARINA'!$P39/8</f>
        <v>#REF!</v>
      </c>
      <c r="CT43" s="128" t="e">
        <f>'PROJECT TA Y TB KARINA'!$P39/8</f>
        <v>#REF!</v>
      </c>
      <c r="CU43" s="128" t="e">
        <f>'PROJECT TA Y TB KARINA'!$P39/8</f>
        <v>#REF!</v>
      </c>
      <c r="CV43" s="128" t="e">
        <f>'PROJECT TA Y TB KARINA'!$P39/8</f>
        <v>#REF!</v>
      </c>
      <c r="CW43" s="128" t="e">
        <f>'PROJECT TA Y TB KARINA'!$P39/8</f>
        <v>#REF!</v>
      </c>
      <c r="CX43" s="128" t="e">
        <f>'PROJECT TA Y TB KARINA'!$P39/8</f>
        <v>#REF!</v>
      </c>
      <c r="CY43" s="128" t="e">
        <f>'PROJECT TA Y TB KARINA'!$P39/8</f>
        <v>#REF!</v>
      </c>
      <c r="CZ43" s="128" t="e">
        <f>'PROJECT TA Y TB KARINA'!$P39/8</f>
        <v>#REF!</v>
      </c>
      <c r="DA43" s="128" t="e">
        <f>'PROJECT TA Y TB KARINA'!$Q39/8</f>
        <v>#REF!</v>
      </c>
      <c r="DB43" s="128" t="e">
        <f>'PROJECT TA Y TB KARINA'!$Q39/8</f>
        <v>#REF!</v>
      </c>
      <c r="DC43" s="128" t="e">
        <f>'PROJECT TA Y TB KARINA'!$Q39/8</f>
        <v>#REF!</v>
      </c>
      <c r="DD43" s="128" t="e">
        <f>'PROJECT TA Y TB KARINA'!$Q39/8</f>
        <v>#REF!</v>
      </c>
      <c r="DE43" s="128" t="e">
        <f>'PROJECT TA Y TB KARINA'!$Q39/8</f>
        <v>#REF!</v>
      </c>
      <c r="DF43" s="128" t="e">
        <f>'PROJECT TA Y TB KARINA'!$Q39/8</f>
        <v>#REF!</v>
      </c>
      <c r="DG43" s="128" t="e">
        <f>'PROJECT TA Y TB KARINA'!$Q39/8</f>
        <v>#REF!</v>
      </c>
      <c r="DH43" s="128" t="e">
        <f>'PROJECT TA Y TB KARINA'!$Q39/8</f>
        <v>#REF!</v>
      </c>
      <c r="DI43" s="128" t="e">
        <f>'PROJECT TA Y TB KARINA'!$R39/8</f>
        <v>#REF!</v>
      </c>
      <c r="DJ43" s="128" t="e">
        <f>'PROJECT TA Y TB KARINA'!$R39/8</f>
        <v>#REF!</v>
      </c>
      <c r="DK43" s="128" t="e">
        <f>'PROJECT TA Y TB KARINA'!$R39/8</f>
        <v>#REF!</v>
      </c>
      <c r="DL43" s="128" t="e">
        <f>'PROJECT TA Y TB KARINA'!$R39/8</f>
        <v>#REF!</v>
      </c>
      <c r="DM43" s="128" t="e">
        <f>'PROJECT TA Y TB KARINA'!$R39/8</f>
        <v>#REF!</v>
      </c>
      <c r="DN43" s="128" t="e">
        <f>'PROJECT TA Y TB KARINA'!$R39/8</f>
        <v>#REF!</v>
      </c>
      <c r="DO43" s="128" t="e">
        <f>'PROJECT TA Y TB KARINA'!$R39/8</f>
        <v>#REF!</v>
      </c>
      <c r="DP43" s="128" t="e">
        <f>'PROJECT TA Y TB KARINA'!$R39/8</f>
        <v>#REF!</v>
      </c>
      <c r="DQ43" s="128" t="e">
        <f>'PROJECT TA Y TB KARINA'!$S39/8</f>
        <v>#REF!</v>
      </c>
      <c r="DR43" s="128" t="e">
        <f>'PROJECT TA Y TB KARINA'!$S39/8</f>
        <v>#REF!</v>
      </c>
      <c r="DS43" s="128" t="e">
        <f>'PROJECT TA Y TB KARINA'!$S39/8</f>
        <v>#REF!</v>
      </c>
      <c r="DT43" s="128" t="e">
        <f>'PROJECT TA Y TB KARINA'!$S39/8</f>
        <v>#REF!</v>
      </c>
      <c r="DU43" s="128" t="e">
        <f>'PROJECT TA Y TB KARINA'!$S39/8</f>
        <v>#REF!</v>
      </c>
      <c r="DV43" s="128" t="e">
        <f>'PROJECT TA Y TB KARINA'!$S39/8</f>
        <v>#REF!</v>
      </c>
      <c r="DW43" s="128" t="e">
        <f>'PROJECT TA Y TB KARINA'!$S39/8</f>
        <v>#REF!</v>
      </c>
      <c r="DX43" s="128" t="e">
        <f>'PROJECT TA Y TB KARINA'!$S39/8</f>
        <v>#REF!</v>
      </c>
      <c r="DY43" s="128" t="e">
        <f>'PROJECT TA Y TB KARINA'!$T39/8</f>
        <v>#REF!</v>
      </c>
      <c r="DZ43" s="128" t="e">
        <f>'PROJECT TA Y TB KARINA'!$T39/8</f>
        <v>#REF!</v>
      </c>
      <c r="EA43" s="128" t="e">
        <f>'PROJECT TA Y TB KARINA'!$T39/8</f>
        <v>#REF!</v>
      </c>
      <c r="EB43" s="128" t="e">
        <f>'PROJECT TA Y TB KARINA'!$T39/8</f>
        <v>#REF!</v>
      </c>
      <c r="EC43" s="128" t="e">
        <f>'PROJECT TA Y TB KARINA'!$T39/8</f>
        <v>#REF!</v>
      </c>
      <c r="ED43" s="128" t="e">
        <f>'PROJECT TA Y TB KARINA'!$T39/8</f>
        <v>#REF!</v>
      </c>
      <c r="EE43" s="128" t="e">
        <f>'PROJECT TA Y TB KARINA'!$T39/8</f>
        <v>#REF!</v>
      </c>
      <c r="EF43" s="128" t="e">
        <f>'PROJECT TA Y TB KARINA'!$T39/8</f>
        <v>#REF!</v>
      </c>
      <c r="EG43" s="128" t="e">
        <f>'PROJECT TA Y TB KARINA'!#REF!/8</f>
        <v>#REF!</v>
      </c>
      <c r="EH43" s="128" t="e">
        <f>'PROJECT TA Y TB KARINA'!#REF!/8</f>
        <v>#REF!</v>
      </c>
      <c r="EI43" s="128" t="e">
        <f>'PROJECT TA Y TB KARINA'!#REF!/8</f>
        <v>#REF!</v>
      </c>
      <c r="EJ43" s="128" t="e">
        <f>'PROJECT TA Y TB KARINA'!#REF!/8</f>
        <v>#REF!</v>
      </c>
      <c r="EK43" s="128" t="e">
        <f>'PROJECT TA Y TB KARINA'!#REF!/8</f>
        <v>#REF!</v>
      </c>
      <c r="EL43" s="128" t="e">
        <f>'PROJECT TA Y TB KARINA'!#REF!/8</f>
        <v>#REF!</v>
      </c>
      <c r="EM43" s="128" t="e">
        <f>'PROJECT TA Y TB KARINA'!#REF!/8</f>
        <v>#REF!</v>
      </c>
      <c r="EN43" s="128" t="e">
        <f>'PROJECT TA Y TB KARINA'!#REF!/8</f>
        <v>#REF!</v>
      </c>
      <c r="EO43" s="128">
        <f>'PROJECT TA Y TB KARINA'!$C97/8</f>
        <v>0</v>
      </c>
      <c r="EP43" s="128">
        <f>'PROJECT TA Y TB KARINA'!$C97/8</f>
        <v>0</v>
      </c>
      <c r="EQ43" s="128">
        <f>'PROJECT TA Y TB KARINA'!$C97/8</f>
        <v>0</v>
      </c>
      <c r="ER43" s="128">
        <f>'PROJECT TA Y TB KARINA'!$C97/8</f>
        <v>0</v>
      </c>
      <c r="ES43" s="128">
        <f>'PROJECT TA Y TB KARINA'!$C97/8</f>
        <v>0</v>
      </c>
      <c r="ET43" s="128">
        <f>'PROJECT TA Y TB KARINA'!$C97/8</f>
        <v>0</v>
      </c>
      <c r="EU43" s="128">
        <f>'PROJECT TA Y TB KARINA'!$C97/8</f>
        <v>0</v>
      </c>
      <c r="EV43" s="128">
        <f>'PROJECT TA Y TB KARINA'!$E97/8</f>
        <v>0</v>
      </c>
      <c r="EW43" s="128">
        <f>'PROJECT TA Y TB KARINA'!$E97/8</f>
        <v>0</v>
      </c>
      <c r="EX43" s="128">
        <f>'PROJECT TA Y TB KARINA'!$E97/8</f>
        <v>0</v>
      </c>
      <c r="EY43" s="128">
        <f>'PROJECT TA Y TB KARINA'!$E97/8</f>
        <v>0</v>
      </c>
      <c r="EZ43" s="128">
        <f>'PROJECT TA Y TB KARINA'!$E97/8</f>
        <v>0</v>
      </c>
      <c r="FA43" s="128">
        <f>'PROJECT TA Y TB KARINA'!$E97/8</f>
        <v>0</v>
      </c>
      <c r="FB43" s="128">
        <f>'PROJECT TA Y TB KARINA'!$E97/8</f>
        <v>0</v>
      </c>
      <c r="FC43" s="128">
        <f>'PROJECT TA Y TB KARINA'!$E97/8</f>
        <v>0</v>
      </c>
      <c r="FD43" s="128">
        <f>'PROJECT TA Y TB KARINA'!$F97/8</f>
        <v>0</v>
      </c>
      <c r="FE43" s="128">
        <f>'PROJECT TA Y TB KARINA'!$F97/8</f>
        <v>0</v>
      </c>
      <c r="FF43" s="128">
        <f>'PROJECT TA Y TB KARINA'!$F97/8</f>
        <v>0</v>
      </c>
      <c r="FG43" s="128">
        <f>'PROJECT TA Y TB KARINA'!$F97/8</f>
        <v>0</v>
      </c>
      <c r="FH43" s="128">
        <f>'PROJECT TA Y TB KARINA'!$F97/8</f>
        <v>0</v>
      </c>
      <c r="FI43" s="128">
        <f>'PROJECT TA Y TB KARINA'!$F97/8</f>
        <v>0</v>
      </c>
      <c r="FJ43" s="128">
        <f>'PROJECT TA Y TB KARINA'!$F97/8</f>
        <v>0</v>
      </c>
      <c r="FK43" s="128">
        <f>'PROJECT TA Y TB KARINA'!$F97/8</f>
        <v>0</v>
      </c>
      <c r="FL43" s="128">
        <f>'PROJECT TA Y TB KARINA'!$G97/8</f>
        <v>0</v>
      </c>
      <c r="FM43" s="128">
        <f>'PROJECT TA Y TB KARINA'!$G97/8</f>
        <v>0</v>
      </c>
      <c r="FN43" s="128">
        <f>'PROJECT TA Y TB KARINA'!$G97/8</f>
        <v>0</v>
      </c>
      <c r="FO43" s="128">
        <f>'PROJECT TA Y TB KARINA'!$G97/8</f>
        <v>0</v>
      </c>
      <c r="FP43" s="128">
        <f>'PROJECT TA Y TB KARINA'!$G97/8</f>
        <v>0</v>
      </c>
      <c r="FQ43" s="128">
        <f>'PROJECT TA Y TB KARINA'!$G97/8</f>
        <v>0</v>
      </c>
      <c r="FR43" s="128">
        <f>'PROJECT TA Y TB KARINA'!$G97/8</f>
        <v>0</v>
      </c>
      <c r="FS43" s="128">
        <f>'PROJECT TA Y TB KARINA'!$G97/8</f>
        <v>0</v>
      </c>
      <c r="FT43" s="128">
        <f>'PROJECT TA Y TB KARINA'!$H97/8</f>
        <v>0</v>
      </c>
      <c r="FU43" s="128">
        <f>'PROJECT TA Y TB KARINA'!$H97/8</f>
        <v>0</v>
      </c>
      <c r="FV43" s="128">
        <f>'PROJECT TA Y TB KARINA'!$H97/8</f>
        <v>0</v>
      </c>
      <c r="FW43" s="128">
        <f>'PROJECT TA Y TB KARINA'!$H97/8</f>
        <v>0</v>
      </c>
      <c r="FX43" s="128">
        <f>'PROJECT TA Y TB KARINA'!$H97/8</f>
        <v>0</v>
      </c>
      <c r="FY43" s="128">
        <f>'PROJECT TA Y TB KARINA'!$H97/8</f>
        <v>0</v>
      </c>
      <c r="FZ43" s="128">
        <f>'PROJECT TA Y TB KARINA'!$H97/8</f>
        <v>0</v>
      </c>
      <c r="GA43" s="128">
        <f>'PROJECT TA Y TB KARINA'!$H97/8</f>
        <v>0</v>
      </c>
      <c r="GB43" s="128">
        <f>'PROJECT TA Y TB KARINA'!$I97/8</f>
        <v>0</v>
      </c>
      <c r="GC43" s="128">
        <f>'PROJECT TA Y TB KARINA'!$I97/8</f>
        <v>0</v>
      </c>
      <c r="GD43" s="128">
        <f>'PROJECT TA Y TB KARINA'!$I97/8</f>
        <v>0</v>
      </c>
      <c r="GE43" s="128">
        <f>'PROJECT TA Y TB KARINA'!$I97/8</f>
        <v>0</v>
      </c>
      <c r="GF43" s="128">
        <f>'PROJECT TA Y TB KARINA'!$I97/8</f>
        <v>0</v>
      </c>
      <c r="GG43" s="128">
        <f>'PROJECT TA Y TB KARINA'!$I97/8</f>
        <v>0</v>
      </c>
      <c r="GH43" s="128">
        <f>'PROJECT TA Y TB KARINA'!$I97/8</f>
        <v>0</v>
      </c>
      <c r="GI43" s="128">
        <f>'PROJECT TA Y TB KARINA'!$I97/8</f>
        <v>0</v>
      </c>
      <c r="GJ43" s="128">
        <f>'PROJECT TA Y TB KARINA'!$J97/8</f>
        <v>0</v>
      </c>
      <c r="GK43" s="128">
        <f>'PROJECT TA Y TB KARINA'!$J97/8</f>
        <v>0</v>
      </c>
      <c r="GL43" s="128">
        <f>'PROJECT TA Y TB KARINA'!$J97/8</f>
        <v>0</v>
      </c>
      <c r="GM43" s="128">
        <f>'PROJECT TA Y TB KARINA'!$J97/8</f>
        <v>0</v>
      </c>
      <c r="GN43" s="128">
        <f>'PROJECT TA Y TB KARINA'!$J97/8</f>
        <v>0</v>
      </c>
      <c r="GO43" s="128">
        <f>'PROJECT TA Y TB KARINA'!$J97/8</f>
        <v>0</v>
      </c>
      <c r="GP43" s="128">
        <f>'PROJECT TA Y TB KARINA'!$J97/8</f>
        <v>0</v>
      </c>
      <c r="GQ43" s="128">
        <f>'PROJECT TA Y TB KARINA'!$J97/8</f>
        <v>0</v>
      </c>
      <c r="GR43" s="128">
        <f>'PROJECT TA Y TB KARINA'!$K97/8</f>
        <v>0</v>
      </c>
      <c r="GS43" s="128">
        <f>'PROJECT TA Y TB KARINA'!$K97/8</f>
        <v>0</v>
      </c>
      <c r="GT43" s="128">
        <f>'PROJECT TA Y TB KARINA'!$K97/8</f>
        <v>0</v>
      </c>
      <c r="GU43" s="128">
        <f>'PROJECT TA Y TB KARINA'!$K97/8</f>
        <v>0</v>
      </c>
      <c r="GV43" s="128">
        <f>'PROJECT TA Y TB KARINA'!$K97/8</f>
        <v>0</v>
      </c>
      <c r="GW43" s="128">
        <f>'PROJECT TA Y TB KARINA'!$K97/8</f>
        <v>0</v>
      </c>
      <c r="GX43" s="128">
        <f>'PROJECT TA Y TB KARINA'!$K97/8</f>
        <v>0</v>
      </c>
      <c r="GY43" s="128">
        <f>'PROJECT TA Y TB KARINA'!$K97/8</f>
        <v>0</v>
      </c>
      <c r="GZ43" s="128">
        <f>'PROJECT TA Y TB KARINA'!$L97/8</f>
        <v>0</v>
      </c>
      <c r="HA43" s="128">
        <f>'PROJECT TA Y TB KARINA'!$L97/8</f>
        <v>0</v>
      </c>
      <c r="HB43" s="128">
        <f>'PROJECT TA Y TB KARINA'!$L97/8</f>
        <v>0</v>
      </c>
      <c r="HC43" s="128">
        <f>'PROJECT TA Y TB KARINA'!$L97/8</f>
        <v>0</v>
      </c>
      <c r="HD43" s="128">
        <f>'PROJECT TA Y TB KARINA'!$L97/8</f>
        <v>0</v>
      </c>
      <c r="HE43" s="128">
        <f>'PROJECT TA Y TB KARINA'!$L97/8</f>
        <v>0</v>
      </c>
      <c r="HF43" s="128">
        <f>'PROJECT TA Y TB KARINA'!$L97/8</f>
        <v>0</v>
      </c>
      <c r="HG43" s="128">
        <f>'PROJECT TA Y TB KARINA'!$L97/8</f>
        <v>0</v>
      </c>
      <c r="HH43" s="128">
        <f>'PROJECT TA Y TB KARINA'!$M97/8</f>
        <v>0</v>
      </c>
      <c r="HI43" s="128">
        <f>'PROJECT TA Y TB KARINA'!$M97/8</f>
        <v>0</v>
      </c>
      <c r="HJ43" s="128">
        <f>'PROJECT TA Y TB KARINA'!$M97/8</f>
        <v>0</v>
      </c>
      <c r="HK43" s="128">
        <f>'PROJECT TA Y TB KARINA'!$M97/8</f>
        <v>0</v>
      </c>
      <c r="HL43" s="128">
        <f>'PROJECT TA Y TB KARINA'!$M97/8</f>
        <v>0</v>
      </c>
      <c r="HM43" s="128">
        <f>'PROJECT TA Y TB KARINA'!$M97/8</f>
        <v>0</v>
      </c>
      <c r="HN43" s="128">
        <f>'PROJECT TA Y TB KARINA'!$M97/8</f>
        <v>0</v>
      </c>
      <c r="HO43" s="128">
        <f>'PROJECT TA Y TB KARINA'!$M97/8</f>
        <v>0</v>
      </c>
      <c r="HP43" s="128">
        <f>'PROJECT TA Y TB KARINA'!$N97/8</f>
        <v>0</v>
      </c>
      <c r="HQ43" s="128">
        <f>'PROJECT TA Y TB KARINA'!$N97/8</f>
        <v>0</v>
      </c>
      <c r="HR43" s="128">
        <f>'PROJECT TA Y TB KARINA'!$N97/8</f>
        <v>0</v>
      </c>
      <c r="HS43" s="128">
        <f>'PROJECT TA Y TB KARINA'!$N97/8</f>
        <v>0</v>
      </c>
      <c r="HT43" s="128">
        <f>'PROJECT TA Y TB KARINA'!$N97/8</f>
        <v>0</v>
      </c>
      <c r="HU43" s="128">
        <f>'PROJECT TA Y TB KARINA'!$N97/8</f>
        <v>0</v>
      </c>
      <c r="HV43" s="128">
        <f>'PROJECT TA Y TB KARINA'!$N97/8</f>
        <v>0</v>
      </c>
      <c r="HW43" s="128">
        <f>'PROJECT TA Y TB KARINA'!$N97/8</f>
        <v>0</v>
      </c>
      <c r="HX43" s="128">
        <f>'PROJECT TA Y TB KARINA'!$O97/8</f>
        <v>0</v>
      </c>
      <c r="HY43" s="128">
        <f>'PROJECT TA Y TB KARINA'!$O97/8</f>
        <v>0</v>
      </c>
      <c r="HZ43" s="128">
        <f>'PROJECT TA Y TB KARINA'!$O97/8</f>
        <v>0</v>
      </c>
      <c r="IA43" s="128">
        <f>'PROJECT TA Y TB KARINA'!$O97/8</f>
        <v>0</v>
      </c>
      <c r="IB43" s="128">
        <f>'PROJECT TA Y TB KARINA'!$O97/8</f>
        <v>0</v>
      </c>
      <c r="IC43" s="128">
        <f>'PROJECT TA Y TB KARINA'!$O97/8</f>
        <v>0</v>
      </c>
      <c r="ID43" s="128">
        <f>'PROJECT TA Y TB KARINA'!$O97/8</f>
        <v>0</v>
      </c>
      <c r="IE43" s="128">
        <f>'PROJECT TA Y TB KARINA'!$O97/8</f>
        <v>0</v>
      </c>
      <c r="IF43" s="128">
        <f>'PROJECT TA Y TB KARINA'!$P97/8</f>
        <v>0</v>
      </c>
      <c r="IG43" s="128">
        <f>'PROJECT TA Y TB KARINA'!$P97/8</f>
        <v>0</v>
      </c>
      <c r="IH43" s="128">
        <f>'PROJECT TA Y TB KARINA'!$P97/8</f>
        <v>0</v>
      </c>
      <c r="II43" s="128">
        <f>'PROJECT TA Y TB KARINA'!$P97/8</f>
        <v>0</v>
      </c>
      <c r="IJ43" s="128">
        <f>'PROJECT TA Y TB KARINA'!$P97/8</f>
        <v>0</v>
      </c>
      <c r="IK43" s="128">
        <f>'PROJECT TA Y TB KARINA'!$P97/8</f>
        <v>0</v>
      </c>
      <c r="IL43" s="128">
        <f>'PROJECT TA Y TB KARINA'!$P97/8</f>
        <v>0</v>
      </c>
      <c r="IM43" s="128">
        <f>'PROJECT TA Y TB KARINA'!$P97/8</f>
        <v>0</v>
      </c>
      <c r="IN43" s="128">
        <f>'PROJECT TA Y TB KARINA'!$Q97/8</f>
        <v>0</v>
      </c>
      <c r="IO43" s="128">
        <f>'PROJECT TA Y TB KARINA'!$Q97/8</f>
        <v>0</v>
      </c>
      <c r="IP43" s="128">
        <f>'PROJECT TA Y TB KARINA'!$Q97/8</f>
        <v>0</v>
      </c>
      <c r="IQ43" s="128">
        <f>'PROJECT TA Y TB KARINA'!$Q97/8</f>
        <v>0</v>
      </c>
      <c r="IR43" s="128">
        <f>'PROJECT TA Y TB KARINA'!$Q97/8</f>
        <v>0</v>
      </c>
      <c r="IS43" s="128">
        <f>'PROJECT TA Y TB KARINA'!$Q97/8</f>
        <v>0</v>
      </c>
      <c r="IT43" s="128">
        <f>'PROJECT TA Y TB KARINA'!$Q97/8</f>
        <v>0</v>
      </c>
      <c r="IU43" s="128">
        <f>'PROJECT TA Y TB KARINA'!$Q97/8</f>
        <v>0</v>
      </c>
      <c r="IV43" s="128">
        <f>'PROJECT TA Y TB KARINA'!$R97/8</f>
        <v>0</v>
      </c>
      <c r="IW43" s="128">
        <f>'PROJECT TA Y TB KARINA'!$R97/8</f>
        <v>0</v>
      </c>
      <c r="IX43" s="128">
        <f>'PROJECT TA Y TB KARINA'!$R97/8</f>
        <v>0</v>
      </c>
      <c r="IY43" s="128">
        <f>'PROJECT TA Y TB KARINA'!$R97/8</f>
        <v>0</v>
      </c>
      <c r="IZ43" s="128">
        <f>'PROJECT TA Y TB KARINA'!$R97/8</f>
        <v>0</v>
      </c>
      <c r="JA43" s="128">
        <f>'PROJECT TA Y TB KARINA'!$R97/8</f>
        <v>0</v>
      </c>
      <c r="JB43" s="128">
        <f>'PROJECT TA Y TB KARINA'!$R97/8</f>
        <v>0</v>
      </c>
      <c r="JC43" s="128">
        <f>'PROJECT TA Y TB KARINA'!$R97/8</f>
        <v>0</v>
      </c>
      <c r="JD43" s="128">
        <f>'PROJECT TA Y TB KARINA'!$S97/8</f>
        <v>0</v>
      </c>
      <c r="JE43" s="128">
        <f>'PROJECT TA Y TB KARINA'!$S97/8</f>
        <v>0</v>
      </c>
      <c r="JF43" s="128">
        <f>'PROJECT TA Y TB KARINA'!$S97/8</f>
        <v>0</v>
      </c>
      <c r="JG43" s="128">
        <f>'PROJECT TA Y TB KARINA'!$S97/8</f>
        <v>0</v>
      </c>
      <c r="JH43" s="128">
        <f>'PROJECT TA Y TB KARINA'!$S97/8</f>
        <v>0</v>
      </c>
      <c r="JI43" s="128">
        <f>'PROJECT TA Y TB KARINA'!$S97/8</f>
        <v>0</v>
      </c>
      <c r="JJ43" s="128">
        <f>'PROJECT TA Y TB KARINA'!$S97/8</f>
        <v>0</v>
      </c>
      <c r="JK43" s="128">
        <f>'PROJECT TA Y TB KARINA'!$S97/8</f>
        <v>0</v>
      </c>
      <c r="JL43" s="128">
        <f>'PROJECT TA Y TB KARINA'!$T97/8</f>
        <v>0</v>
      </c>
      <c r="JM43" s="128">
        <f>'PROJECT TA Y TB KARINA'!$T97/8</f>
        <v>0</v>
      </c>
      <c r="JN43" s="128">
        <f>'PROJECT TA Y TB KARINA'!$T97/8</f>
        <v>0</v>
      </c>
      <c r="JO43" s="128">
        <f>'PROJECT TA Y TB KARINA'!$T97/8</f>
        <v>0</v>
      </c>
      <c r="JP43" s="128">
        <f>'PROJECT TA Y TB KARINA'!$T97/8</f>
        <v>0</v>
      </c>
      <c r="JQ43" s="128">
        <f>'PROJECT TA Y TB KARINA'!$T97/8</f>
        <v>0</v>
      </c>
      <c r="JR43" s="128">
        <f>'PROJECT TA Y TB KARINA'!$T97/8</f>
        <v>0</v>
      </c>
      <c r="JS43" s="128">
        <f>'PROJECT TA Y TB KARINA'!$T97/8</f>
        <v>0</v>
      </c>
      <c r="JT43" s="128" t="e">
        <f>'PROJECT TA Y TB KARINA'!#REF!/8</f>
        <v>#REF!</v>
      </c>
      <c r="JU43" s="128" t="e">
        <f>'PROJECT TA Y TB KARINA'!#REF!/8</f>
        <v>#REF!</v>
      </c>
      <c r="JV43" s="128" t="e">
        <f>'PROJECT TA Y TB KARINA'!#REF!/8</f>
        <v>#REF!</v>
      </c>
      <c r="JW43" s="128" t="e">
        <f>'PROJECT TA Y TB KARINA'!#REF!/8</f>
        <v>#REF!</v>
      </c>
      <c r="JX43" s="128" t="e">
        <f>'PROJECT TA Y TB KARINA'!#REF!/8</f>
        <v>#REF!</v>
      </c>
      <c r="JY43" s="128" t="e">
        <f>'PROJECT TA Y TB KARINA'!#REF!/8</f>
        <v>#REF!</v>
      </c>
      <c r="JZ43" s="128" t="e">
        <f>'PROJECT TA Y TB KARINA'!#REF!/8</f>
        <v>#REF!</v>
      </c>
      <c r="KA43" s="128" t="e">
        <f>'PROJECT TA Y TB KARINA'!#REF!/8</f>
        <v>#REF!</v>
      </c>
    </row>
    <row r="44" spans="1:287" ht="21">
      <c r="A44" s="130" t="s">
        <v>497</v>
      </c>
      <c r="B44" s="128" t="e">
        <f>'PROJECT TA Y TB KARINA'!$C$40/8</f>
        <v>#REF!</v>
      </c>
      <c r="C44" s="128" t="e">
        <f>'PROJECT TA Y TB KARINA'!$C$40/8</f>
        <v>#REF!</v>
      </c>
      <c r="D44" s="128" t="e">
        <f>'PROJECT TA Y TB KARINA'!$C$40/8</f>
        <v>#REF!</v>
      </c>
      <c r="E44" s="128" t="e">
        <f>'PROJECT TA Y TB KARINA'!$C$40/8</f>
        <v>#REF!</v>
      </c>
      <c r="F44" s="128" t="e">
        <f>'PROJECT TA Y TB KARINA'!$C$40/8</f>
        <v>#REF!</v>
      </c>
      <c r="G44" s="128" t="e">
        <f>'PROJECT TA Y TB KARINA'!$C$40/8</f>
        <v>#REF!</v>
      </c>
      <c r="H44" s="128" t="e">
        <f>'PROJECT TA Y TB KARINA'!$C$40/8</f>
        <v>#REF!</v>
      </c>
      <c r="I44" s="128" t="e">
        <f>'PROJECT TA Y TB KARINA'!$E40/8</f>
        <v>#REF!</v>
      </c>
      <c r="J44" s="128" t="e">
        <f>'PROJECT TA Y TB KARINA'!$E40/8</f>
        <v>#REF!</v>
      </c>
      <c r="K44" s="128" t="e">
        <f>'PROJECT TA Y TB KARINA'!$E40/8</f>
        <v>#REF!</v>
      </c>
      <c r="L44" s="128" t="e">
        <f>'PROJECT TA Y TB KARINA'!$E40/8</f>
        <v>#REF!</v>
      </c>
      <c r="M44" s="128" t="e">
        <f>'PROJECT TA Y TB KARINA'!$E40/8</f>
        <v>#REF!</v>
      </c>
      <c r="N44" s="128" t="e">
        <f>'PROJECT TA Y TB KARINA'!$E40/8</f>
        <v>#REF!</v>
      </c>
      <c r="O44" s="128" t="e">
        <f>'PROJECT TA Y TB KARINA'!$E40/8</f>
        <v>#REF!</v>
      </c>
      <c r="P44" s="128" t="e">
        <f>'PROJECT TA Y TB KARINA'!$E40/8</f>
        <v>#REF!</v>
      </c>
      <c r="Q44" s="128" t="e">
        <f>'PROJECT TA Y TB KARINA'!$F40/8</f>
        <v>#REF!</v>
      </c>
      <c r="R44" s="128" t="e">
        <f>'PROJECT TA Y TB KARINA'!$F40/8</f>
        <v>#REF!</v>
      </c>
      <c r="S44" s="128" t="e">
        <f>'PROJECT TA Y TB KARINA'!$F40/8</f>
        <v>#REF!</v>
      </c>
      <c r="T44" s="128" t="e">
        <f>'PROJECT TA Y TB KARINA'!$F40/8</f>
        <v>#REF!</v>
      </c>
      <c r="U44" s="128" t="e">
        <f>'PROJECT TA Y TB KARINA'!$F40/8</f>
        <v>#REF!</v>
      </c>
      <c r="V44" s="128" t="e">
        <f>'PROJECT TA Y TB KARINA'!$F40/8</f>
        <v>#REF!</v>
      </c>
      <c r="W44" s="128" t="e">
        <f>'PROJECT TA Y TB KARINA'!$F40/8</f>
        <v>#REF!</v>
      </c>
      <c r="X44" s="128" t="e">
        <f>'PROJECT TA Y TB KARINA'!$F40/8</f>
        <v>#REF!</v>
      </c>
      <c r="Y44" s="128" t="e">
        <f>'PROJECT TA Y TB KARINA'!$G40/8</f>
        <v>#REF!</v>
      </c>
      <c r="Z44" s="128" t="e">
        <f>'PROJECT TA Y TB KARINA'!$G40/8</f>
        <v>#REF!</v>
      </c>
      <c r="AA44" s="128" t="e">
        <f>'PROJECT TA Y TB KARINA'!$G40/8</f>
        <v>#REF!</v>
      </c>
      <c r="AB44" s="128" t="e">
        <f>'PROJECT TA Y TB KARINA'!$G40/8</f>
        <v>#REF!</v>
      </c>
      <c r="AC44" s="128" t="e">
        <f>'PROJECT TA Y TB KARINA'!$G40/8</f>
        <v>#REF!</v>
      </c>
      <c r="AD44" s="128" t="e">
        <f>'PROJECT TA Y TB KARINA'!$G40/8</f>
        <v>#REF!</v>
      </c>
      <c r="AE44" s="128" t="e">
        <f>'PROJECT TA Y TB KARINA'!$G40/8</f>
        <v>#REF!</v>
      </c>
      <c r="AF44" s="128" t="e">
        <f>'PROJECT TA Y TB KARINA'!$G40/8</f>
        <v>#REF!</v>
      </c>
      <c r="AG44" s="128" t="e">
        <f>'PROJECT TA Y TB KARINA'!$H40/8</f>
        <v>#REF!</v>
      </c>
      <c r="AH44" s="128" t="e">
        <f>'PROJECT TA Y TB KARINA'!$H40/8</f>
        <v>#REF!</v>
      </c>
      <c r="AI44" s="128" t="e">
        <f>'PROJECT TA Y TB KARINA'!$H40/8</f>
        <v>#REF!</v>
      </c>
      <c r="AJ44" s="128" t="e">
        <f>'PROJECT TA Y TB KARINA'!$H40/8</f>
        <v>#REF!</v>
      </c>
      <c r="AK44" s="128" t="e">
        <f>'PROJECT TA Y TB KARINA'!$H40/8</f>
        <v>#REF!</v>
      </c>
      <c r="AL44" s="128" t="e">
        <f>'PROJECT TA Y TB KARINA'!$H40/8</f>
        <v>#REF!</v>
      </c>
      <c r="AM44" s="128" t="e">
        <f>'PROJECT TA Y TB KARINA'!$H40/8</f>
        <v>#REF!</v>
      </c>
      <c r="AN44" s="128" t="e">
        <f>'PROJECT TA Y TB KARINA'!$H40/8</f>
        <v>#REF!</v>
      </c>
      <c r="AO44" s="128" t="e">
        <f>'PROJECT TA Y TB KARINA'!$I40/8</f>
        <v>#REF!</v>
      </c>
      <c r="AP44" s="128" t="e">
        <f>'PROJECT TA Y TB KARINA'!$I40/8</f>
        <v>#REF!</v>
      </c>
      <c r="AQ44" s="128" t="e">
        <f>'PROJECT TA Y TB KARINA'!$I40/8</f>
        <v>#REF!</v>
      </c>
      <c r="AR44" s="128" t="e">
        <f>'PROJECT TA Y TB KARINA'!$I40/8</f>
        <v>#REF!</v>
      </c>
      <c r="AS44" s="128" t="e">
        <f>'PROJECT TA Y TB KARINA'!$I40/8</f>
        <v>#REF!</v>
      </c>
      <c r="AT44" s="128" t="e">
        <f>'PROJECT TA Y TB KARINA'!$I40/8</f>
        <v>#REF!</v>
      </c>
      <c r="AU44" s="128" t="e">
        <f>'PROJECT TA Y TB KARINA'!$I40/8</f>
        <v>#REF!</v>
      </c>
      <c r="AV44" s="128" t="e">
        <f>'PROJECT TA Y TB KARINA'!$I40/8</f>
        <v>#REF!</v>
      </c>
      <c r="AW44" s="128" t="e">
        <f>'PROJECT TA Y TB KARINA'!$J40/8</f>
        <v>#REF!</v>
      </c>
      <c r="AX44" s="128" t="e">
        <f>'PROJECT TA Y TB KARINA'!$J40/8</f>
        <v>#REF!</v>
      </c>
      <c r="AY44" s="128" t="e">
        <f>'PROJECT TA Y TB KARINA'!$J40/8</f>
        <v>#REF!</v>
      </c>
      <c r="AZ44" s="128" t="e">
        <f>'PROJECT TA Y TB KARINA'!$J40/8</f>
        <v>#REF!</v>
      </c>
      <c r="BA44" s="128" t="e">
        <f>'PROJECT TA Y TB KARINA'!$J40/8</f>
        <v>#REF!</v>
      </c>
      <c r="BB44" s="128" t="e">
        <f>'PROJECT TA Y TB KARINA'!$J40/8</f>
        <v>#REF!</v>
      </c>
      <c r="BC44" s="128" t="e">
        <f>'PROJECT TA Y TB KARINA'!$J40/8</f>
        <v>#REF!</v>
      </c>
      <c r="BD44" s="128" t="e">
        <f>'PROJECT TA Y TB KARINA'!$J40/8</f>
        <v>#REF!</v>
      </c>
      <c r="BE44" s="128" t="e">
        <f>'PROJECT TA Y TB KARINA'!$K40/8</f>
        <v>#REF!</v>
      </c>
      <c r="BF44" s="128" t="e">
        <f>'PROJECT TA Y TB KARINA'!$K40/8</f>
        <v>#REF!</v>
      </c>
      <c r="BG44" s="128" t="e">
        <f>'PROJECT TA Y TB KARINA'!$K40/8</f>
        <v>#REF!</v>
      </c>
      <c r="BH44" s="128" t="e">
        <f>'PROJECT TA Y TB KARINA'!$K40/8</f>
        <v>#REF!</v>
      </c>
      <c r="BI44" s="128" t="e">
        <f>'PROJECT TA Y TB KARINA'!$K40/8</f>
        <v>#REF!</v>
      </c>
      <c r="BJ44" s="128" t="e">
        <f>'PROJECT TA Y TB KARINA'!$K40/8</f>
        <v>#REF!</v>
      </c>
      <c r="BK44" s="128" t="e">
        <f>'PROJECT TA Y TB KARINA'!$K40/8</f>
        <v>#REF!</v>
      </c>
      <c r="BL44" s="128" t="e">
        <f>'PROJECT TA Y TB KARINA'!$K40/8</f>
        <v>#REF!</v>
      </c>
      <c r="BM44" s="128" t="e">
        <f>'PROJECT TA Y TB KARINA'!$L40/8</f>
        <v>#REF!</v>
      </c>
      <c r="BN44" s="128" t="e">
        <f>'PROJECT TA Y TB KARINA'!$L40/8</f>
        <v>#REF!</v>
      </c>
      <c r="BO44" s="128" t="e">
        <f>'PROJECT TA Y TB KARINA'!$L40/8</f>
        <v>#REF!</v>
      </c>
      <c r="BP44" s="128" t="e">
        <f>'PROJECT TA Y TB KARINA'!$L40/8</f>
        <v>#REF!</v>
      </c>
      <c r="BQ44" s="128" t="e">
        <f>'PROJECT TA Y TB KARINA'!$L40/8</f>
        <v>#REF!</v>
      </c>
      <c r="BR44" s="128" t="e">
        <f>'PROJECT TA Y TB KARINA'!$L40/8</f>
        <v>#REF!</v>
      </c>
      <c r="BS44" s="128" t="e">
        <f>'PROJECT TA Y TB KARINA'!$L40/8</f>
        <v>#REF!</v>
      </c>
      <c r="BT44" s="128" t="e">
        <f>'PROJECT TA Y TB KARINA'!$L40/8</f>
        <v>#REF!</v>
      </c>
      <c r="BU44" s="128" t="e">
        <f>'PROJECT TA Y TB KARINA'!$M40/8</f>
        <v>#REF!</v>
      </c>
      <c r="BV44" s="128" t="e">
        <f>'PROJECT TA Y TB KARINA'!$M40/8</f>
        <v>#REF!</v>
      </c>
      <c r="BW44" s="128" t="e">
        <f>'PROJECT TA Y TB KARINA'!$M40/8</f>
        <v>#REF!</v>
      </c>
      <c r="BX44" s="128" t="e">
        <f>'PROJECT TA Y TB KARINA'!$M40/8</f>
        <v>#REF!</v>
      </c>
      <c r="BY44" s="128" t="e">
        <f>'PROJECT TA Y TB KARINA'!$M40/8</f>
        <v>#REF!</v>
      </c>
      <c r="BZ44" s="128" t="e">
        <f>'PROJECT TA Y TB KARINA'!$M40/8</f>
        <v>#REF!</v>
      </c>
      <c r="CA44" s="128" t="e">
        <f>'PROJECT TA Y TB KARINA'!$M40/8</f>
        <v>#REF!</v>
      </c>
      <c r="CB44" s="128" t="e">
        <f>'PROJECT TA Y TB KARINA'!$M40/8</f>
        <v>#REF!</v>
      </c>
      <c r="CC44" s="128" t="e">
        <f>'PROJECT TA Y TB KARINA'!$N40/8</f>
        <v>#REF!</v>
      </c>
      <c r="CD44" s="128" t="e">
        <f>'PROJECT TA Y TB KARINA'!$N40/8</f>
        <v>#REF!</v>
      </c>
      <c r="CE44" s="128" t="e">
        <f>'PROJECT TA Y TB KARINA'!$N40/8</f>
        <v>#REF!</v>
      </c>
      <c r="CF44" s="128" t="e">
        <f>'PROJECT TA Y TB KARINA'!$N40/8</f>
        <v>#REF!</v>
      </c>
      <c r="CG44" s="128" t="e">
        <f>'PROJECT TA Y TB KARINA'!$N40/8</f>
        <v>#REF!</v>
      </c>
      <c r="CH44" s="128" t="e">
        <f>'PROJECT TA Y TB KARINA'!$N40/8</f>
        <v>#REF!</v>
      </c>
      <c r="CI44" s="128" t="e">
        <f>'PROJECT TA Y TB KARINA'!$N40/8</f>
        <v>#REF!</v>
      </c>
      <c r="CJ44" s="128" t="e">
        <f>'PROJECT TA Y TB KARINA'!$N40/8</f>
        <v>#REF!</v>
      </c>
      <c r="CK44" s="128" t="e">
        <f>'PROJECT TA Y TB KARINA'!$O40/8</f>
        <v>#REF!</v>
      </c>
      <c r="CL44" s="128" t="e">
        <f>'PROJECT TA Y TB KARINA'!$O40/8</f>
        <v>#REF!</v>
      </c>
      <c r="CM44" s="128" t="e">
        <f>'PROJECT TA Y TB KARINA'!$O40/8</f>
        <v>#REF!</v>
      </c>
      <c r="CN44" s="128" t="e">
        <f>'PROJECT TA Y TB KARINA'!$O40/8</f>
        <v>#REF!</v>
      </c>
      <c r="CO44" s="128" t="e">
        <f>'PROJECT TA Y TB KARINA'!$O40/8</f>
        <v>#REF!</v>
      </c>
      <c r="CP44" s="128" t="e">
        <f>'PROJECT TA Y TB KARINA'!$O40/8</f>
        <v>#REF!</v>
      </c>
      <c r="CQ44" s="128" t="e">
        <f>'PROJECT TA Y TB KARINA'!$O40/8</f>
        <v>#REF!</v>
      </c>
      <c r="CR44" s="128" t="e">
        <f>'PROJECT TA Y TB KARINA'!$O40/8</f>
        <v>#REF!</v>
      </c>
      <c r="CS44" s="128" t="e">
        <f>'PROJECT TA Y TB KARINA'!$P40/8</f>
        <v>#REF!</v>
      </c>
      <c r="CT44" s="128" t="e">
        <f>'PROJECT TA Y TB KARINA'!$P40/8</f>
        <v>#REF!</v>
      </c>
      <c r="CU44" s="128" t="e">
        <f>'PROJECT TA Y TB KARINA'!$P40/8</f>
        <v>#REF!</v>
      </c>
      <c r="CV44" s="128" t="e">
        <f>'PROJECT TA Y TB KARINA'!$P40/8</f>
        <v>#REF!</v>
      </c>
      <c r="CW44" s="128" t="e">
        <f>'PROJECT TA Y TB KARINA'!$P40/8</f>
        <v>#REF!</v>
      </c>
      <c r="CX44" s="128" t="e">
        <f>'PROJECT TA Y TB KARINA'!$P40/8</f>
        <v>#REF!</v>
      </c>
      <c r="CY44" s="128" t="e">
        <f>'PROJECT TA Y TB KARINA'!$P40/8</f>
        <v>#REF!</v>
      </c>
      <c r="CZ44" s="128" t="e">
        <f>'PROJECT TA Y TB KARINA'!$P40/8</f>
        <v>#REF!</v>
      </c>
      <c r="DA44" s="128" t="e">
        <f>'PROJECT TA Y TB KARINA'!$Q40/8</f>
        <v>#REF!</v>
      </c>
      <c r="DB44" s="128" t="e">
        <f>'PROJECT TA Y TB KARINA'!$Q40/8</f>
        <v>#REF!</v>
      </c>
      <c r="DC44" s="128" t="e">
        <f>'PROJECT TA Y TB KARINA'!$Q40/8</f>
        <v>#REF!</v>
      </c>
      <c r="DD44" s="128" t="e">
        <f>'PROJECT TA Y TB KARINA'!$Q40/8</f>
        <v>#REF!</v>
      </c>
      <c r="DE44" s="128" t="e">
        <f>'PROJECT TA Y TB KARINA'!$Q40/8</f>
        <v>#REF!</v>
      </c>
      <c r="DF44" s="128" t="e">
        <f>'PROJECT TA Y TB KARINA'!$Q40/8</f>
        <v>#REF!</v>
      </c>
      <c r="DG44" s="128" t="e">
        <f>'PROJECT TA Y TB KARINA'!$Q40/8</f>
        <v>#REF!</v>
      </c>
      <c r="DH44" s="128" t="e">
        <f>'PROJECT TA Y TB KARINA'!$Q40/8</f>
        <v>#REF!</v>
      </c>
      <c r="DI44" s="128" t="e">
        <f>'PROJECT TA Y TB KARINA'!$R40/8</f>
        <v>#REF!</v>
      </c>
      <c r="DJ44" s="128" t="e">
        <f>'PROJECT TA Y TB KARINA'!$R40/8</f>
        <v>#REF!</v>
      </c>
      <c r="DK44" s="128" t="e">
        <f>'PROJECT TA Y TB KARINA'!$R40/8</f>
        <v>#REF!</v>
      </c>
      <c r="DL44" s="128" t="e">
        <f>'PROJECT TA Y TB KARINA'!$R40/8</f>
        <v>#REF!</v>
      </c>
      <c r="DM44" s="128" t="e">
        <f>'PROJECT TA Y TB KARINA'!$R40/8</f>
        <v>#REF!</v>
      </c>
      <c r="DN44" s="128" t="e">
        <f>'PROJECT TA Y TB KARINA'!$R40/8</f>
        <v>#REF!</v>
      </c>
      <c r="DO44" s="128" t="e">
        <f>'PROJECT TA Y TB KARINA'!$R40/8</f>
        <v>#REF!</v>
      </c>
      <c r="DP44" s="128" t="e">
        <f>'PROJECT TA Y TB KARINA'!$R40/8</f>
        <v>#REF!</v>
      </c>
      <c r="DQ44" s="128" t="e">
        <f>'PROJECT TA Y TB KARINA'!$S40/8</f>
        <v>#REF!</v>
      </c>
      <c r="DR44" s="128" t="e">
        <f>'PROJECT TA Y TB KARINA'!$S40/8</f>
        <v>#REF!</v>
      </c>
      <c r="DS44" s="128" t="e">
        <f>'PROJECT TA Y TB KARINA'!$S40/8</f>
        <v>#REF!</v>
      </c>
      <c r="DT44" s="128" t="e">
        <f>'PROJECT TA Y TB KARINA'!$S40/8</f>
        <v>#REF!</v>
      </c>
      <c r="DU44" s="128" t="e">
        <f>'PROJECT TA Y TB KARINA'!$S40/8</f>
        <v>#REF!</v>
      </c>
      <c r="DV44" s="128" t="e">
        <f>'PROJECT TA Y TB KARINA'!$S40/8</f>
        <v>#REF!</v>
      </c>
      <c r="DW44" s="128" t="e">
        <f>'PROJECT TA Y TB KARINA'!$S40/8</f>
        <v>#REF!</v>
      </c>
      <c r="DX44" s="128" t="e">
        <f>'PROJECT TA Y TB KARINA'!$S40/8</f>
        <v>#REF!</v>
      </c>
      <c r="DY44" s="128" t="e">
        <f>'PROJECT TA Y TB KARINA'!$T40/8</f>
        <v>#REF!</v>
      </c>
      <c r="DZ44" s="128" t="e">
        <f>'PROJECT TA Y TB KARINA'!$T40/8</f>
        <v>#REF!</v>
      </c>
      <c r="EA44" s="128" t="e">
        <f>'PROJECT TA Y TB KARINA'!$T40/8</f>
        <v>#REF!</v>
      </c>
      <c r="EB44" s="128" t="e">
        <f>'PROJECT TA Y TB KARINA'!$T40/8</f>
        <v>#REF!</v>
      </c>
      <c r="EC44" s="128" t="e">
        <f>'PROJECT TA Y TB KARINA'!$T40/8</f>
        <v>#REF!</v>
      </c>
      <c r="ED44" s="128" t="e">
        <f>'PROJECT TA Y TB KARINA'!$T40/8</f>
        <v>#REF!</v>
      </c>
      <c r="EE44" s="128" t="e">
        <f>'PROJECT TA Y TB KARINA'!$T40/8</f>
        <v>#REF!</v>
      </c>
      <c r="EF44" s="128" t="e">
        <f>'PROJECT TA Y TB KARINA'!$T40/8</f>
        <v>#REF!</v>
      </c>
      <c r="EG44" s="128" t="e">
        <f>'PROJECT TA Y TB KARINA'!#REF!/8</f>
        <v>#REF!</v>
      </c>
      <c r="EH44" s="128" t="e">
        <f>'PROJECT TA Y TB KARINA'!#REF!/8</f>
        <v>#REF!</v>
      </c>
      <c r="EI44" s="128" t="e">
        <f>'PROJECT TA Y TB KARINA'!#REF!/8</f>
        <v>#REF!</v>
      </c>
      <c r="EJ44" s="128" t="e">
        <f>'PROJECT TA Y TB KARINA'!#REF!/8</f>
        <v>#REF!</v>
      </c>
      <c r="EK44" s="128" t="e">
        <f>'PROJECT TA Y TB KARINA'!#REF!/8</f>
        <v>#REF!</v>
      </c>
      <c r="EL44" s="128" t="e">
        <f>'PROJECT TA Y TB KARINA'!#REF!/8</f>
        <v>#REF!</v>
      </c>
      <c r="EM44" s="128" t="e">
        <f>'PROJECT TA Y TB KARINA'!#REF!/8</f>
        <v>#REF!</v>
      </c>
      <c r="EN44" s="128" t="e">
        <f>'PROJECT TA Y TB KARINA'!#REF!/8</f>
        <v>#REF!</v>
      </c>
      <c r="EO44" s="128">
        <f>'PROJECT TA Y TB KARINA'!$C98/8</f>
        <v>0</v>
      </c>
      <c r="EP44" s="128">
        <f>'PROJECT TA Y TB KARINA'!$C98/8</f>
        <v>0</v>
      </c>
      <c r="EQ44" s="128">
        <f>'PROJECT TA Y TB KARINA'!$C98/8</f>
        <v>0</v>
      </c>
      <c r="ER44" s="128">
        <f>'PROJECT TA Y TB KARINA'!$C98/8</f>
        <v>0</v>
      </c>
      <c r="ES44" s="128">
        <f>'PROJECT TA Y TB KARINA'!$C98/8</f>
        <v>0</v>
      </c>
      <c r="ET44" s="128">
        <f>'PROJECT TA Y TB KARINA'!$C98/8</f>
        <v>0</v>
      </c>
      <c r="EU44" s="128">
        <f>'PROJECT TA Y TB KARINA'!$C98/8</f>
        <v>0</v>
      </c>
      <c r="EV44" s="128">
        <f>'PROJECT TA Y TB KARINA'!$E98/8</f>
        <v>0</v>
      </c>
      <c r="EW44" s="128">
        <f>'PROJECT TA Y TB KARINA'!$E98/8</f>
        <v>0</v>
      </c>
      <c r="EX44" s="128">
        <f>'PROJECT TA Y TB KARINA'!$E98/8</f>
        <v>0</v>
      </c>
      <c r="EY44" s="128">
        <f>'PROJECT TA Y TB KARINA'!$E98/8</f>
        <v>0</v>
      </c>
      <c r="EZ44" s="128">
        <f>'PROJECT TA Y TB KARINA'!$E98/8</f>
        <v>0</v>
      </c>
      <c r="FA44" s="128">
        <f>'PROJECT TA Y TB KARINA'!$E98/8</f>
        <v>0</v>
      </c>
      <c r="FB44" s="128">
        <f>'PROJECT TA Y TB KARINA'!$E98/8</f>
        <v>0</v>
      </c>
      <c r="FC44" s="128">
        <f>'PROJECT TA Y TB KARINA'!$E98/8</f>
        <v>0</v>
      </c>
      <c r="FD44" s="128">
        <f>'PROJECT TA Y TB KARINA'!$F98/8</f>
        <v>0</v>
      </c>
      <c r="FE44" s="128">
        <f>'PROJECT TA Y TB KARINA'!$F98/8</f>
        <v>0</v>
      </c>
      <c r="FF44" s="128">
        <f>'PROJECT TA Y TB KARINA'!$F98/8</f>
        <v>0</v>
      </c>
      <c r="FG44" s="128">
        <f>'PROJECT TA Y TB KARINA'!$F98/8</f>
        <v>0</v>
      </c>
      <c r="FH44" s="128">
        <f>'PROJECT TA Y TB KARINA'!$F98/8</f>
        <v>0</v>
      </c>
      <c r="FI44" s="128">
        <f>'PROJECT TA Y TB KARINA'!$F98/8</f>
        <v>0</v>
      </c>
      <c r="FJ44" s="128">
        <f>'PROJECT TA Y TB KARINA'!$F98/8</f>
        <v>0</v>
      </c>
      <c r="FK44" s="128">
        <f>'PROJECT TA Y TB KARINA'!$F98/8</f>
        <v>0</v>
      </c>
      <c r="FL44" s="128">
        <f>'PROJECT TA Y TB KARINA'!$G98/8</f>
        <v>0</v>
      </c>
      <c r="FM44" s="128">
        <f>'PROJECT TA Y TB KARINA'!$G98/8</f>
        <v>0</v>
      </c>
      <c r="FN44" s="128">
        <f>'PROJECT TA Y TB KARINA'!$G98/8</f>
        <v>0</v>
      </c>
      <c r="FO44" s="128">
        <f>'PROJECT TA Y TB KARINA'!$G98/8</f>
        <v>0</v>
      </c>
      <c r="FP44" s="128">
        <f>'PROJECT TA Y TB KARINA'!$G98/8</f>
        <v>0</v>
      </c>
      <c r="FQ44" s="128">
        <f>'PROJECT TA Y TB KARINA'!$G98/8</f>
        <v>0</v>
      </c>
      <c r="FR44" s="128">
        <f>'PROJECT TA Y TB KARINA'!$G98/8</f>
        <v>0</v>
      </c>
      <c r="FS44" s="128">
        <f>'PROJECT TA Y TB KARINA'!$G98/8</f>
        <v>0</v>
      </c>
      <c r="FT44" s="128">
        <f>'PROJECT TA Y TB KARINA'!$H98/8</f>
        <v>0</v>
      </c>
      <c r="FU44" s="128">
        <f>'PROJECT TA Y TB KARINA'!$H98/8</f>
        <v>0</v>
      </c>
      <c r="FV44" s="128">
        <f>'PROJECT TA Y TB KARINA'!$H98/8</f>
        <v>0</v>
      </c>
      <c r="FW44" s="128">
        <f>'PROJECT TA Y TB KARINA'!$H98/8</f>
        <v>0</v>
      </c>
      <c r="FX44" s="128">
        <f>'PROJECT TA Y TB KARINA'!$H98/8</f>
        <v>0</v>
      </c>
      <c r="FY44" s="128">
        <f>'PROJECT TA Y TB KARINA'!$H98/8</f>
        <v>0</v>
      </c>
      <c r="FZ44" s="128">
        <f>'PROJECT TA Y TB KARINA'!$H98/8</f>
        <v>0</v>
      </c>
      <c r="GA44" s="128">
        <f>'PROJECT TA Y TB KARINA'!$H98/8</f>
        <v>0</v>
      </c>
      <c r="GB44" s="128">
        <f>'PROJECT TA Y TB KARINA'!$I98/8</f>
        <v>0</v>
      </c>
      <c r="GC44" s="128">
        <f>'PROJECT TA Y TB KARINA'!$I98/8</f>
        <v>0</v>
      </c>
      <c r="GD44" s="128">
        <f>'PROJECT TA Y TB KARINA'!$I98/8</f>
        <v>0</v>
      </c>
      <c r="GE44" s="128">
        <f>'PROJECT TA Y TB KARINA'!$I98/8</f>
        <v>0</v>
      </c>
      <c r="GF44" s="128">
        <f>'PROJECT TA Y TB KARINA'!$I98/8</f>
        <v>0</v>
      </c>
      <c r="GG44" s="128">
        <f>'PROJECT TA Y TB KARINA'!$I98/8</f>
        <v>0</v>
      </c>
      <c r="GH44" s="128">
        <f>'PROJECT TA Y TB KARINA'!$I98/8</f>
        <v>0</v>
      </c>
      <c r="GI44" s="128">
        <f>'PROJECT TA Y TB KARINA'!$I98/8</f>
        <v>0</v>
      </c>
      <c r="GJ44" s="128">
        <f>'PROJECT TA Y TB KARINA'!$J98/8</f>
        <v>0</v>
      </c>
      <c r="GK44" s="128">
        <f>'PROJECT TA Y TB KARINA'!$J98/8</f>
        <v>0</v>
      </c>
      <c r="GL44" s="128">
        <f>'PROJECT TA Y TB KARINA'!$J98/8</f>
        <v>0</v>
      </c>
      <c r="GM44" s="128">
        <f>'PROJECT TA Y TB KARINA'!$J98/8</f>
        <v>0</v>
      </c>
      <c r="GN44" s="128">
        <f>'PROJECT TA Y TB KARINA'!$J98/8</f>
        <v>0</v>
      </c>
      <c r="GO44" s="128">
        <f>'PROJECT TA Y TB KARINA'!$J98/8</f>
        <v>0</v>
      </c>
      <c r="GP44" s="128">
        <f>'PROJECT TA Y TB KARINA'!$J98/8</f>
        <v>0</v>
      </c>
      <c r="GQ44" s="128">
        <f>'PROJECT TA Y TB KARINA'!$J98/8</f>
        <v>0</v>
      </c>
      <c r="GR44" s="128">
        <f>'PROJECT TA Y TB KARINA'!$K98/8</f>
        <v>0</v>
      </c>
      <c r="GS44" s="128">
        <f>'PROJECT TA Y TB KARINA'!$K98/8</f>
        <v>0</v>
      </c>
      <c r="GT44" s="128">
        <f>'PROJECT TA Y TB KARINA'!$K98/8</f>
        <v>0</v>
      </c>
      <c r="GU44" s="128">
        <f>'PROJECT TA Y TB KARINA'!$K98/8</f>
        <v>0</v>
      </c>
      <c r="GV44" s="128">
        <f>'PROJECT TA Y TB KARINA'!$K98/8</f>
        <v>0</v>
      </c>
      <c r="GW44" s="128">
        <f>'PROJECT TA Y TB KARINA'!$K98/8</f>
        <v>0</v>
      </c>
      <c r="GX44" s="128">
        <f>'PROJECT TA Y TB KARINA'!$K98/8</f>
        <v>0</v>
      </c>
      <c r="GY44" s="128">
        <f>'PROJECT TA Y TB KARINA'!$K98/8</f>
        <v>0</v>
      </c>
      <c r="GZ44" s="128">
        <f>'PROJECT TA Y TB KARINA'!$L98/8</f>
        <v>0</v>
      </c>
      <c r="HA44" s="128">
        <f>'PROJECT TA Y TB KARINA'!$L98/8</f>
        <v>0</v>
      </c>
      <c r="HB44" s="128">
        <f>'PROJECT TA Y TB KARINA'!$L98/8</f>
        <v>0</v>
      </c>
      <c r="HC44" s="128">
        <f>'PROJECT TA Y TB KARINA'!$L98/8</f>
        <v>0</v>
      </c>
      <c r="HD44" s="128">
        <f>'PROJECT TA Y TB KARINA'!$L98/8</f>
        <v>0</v>
      </c>
      <c r="HE44" s="128">
        <f>'PROJECT TA Y TB KARINA'!$L98/8</f>
        <v>0</v>
      </c>
      <c r="HF44" s="128">
        <f>'PROJECT TA Y TB KARINA'!$L98/8</f>
        <v>0</v>
      </c>
      <c r="HG44" s="128">
        <f>'PROJECT TA Y TB KARINA'!$L98/8</f>
        <v>0</v>
      </c>
      <c r="HH44" s="128">
        <f>'PROJECT TA Y TB KARINA'!$M98/8</f>
        <v>0</v>
      </c>
      <c r="HI44" s="128">
        <f>'PROJECT TA Y TB KARINA'!$M98/8</f>
        <v>0</v>
      </c>
      <c r="HJ44" s="128">
        <f>'PROJECT TA Y TB KARINA'!$M98/8</f>
        <v>0</v>
      </c>
      <c r="HK44" s="128">
        <f>'PROJECT TA Y TB KARINA'!$M98/8</f>
        <v>0</v>
      </c>
      <c r="HL44" s="128">
        <f>'PROJECT TA Y TB KARINA'!$M98/8</f>
        <v>0</v>
      </c>
      <c r="HM44" s="128">
        <f>'PROJECT TA Y TB KARINA'!$M98/8</f>
        <v>0</v>
      </c>
      <c r="HN44" s="128">
        <f>'PROJECT TA Y TB KARINA'!$M98/8</f>
        <v>0</v>
      </c>
      <c r="HO44" s="128">
        <f>'PROJECT TA Y TB KARINA'!$M98/8</f>
        <v>0</v>
      </c>
      <c r="HP44" s="128">
        <f>'PROJECT TA Y TB KARINA'!$N98/8</f>
        <v>0</v>
      </c>
      <c r="HQ44" s="128">
        <f>'PROJECT TA Y TB KARINA'!$N98/8</f>
        <v>0</v>
      </c>
      <c r="HR44" s="128">
        <f>'PROJECT TA Y TB KARINA'!$N98/8</f>
        <v>0</v>
      </c>
      <c r="HS44" s="128">
        <f>'PROJECT TA Y TB KARINA'!$N98/8</f>
        <v>0</v>
      </c>
      <c r="HT44" s="128">
        <f>'PROJECT TA Y TB KARINA'!$N98/8</f>
        <v>0</v>
      </c>
      <c r="HU44" s="128">
        <f>'PROJECT TA Y TB KARINA'!$N98/8</f>
        <v>0</v>
      </c>
      <c r="HV44" s="128">
        <f>'PROJECT TA Y TB KARINA'!$N98/8</f>
        <v>0</v>
      </c>
      <c r="HW44" s="128">
        <f>'PROJECT TA Y TB KARINA'!$N98/8</f>
        <v>0</v>
      </c>
      <c r="HX44" s="128">
        <f>'PROJECT TA Y TB KARINA'!$O98/8</f>
        <v>0</v>
      </c>
      <c r="HY44" s="128">
        <f>'PROJECT TA Y TB KARINA'!$O98/8</f>
        <v>0</v>
      </c>
      <c r="HZ44" s="128">
        <f>'PROJECT TA Y TB KARINA'!$O98/8</f>
        <v>0</v>
      </c>
      <c r="IA44" s="128">
        <f>'PROJECT TA Y TB KARINA'!$O98/8</f>
        <v>0</v>
      </c>
      <c r="IB44" s="128">
        <f>'PROJECT TA Y TB KARINA'!$O98/8</f>
        <v>0</v>
      </c>
      <c r="IC44" s="128">
        <f>'PROJECT TA Y TB KARINA'!$O98/8</f>
        <v>0</v>
      </c>
      <c r="ID44" s="128">
        <f>'PROJECT TA Y TB KARINA'!$O98/8</f>
        <v>0</v>
      </c>
      <c r="IE44" s="128">
        <f>'PROJECT TA Y TB KARINA'!$O98/8</f>
        <v>0</v>
      </c>
      <c r="IF44" s="128">
        <f>'PROJECT TA Y TB KARINA'!$P98/8</f>
        <v>0</v>
      </c>
      <c r="IG44" s="128">
        <f>'PROJECT TA Y TB KARINA'!$P98/8</f>
        <v>0</v>
      </c>
      <c r="IH44" s="128">
        <f>'PROJECT TA Y TB KARINA'!$P98/8</f>
        <v>0</v>
      </c>
      <c r="II44" s="128">
        <f>'PROJECT TA Y TB KARINA'!$P98/8</f>
        <v>0</v>
      </c>
      <c r="IJ44" s="128">
        <f>'PROJECT TA Y TB KARINA'!$P98/8</f>
        <v>0</v>
      </c>
      <c r="IK44" s="128">
        <f>'PROJECT TA Y TB KARINA'!$P98/8</f>
        <v>0</v>
      </c>
      <c r="IL44" s="128">
        <f>'PROJECT TA Y TB KARINA'!$P98/8</f>
        <v>0</v>
      </c>
      <c r="IM44" s="128">
        <f>'PROJECT TA Y TB KARINA'!$P98/8</f>
        <v>0</v>
      </c>
      <c r="IN44" s="128">
        <f>'PROJECT TA Y TB KARINA'!$Q98/8</f>
        <v>0</v>
      </c>
      <c r="IO44" s="128">
        <f>'PROJECT TA Y TB KARINA'!$Q98/8</f>
        <v>0</v>
      </c>
      <c r="IP44" s="128">
        <f>'PROJECT TA Y TB KARINA'!$Q98/8</f>
        <v>0</v>
      </c>
      <c r="IQ44" s="128">
        <f>'PROJECT TA Y TB KARINA'!$Q98/8</f>
        <v>0</v>
      </c>
      <c r="IR44" s="128">
        <f>'PROJECT TA Y TB KARINA'!$Q98/8</f>
        <v>0</v>
      </c>
      <c r="IS44" s="128">
        <f>'PROJECT TA Y TB KARINA'!$Q98/8</f>
        <v>0</v>
      </c>
      <c r="IT44" s="128">
        <f>'PROJECT TA Y TB KARINA'!$Q98/8</f>
        <v>0</v>
      </c>
      <c r="IU44" s="128">
        <f>'PROJECT TA Y TB KARINA'!$Q98/8</f>
        <v>0</v>
      </c>
      <c r="IV44" s="128">
        <f>'PROJECT TA Y TB KARINA'!$R98/8</f>
        <v>0</v>
      </c>
      <c r="IW44" s="128">
        <f>'PROJECT TA Y TB KARINA'!$R98/8</f>
        <v>0</v>
      </c>
      <c r="IX44" s="128">
        <f>'PROJECT TA Y TB KARINA'!$R98/8</f>
        <v>0</v>
      </c>
      <c r="IY44" s="128">
        <f>'PROJECT TA Y TB KARINA'!$R98/8</f>
        <v>0</v>
      </c>
      <c r="IZ44" s="128">
        <f>'PROJECT TA Y TB KARINA'!$R98/8</f>
        <v>0</v>
      </c>
      <c r="JA44" s="128">
        <f>'PROJECT TA Y TB KARINA'!$R98/8</f>
        <v>0</v>
      </c>
      <c r="JB44" s="128">
        <f>'PROJECT TA Y TB KARINA'!$R98/8</f>
        <v>0</v>
      </c>
      <c r="JC44" s="128">
        <f>'PROJECT TA Y TB KARINA'!$R98/8</f>
        <v>0</v>
      </c>
      <c r="JD44" s="128">
        <f>'PROJECT TA Y TB KARINA'!$S98/8</f>
        <v>0</v>
      </c>
      <c r="JE44" s="128">
        <f>'PROJECT TA Y TB KARINA'!$S98/8</f>
        <v>0</v>
      </c>
      <c r="JF44" s="128">
        <f>'PROJECT TA Y TB KARINA'!$S98/8</f>
        <v>0</v>
      </c>
      <c r="JG44" s="128">
        <f>'PROJECT TA Y TB KARINA'!$S98/8</f>
        <v>0</v>
      </c>
      <c r="JH44" s="128">
        <f>'PROJECT TA Y TB KARINA'!$S98/8</f>
        <v>0</v>
      </c>
      <c r="JI44" s="128">
        <f>'PROJECT TA Y TB KARINA'!$S98/8</f>
        <v>0</v>
      </c>
      <c r="JJ44" s="128">
        <f>'PROJECT TA Y TB KARINA'!$S98/8</f>
        <v>0</v>
      </c>
      <c r="JK44" s="128">
        <f>'PROJECT TA Y TB KARINA'!$S98/8</f>
        <v>0</v>
      </c>
      <c r="JL44" s="128">
        <f>'PROJECT TA Y TB KARINA'!$T98/8</f>
        <v>0</v>
      </c>
      <c r="JM44" s="128">
        <f>'PROJECT TA Y TB KARINA'!$T98/8</f>
        <v>0</v>
      </c>
      <c r="JN44" s="128">
        <f>'PROJECT TA Y TB KARINA'!$T98/8</f>
        <v>0</v>
      </c>
      <c r="JO44" s="128">
        <f>'PROJECT TA Y TB KARINA'!$T98/8</f>
        <v>0</v>
      </c>
      <c r="JP44" s="128">
        <f>'PROJECT TA Y TB KARINA'!$T98/8</f>
        <v>0</v>
      </c>
      <c r="JQ44" s="128">
        <f>'PROJECT TA Y TB KARINA'!$T98/8</f>
        <v>0</v>
      </c>
      <c r="JR44" s="128">
        <f>'PROJECT TA Y TB KARINA'!$T98/8</f>
        <v>0</v>
      </c>
      <c r="JS44" s="128">
        <f>'PROJECT TA Y TB KARINA'!$T98/8</f>
        <v>0</v>
      </c>
      <c r="JT44" s="128" t="e">
        <f>'PROJECT TA Y TB KARINA'!#REF!/8</f>
        <v>#REF!</v>
      </c>
      <c r="JU44" s="128" t="e">
        <f>'PROJECT TA Y TB KARINA'!#REF!/8</f>
        <v>#REF!</v>
      </c>
      <c r="JV44" s="128" t="e">
        <f>'PROJECT TA Y TB KARINA'!#REF!/8</f>
        <v>#REF!</v>
      </c>
      <c r="JW44" s="128" t="e">
        <f>'PROJECT TA Y TB KARINA'!#REF!/8</f>
        <v>#REF!</v>
      </c>
      <c r="JX44" s="128" t="e">
        <f>'PROJECT TA Y TB KARINA'!#REF!/8</f>
        <v>#REF!</v>
      </c>
      <c r="JY44" s="128" t="e">
        <f>'PROJECT TA Y TB KARINA'!#REF!/8</f>
        <v>#REF!</v>
      </c>
      <c r="JZ44" s="128" t="e">
        <f>'PROJECT TA Y TB KARINA'!#REF!/8</f>
        <v>#REF!</v>
      </c>
      <c r="KA44" s="128" t="e">
        <f>'PROJECT TA Y TB KARINA'!#REF!/8</f>
        <v>#REF!</v>
      </c>
    </row>
    <row r="45" spans="1:287" ht="21">
      <c r="A45" s="130" t="s">
        <v>498</v>
      </c>
      <c r="B45" s="128" t="e">
        <f>'PROJECT TA Y TB KARINA'!$C$41/8</f>
        <v>#REF!</v>
      </c>
      <c r="C45" s="128" t="e">
        <f>'PROJECT TA Y TB KARINA'!$C$41/8</f>
        <v>#REF!</v>
      </c>
      <c r="D45" s="128" t="e">
        <f>'PROJECT TA Y TB KARINA'!$C$41/8</f>
        <v>#REF!</v>
      </c>
      <c r="E45" s="128" t="e">
        <f>'PROJECT TA Y TB KARINA'!$C$41/8</f>
        <v>#REF!</v>
      </c>
      <c r="F45" s="128" t="e">
        <f>'PROJECT TA Y TB KARINA'!$C$41/8</f>
        <v>#REF!</v>
      </c>
      <c r="G45" s="128" t="e">
        <f>'PROJECT TA Y TB KARINA'!$C$41/8</f>
        <v>#REF!</v>
      </c>
      <c r="H45" s="128" t="e">
        <f>'PROJECT TA Y TB KARINA'!$C$41/8</f>
        <v>#REF!</v>
      </c>
      <c r="I45" s="128" t="e">
        <f>'PROJECT TA Y TB KARINA'!$E41/8</f>
        <v>#REF!</v>
      </c>
      <c r="J45" s="128" t="e">
        <f>'PROJECT TA Y TB KARINA'!$E41/8</f>
        <v>#REF!</v>
      </c>
      <c r="K45" s="128" t="e">
        <f>'PROJECT TA Y TB KARINA'!$E41/8</f>
        <v>#REF!</v>
      </c>
      <c r="L45" s="128" t="e">
        <f>'PROJECT TA Y TB KARINA'!$E41/8</f>
        <v>#REF!</v>
      </c>
      <c r="M45" s="128" t="e">
        <f>'PROJECT TA Y TB KARINA'!$E41/8</f>
        <v>#REF!</v>
      </c>
      <c r="N45" s="128" t="e">
        <f>'PROJECT TA Y TB KARINA'!$E41/8</f>
        <v>#REF!</v>
      </c>
      <c r="O45" s="128" t="e">
        <f>'PROJECT TA Y TB KARINA'!$E41/8</f>
        <v>#REF!</v>
      </c>
      <c r="P45" s="128" t="e">
        <f>'PROJECT TA Y TB KARINA'!$E41/8</f>
        <v>#REF!</v>
      </c>
      <c r="Q45" s="128" t="e">
        <f>'PROJECT TA Y TB KARINA'!$F41/8</f>
        <v>#REF!</v>
      </c>
      <c r="R45" s="128" t="e">
        <f>'PROJECT TA Y TB KARINA'!$F41/8</f>
        <v>#REF!</v>
      </c>
      <c r="S45" s="128" t="e">
        <f>'PROJECT TA Y TB KARINA'!$F41/8</f>
        <v>#REF!</v>
      </c>
      <c r="T45" s="128" t="e">
        <f>'PROJECT TA Y TB KARINA'!$F41/8</f>
        <v>#REF!</v>
      </c>
      <c r="U45" s="128" t="e">
        <f>'PROJECT TA Y TB KARINA'!$F41/8</f>
        <v>#REF!</v>
      </c>
      <c r="V45" s="128" t="e">
        <f>'PROJECT TA Y TB KARINA'!$F41/8</f>
        <v>#REF!</v>
      </c>
      <c r="W45" s="128" t="e">
        <f>'PROJECT TA Y TB KARINA'!$F41/8</f>
        <v>#REF!</v>
      </c>
      <c r="X45" s="128" t="e">
        <f>'PROJECT TA Y TB KARINA'!$F41/8</f>
        <v>#REF!</v>
      </c>
      <c r="Y45" s="128" t="e">
        <f>'PROJECT TA Y TB KARINA'!$G41/8</f>
        <v>#REF!</v>
      </c>
      <c r="Z45" s="128" t="e">
        <f>'PROJECT TA Y TB KARINA'!$G41/8</f>
        <v>#REF!</v>
      </c>
      <c r="AA45" s="128" t="e">
        <f>'PROJECT TA Y TB KARINA'!$G41/8</f>
        <v>#REF!</v>
      </c>
      <c r="AB45" s="128" t="e">
        <f>'PROJECT TA Y TB KARINA'!$G41/8</f>
        <v>#REF!</v>
      </c>
      <c r="AC45" s="128" t="e">
        <f>'PROJECT TA Y TB KARINA'!$G41/8</f>
        <v>#REF!</v>
      </c>
      <c r="AD45" s="128" t="e">
        <f>'PROJECT TA Y TB KARINA'!$G41/8</f>
        <v>#REF!</v>
      </c>
      <c r="AE45" s="128" t="e">
        <f>'PROJECT TA Y TB KARINA'!$G41/8</f>
        <v>#REF!</v>
      </c>
      <c r="AF45" s="128" t="e">
        <f>'PROJECT TA Y TB KARINA'!$G41/8</f>
        <v>#REF!</v>
      </c>
      <c r="AG45" s="128" t="e">
        <f>'PROJECT TA Y TB KARINA'!$H41/8</f>
        <v>#REF!</v>
      </c>
      <c r="AH45" s="128" t="e">
        <f>'PROJECT TA Y TB KARINA'!$H41/8</f>
        <v>#REF!</v>
      </c>
      <c r="AI45" s="128" t="e">
        <f>'PROJECT TA Y TB KARINA'!$H41/8</f>
        <v>#REF!</v>
      </c>
      <c r="AJ45" s="128" t="e">
        <f>'PROJECT TA Y TB KARINA'!$H41/8</f>
        <v>#REF!</v>
      </c>
      <c r="AK45" s="128" t="e">
        <f>'PROJECT TA Y TB KARINA'!$H41/8</f>
        <v>#REF!</v>
      </c>
      <c r="AL45" s="128" t="e">
        <f>'PROJECT TA Y TB KARINA'!$H41/8</f>
        <v>#REF!</v>
      </c>
      <c r="AM45" s="128" t="e">
        <f>'PROJECT TA Y TB KARINA'!$H41/8</f>
        <v>#REF!</v>
      </c>
      <c r="AN45" s="128" t="e">
        <f>'PROJECT TA Y TB KARINA'!$H41/8</f>
        <v>#REF!</v>
      </c>
      <c r="AO45" s="128" t="e">
        <f>'PROJECT TA Y TB KARINA'!$I41/8</f>
        <v>#REF!</v>
      </c>
      <c r="AP45" s="128" t="e">
        <f>'PROJECT TA Y TB KARINA'!$I41/8</f>
        <v>#REF!</v>
      </c>
      <c r="AQ45" s="128" t="e">
        <f>'PROJECT TA Y TB KARINA'!$I41/8</f>
        <v>#REF!</v>
      </c>
      <c r="AR45" s="128" t="e">
        <f>'PROJECT TA Y TB KARINA'!$I41/8</f>
        <v>#REF!</v>
      </c>
      <c r="AS45" s="128" t="e">
        <f>'PROJECT TA Y TB KARINA'!$I41/8</f>
        <v>#REF!</v>
      </c>
      <c r="AT45" s="128" t="e">
        <f>'PROJECT TA Y TB KARINA'!$I41/8</f>
        <v>#REF!</v>
      </c>
      <c r="AU45" s="128" t="e">
        <f>'PROJECT TA Y TB KARINA'!$I41/8</f>
        <v>#REF!</v>
      </c>
      <c r="AV45" s="128" t="e">
        <f>'PROJECT TA Y TB KARINA'!$I41/8</f>
        <v>#REF!</v>
      </c>
      <c r="AW45" s="128" t="e">
        <f>'PROJECT TA Y TB KARINA'!$J41/8</f>
        <v>#REF!</v>
      </c>
      <c r="AX45" s="128" t="e">
        <f>'PROJECT TA Y TB KARINA'!$J41/8</f>
        <v>#REF!</v>
      </c>
      <c r="AY45" s="128" t="e">
        <f>'PROJECT TA Y TB KARINA'!$J41/8</f>
        <v>#REF!</v>
      </c>
      <c r="AZ45" s="128" t="e">
        <f>'PROJECT TA Y TB KARINA'!$J41/8</f>
        <v>#REF!</v>
      </c>
      <c r="BA45" s="128" t="e">
        <f>'PROJECT TA Y TB KARINA'!$J41/8</f>
        <v>#REF!</v>
      </c>
      <c r="BB45" s="128" t="e">
        <f>'PROJECT TA Y TB KARINA'!$J41/8</f>
        <v>#REF!</v>
      </c>
      <c r="BC45" s="128" t="e">
        <f>'PROJECT TA Y TB KARINA'!$J41/8</f>
        <v>#REF!</v>
      </c>
      <c r="BD45" s="128" t="e">
        <f>'PROJECT TA Y TB KARINA'!$J41/8</f>
        <v>#REF!</v>
      </c>
      <c r="BE45" s="128" t="e">
        <f>'PROJECT TA Y TB KARINA'!$K41/8</f>
        <v>#REF!</v>
      </c>
      <c r="BF45" s="128" t="e">
        <f>'PROJECT TA Y TB KARINA'!$K41/8</f>
        <v>#REF!</v>
      </c>
      <c r="BG45" s="128" t="e">
        <f>'PROJECT TA Y TB KARINA'!$K41/8</f>
        <v>#REF!</v>
      </c>
      <c r="BH45" s="128" t="e">
        <f>'PROJECT TA Y TB KARINA'!$K41/8</f>
        <v>#REF!</v>
      </c>
      <c r="BI45" s="128" t="e">
        <f>'PROJECT TA Y TB KARINA'!$K41/8</f>
        <v>#REF!</v>
      </c>
      <c r="BJ45" s="128" t="e">
        <f>'PROJECT TA Y TB KARINA'!$K41/8</f>
        <v>#REF!</v>
      </c>
      <c r="BK45" s="128" t="e">
        <f>'PROJECT TA Y TB KARINA'!$K41/8</f>
        <v>#REF!</v>
      </c>
      <c r="BL45" s="128" t="e">
        <f>'PROJECT TA Y TB KARINA'!$K41/8</f>
        <v>#REF!</v>
      </c>
      <c r="BM45" s="128" t="e">
        <f>'PROJECT TA Y TB KARINA'!$L41/8</f>
        <v>#REF!</v>
      </c>
      <c r="BN45" s="128" t="e">
        <f>'PROJECT TA Y TB KARINA'!$L41/8</f>
        <v>#REF!</v>
      </c>
      <c r="BO45" s="128" t="e">
        <f>'PROJECT TA Y TB KARINA'!$L41/8</f>
        <v>#REF!</v>
      </c>
      <c r="BP45" s="128" t="e">
        <f>'PROJECT TA Y TB KARINA'!$L41/8</f>
        <v>#REF!</v>
      </c>
      <c r="BQ45" s="128" t="e">
        <f>'PROJECT TA Y TB KARINA'!$L41/8</f>
        <v>#REF!</v>
      </c>
      <c r="BR45" s="128" t="e">
        <f>'PROJECT TA Y TB KARINA'!$L41/8</f>
        <v>#REF!</v>
      </c>
      <c r="BS45" s="128" t="e">
        <f>'PROJECT TA Y TB KARINA'!$L41/8</f>
        <v>#REF!</v>
      </c>
      <c r="BT45" s="128" t="e">
        <f>'PROJECT TA Y TB KARINA'!$L41/8</f>
        <v>#REF!</v>
      </c>
      <c r="BU45" s="128" t="e">
        <f>'PROJECT TA Y TB KARINA'!$M41/8</f>
        <v>#REF!</v>
      </c>
      <c r="BV45" s="128" t="e">
        <f>'PROJECT TA Y TB KARINA'!$M41/8</f>
        <v>#REF!</v>
      </c>
      <c r="BW45" s="128" t="e">
        <f>'PROJECT TA Y TB KARINA'!$M41/8</f>
        <v>#REF!</v>
      </c>
      <c r="BX45" s="128" t="e">
        <f>'PROJECT TA Y TB KARINA'!$M41/8</f>
        <v>#REF!</v>
      </c>
      <c r="BY45" s="128" t="e">
        <f>'PROJECT TA Y TB KARINA'!$M41/8</f>
        <v>#REF!</v>
      </c>
      <c r="BZ45" s="128" t="e">
        <f>'PROJECT TA Y TB KARINA'!$M41/8</f>
        <v>#REF!</v>
      </c>
      <c r="CA45" s="128" t="e">
        <f>'PROJECT TA Y TB KARINA'!$M41/8</f>
        <v>#REF!</v>
      </c>
      <c r="CB45" s="128" t="e">
        <f>'PROJECT TA Y TB KARINA'!$M41/8</f>
        <v>#REF!</v>
      </c>
      <c r="CC45" s="128" t="e">
        <f>'PROJECT TA Y TB KARINA'!$N41/8</f>
        <v>#REF!</v>
      </c>
      <c r="CD45" s="128" t="e">
        <f>'PROJECT TA Y TB KARINA'!$N41/8</f>
        <v>#REF!</v>
      </c>
      <c r="CE45" s="128" t="e">
        <f>'PROJECT TA Y TB KARINA'!$N41/8</f>
        <v>#REF!</v>
      </c>
      <c r="CF45" s="128" t="e">
        <f>'PROJECT TA Y TB KARINA'!$N41/8</f>
        <v>#REF!</v>
      </c>
      <c r="CG45" s="128" t="e">
        <f>'PROJECT TA Y TB KARINA'!$N41/8</f>
        <v>#REF!</v>
      </c>
      <c r="CH45" s="128" t="e">
        <f>'PROJECT TA Y TB KARINA'!$N41/8</f>
        <v>#REF!</v>
      </c>
      <c r="CI45" s="128" t="e">
        <f>'PROJECT TA Y TB KARINA'!$N41/8</f>
        <v>#REF!</v>
      </c>
      <c r="CJ45" s="128" t="e">
        <f>'PROJECT TA Y TB KARINA'!$N41/8</f>
        <v>#REF!</v>
      </c>
      <c r="CK45" s="128" t="e">
        <f>'PROJECT TA Y TB KARINA'!$O41/8</f>
        <v>#REF!</v>
      </c>
      <c r="CL45" s="128" t="e">
        <f>'PROJECT TA Y TB KARINA'!$O41/8</f>
        <v>#REF!</v>
      </c>
      <c r="CM45" s="128" t="e">
        <f>'PROJECT TA Y TB KARINA'!$O41/8</f>
        <v>#REF!</v>
      </c>
      <c r="CN45" s="128" t="e">
        <f>'PROJECT TA Y TB KARINA'!$O41/8</f>
        <v>#REF!</v>
      </c>
      <c r="CO45" s="128" t="e">
        <f>'PROJECT TA Y TB KARINA'!$O41/8</f>
        <v>#REF!</v>
      </c>
      <c r="CP45" s="128" t="e">
        <f>'PROJECT TA Y TB KARINA'!$O41/8</f>
        <v>#REF!</v>
      </c>
      <c r="CQ45" s="128" t="e">
        <f>'PROJECT TA Y TB KARINA'!$O41/8</f>
        <v>#REF!</v>
      </c>
      <c r="CR45" s="128" t="e">
        <f>'PROJECT TA Y TB KARINA'!$O41/8</f>
        <v>#REF!</v>
      </c>
      <c r="CS45" s="128" t="e">
        <f>'PROJECT TA Y TB KARINA'!$P41/8</f>
        <v>#REF!</v>
      </c>
      <c r="CT45" s="128" t="e">
        <f>'PROJECT TA Y TB KARINA'!$P41/8</f>
        <v>#REF!</v>
      </c>
      <c r="CU45" s="128" t="e">
        <f>'PROJECT TA Y TB KARINA'!$P41/8</f>
        <v>#REF!</v>
      </c>
      <c r="CV45" s="128" t="e">
        <f>'PROJECT TA Y TB KARINA'!$P41/8</f>
        <v>#REF!</v>
      </c>
      <c r="CW45" s="128" t="e">
        <f>'PROJECT TA Y TB KARINA'!$P41/8</f>
        <v>#REF!</v>
      </c>
      <c r="CX45" s="128" t="e">
        <f>'PROJECT TA Y TB KARINA'!$P41/8</f>
        <v>#REF!</v>
      </c>
      <c r="CY45" s="128" t="e">
        <f>'PROJECT TA Y TB KARINA'!$P41/8</f>
        <v>#REF!</v>
      </c>
      <c r="CZ45" s="128" t="e">
        <f>'PROJECT TA Y TB KARINA'!$P41/8</f>
        <v>#REF!</v>
      </c>
      <c r="DA45" s="128" t="e">
        <f>'PROJECT TA Y TB KARINA'!$Q41/8</f>
        <v>#REF!</v>
      </c>
      <c r="DB45" s="128" t="e">
        <f>'PROJECT TA Y TB KARINA'!$Q41/8</f>
        <v>#REF!</v>
      </c>
      <c r="DC45" s="128" t="e">
        <f>'PROJECT TA Y TB KARINA'!$Q41/8</f>
        <v>#REF!</v>
      </c>
      <c r="DD45" s="128" t="e">
        <f>'PROJECT TA Y TB KARINA'!$Q41/8</f>
        <v>#REF!</v>
      </c>
      <c r="DE45" s="128" t="e">
        <f>'PROJECT TA Y TB KARINA'!$Q41/8</f>
        <v>#REF!</v>
      </c>
      <c r="DF45" s="128" t="e">
        <f>'PROJECT TA Y TB KARINA'!$Q41/8</f>
        <v>#REF!</v>
      </c>
      <c r="DG45" s="128" t="e">
        <f>'PROJECT TA Y TB KARINA'!$Q41/8</f>
        <v>#REF!</v>
      </c>
      <c r="DH45" s="128" t="e">
        <f>'PROJECT TA Y TB KARINA'!$Q41/8</f>
        <v>#REF!</v>
      </c>
      <c r="DI45" s="128" t="e">
        <f>'PROJECT TA Y TB KARINA'!$R41/8</f>
        <v>#REF!</v>
      </c>
      <c r="DJ45" s="128" t="e">
        <f>'PROJECT TA Y TB KARINA'!$R41/8</f>
        <v>#REF!</v>
      </c>
      <c r="DK45" s="128" t="e">
        <f>'PROJECT TA Y TB KARINA'!$R41/8</f>
        <v>#REF!</v>
      </c>
      <c r="DL45" s="128" t="e">
        <f>'PROJECT TA Y TB KARINA'!$R41/8</f>
        <v>#REF!</v>
      </c>
      <c r="DM45" s="128" t="e">
        <f>'PROJECT TA Y TB KARINA'!$R41/8</f>
        <v>#REF!</v>
      </c>
      <c r="DN45" s="128" t="e">
        <f>'PROJECT TA Y TB KARINA'!$R41/8</f>
        <v>#REF!</v>
      </c>
      <c r="DO45" s="128" t="e">
        <f>'PROJECT TA Y TB KARINA'!$R41/8</f>
        <v>#REF!</v>
      </c>
      <c r="DP45" s="128" t="e">
        <f>'PROJECT TA Y TB KARINA'!$R41/8</f>
        <v>#REF!</v>
      </c>
      <c r="DQ45" s="128" t="e">
        <f>'PROJECT TA Y TB KARINA'!$S41/8</f>
        <v>#REF!</v>
      </c>
      <c r="DR45" s="128" t="e">
        <f>'PROJECT TA Y TB KARINA'!$S41/8</f>
        <v>#REF!</v>
      </c>
      <c r="DS45" s="128" t="e">
        <f>'PROJECT TA Y TB KARINA'!$S41/8</f>
        <v>#REF!</v>
      </c>
      <c r="DT45" s="128" t="e">
        <f>'PROJECT TA Y TB KARINA'!$S41/8</f>
        <v>#REF!</v>
      </c>
      <c r="DU45" s="128" t="e">
        <f>'PROJECT TA Y TB KARINA'!$S41/8</f>
        <v>#REF!</v>
      </c>
      <c r="DV45" s="128" t="e">
        <f>'PROJECT TA Y TB KARINA'!$S41/8</f>
        <v>#REF!</v>
      </c>
      <c r="DW45" s="128" t="e">
        <f>'PROJECT TA Y TB KARINA'!$S41/8</f>
        <v>#REF!</v>
      </c>
      <c r="DX45" s="128" t="e">
        <f>'PROJECT TA Y TB KARINA'!$S41/8</f>
        <v>#REF!</v>
      </c>
      <c r="DY45" s="128" t="e">
        <f>'PROJECT TA Y TB KARINA'!$T41/8</f>
        <v>#REF!</v>
      </c>
      <c r="DZ45" s="128" t="e">
        <f>'PROJECT TA Y TB KARINA'!$T41/8</f>
        <v>#REF!</v>
      </c>
      <c r="EA45" s="128" t="e">
        <f>'PROJECT TA Y TB KARINA'!$T41/8</f>
        <v>#REF!</v>
      </c>
      <c r="EB45" s="128" t="e">
        <f>'PROJECT TA Y TB KARINA'!$T41/8</f>
        <v>#REF!</v>
      </c>
      <c r="EC45" s="128" t="e">
        <f>'PROJECT TA Y TB KARINA'!$T41/8</f>
        <v>#REF!</v>
      </c>
      <c r="ED45" s="128" t="e">
        <f>'PROJECT TA Y TB KARINA'!$T41/8</f>
        <v>#REF!</v>
      </c>
      <c r="EE45" s="128" t="e">
        <f>'PROJECT TA Y TB KARINA'!$T41/8</f>
        <v>#REF!</v>
      </c>
      <c r="EF45" s="128" t="e">
        <f>'PROJECT TA Y TB KARINA'!$T41/8</f>
        <v>#REF!</v>
      </c>
      <c r="EG45" s="128" t="e">
        <f>'PROJECT TA Y TB KARINA'!#REF!/8</f>
        <v>#REF!</v>
      </c>
      <c r="EH45" s="128" t="e">
        <f>'PROJECT TA Y TB KARINA'!#REF!/8</f>
        <v>#REF!</v>
      </c>
      <c r="EI45" s="128" t="e">
        <f>'PROJECT TA Y TB KARINA'!#REF!/8</f>
        <v>#REF!</v>
      </c>
      <c r="EJ45" s="128" t="e">
        <f>'PROJECT TA Y TB KARINA'!#REF!/8</f>
        <v>#REF!</v>
      </c>
      <c r="EK45" s="128" t="e">
        <f>'PROJECT TA Y TB KARINA'!#REF!/8</f>
        <v>#REF!</v>
      </c>
      <c r="EL45" s="128" t="e">
        <f>'PROJECT TA Y TB KARINA'!#REF!/8</f>
        <v>#REF!</v>
      </c>
      <c r="EM45" s="128" t="e">
        <f>'PROJECT TA Y TB KARINA'!#REF!/8</f>
        <v>#REF!</v>
      </c>
      <c r="EN45" s="128" t="e">
        <f>'PROJECT TA Y TB KARINA'!#REF!/8</f>
        <v>#REF!</v>
      </c>
      <c r="EO45" s="128">
        <f>'PROJECT TA Y TB KARINA'!$C99/8</f>
        <v>0</v>
      </c>
      <c r="EP45" s="128">
        <f>'PROJECT TA Y TB KARINA'!$C99/8</f>
        <v>0</v>
      </c>
      <c r="EQ45" s="128">
        <f>'PROJECT TA Y TB KARINA'!$C99/8</f>
        <v>0</v>
      </c>
      <c r="ER45" s="128">
        <f>'PROJECT TA Y TB KARINA'!$C99/8</f>
        <v>0</v>
      </c>
      <c r="ES45" s="128">
        <f>'PROJECT TA Y TB KARINA'!$C99/8</f>
        <v>0</v>
      </c>
      <c r="ET45" s="128">
        <f>'PROJECT TA Y TB KARINA'!$C99/8</f>
        <v>0</v>
      </c>
      <c r="EU45" s="128">
        <f>'PROJECT TA Y TB KARINA'!$C99/8</f>
        <v>0</v>
      </c>
      <c r="EV45" s="128">
        <f>'PROJECT TA Y TB KARINA'!$E99/8</f>
        <v>0</v>
      </c>
      <c r="EW45" s="128">
        <f>'PROJECT TA Y TB KARINA'!$E99/8</f>
        <v>0</v>
      </c>
      <c r="EX45" s="128">
        <f>'PROJECT TA Y TB KARINA'!$E99/8</f>
        <v>0</v>
      </c>
      <c r="EY45" s="128">
        <f>'PROJECT TA Y TB KARINA'!$E99/8</f>
        <v>0</v>
      </c>
      <c r="EZ45" s="128">
        <f>'PROJECT TA Y TB KARINA'!$E99/8</f>
        <v>0</v>
      </c>
      <c r="FA45" s="128">
        <f>'PROJECT TA Y TB KARINA'!$E99/8</f>
        <v>0</v>
      </c>
      <c r="FB45" s="128">
        <f>'PROJECT TA Y TB KARINA'!$E99/8</f>
        <v>0</v>
      </c>
      <c r="FC45" s="128">
        <f>'PROJECT TA Y TB KARINA'!$E99/8</f>
        <v>0</v>
      </c>
      <c r="FD45" s="128">
        <f>'PROJECT TA Y TB KARINA'!$F99/8</f>
        <v>0</v>
      </c>
      <c r="FE45" s="128">
        <f>'PROJECT TA Y TB KARINA'!$F99/8</f>
        <v>0</v>
      </c>
      <c r="FF45" s="128">
        <f>'PROJECT TA Y TB KARINA'!$F99/8</f>
        <v>0</v>
      </c>
      <c r="FG45" s="128">
        <f>'PROJECT TA Y TB KARINA'!$F99/8</f>
        <v>0</v>
      </c>
      <c r="FH45" s="128">
        <f>'PROJECT TA Y TB KARINA'!$F99/8</f>
        <v>0</v>
      </c>
      <c r="FI45" s="128">
        <f>'PROJECT TA Y TB KARINA'!$F99/8</f>
        <v>0</v>
      </c>
      <c r="FJ45" s="128">
        <f>'PROJECT TA Y TB KARINA'!$F99/8</f>
        <v>0</v>
      </c>
      <c r="FK45" s="128">
        <f>'PROJECT TA Y TB KARINA'!$F99/8</f>
        <v>0</v>
      </c>
      <c r="FL45" s="128">
        <f>'PROJECT TA Y TB KARINA'!$G99/8</f>
        <v>0</v>
      </c>
      <c r="FM45" s="128">
        <f>'PROJECT TA Y TB KARINA'!$G99/8</f>
        <v>0</v>
      </c>
      <c r="FN45" s="128">
        <f>'PROJECT TA Y TB KARINA'!$G99/8</f>
        <v>0</v>
      </c>
      <c r="FO45" s="128">
        <f>'PROJECT TA Y TB KARINA'!$G99/8</f>
        <v>0</v>
      </c>
      <c r="FP45" s="128">
        <f>'PROJECT TA Y TB KARINA'!$G99/8</f>
        <v>0</v>
      </c>
      <c r="FQ45" s="128">
        <f>'PROJECT TA Y TB KARINA'!$G99/8</f>
        <v>0</v>
      </c>
      <c r="FR45" s="128">
        <f>'PROJECT TA Y TB KARINA'!$G99/8</f>
        <v>0</v>
      </c>
      <c r="FS45" s="128">
        <f>'PROJECT TA Y TB KARINA'!$G99/8</f>
        <v>0</v>
      </c>
      <c r="FT45" s="128">
        <f>'PROJECT TA Y TB KARINA'!$H99/8</f>
        <v>0</v>
      </c>
      <c r="FU45" s="128">
        <f>'PROJECT TA Y TB KARINA'!$H99/8</f>
        <v>0</v>
      </c>
      <c r="FV45" s="128">
        <f>'PROJECT TA Y TB KARINA'!$H99/8</f>
        <v>0</v>
      </c>
      <c r="FW45" s="128">
        <f>'PROJECT TA Y TB KARINA'!$H99/8</f>
        <v>0</v>
      </c>
      <c r="FX45" s="128">
        <f>'PROJECT TA Y TB KARINA'!$H99/8</f>
        <v>0</v>
      </c>
      <c r="FY45" s="128">
        <f>'PROJECT TA Y TB KARINA'!$H99/8</f>
        <v>0</v>
      </c>
      <c r="FZ45" s="128">
        <f>'PROJECT TA Y TB KARINA'!$H99/8</f>
        <v>0</v>
      </c>
      <c r="GA45" s="128">
        <f>'PROJECT TA Y TB KARINA'!$H99/8</f>
        <v>0</v>
      </c>
      <c r="GB45" s="128">
        <f>'PROJECT TA Y TB KARINA'!$I99/8</f>
        <v>0</v>
      </c>
      <c r="GC45" s="128">
        <f>'PROJECT TA Y TB KARINA'!$I99/8</f>
        <v>0</v>
      </c>
      <c r="GD45" s="128">
        <f>'PROJECT TA Y TB KARINA'!$I99/8</f>
        <v>0</v>
      </c>
      <c r="GE45" s="128">
        <f>'PROJECT TA Y TB KARINA'!$I99/8</f>
        <v>0</v>
      </c>
      <c r="GF45" s="128">
        <f>'PROJECT TA Y TB KARINA'!$I99/8</f>
        <v>0</v>
      </c>
      <c r="GG45" s="128">
        <f>'PROJECT TA Y TB KARINA'!$I99/8</f>
        <v>0</v>
      </c>
      <c r="GH45" s="128">
        <f>'PROJECT TA Y TB KARINA'!$I99/8</f>
        <v>0</v>
      </c>
      <c r="GI45" s="128">
        <f>'PROJECT TA Y TB KARINA'!$I99/8</f>
        <v>0</v>
      </c>
      <c r="GJ45" s="128">
        <f>'PROJECT TA Y TB KARINA'!$J99/8</f>
        <v>0</v>
      </c>
      <c r="GK45" s="128">
        <f>'PROJECT TA Y TB KARINA'!$J99/8</f>
        <v>0</v>
      </c>
      <c r="GL45" s="128">
        <f>'PROJECT TA Y TB KARINA'!$J99/8</f>
        <v>0</v>
      </c>
      <c r="GM45" s="128">
        <f>'PROJECT TA Y TB KARINA'!$J99/8</f>
        <v>0</v>
      </c>
      <c r="GN45" s="128">
        <f>'PROJECT TA Y TB KARINA'!$J99/8</f>
        <v>0</v>
      </c>
      <c r="GO45" s="128">
        <f>'PROJECT TA Y TB KARINA'!$J99/8</f>
        <v>0</v>
      </c>
      <c r="GP45" s="128">
        <f>'PROJECT TA Y TB KARINA'!$J99/8</f>
        <v>0</v>
      </c>
      <c r="GQ45" s="128">
        <f>'PROJECT TA Y TB KARINA'!$J99/8</f>
        <v>0</v>
      </c>
      <c r="GR45" s="128">
        <f>'PROJECT TA Y TB KARINA'!$K99/8</f>
        <v>0</v>
      </c>
      <c r="GS45" s="128">
        <f>'PROJECT TA Y TB KARINA'!$K99/8</f>
        <v>0</v>
      </c>
      <c r="GT45" s="128">
        <f>'PROJECT TA Y TB KARINA'!$K99/8</f>
        <v>0</v>
      </c>
      <c r="GU45" s="128">
        <f>'PROJECT TA Y TB KARINA'!$K99/8</f>
        <v>0</v>
      </c>
      <c r="GV45" s="128">
        <f>'PROJECT TA Y TB KARINA'!$K99/8</f>
        <v>0</v>
      </c>
      <c r="GW45" s="128">
        <f>'PROJECT TA Y TB KARINA'!$K99/8</f>
        <v>0</v>
      </c>
      <c r="GX45" s="128">
        <f>'PROJECT TA Y TB KARINA'!$K99/8</f>
        <v>0</v>
      </c>
      <c r="GY45" s="128">
        <f>'PROJECT TA Y TB KARINA'!$K99/8</f>
        <v>0</v>
      </c>
      <c r="GZ45" s="128">
        <f>'PROJECT TA Y TB KARINA'!$L99/8</f>
        <v>0</v>
      </c>
      <c r="HA45" s="128">
        <f>'PROJECT TA Y TB KARINA'!$L99/8</f>
        <v>0</v>
      </c>
      <c r="HB45" s="128">
        <f>'PROJECT TA Y TB KARINA'!$L99/8</f>
        <v>0</v>
      </c>
      <c r="HC45" s="128">
        <f>'PROJECT TA Y TB KARINA'!$L99/8</f>
        <v>0</v>
      </c>
      <c r="HD45" s="128">
        <f>'PROJECT TA Y TB KARINA'!$L99/8</f>
        <v>0</v>
      </c>
      <c r="HE45" s="128">
        <f>'PROJECT TA Y TB KARINA'!$L99/8</f>
        <v>0</v>
      </c>
      <c r="HF45" s="128">
        <f>'PROJECT TA Y TB KARINA'!$L99/8</f>
        <v>0</v>
      </c>
      <c r="HG45" s="128">
        <f>'PROJECT TA Y TB KARINA'!$L99/8</f>
        <v>0</v>
      </c>
      <c r="HH45" s="128">
        <f>'PROJECT TA Y TB KARINA'!$M99/8</f>
        <v>0</v>
      </c>
      <c r="HI45" s="128">
        <f>'PROJECT TA Y TB KARINA'!$M99/8</f>
        <v>0</v>
      </c>
      <c r="HJ45" s="128">
        <f>'PROJECT TA Y TB KARINA'!$M99/8</f>
        <v>0</v>
      </c>
      <c r="HK45" s="128">
        <f>'PROJECT TA Y TB KARINA'!$M99/8</f>
        <v>0</v>
      </c>
      <c r="HL45" s="128">
        <f>'PROJECT TA Y TB KARINA'!$M99/8</f>
        <v>0</v>
      </c>
      <c r="HM45" s="128">
        <f>'PROJECT TA Y TB KARINA'!$M99/8</f>
        <v>0</v>
      </c>
      <c r="HN45" s="128">
        <f>'PROJECT TA Y TB KARINA'!$M99/8</f>
        <v>0</v>
      </c>
      <c r="HO45" s="128">
        <f>'PROJECT TA Y TB KARINA'!$M99/8</f>
        <v>0</v>
      </c>
      <c r="HP45" s="128">
        <f>'PROJECT TA Y TB KARINA'!$N99/8</f>
        <v>0</v>
      </c>
      <c r="HQ45" s="128">
        <f>'PROJECT TA Y TB KARINA'!$N99/8</f>
        <v>0</v>
      </c>
      <c r="HR45" s="128">
        <f>'PROJECT TA Y TB KARINA'!$N99/8</f>
        <v>0</v>
      </c>
      <c r="HS45" s="128">
        <f>'PROJECT TA Y TB KARINA'!$N99/8</f>
        <v>0</v>
      </c>
      <c r="HT45" s="128">
        <f>'PROJECT TA Y TB KARINA'!$N99/8</f>
        <v>0</v>
      </c>
      <c r="HU45" s="128">
        <f>'PROJECT TA Y TB KARINA'!$N99/8</f>
        <v>0</v>
      </c>
      <c r="HV45" s="128">
        <f>'PROJECT TA Y TB KARINA'!$N99/8</f>
        <v>0</v>
      </c>
      <c r="HW45" s="128">
        <f>'PROJECT TA Y TB KARINA'!$N99/8</f>
        <v>0</v>
      </c>
      <c r="HX45" s="128">
        <f>'PROJECT TA Y TB KARINA'!$O99/8</f>
        <v>0</v>
      </c>
      <c r="HY45" s="128">
        <f>'PROJECT TA Y TB KARINA'!$O99/8</f>
        <v>0</v>
      </c>
      <c r="HZ45" s="128">
        <f>'PROJECT TA Y TB KARINA'!$O99/8</f>
        <v>0</v>
      </c>
      <c r="IA45" s="128">
        <f>'PROJECT TA Y TB KARINA'!$O99/8</f>
        <v>0</v>
      </c>
      <c r="IB45" s="128">
        <f>'PROJECT TA Y TB KARINA'!$O99/8</f>
        <v>0</v>
      </c>
      <c r="IC45" s="128">
        <f>'PROJECT TA Y TB KARINA'!$O99/8</f>
        <v>0</v>
      </c>
      <c r="ID45" s="128">
        <f>'PROJECT TA Y TB KARINA'!$O99/8</f>
        <v>0</v>
      </c>
      <c r="IE45" s="128">
        <f>'PROJECT TA Y TB KARINA'!$O99/8</f>
        <v>0</v>
      </c>
      <c r="IF45" s="128">
        <f>'PROJECT TA Y TB KARINA'!$P99/8</f>
        <v>0</v>
      </c>
      <c r="IG45" s="128">
        <f>'PROJECT TA Y TB KARINA'!$P99/8</f>
        <v>0</v>
      </c>
      <c r="IH45" s="128">
        <f>'PROJECT TA Y TB KARINA'!$P99/8</f>
        <v>0</v>
      </c>
      <c r="II45" s="128">
        <f>'PROJECT TA Y TB KARINA'!$P99/8</f>
        <v>0</v>
      </c>
      <c r="IJ45" s="128">
        <f>'PROJECT TA Y TB KARINA'!$P99/8</f>
        <v>0</v>
      </c>
      <c r="IK45" s="128">
        <f>'PROJECT TA Y TB KARINA'!$P99/8</f>
        <v>0</v>
      </c>
      <c r="IL45" s="128">
        <f>'PROJECT TA Y TB KARINA'!$P99/8</f>
        <v>0</v>
      </c>
      <c r="IM45" s="128">
        <f>'PROJECT TA Y TB KARINA'!$P99/8</f>
        <v>0</v>
      </c>
      <c r="IN45" s="128">
        <f>'PROJECT TA Y TB KARINA'!$Q99/8</f>
        <v>0</v>
      </c>
      <c r="IO45" s="128">
        <f>'PROJECT TA Y TB KARINA'!$Q99/8</f>
        <v>0</v>
      </c>
      <c r="IP45" s="128">
        <f>'PROJECT TA Y TB KARINA'!$Q99/8</f>
        <v>0</v>
      </c>
      <c r="IQ45" s="128">
        <f>'PROJECT TA Y TB KARINA'!$Q99/8</f>
        <v>0</v>
      </c>
      <c r="IR45" s="128">
        <f>'PROJECT TA Y TB KARINA'!$Q99/8</f>
        <v>0</v>
      </c>
      <c r="IS45" s="128">
        <f>'PROJECT TA Y TB KARINA'!$Q99/8</f>
        <v>0</v>
      </c>
      <c r="IT45" s="128">
        <f>'PROJECT TA Y TB KARINA'!$Q99/8</f>
        <v>0</v>
      </c>
      <c r="IU45" s="128">
        <f>'PROJECT TA Y TB KARINA'!$Q99/8</f>
        <v>0</v>
      </c>
      <c r="IV45" s="128">
        <f>'PROJECT TA Y TB KARINA'!$R99/8</f>
        <v>0</v>
      </c>
      <c r="IW45" s="128">
        <f>'PROJECT TA Y TB KARINA'!$R99/8</f>
        <v>0</v>
      </c>
      <c r="IX45" s="128">
        <f>'PROJECT TA Y TB KARINA'!$R99/8</f>
        <v>0</v>
      </c>
      <c r="IY45" s="128">
        <f>'PROJECT TA Y TB KARINA'!$R99/8</f>
        <v>0</v>
      </c>
      <c r="IZ45" s="128">
        <f>'PROJECT TA Y TB KARINA'!$R99/8</f>
        <v>0</v>
      </c>
      <c r="JA45" s="128">
        <f>'PROJECT TA Y TB KARINA'!$R99/8</f>
        <v>0</v>
      </c>
      <c r="JB45" s="128">
        <f>'PROJECT TA Y TB KARINA'!$R99/8</f>
        <v>0</v>
      </c>
      <c r="JC45" s="128">
        <f>'PROJECT TA Y TB KARINA'!$R99/8</f>
        <v>0</v>
      </c>
      <c r="JD45" s="128">
        <f>'PROJECT TA Y TB KARINA'!$S99/8</f>
        <v>0</v>
      </c>
      <c r="JE45" s="128">
        <f>'PROJECT TA Y TB KARINA'!$S99/8</f>
        <v>0</v>
      </c>
      <c r="JF45" s="128">
        <f>'PROJECT TA Y TB KARINA'!$S99/8</f>
        <v>0</v>
      </c>
      <c r="JG45" s="128">
        <f>'PROJECT TA Y TB KARINA'!$S99/8</f>
        <v>0</v>
      </c>
      <c r="JH45" s="128">
        <f>'PROJECT TA Y TB KARINA'!$S99/8</f>
        <v>0</v>
      </c>
      <c r="JI45" s="128">
        <f>'PROJECT TA Y TB KARINA'!$S99/8</f>
        <v>0</v>
      </c>
      <c r="JJ45" s="128">
        <f>'PROJECT TA Y TB KARINA'!$S99/8</f>
        <v>0</v>
      </c>
      <c r="JK45" s="128">
        <f>'PROJECT TA Y TB KARINA'!$S99/8</f>
        <v>0</v>
      </c>
      <c r="JL45" s="128">
        <f>'PROJECT TA Y TB KARINA'!$T99/8</f>
        <v>0</v>
      </c>
      <c r="JM45" s="128">
        <f>'PROJECT TA Y TB KARINA'!$T99/8</f>
        <v>0</v>
      </c>
      <c r="JN45" s="128">
        <f>'PROJECT TA Y TB KARINA'!$T99/8</f>
        <v>0</v>
      </c>
      <c r="JO45" s="128">
        <f>'PROJECT TA Y TB KARINA'!$T99/8</f>
        <v>0</v>
      </c>
      <c r="JP45" s="128">
        <f>'PROJECT TA Y TB KARINA'!$T99/8</f>
        <v>0</v>
      </c>
      <c r="JQ45" s="128">
        <f>'PROJECT TA Y TB KARINA'!$T99/8</f>
        <v>0</v>
      </c>
      <c r="JR45" s="128">
        <f>'PROJECT TA Y TB KARINA'!$T99/8</f>
        <v>0</v>
      </c>
      <c r="JS45" s="128">
        <f>'PROJECT TA Y TB KARINA'!$T99/8</f>
        <v>0</v>
      </c>
      <c r="JT45" s="128" t="e">
        <f>'PROJECT TA Y TB KARINA'!#REF!/8</f>
        <v>#REF!</v>
      </c>
      <c r="JU45" s="128" t="e">
        <f>'PROJECT TA Y TB KARINA'!#REF!/8</f>
        <v>#REF!</v>
      </c>
      <c r="JV45" s="128" t="e">
        <f>'PROJECT TA Y TB KARINA'!#REF!/8</f>
        <v>#REF!</v>
      </c>
      <c r="JW45" s="128" t="e">
        <f>'PROJECT TA Y TB KARINA'!#REF!/8</f>
        <v>#REF!</v>
      </c>
      <c r="JX45" s="128" t="e">
        <f>'PROJECT TA Y TB KARINA'!#REF!/8</f>
        <v>#REF!</v>
      </c>
      <c r="JY45" s="128" t="e">
        <f>'PROJECT TA Y TB KARINA'!#REF!/8</f>
        <v>#REF!</v>
      </c>
      <c r="JZ45" s="128" t="e">
        <f>'PROJECT TA Y TB KARINA'!#REF!/8</f>
        <v>#REF!</v>
      </c>
      <c r="KA45" s="128" t="e">
        <f>'PROJECT TA Y TB KARINA'!#REF!/8</f>
        <v>#REF!</v>
      </c>
    </row>
    <row r="46" spans="1:287" ht="21">
      <c r="A46" s="130" t="s">
        <v>499</v>
      </c>
      <c r="B46" s="128" t="e">
        <f>'PROJECT TA Y TB KARINA'!$C$42/8</f>
        <v>#REF!</v>
      </c>
      <c r="C46" s="128" t="e">
        <f>'PROJECT TA Y TB KARINA'!$C$42/8</f>
        <v>#REF!</v>
      </c>
      <c r="D46" s="128" t="e">
        <f>'PROJECT TA Y TB KARINA'!$C$42/8</f>
        <v>#REF!</v>
      </c>
      <c r="E46" s="128" t="e">
        <f>'PROJECT TA Y TB KARINA'!$C$42/8</f>
        <v>#REF!</v>
      </c>
      <c r="F46" s="128" t="e">
        <f>'PROJECT TA Y TB KARINA'!$C$42/8</f>
        <v>#REF!</v>
      </c>
      <c r="G46" s="128" t="e">
        <f>'PROJECT TA Y TB KARINA'!$C$42/8</f>
        <v>#REF!</v>
      </c>
      <c r="H46" s="128" t="e">
        <f>'PROJECT TA Y TB KARINA'!$C$42/8</f>
        <v>#REF!</v>
      </c>
      <c r="I46" s="128" t="e">
        <f>'PROJECT TA Y TB KARINA'!$E42/8</f>
        <v>#REF!</v>
      </c>
      <c r="J46" s="128" t="e">
        <f>'PROJECT TA Y TB KARINA'!$E42/8</f>
        <v>#REF!</v>
      </c>
      <c r="K46" s="128" t="e">
        <f>'PROJECT TA Y TB KARINA'!$E42/8</f>
        <v>#REF!</v>
      </c>
      <c r="L46" s="128" t="e">
        <f>'PROJECT TA Y TB KARINA'!$E42/8</f>
        <v>#REF!</v>
      </c>
      <c r="M46" s="128" t="e">
        <f>'PROJECT TA Y TB KARINA'!$E42/8</f>
        <v>#REF!</v>
      </c>
      <c r="N46" s="128" t="e">
        <f>'PROJECT TA Y TB KARINA'!$E42/8</f>
        <v>#REF!</v>
      </c>
      <c r="O46" s="128" t="e">
        <f>'PROJECT TA Y TB KARINA'!$E42/8</f>
        <v>#REF!</v>
      </c>
      <c r="P46" s="128" t="e">
        <f>'PROJECT TA Y TB KARINA'!$E42/8</f>
        <v>#REF!</v>
      </c>
      <c r="Q46" s="128" t="e">
        <f>'PROJECT TA Y TB KARINA'!$F42/8</f>
        <v>#REF!</v>
      </c>
      <c r="R46" s="128" t="e">
        <f>'PROJECT TA Y TB KARINA'!$F42/8</f>
        <v>#REF!</v>
      </c>
      <c r="S46" s="128" t="e">
        <f>'PROJECT TA Y TB KARINA'!$F42/8</f>
        <v>#REF!</v>
      </c>
      <c r="T46" s="128" t="e">
        <f>'PROJECT TA Y TB KARINA'!$F42/8</f>
        <v>#REF!</v>
      </c>
      <c r="U46" s="128" t="e">
        <f>'PROJECT TA Y TB KARINA'!$F42/8</f>
        <v>#REF!</v>
      </c>
      <c r="V46" s="128" t="e">
        <f>'PROJECT TA Y TB KARINA'!$F42/8</f>
        <v>#REF!</v>
      </c>
      <c r="W46" s="128" t="e">
        <f>'PROJECT TA Y TB KARINA'!$F42/8</f>
        <v>#REF!</v>
      </c>
      <c r="X46" s="128" t="e">
        <f>'PROJECT TA Y TB KARINA'!$F42/8</f>
        <v>#REF!</v>
      </c>
      <c r="Y46" s="128" t="e">
        <f>'PROJECT TA Y TB KARINA'!$G42/8</f>
        <v>#REF!</v>
      </c>
      <c r="Z46" s="128" t="e">
        <f>'PROJECT TA Y TB KARINA'!$G42/8</f>
        <v>#REF!</v>
      </c>
      <c r="AA46" s="128" t="e">
        <f>'PROJECT TA Y TB KARINA'!$G42/8</f>
        <v>#REF!</v>
      </c>
      <c r="AB46" s="128" t="e">
        <f>'PROJECT TA Y TB KARINA'!$G42/8</f>
        <v>#REF!</v>
      </c>
      <c r="AC46" s="128" t="e">
        <f>'PROJECT TA Y TB KARINA'!$G42/8</f>
        <v>#REF!</v>
      </c>
      <c r="AD46" s="128" t="e">
        <f>'PROJECT TA Y TB KARINA'!$G42/8</f>
        <v>#REF!</v>
      </c>
      <c r="AE46" s="128" t="e">
        <f>'PROJECT TA Y TB KARINA'!$G42/8</f>
        <v>#REF!</v>
      </c>
      <c r="AF46" s="128" t="e">
        <f>'PROJECT TA Y TB KARINA'!$G42/8</f>
        <v>#REF!</v>
      </c>
      <c r="AG46" s="128" t="e">
        <f>'PROJECT TA Y TB KARINA'!$H42/8</f>
        <v>#REF!</v>
      </c>
      <c r="AH46" s="128" t="e">
        <f>'PROJECT TA Y TB KARINA'!$H42/8</f>
        <v>#REF!</v>
      </c>
      <c r="AI46" s="128" t="e">
        <f>'PROJECT TA Y TB KARINA'!$H42/8</f>
        <v>#REF!</v>
      </c>
      <c r="AJ46" s="128" t="e">
        <f>'PROJECT TA Y TB KARINA'!$H42/8</f>
        <v>#REF!</v>
      </c>
      <c r="AK46" s="128" t="e">
        <f>'PROJECT TA Y TB KARINA'!$H42/8</f>
        <v>#REF!</v>
      </c>
      <c r="AL46" s="128" t="e">
        <f>'PROJECT TA Y TB KARINA'!$H42/8</f>
        <v>#REF!</v>
      </c>
      <c r="AM46" s="128" t="e">
        <f>'PROJECT TA Y TB KARINA'!$H42/8</f>
        <v>#REF!</v>
      </c>
      <c r="AN46" s="128" t="e">
        <f>'PROJECT TA Y TB KARINA'!$H42/8</f>
        <v>#REF!</v>
      </c>
      <c r="AO46" s="128" t="e">
        <f>'PROJECT TA Y TB KARINA'!$I42/8</f>
        <v>#REF!</v>
      </c>
      <c r="AP46" s="128" t="e">
        <f>'PROJECT TA Y TB KARINA'!$I42/8</f>
        <v>#REF!</v>
      </c>
      <c r="AQ46" s="128" t="e">
        <f>'PROJECT TA Y TB KARINA'!$I42/8</f>
        <v>#REF!</v>
      </c>
      <c r="AR46" s="128" t="e">
        <f>'PROJECT TA Y TB KARINA'!$I42/8</f>
        <v>#REF!</v>
      </c>
      <c r="AS46" s="128" t="e">
        <f>'PROJECT TA Y TB KARINA'!$I42/8</f>
        <v>#REF!</v>
      </c>
      <c r="AT46" s="128" t="e">
        <f>'PROJECT TA Y TB KARINA'!$I42/8</f>
        <v>#REF!</v>
      </c>
      <c r="AU46" s="128" t="e">
        <f>'PROJECT TA Y TB KARINA'!$I42/8</f>
        <v>#REF!</v>
      </c>
      <c r="AV46" s="128" t="e">
        <f>'PROJECT TA Y TB KARINA'!$I42/8</f>
        <v>#REF!</v>
      </c>
      <c r="AW46" s="128" t="e">
        <f>'PROJECT TA Y TB KARINA'!$J42/8</f>
        <v>#REF!</v>
      </c>
      <c r="AX46" s="128" t="e">
        <f>'PROJECT TA Y TB KARINA'!$J42/8</f>
        <v>#REF!</v>
      </c>
      <c r="AY46" s="128" t="e">
        <f>'PROJECT TA Y TB KARINA'!$J42/8</f>
        <v>#REF!</v>
      </c>
      <c r="AZ46" s="128" t="e">
        <f>'PROJECT TA Y TB KARINA'!$J42/8</f>
        <v>#REF!</v>
      </c>
      <c r="BA46" s="128" t="e">
        <f>'PROJECT TA Y TB KARINA'!$J42/8</f>
        <v>#REF!</v>
      </c>
      <c r="BB46" s="128" t="e">
        <f>'PROJECT TA Y TB KARINA'!$J42/8</f>
        <v>#REF!</v>
      </c>
      <c r="BC46" s="128" t="e">
        <f>'PROJECT TA Y TB KARINA'!$J42/8</f>
        <v>#REF!</v>
      </c>
      <c r="BD46" s="128" t="e">
        <f>'PROJECT TA Y TB KARINA'!$J42/8</f>
        <v>#REF!</v>
      </c>
      <c r="BE46" s="128" t="e">
        <f>'PROJECT TA Y TB KARINA'!$K42/8</f>
        <v>#REF!</v>
      </c>
      <c r="BF46" s="128" t="e">
        <f>'PROJECT TA Y TB KARINA'!$K42/8</f>
        <v>#REF!</v>
      </c>
      <c r="BG46" s="128" t="e">
        <f>'PROJECT TA Y TB KARINA'!$K42/8</f>
        <v>#REF!</v>
      </c>
      <c r="BH46" s="128" t="e">
        <f>'PROJECT TA Y TB KARINA'!$K42/8</f>
        <v>#REF!</v>
      </c>
      <c r="BI46" s="128" t="e">
        <f>'PROJECT TA Y TB KARINA'!$K42/8</f>
        <v>#REF!</v>
      </c>
      <c r="BJ46" s="128" t="e">
        <f>'PROJECT TA Y TB KARINA'!$K42/8</f>
        <v>#REF!</v>
      </c>
      <c r="BK46" s="128" t="e">
        <f>'PROJECT TA Y TB KARINA'!$K42/8</f>
        <v>#REF!</v>
      </c>
      <c r="BL46" s="128" t="e">
        <f>'PROJECT TA Y TB KARINA'!$K42/8</f>
        <v>#REF!</v>
      </c>
      <c r="BM46" s="128" t="e">
        <f>'PROJECT TA Y TB KARINA'!$L42/8</f>
        <v>#REF!</v>
      </c>
      <c r="BN46" s="128" t="e">
        <f>'PROJECT TA Y TB KARINA'!$L42/8</f>
        <v>#REF!</v>
      </c>
      <c r="BO46" s="128" t="e">
        <f>'PROJECT TA Y TB KARINA'!$L42/8</f>
        <v>#REF!</v>
      </c>
      <c r="BP46" s="128" t="e">
        <f>'PROJECT TA Y TB KARINA'!$L42/8</f>
        <v>#REF!</v>
      </c>
      <c r="BQ46" s="128" t="e">
        <f>'PROJECT TA Y TB KARINA'!$L42/8</f>
        <v>#REF!</v>
      </c>
      <c r="BR46" s="128" t="e">
        <f>'PROJECT TA Y TB KARINA'!$L42/8</f>
        <v>#REF!</v>
      </c>
      <c r="BS46" s="128" t="e">
        <f>'PROJECT TA Y TB KARINA'!$L42/8</f>
        <v>#REF!</v>
      </c>
      <c r="BT46" s="128" t="e">
        <f>'PROJECT TA Y TB KARINA'!$L42/8</f>
        <v>#REF!</v>
      </c>
      <c r="BU46" s="128" t="e">
        <f>'PROJECT TA Y TB KARINA'!$M42/8</f>
        <v>#REF!</v>
      </c>
      <c r="BV46" s="128" t="e">
        <f>'PROJECT TA Y TB KARINA'!$M42/8</f>
        <v>#REF!</v>
      </c>
      <c r="BW46" s="128" t="e">
        <f>'PROJECT TA Y TB KARINA'!$M42/8</f>
        <v>#REF!</v>
      </c>
      <c r="BX46" s="128" t="e">
        <f>'PROJECT TA Y TB KARINA'!$M42/8</f>
        <v>#REF!</v>
      </c>
      <c r="BY46" s="128" t="e">
        <f>'PROJECT TA Y TB KARINA'!$M42/8</f>
        <v>#REF!</v>
      </c>
      <c r="BZ46" s="128" t="e">
        <f>'PROJECT TA Y TB KARINA'!$M42/8</f>
        <v>#REF!</v>
      </c>
      <c r="CA46" s="128" t="e">
        <f>'PROJECT TA Y TB KARINA'!$M42/8</f>
        <v>#REF!</v>
      </c>
      <c r="CB46" s="128" t="e">
        <f>'PROJECT TA Y TB KARINA'!$M42/8</f>
        <v>#REF!</v>
      </c>
      <c r="CC46" s="128" t="e">
        <f>'PROJECT TA Y TB KARINA'!$N42/8</f>
        <v>#REF!</v>
      </c>
      <c r="CD46" s="128" t="e">
        <f>'PROJECT TA Y TB KARINA'!$N42/8</f>
        <v>#REF!</v>
      </c>
      <c r="CE46" s="128" t="e">
        <f>'PROJECT TA Y TB KARINA'!$N42/8</f>
        <v>#REF!</v>
      </c>
      <c r="CF46" s="128" t="e">
        <f>'PROJECT TA Y TB KARINA'!$N42/8</f>
        <v>#REF!</v>
      </c>
      <c r="CG46" s="128" t="e">
        <f>'PROJECT TA Y TB KARINA'!$N42/8</f>
        <v>#REF!</v>
      </c>
      <c r="CH46" s="128" t="e">
        <f>'PROJECT TA Y TB KARINA'!$N42/8</f>
        <v>#REF!</v>
      </c>
      <c r="CI46" s="128" t="e">
        <f>'PROJECT TA Y TB KARINA'!$N42/8</f>
        <v>#REF!</v>
      </c>
      <c r="CJ46" s="128" t="e">
        <f>'PROJECT TA Y TB KARINA'!$N42/8</f>
        <v>#REF!</v>
      </c>
      <c r="CK46" s="128" t="e">
        <f>'PROJECT TA Y TB KARINA'!$O42/8</f>
        <v>#REF!</v>
      </c>
      <c r="CL46" s="128" t="e">
        <f>'PROJECT TA Y TB KARINA'!$O42/8</f>
        <v>#REF!</v>
      </c>
      <c r="CM46" s="128" t="e">
        <f>'PROJECT TA Y TB KARINA'!$O42/8</f>
        <v>#REF!</v>
      </c>
      <c r="CN46" s="128" t="e">
        <f>'PROJECT TA Y TB KARINA'!$O42/8</f>
        <v>#REF!</v>
      </c>
      <c r="CO46" s="128" t="e">
        <f>'PROJECT TA Y TB KARINA'!$O42/8</f>
        <v>#REF!</v>
      </c>
      <c r="CP46" s="128" t="e">
        <f>'PROJECT TA Y TB KARINA'!$O42/8</f>
        <v>#REF!</v>
      </c>
      <c r="CQ46" s="128" t="e">
        <f>'PROJECT TA Y TB KARINA'!$O42/8</f>
        <v>#REF!</v>
      </c>
      <c r="CR46" s="128" t="e">
        <f>'PROJECT TA Y TB KARINA'!$O42/8</f>
        <v>#REF!</v>
      </c>
      <c r="CS46" s="128" t="e">
        <f>'PROJECT TA Y TB KARINA'!$P42/8</f>
        <v>#REF!</v>
      </c>
      <c r="CT46" s="128" t="e">
        <f>'PROJECT TA Y TB KARINA'!$P42/8</f>
        <v>#REF!</v>
      </c>
      <c r="CU46" s="128" t="e">
        <f>'PROJECT TA Y TB KARINA'!$P42/8</f>
        <v>#REF!</v>
      </c>
      <c r="CV46" s="128" t="e">
        <f>'PROJECT TA Y TB KARINA'!$P42/8</f>
        <v>#REF!</v>
      </c>
      <c r="CW46" s="128" t="e">
        <f>'PROJECT TA Y TB KARINA'!$P42/8</f>
        <v>#REF!</v>
      </c>
      <c r="CX46" s="128" t="e">
        <f>'PROJECT TA Y TB KARINA'!$P42/8</f>
        <v>#REF!</v>
      </c>
      <c r="CY46" s="128" t="e">
        <f>'PROJECT TA Y TB KARINA'!$P42/8</f>
        <v>#REF!</v>
      </c>
      <c r="CZ46" s="128" t="e">
        <f>'PROJECT TA Y TB KARINA'!$P42/8</f>
        <v>#REF!</v>
      </c>
      <c r="DA46" s="128" t="e">
        <f>'PROJECT TA Y TB KARINA'!$Q42/8</f>
        <v>#REF!</v>
      </c>
      <c r="DB46" s="128" t="e">
        <f>'PROJECT TA Y TB KARINA'!$Q42/8</f>
        <v>#REF!</v>
      </c>
      <c r="DC46" s="128" t="e">
        <f>'PROJECT TA Y TB KARINA'!$Q42/8</f>
        <v>#REF!</v>
      </c>
      <c r="DD46" s="128" t="e">
        <f>'PROJECT TA Y TB KARINA'!$Q42/8</f>
        <v>#REF!</v>
      </c>
      <c r="DE46" s="128" t="e">
        <f>'PROJECT TA Y TB KARINA'!$Q42/8</f>
        <v>#REF!</v>
      </c>
      <c r="DF46" s="128" t="e">
        <f>'PROJECT TA Y TB KARINA'!$Q42/8</f>
        <v>#REF!</v>
      </c>
      <c r="DG46" s="128" t="e">
        <f>'PROJECT TA Y TB KARINA'!$Q42/8</f>
        <v>#REF!</v>
      </c>
      <c r="DH46" s="128" t="e">
        <f>'PROJECT TA Y TB KARINA'!$Q42/8</f>
        <v>#REF!</v>
      </c>
      <c r="DI46" s="128" t="e">
        <f>'PROJECT TA Y TB KARINA'!$R42/8</f>
        <v>#REF!</v>
      </c>
      <c r="DJ46" s="128" t="e">
        <f>'PROJECT TA Y TB KARINA'!$R42/8</f>
        <v>#REF!</v>
      </c>
      <c r="DK46" s="128" t="e">
        <f>'PROJECT TA Y TB KARINA'!$R42/8</f>
        <v>#REF!</v>
      </c>
      <c r="DL46" s="128" t="e">
        <f>'PROJECT TA Y TB KARINA'!$R42/8</f>
        <v>#REF!</v>
      </c>
      <c r="DM46" s="128" t="e">
        <f>'PROJECT TA Y TB KARINA'!$R42/8</f>
        <v>#REF!</v>
      </c>
      <c r="DN46" s="128" t="e">
        <f>'PROJECT TA Y TB KARINA'!$R42/8</f>
        <v>#REF!</v>
      </c>
      <c r="DO46" s="128" t="e">
        <f>'PROJECT TA Y TB KARINA'!$R42/8</f>
        <v>#REF!</v>
      </c>
      <c r="DP46" s="128" t="e">
        <f>'PROJECT TA Y TB KARINA'!$R42/8</f>
        <v>#REF!</v>
      </c>
      <c r="DQ46" s="128" t="e">
        <f>'PROJECT TA Y TB KARINA'!$S42/8</f>
        <v>#REF!</v>
      </c>
      <c r="DR46" s="128" t="e">
        <f>'PROJECT TA Y TB KARINA'!$S42/8</f>
        <v>#REF!</v>
      </c>
      <c r="DS46" s="128" t="e">
        <f>'PROJECT TA Y TB KARINA'!$S42/8</f>
        <v>#REF!</v>
      </c>
      <c r="DT46" s="128" t="e">
        <f>'PROJECT TA Y TB KARINA'!$S42/8</f>
        <v>#REF!</v>
      </c>
      <c r="DU46" s="128" t="e">
        <f>'PROJECT TA Y TB KARINA'!$S42/8</f>
        <v>#REF!</v>
      </c>
      <c r="DV46" s="128" t="e">
        <f>'PROJECT TA Y TB KARINA'!$S42/8</f>
        <v>#REF!</v>
      </c>
      <c r="DW46" s="128" t="e">
        <f>'PROJECT TA Y TB KARINA'!$S42/8</f>
        <v>#REF!</v>
      </c>
      <c r="DX46" s="128" t="e">
        <f>'PROJECT TA Y TB KARINA'!$S42/8</f>
        <v>#REF!</v>
      </c>
      <c r="DY46" s="128" t="e">
        <f>'PROJECT TA Y TB KARINA'!$T42/8</f>
        <v>#REF!</v>
      </c>
      <c r="DZ46" s="128" t="e">
        <f>'PROJECT TA Y TB KARINA'!$T42/8</f>
        <v>#REF!</v>
      </c>
      <c r="EA46" s="128" t="e">
        <f>'PROJECT TA Y TB KARINA'!$T42/8</f>
        <v>#REF!</v>
      </c>
      <c r="EB46" s="128" t="e">
        <f>'PROJECT TA Y TB KARINA'!$T42/8</f>
        <v>#REF!</v>
      </c>
      <c r="EC46" s="128" t="e">
        <f>'PROJECT TA Y TB KARINA'!$T42/8</f>
        <v>#REF!</v>
      </c>
      <c r="ED46" s="128" t="e">
        <f>'PROJECT TA Y TB KARINA'!$T42/8</f>
        <v>#REF!</v>
      </c>
      <c r="EE46" s="128" t="e">
        <f>'PROJECT TA Y TB KARINA'!$T42/8</f>
        <v>#REF!</v>
      </c>
      <c r="EF46" s="128" t="e">
        <f>'PROJECT TA Y TB KARINA'!$T42/8</f>
        <v>#REF!</v>
      </c>
      <c r="EG46" s="128" t="e">
        <f>'PROJECT TA Y TB KARINA'!#REF!/8</f>
        <v>#REF!</v>
      </c>
      <c r="EH46" s="128" t="e">
        <f>'PROJECT TA Y TB KARINA'!#REF!/8</f>
        <v>#REF!</v>
      </c>
      <c r="EI46" s="128" t="e">
        <f>'PROJECT TA Y TB KARINA'!#REF!/8</f>
        <v>#REF!</v>
      </c>
      <c r="EJ46" s="128" t="e">
        <f>'PROJECT TA Y TB KARINA'!#REF!/8</f>
        <v>#REF!</v>
      </c>
      <c r="EK46" s="128" t="e">
        <f>'PROJECT TA Y TB KARINA'!#REF!/8</f>
        <v>#REF!</v>
      </c>
      <c r="EL46" s="128" t="e">
        <f>'PROJECT TA Y TB KARINA'!#REF!/8</f>
        <v>#REF!</v>
      </c>
      <c r="EM46" s="128" t="e">
        <f>'PROJECT TA Y TB KARINA'!#REF!/8</f>
        <v>#REF!</v>
      </c>
      <c r="EN46" s="128" t="e">
        <f>'PROJECT TA Y TB KARINA'!#REF!/8</f>
        <v>#REF!</v>
      </c>
      <c r="EO46" s="128">
        <f>'PROJECT TA Y TB KARINA'!$C100/8</f>
        <v>0</v>
      </c>
      <c r="EP46" s="128">
        <f>'PROJECT TA Y TB KARINA'!$C100/8</f>
        <v>0</v>
      </c>
      <c r="EQ46" s="128">
        <f>'PROJECT TA Y TB KARINA'!$C100/8</f>
        <v>0</v>
      </c>
      <c r="ER46" s="128">
        <f>'PROJECT TA Y TB KARINA'!$C100/8</f>
        <v>0</v>
      </c>
      <c r="ES46" s="128">
        <f>'PROJECT TA Y TB KARINA'!$C100/8</f>
        <v>0</v>
      </c>
      <c r="ET46" s="128">
        <f>'PROJECT TA Y TB KARINA'!$C100/8</f>
        <v>0</v>
      </c>
      <c r="EU46" s="128">
        <f>'PROJECT TA Y TB KARINA'!$C100/8</f>
        <v>0</v>
      </c>
      <c r="EV46" s="128">
        <f>'PROJECT TA Y TB KARINA'!$E100/8</f>
        <v>0</v>
      </c>
      <c r="EW46" s="128">
        <f>'PROJECT TA Y TB KARINA'!$E100/8</f>
        <v>0</v>
      </c>
      <c r="EX46" s="128">
        <f>'PROJECT TA Y TB KARINA'!$E100/8</f>
        <v>0</v>
      </c>
      <c r="EY46" s="128">
        <f>'PROJECT TA Y TB KARINA'!$E100/8</f>
        <v>0</v>
      </c>
      <c r="EZ46" s="128">
        <f>'PROJECT TA Y TB KARINA'!$E100/8</f>
        <v>0</v>
      </c>
      <c r="FA46" s="128">
        <f>'PROJECT TA Y TB KARINA'!$E100/8</f>
        <v>0</v>
      </c>
      <c r="FB46" s="128">
        <f>'PROJECT TA Y TB KARINA'!$E100/8</f>
        <v>0</v>
      </c>
      <c r="FC46" s="128">
        <f>'PROJECT TA Y TB KARINA'!$E100/8</f>
        <v>0</v>
      </c>
      <c r="FD46" s="128">
        <f>'PROJECT TA Y TB KARINA'!$F100/8</f>
        <v>0</v>
      </c>
      <c r="FE46" s="128">
        <f>'PROJECT TA Y TB KARINA'!$F100/8</f>
        <v>0</v>
      </c>
      <c r="FF46" s="128">
        <f>'PROJECT TA Y TB KARINA'!$F100/8</f>
        <v>0</v>
      </c>
      <c r="FG46" s="128">
        <f>'PROJECT TA Y TB KARINA'!$F100/8</f>
        <v>0</v>
      </c>
      <c r="FH46" s="128">
        <f>'PROJECT TA Y TB KARINA'!$F100/8</f>
        <v>0</v>
      </c>
      <c r="FI46" s="128">
        <f>'PROJECT TA Y TB KARINA'!$F100/8</f>
        <v>0</v>
      </c>
      <c r="FJ46" s="128">
        <f>'PROJECT TA Y TB KARINA'!$F100/8</f>
        <v>0</v>
      </c>
      <c r="FK46" s="128">
        <f>'PROJECT TA Y TB KARINA'!$F100/8</f>
        <v>0</v>
      </c>
      <c r="FL46" s="128">
        <f>'PROJECT TA Y TB KARINA'!$G100/8</f>
        <v>0</v>
      </c>
      <c r="FM46" s="128">
        <f>'PROJECT TA Y TB KARINA'!$G100/8</f>
        <v>0</v>
      </c>
      <c r="FN46" s="128">
        <f>'PROJECT TA Y TB KARINA'!$G100/8</f>
        <v>0</v>
      </c>
      <c r="FO46" s="128">
        <f>'PROJECT TA Y TB KARINA'!$G100/8</f>
        <v>0</v>
      </c>
      <c r="FP46" s="128">
        <f>'PROJECT TA Y TB KARINA'!$G100/8</f>
        <v>0</v>
      </c>
      <c r="FQ46" s="128">
        <f>'PROJECT TA Y TB KARINA'!$G100/8</f>
        <v>0</v>
      </c>
      <c r="FR46" s="128">
        <f>'PROJECT TA Y TB KARINA'!$G100/8</f>
        <v>0</v>
      </c>
      <c r="FS46" s="128">
        <f>'PROJECT TA Y TB KARINA'!$G100/8</f>
        <v>0</v>
      </c>
      <c r="FT46" s="128">
        <f>'PROJECT TA Y TB KARINA'!$H100/8</f>
        <v>0</v>
      </c>
      <c r="FU46" s="128">
        <f>'PROJECT TA Y TB KARINA'!$H100/8</f>
        <v>0</v>
      </c>
      <c r="FV46" s="128">
        <f>'PROJECT TA Y TB KARINA'!$H100/8</f>
        <v>0</v>
      </c>
      <c r="FW46" s="128">
        <f>'PROJECT TA Y TB KARINA'!$H100/8</f>
        <v>0</v>
      </c>
      <c r="FX46" s="128">
        <f>'PROJECT TA Y TB KARINA'!$H100/8</f>
        <v>0</v>
      </c>
      <c r="FY46" s="128">
        <f>'PROJECT TA Y TB KARINA'!$H100/8</f>
        <v>0</v>
      </c>
      <c r="FZ46" s="128">
        <f>'PROJECT TA Y TB KARINA'!$H100/8</f>
        <v>0</v>
      </c>
      <c r="GA46" s="128">
        <f>'PROJECT TA Y TB KARINA'!$H100/8</f>
        <v>0</v>
      </c>
      <c r="GB46" s="128">
        <f>'PROJECT TA Y TB KARINA'!$I100/8</f>
        <v>0</v>
      </c>
      <c r="GC46" s="128">
        <f>'PROJECT TA Y TB KARINA'!$I100/8</f>
        <v>0</v>
      </c>
      <c r="GD46" s="128">
        <f>'PROJECT TA Y TB KARINA'!$I100/8</f>
        <v>0</v>
      </c>
      <c r="GE46" s="128">
        <f>'PROJECT TA Y TB KARINA'!$I100/8</f>
        <v>0</v>
      </c>
      <c r="GF46" s="128">
        <f>'PROJECT TA Y TB KARINA'!$I100/8</f>
        <v>0</v>
      </c>
      <c r="GG46" s="128">
        <f>'PROJECT TA Y TB KARINA'!$I100/8</f>
        <v>0</v>
      </c>
      <c r="GH46" s="128">
        <f>'PROJECT TA Y TB KARINA'!$I100/8</f>
        <v>0</v>
      </c>
      <c r="GI46" s="128">
        <f>'PROJECT TA Y TB KARINA'!$I100/8</f>
        <v>0</v>
      </c>
      <c r="GJ46" s="128">
        <f>'PROJECT TA Y TB KARINA'!$J100/8</f>
        <v>0</v>
      </c>
      <c r="GK46" s="128">
        <f>'PROJECT TA Y TB KARINA'!$J100/8</f>
        <v>0</v>
      </c>
      <c r="GL46" s="128">
        <f>'PROJECT TA Y TB KARINA'!$J100/8</f>
        <v>0</v>
      </c>
      <c r="GM46" s="128">
        <f>'PROJECT TA Y TB KARINA'!$J100/8</f>
        <v>0</v>
      </c>
      <c r="GN46" s="128">
        <f>'PROJECT TA Y TB KARINA'!$J100/8</f>
        <v>0</v>
      </c>
      <c r="GO46" s="128">
        <f>'PROJECT TA Y TB KARINA'!$J100/8</f>
        <v>0</v>
      </c>
      <c r="GP46" s="128">
        <f>'PROJECT TA Y TB KARINA'!$J100/8</f>
        <v>0</v>
      </c>
      <c r="GQ46" s="128">
        <f>'PROJECT TA Y TB KARINA'!$J100/8</f>
        <v>0</v>
      </c>
      <c r="GR46" s="128">
        <f>'PROJECT TA Y TB KARINA'!$K100/8</f>
        <v>0</v>
      </c>
      <c r="GS46" s="128">
        <f>'PROJECT TA Y TB KARINA'!$K100/8</f>
        <v>0</v>
      </c>
      <c r="GT46" s="128">
        <f>'PROJECT TA Y TB KARINA'!$K100/8</f>
        <v>0</v>
      </c>
      <c r="GU46" s="128">
        <f>'PROJECT TA Y TB KARINA'!$K100/8</f>
        <v>0</v>
      </c>
      <c r="GV46" s="128">
        <f>'PROJECT TA Y TB KARINA'!$K100/8</f>
        <v>0</v>
      </c>
      <c r="GW46" s="128">
        <f>'PROJECT TA Y TB KARINA'!$K100/8</f>
        <v>0</v>
      </c>
      <c r="GX46" s="128">
        <f>'PROJECT TA Y TB KARINA'!$K100/8</f>
        <v>0</v>
      </c>
      <c r="GY46" s="128">
        <f>'PROJECT TA Y TB KARINA'!$K100/8</f>
        <v>0</v>
      </c>
      <c r="GZ46" s="128">
        <f>'PROJECT TA Y TB KARINA'!$L100/8</f>
        <v>0</v>
      </c>
      <c r="HA46" s="128">
        <f>'PROJECT TA Y TB KARINA'!$L100/8</f>
        <v>0</v>
      </c>
      <c r="HB46" s="128">
        <f>'PROJECT TA Y TB KARINA'!$L100/8</f>
        <v>0</v>
      </c>
      <c r="HC46" s="128">
        <f>'PROJECT TA Y TB KARINA'!$L100/8</f>
        <v>0</v>
      </c>
      <c r="HD46" s="128">
        <f>'PROJECT TA Y TB KARINA'!$L100/8</f>
        <v>0</v>
      </c>
      <c r="HE46" s="128">
        <f>'PROJECT TA Y TB KARINA'!$L100/8</f>
        <v>0</v>
      </c>
      <c r="HF46" s="128">
        <f>'PROJECT TA Y TB KARINA'!$L100/8</f>
        <v>0</v>
      </c>
      <c r="HG46" s="128">
        <f>'PROJECT TA Y TB KARINA'!$L100/8</f>
        <v>0</v>
      </c>
      <c r="HH46" s="128">
        <f>'PROJECT TA Y TB KARINA'!$M100/8</f>
        <v>0</v>
      </c>
      <c r="HI46" s="128">
        <f>'PROJECT TA Y TB KARINA'!$M100/8</f>
        <v>0</v>
      </c>
      <c r="HJ46" s="128">
        <f>'PROJECT TA Y TB KARINA'!$M100/8</f>
        <v>0</v>
      </c>
      <c r="HK46" s="128">
        <f>'PROJECT TA Y TB KARINA'!$M100/8</f>
        <v>0</v>
      </c>
      <c r="HL46" s="128">
        <f>'PROJECT TA Y TB KARINA'!$M100/8</f>
        <v>0</v>
      </c>
      <c r="HM46" s="128">
        <f>'PROJECT TA Y TB KARINA'!$M100/8</f>
        <v>0</v>
      </c>
      <c r="HN46" s="128">
        <f>'PROJECT TA Y TB KARINA'!$M100/8</f>
        <v>0</v>
      </c>
      <c r="HO46" s="128">
        <f>'PROJECT TA Y TB KARINA'!$M100/8</f>
        <v>0</v>
      </c>
      <c r="HP46" s="128">
        <f>'PROJECT TA Y TB KARINA'!$N100/8</f>
        <v>0</v>
      </c>
      <c r="HQ46" s="128">
        <f>'PROJECT TA Y TB KARINA'!$N100/8</f>
        <v>0</v>
      </c>
      <c r="HR46" s="128">
        <f>'PROJECT TA Y TB KARINA'!$N100/8</f>
        <v>0</v>
      </c>
      <c r="HS46" s="128">
        <f>'PROJECT TA Y TB KARINA'!$N100/8</f>
        <v>0</v>
      </c>
      <c r="HT46" s="128">
        <f>'PROJECT TA Y TB KARINA'!$N100/8</f>
        <v>0</v>
      </c>
      <c r="HU46" s="128">
        <f>'PROJECT TA Y TB KARINA'!$N100/8</f>
        <v>0</v>
      </c>
      <c r="HV46" s="128">
        <f>'PROJECT TA Y TB KARINA'!$N100/8</f>
        <v>0</v>
      </c>
      <c r="HW46" s="128">
        <f>'PROJECT TA Y TB KARINA'!$N100/8</f>
        <v>0</v>
      </c>
      <c r="HX46" s="128">
        <f>'PROJECT TA Y TB KARINA'!$O100/8</f>
        <v>0</v>
      </c>
      <c r="HY46" s="128">
        <f>'PROJECT TA Y TB KARINA'!$O100/8</f>
        <v>0</v>
      </c>
      <c r="HZ46" s="128">
        <f>'PROJECT TA Y TB KARINA'!$O100/8</f>
        <v>0</v>
      </c>
      <c r="IA46" s="128">
        <f>'PROJECT TA Y TB KARINA'!$O100/8</f>
        <v>0</v>
      </c>
      <c r="IB46" s="128">
        <f>'PROJECT TA Y TB KARINA'!$O100/8</f>
        <v>0</v>
      </c>
      <c r="IC46" s="128">
        <f>'PROJECT TA Y TB KARINA'!$O100/8</f>
        <v>0</v>
      </c>
      <c r="ID46" s="128">
        <f>'PROJECT TA Y TB KARINA'!$O100/8</f>
        <v>0</v>
      </c>
      <c r="IE46" s="128">
        <f>'PROJECT TA Y TB KARINA'!$O100/8</f>
        <v>0</v>
      </c>
      <c r="IF46" s="128">
        <f>'PROJECT TA Y TB KARINA'!$P100/8</f>
        <v>0</v>
      </c>
      <c r="IG46" s="128">
        <f>'PROJECT TA Y TB KARINA'!$P100/8</f>
        <v>0</v>
      </c>
      <c r="IH46" s="128">
        <f>'PROJECT TA Y TB KARINA'!$P100/8</f>
        <v>0</v>
      </c>
      <c r="II46" s="128">
        <f>'PROJECT TA Y TB KARINA'!$P100/8</f>
        <v>0</v>
      </c>
      <c r="IJ46" s="128">
        <f>'PROJECT TA Y TB KARINA'!$P100/8</f>
        <v>0</v>
      </c>
      <c r="IK46" s="128">
        <f>'PROJECT TA Y TB KARINA'!$P100/8</f>
        <v>0</v>
      </c>
      <c r="IL46" s="128">
        <f>'PROJECT TA Y TB KARINA'!$P100/8</f>
        <v>0</v>
      </c>
      <c r="IM46" s="128">
        <f>'PROJECT TA Y TB KARINA'!$P100/8</f>
        <v>0</v>
      </c>
      <c r="IN46" s="128">
        <f>'PROJECT TA Y TB KARINA'!$Q100/8</f>
        <v>0</v>
      </c>
      <c r="IO46" s="128">
        <f>'PROJECT TA Y TB KARINA'!$Q100/8</f>
        <v>0</v>
      </c>
      <c r="IP46" s="128">
        <f>'PROJECT TA Y TB KARINA'!$Q100/8</f>
        <v>0</v>
      </c>
      <c r="IQ46" s="128">
        <f>'PROJECT TA Y TB KARINA'!$Q100/8</f>
        <v>0</v>
      </c>
      <c r="IR46" s="128">
        <f>'PROJECT TA Y TB KARINA'!$Q100/8</f>
        <v>0</v>
      </c>
      <c r="IS46" s="128">
        <f>'PROJECT TA Y TB KARINA'!$Q100/8</f>
        <v>0</v>
      </c>
      <c r="IT46" s="128">
        <f>'PROJECT TA Y TB KARINA'!$Q100/8</f>
        <v>0</v>
      </c>
      <c r="IU46" s="128">
        <f>'PROJECT TA Y TB KARINA'!$Q100/8</f>
        <v>0</v>
      </c>
      <c r="IV46" s="128">
        <f>'PROJECT TA Y TB KARINA'!$R100/8</f>
        <v>0</v>
      </c>
      <c r="IW46" s="128">
        <f>'PROJECT TA Y TB KARINA'!$R100/8</f>
        <v>0</v>
      </c>
      <c r="IX46" s="128">
        <f>'PROJECT TA Y TB KARINA'!$R100/8</f>
        <v>0</v>
      </c>
      <c r="IY46" s="128">
        <f>'PROJECT TA Y TB KARINA'!$R100/8</f>
        <v>0</v>
      </c>
      <c r="IZ46" s="128">
        <f>'PROJECT TA Y TB KARINA'!$R100/8</f>
        <v>0</v>
      </c>
      <c r="JA46" s="128">
        <f>'PROJECT TA Y TB KARINA'!$R100/8</f>
        <v>0</v>
      </c>
      <c r="JB46" s="128">
        <f>'PROJECT TA Y TB KARINA'!$R100/8</f>
        <v>0</v>
      </c>
      <c r="JC46" s="128">
        <f>'PROJECT TA Y TB KARINA'!$R100/8</f>
        <v>0</v>
      </c>
      <c r="JD46" s="128">
        <f>'PROJECT TA Y TB KARINA'!$S100/8</f>
        <v>0</v>
      </c>
      <c r="JE46" s="128">
        <f>'PROJECT TA Y TB KARINA'!$S100/8</f>
        <v>0</v>
      </c>
      <c r="JF46" s="128">
        <f>'PROJECT TA Y TB KARINA'!$S100/8</f>
        <v>0</v>
      </c>
      <c r="JG46" s="128">
        <f>'PROJECT TA Y TB KARINA'!$S100/8</f>
        <v>0</v>
      </c>
      <c r="JH46" s="128">
        <f>'PROJECT TA Y TB KARINA'!$S100/8</f>
        <v>0</v>
      </c>
      <c r="JI46" s="128">
        <f>'PROJECT TA Y TB KARINA'!$S100/8</f>
        <v>0</v>
      </c>
      <c r="JJ46" s="128">
        <f>'PROJECT TA Y TB KARINA'!$S100/8</f>
        <v>0</v>
      </c>
      <c r="JK46" s="128">
        <f>'PROJECT TA Y TB KARINA'!$S100/8</f>
        <v>0</v>
      </c>
      <c r="JL46" s="128">
        <f>'PROJECT TA Y TB KARINA'!$T100/8</f>
        <v>0</v>
      </c>
      <c r="JM46" s="128">
        <f>'PROJECT TA Y TB KARINA'!$T100/8</f>
        <v>0</v>
      </c>
      <c r="JN46" s="128">
        <f>'PROJECT TA Y TB KARINA'!$T100/8</f>
        <v>0</v>
      </c>
      <c r="JO46" s="128">
        <f>'PROJECT TA Y TB KARINA'!$T100/8</f>
        <v>0</v>
      </c>
      <c r="JP46" s="128">
        <f>'PROJECT TA Y TB KARINA'!$T100/8</f>
        <v>0</v>
      </c>
      <c r="JQ46" s="128">
        <f>'PROJECT TA Y TB KARINA'!$T100/8</f>
        <v>0</v>
      </c>
      <c r="JR46" s="128">
        <f>'PROJECT TA Y TB KARINA'!$T100/8</f>
        <v>0</v>
      </c>
      <c r="JS46" s="128">
        <f>'PROJECT TA Y TB KARINA'!$T100/8</f>
        <v>0</v>
      </c>
      <c r="JT46" s="128" t="e">
        <f>'PROJECT TA Y TB KARINA'!#REF!/8</f>
        <v>#REF!</v>
      </c>
      <c r="JU46" s="128" t="e">
        <f>'PROJECT TA Y TB KARINA'!#REF!/8</f>
        <v>#REF!</v>
      </c>
      <c r="JV46" s="128" t="e">
        <f>'PROJECT TA Y TB KARINA'!#REF!/8</f>
        <v>#REF!</v>
      </c>
      <c r="JW46" s="128" t="e">
        <f>'PROJECT TA Y TB KARINA'!#REF!/8</f>
        <v>#REF!</v>
      </c>
      <c r="JX46" s="128" t="e">
        <f>'PROJECT TA Y TB KARINA'!#REF!/8</f>
        <v>#REF!</v>
      </c>
      <c r="JY46" s="128" t="e">
        <f>'PROJECT TA Y TB KARINA'!#REF!/8</f>
        <v>#REF!</v>
      </c>
      <c r="JZ46" s="128" t="e">
        <f>'PROJECT TA Y TB KARINA'!#REF!/8</f>
        <v>#REF!</v>
      </c>
      <c r="KA46" s="128" t="e">
        <f>'PROJECT TA Y TB KARINA'!#REF!/8</f>
        <v>#REF!</v>
      </c>
    </row>
    <row r="47" spans="1:287" ht="21">
      <c r="A47" s="130" t="s">
        <v>500</v>
      </c>
      <c r="B47" s="128" t="e">
        <f>'PROJECT TA Y TB KARINA'!$C$43/8</f>
        <v>#REF!</v>
      </c>
      <c r="C47" s="128" t="e">
        <f>'PROJECT TA Y TB KARINA'!$C$43/8</f>
        <v>#REF!</v>
      </c>
      <c r="D47" s="128" t="e">
        <f>'PROJECT TA Y TB KARINA'!$C$43/8</f>
        <v>#REF!</v>
      </c>
      <c r="E47" s="128" t="e">
        <f>'PROJECT TA Y TB KARINA'!$C$43/8</f>
        <v>#REF!</v>
      </c>
      <c r="F47" s="128" t="e">
        <f>'PROJECT TA Y TB KARINA'!$C$43/8</f>
        <v>#REF!</v>
      </c>
      <c r="G47" s="128" t="e">
        <f>'PROJECT TA Y TB KARINA'!$C$43/8</f>
        <v>#REF!</v>
      </c>
      <c r="H47" s="128" t="e">
        <f>'PROJECT TA Y TB KARINA'!$C$43/8</f>
        <v>#REF!</v>
      </c>
      <c r="I47" s="128" t="e">
        <f>'PROJECT TA Y TB KARINA'!$E43/8</f>
        <v>#REF!</v>
      </c>
      <c r="J47" s="128" t="e">
        <f>'PROJECT TA Y TB KARINA'!$E43/8</f>
        <v>#REF!</v>
      </c>
      <c r="K47" s="128" t="e">
        <f>'PROJECT TA Y TB KARINA'!$E43/8</f>
        <v>#REF!</v>
      </c>
      <c r="L47" s="128" t="e">
        <f>'PROJECT TA Y TB KARINA'!$E43/8</f>
        <v>#REF!</v>
      </c>
      <c r="M47" s="128" t="e">
        <f>'PROJECT TA Y TB KARINA'!$E43/8</f>
        <v>#REF!</v>
      </c>
      <c r="N47" s="128" t="e">
        <f>'PROJECT TA Y TB KARINA'!$E43/8</f>
        <v>#REF!</v>
      </c>
      <c r="O47" s="128" t="e">
        <f>'PROJECT TA Y TB KARINA'!$E43/8</f>
        <v>#REF!</v>
      </c>
      <c r="P47" s="128" t="e">
        <f>'PROJECT TA Y TB KARINA'!$E43/8</f>
        <v>#REF!</v>
      </c>
      <c r="Q47" s="128" t="e">
        <f>'PROJECT TA Y TB KARINA'!$F43/8</f>
        <v>#REF!</v>
      </c>
      <c r="R47" s="128" t="e">
        <f>'PROJECT TA Y TB KARINA'!$F43/8</f>
        <v>#REF!</v>
      </c>
      <c r="S47" s="128" t="e">
        <f>'PROJECT TA Y TB KARINA'!$F43/8</f>
        <v>#REF!</v>
      </c>
      <c r="T47" s="128" t="e">
        <f>'PROJECT TA Y TB KARINA'!$F43/8</f>
        <v>#REF!</v>
      </c>
      <c r="U47" s="128" t="e">
        <f>'PROJECT TA Y TB KARINA'!$F43/8</f>
        <v>#REF!</v>
      </c>
      <c r="V47" s="128" t="e">
        <f>'PROJECT TA Y TB KARINA'!$F43/8</f>
        <v>#REF!</v>
      </c>
      <c r="W47" s="128" t="e">
        <f>'PROJECT TA Y TB KARINA'!$F43/8</f>
        <v>#REF!</v>
      </c>
      <c r="X47" s="128" t="e">
        <f>'PROJECT TA Y TB KARINA'!$F43/8</f>
        <v>#REF!</v>
      </c>
      <c r="Y47" s="128" t="e">
        <f>'PROJECT TA Y TB KARINA'!$G43/8</f>
        <v>#REF!</v>
      </c>
      <c r="Z47" s="128" t="e">
        <f>'PROJECT TA Y TB KARINA'!$G43/8</f>
        <v>#REF!</v>
      </c>
      <c r="AA47" s="128" t="e">
        <f>'PROJECT TA Y TB KARINA'!$G43/8</f>
        <v>#REF!</v>
      </c>
      <c r="AB47" s="128" t="e">
        <f>'PROJECT TA Y TB KARINA'!$G43/8</f>
        <v>#REF!</v>
      </c>
      <c r="AC47" s="128" t="e">
        <f>'PROJECT TA Y TB KARINA'!$G43/8</f>
        <v>#REF!</v>
      </c>
      <c r="AD47" s="128" t="e">
        <f>'PROJECT TA Y TB KARINA'!$G43/8</f>
        <v>#REF!</v>
      </c>
      <c r="AE47" s="128" t="e">
        <f>'PROJECT TA Y TB KARINA'!$G43/8</f>
        <v>#REF!</v>
      </c>
      <c r="AF47" s="128" t="e">
        <f>'PROJECT TA Y TB KARINA'!$G43/8</f>
        <v>#REF!</v>
      </c>
      <c r="AG47" s="128" t="e">
        <f>'PROJECT TA Y TB KARINA'!$H43/8</f>
        <v>#REF!</v>
      </c>
      <c r="AH47" s="128" t="e">
        <f>'PROJECT TA Y TB KARINA'!$H43/8</f>
        <v>#REF!</v>
      </c>
      <c r="AI47" s="128" t="e">
        <f>'PROJECT TA Y TB KARINA'!$H43/8</f>
        <v>#REF!</v>
      </c>
      <c r="AJ47" s="128" t="e">
        <f>'PROJECT TA Y TB KARINA'!$H43/8</f>
        <v>#REF!</v>
      </c>
      <c r="AK47" s="128" t="e">
        <f>'PROJECT TA Y TB KARINA'!$H43/8</f>
        <v>#REF!</v>
      </c>
      <c r="AL47" s="128" t="e">
        <f>'PROJECT TA Y TB KARINA'!$H43/8</f>
        <v>#REF!</v>
      </c>
      <c r="AM47" s="128" t="e">
        <f>'PROJECT TA Y TB KARINA'!$H43/8</f>
        <v>#REF!</v>
      </c>
      <c r="AN47" s="128" t="e">
        <f>'PROJECT TA Y TB KARINA'!$H43/8</f>
        <v>#REF!</v>
      </c>
      <c r="AO47" s="128" t="e">
        <f>'PROJECT TA Y TB KARINA'!$I43/8</f>
        <v>#REF!</v>
      </c>
      <c r="AP47" s="128" t="e">
        <f>'PROJECT TA Y TB KARINA'!$I43/8</f>
        <v>#REF!</v>
      </c>
      <c r="AQ47" s="128" t="e">
        <f>'PROJECT TA Y TB KARINA'!$I43/8</f>
        <v>#REF!</v>
      </c>
      <c r="AR47" s="128" t="e">
        <f>'PROJECT TA Y TB KARINA'!$I43/8</f>
        <v>#REF!</v>
      </c>
      <c r="AS47" s="128" t="e">
        <f>'PROJECT TA Y TB KARINA'!$I43/8</f>
        <v>#REF!</v>
      </c>
      <c r="AT47" s="128" t="e">
        <f>'PROJECT TA Y TB KARINA'!$I43/8</f>
        <v>#REF!</v>
      </c>
      <c r="AU47" s="128" t="e">
        <f>'PROJECT TA Y TB KARINA'!$I43/8</f>
        <v>#REF!</v>
      </c>
      <c r="AV47" s="128" t="e">
        <f>'PROJECT TA Y TB KARINA'!$I43/8</f>
        <v>#REF!</v>
      </c>
      <c r="AW47" s="128" t="e">
        <f>'PROJECT TA Y TB KARINA'!$J43/8</f>
        <v>#REF!</v>
      </c>
      <c r="AX47" s="128" t="e">
        <f>'PROJECT TA Y TB KARINA'!$J43/8</f>
        <v>#REF!</v>
      </c>
      <c r="AY47" s="128" t="e">
        <f>'PROJECT TA Y TB KARINA'!$J43/8</f>
        <v>#REF!</v>
      </c>
      <c r="AZ47" s="128" t="e">
        <f>'PROJECT TA Y TB KARINA'!$J43/8</f>
        <v>#REF!</v>
      </c>
      <c r="BA47" s="128" t="e">
        <f>'PROJECT TA Y TB KARINA'!$J43/8</f>
        <v>#REF!</v>
      </c>
      <c r="BB47" s="128" t="e">
        <f>'PROJECT TA Y TB KARINA'!$J43/8</f>
        <v>#REF!</v>
      </c>
      <c r="BC47" s="128" t="e">
        <f>'PROJECT TA Y TB KARINA'!$J43/8</f>
        <v>#REF!</v>
      </c>
      <c r="BD47" s="128" t="e">
        <f>'PROJECT TA Y TB KARINA'!$J43/8</f>
        <v>#REF!</v>
      </c>
      <c r="BE47" s="128" t="e">
        <f>'PROJECT TA Y TB KARINA'!$K43/8</f>
        <v>#REF!</v>
      </c>
      <c r="BF47" s="128" t="e">
        <f>'PROJECT TA Y TB KARINA'!$K43/8</f>
        <v>#REF!</v>
      </c>
      <c r="BG47" s="128" t="e">
        <f>'PROJECT TA Y TB KARINA'!$K43/8</f>
        <v>#REF!</v>
      </c>
      <c r="BH47" s="128" t="e">
        <f>'PROJECT TA Y TB KARINA'!$K43/8</f>
        <v>#REF!</v>
      </c>
      <c r="BI47" s="128" t="e">
        <f>'PROJECT TA Y TB KARINA'!$K43/8</f>
        <v>#REF!</v>
      </c>
      <c r="BJ47" s="128" t="e">
        <f>'PROJECT TA Y TB KARINA'!$K43/8</f>
        <v>#REF!</v>
      </c>
      <c r="BK47" s="128" t="e">
        <f>'PROJECT TA Y TB KARINA'!$K43/8</f>
        <v>#REF!</v>
      </c>
      <c r="BL47" s="128" t="e">
        <f>'PROJECT TA Y TB KARINA'!$K43/8</f>
        <v>#REF!</v>
      </c>
      <c r="BM47" s="128" t="e">
        <f>'PROJECT TA Y TB KARINA'!$L43/8</f>
        <v>#REF!</v>
      </c>
      <c r="BN47" s="128" t="e">
        <f>'PROJECT TA Y TB KARINA'!$L43/8</f>
        <v>#REF!</v>
      </c>
      <c r="BO47" s="128" t="e">
        <f>'PROJECT TA Y TB KARINA'!$L43/8</f>
        <v>#REF!</v>
      </c>
      <c r="BP47" s="128" t="e">
        <f>'PROJECT TA Y TB KARINA'!$L43/8</f>
        <v>#REF!</v>
      </c>
      <c r="BQ47" s="128" t="e">
        <f>'PROJECT TA Y TB KARINA'!$L43/8</f>
        <v>#REF!</v>
      </c>
      <c r="BR47" s="128" t="e">
        <f>'PROJECT TA Y TB KARINA'!$L43/8</f>
        <v>#REF!</v>
      </c>
      <c r="BS47" s="128" t="e">
        <f>'PROJECT TA Y TB KARINA'!$L43/8</f>
        <v>#REF!</v>
      </c>
      <c r="BT47" s="128" t="e">
        <f>'PROJECT TA Y TB KARINA'!$L43/8</f>
        <v>#REF!</v>
      </c>
      <c r="BU47" s="128" t="e">
        <f>'PROJECT TA Y TB KARINA'!$M43/8</f>
        <v>#REF!</v>
      </c>
      <c r="BV47" s="128" t="e">
        <f>'PROJECT TA Y TB KARINA'!$M43/8</f>
        <v>#REF!</v>
      </c>
      <c r="BW47" s="128" t="e">
        <f>'PROJECT TA Y TB KARINA'!$M43/8</f>
        <v>#REF!</v>
      </c>
      <c r="BX47" s="128" t="e">
        <f>'PROJECT TA Y TB KARINA'!$M43/8</f>
        <v>#REF!</v>
      </c>
      <c r="BY47" s="128" t="e">
        <f>'PROJECT TA Y TB KARINA'!$M43/8</f>
        <v>#REF!</v>
      </c>
      <c r="BZ47" s="128" t="e">
        <f>'PROJECT TA Y TB KARINA'!$M43/8</f>
        <v>#REF!</v>
      </c>
      <c r="CA47" s="128" t="e">
        <f>'PROJECT TA Y TB KARINA'!$M43/8</f>
        <v>#REF!</v>
      </c>
      <c r="CB47" s="128" t="e">
        <f>'PROJECT TA Y TB KARINA'!$M43/8</f>
        <v>#REF!</v>
      </c>
      <c r="CC47" s="128" t="e">
        <f>'PROJECT TA Y TB KARINA'!$N43/8</f>
        <v>#REF!</v>
      </c>
      <c r="CD47" s="128" t="e">
        <f>'PROJECT TA Y TB KARINA'!$N43/8</f>
        <v>#REF!</v>
      </c>
      <c r="CE47" s="128" t="e">
        <f>'PROJECT TA Y TB KARINA'!$N43/8</f>
        <v>#REF!</v>
      </c>
      <c r="CF47" s="128" t="e">
        <f>'PROJECT TA Y TB KARINA'!$N43/8</f>
        <v>#REF!</v>
      </c>
      <c r="CG47" s="128" t="e">
        <f>'PROJECT TA Y TB KARINA'!$N43/8</f>
        <v>#REF!</v>
      </c>
      <c r="CH47" s="128" t="e">
        <f>'PROJECT TA Y TB KARINA'!$N43/8</f>
        <v>#REF!</v>
      </c>
      <c r="CI47" s="128" t="e">
        <f>'PROJECT TA Y TB KARINA'!$N43/8</f>
        <v>#REF!</v>
      </c>
      <c r="CJ47" s="128" t="e">
        <f>'PROJECT TA Y TB KARINA'!$N43/8</f>
        <v>#REF!</v>
      </c>
      <c r="CK47" s="128" t="e">
        <f>'PROJECT TA Y TB KARINA'!$O43/8</f>
        <v>#REF!</v>
      </c>
      <c r="CL47" s="128" t="e">
        <f>'PROJECT TA Y TB KARINA'!$O43/8</f>
        <v>#REF!</v>
      </c>
      <c r="CM47" s="128" t="e">
        <f>'PROJECT TA Y TB KARINA'!$O43/8</f>
        <v>#REF!</v>
      </c>
      <c r="CN47" s="128" t="e">
        <f>'PROJECT TA Y TB KARINA'!$O43/8</f>
        <v>#REF!</v>
      </c>
      <c r="CO47" s="128" t="e">
        <f>'PROJECT TA Y TB KARINA'!$O43/8</f>
        <v>#REF!</v>
      </c>
      <c r="CP47" s="128" t="e">
        <f>'PROJECT TA Y TB KARINA'!$O43/8</f>
        <v>#REF!</v>
      </c>
      <c r="CQ47" s="128" t="e">
        <f>'PROJECT TA Y TB KARINA'!$O43/8</f>
        <v>#REF!</v>
      </c>
      <c r="CR47" s="128" t="e">
        <f>'PROJECT TA Y TB KARINA'!$O43/8</f>
        <v>#REF!</v>
      </c>
      <c r="CS47" s="128" t="e">
        <f>'PROJECT TA Y TB KARINA'!$P43/8</f>
        <v>#REF!</v>
      </c>
      <c r="CT47" s="128" t="e">
        <f>'PROJECT TA Y TB KARINA'!$P43/8</f>
        <v>#REF!</v>
      </c>
      <c r="CU47" s="128" t="e">
        <f>'PROJECT TA Y TB KARINA'!$P43/8</f>
        <v>#REF!</v>
      </c>
      <c r="CV47" s="128" t="e">
        <f>'PROJECT TA Y TB KARINA'!$P43/8</f>
        <v>#REF!</v>
      </c>
      <c r="CW47" s="128" t="e">
        <f>'PROJECT TA Y TB KARINA'!$P43/8</f>
        <v>#REF!</v>
      </c>
      <c r="CX47" s="128" t="e">
        <f>'PROJECT TA Y TB KARINA'!$P43/8</f>
        <v>#REF!</v>
      </c>
      <c r="CY47" s="128" t="e">
        <f>'PROJECT TA Y TB KARINA'!$P43/8</f>
        <v>#REF!</v>
      </c>
      <c r="CZ47" s="128" t="e">
        <f>'PROJECT TA Y TB KARINA'!$P43/8</f>
        <v>#REF!</v>
      </c>
      <c r="DA47" s="128" t="e">
        <f>'PROJECT TA Y TB KARINA'!$Q43/8</f>
        <v>#REF!</v>
      </c>
      <c r="DB47" s="128" t="e">
        <f>'PROJECT TA Y TB KARINA'!$Q43/8</f>
        <v>#REF!</v>
      </c>
      <c r="DC47" s="128" t="e">
        <f>'PROJECT TA Y TB KARINA'!$Q43/8</f>
        <v>#REF!</v>
      </c>
      <c r="DD47" s="128" t="e">
        <f>'PROJECT TA Y TB KARINA'!$Q43/8</f>
        <v>#REF!</v>
      </c>
      <c r="DE47" s="128" t="e">
        <f>'PROJECT TA Y TB KARINA'!$Q43/8</f>
        <v>#REF!</v>
      </c>
      <c r="DF47" s="128" t="e">
        <f>'PROJECT TA Y TB KARINA'!$Q43/8</f>
        <v>#REF!</v>
      </c>
      <c r="DG47" s="128" t="e">
        <f>'PROJECT TA Y TB KARINA'!$Q43/8</f>
        <v>#REF!</v>
      </c>
      <c r="DH47" s="128" t="e">
        <f>'PROJECT TA Y TB KARINA'!$Q43/8</f>
        <v>#REF!</v>
      </c>
      <c r="DI47" s="128" t="e">
        <f>'PROJECT TA Y TB KARINA'!$R43/8</f>
        <v>#REF!</v>
      </c>
      <c r="DJ47" s="128" t="e">
        <f>'PROJECT TA Y TB KARINA'!$R43/8</f>
        <v>#REF!</v>
      </c>
      <c r="DK47" s="128" t="e">
        <f>'PROJECT TA Y TB KARINA'!$R43/8</f>
        <v>#REF!</v>
      </c>
      <c r="DL47" s="128" t="e">
        <f>'PROJECT TA Y TB KARINA'!$R43/8</f>
        <v>#REF!</v>
      </c>
      <c r="DM47" s="128" t="e">
        <f>'PROJECT TA Y TB KARINA'!$R43/8</f>
        <v>#REF!</v>
      </c>
      <c r="DN47" s="128" t="e">
        <f>'PROJECT TA Y TB KARINA'!$R43/8</f>
        <v>#REF!</v>
      </c>
      <c r="DO47" s="128" t="e">
        <f>'PROJECT TA Y TB KARINA'!$R43/8</f>
        <v>#REF!</v>
      </c>
      <c r="DP47" s="128" t="e">
        <f>'PROJECT TA Y TB KARINA'!$R43/8</f>
        <v>#REF!</v>
      </c>
      <c r="DQ47" s="128" t="e">
        <f>'PROJECT TA Y TB KARINA'!$S43/8</f>
        <v>#REF!</v>
      </c>
      <c r="DR47" s="128" t="e">
        <f>'PROJECT TA Y TB KARINA'!$S43/8</f>
        <v>#REF!</v>
      </c>
      <c r="DS47" s="128" t="e">
        <f>'PROJECT TA Y TB KARINA'!$S43/8</f>
        <v>#REF!</v>
      </c>
      <c r="DT47" s="128" t="e">
        <f>'PROJECT TA Y TB KARINA'!$S43/8</f>
        <v>#REF!</v>
      </c>
      <c r="DU47" s="128" t="e">
        <f>'PROJECT TA Y TB KARINA'!$S43/8</f>
        <v>#REF!</v>
      </c>
      <c r="DV47" s="128" t="e">
        <f>'PROJECT TA Y TB KARINA'!$S43/8</f>
        <v>#REF!</v>
      </c>
      <c r="DW47" s="128" t="e">
        <f>'PROJECT TA Y TB KARINA'!$S43/8</f>
        <v>#REF!</v>
      </c>
      <c r="DX47" s="128" t="e">
        <f>'PROJECT TA Y TB KARINA'!$S43/8</f>
        <v>#REF!</v>
      </c>
      <c r="DY47" s="128" t="e">
        <f>'PROJECT TA Y TB KARINA'!$T43/8</f>
        <v>#REF!</v>
      </c>
      <c r="DZ47" s="128" t="e">
        <f>'PROJECT TA Y TB KARINA'!$T43/8</f>
        <v>#REF!</v>
      </c>
      <c r="EA47" s="128" t="e">
        <f>'PROJECT TA Y TB KARINA'!$T43/8</f>
        <v>#REF!</v>
      </c>
      <c r="EB47" s="128" t="e">
        <f>'PROJECT TA Y TB KARINA'!$T43/8</f>
        <v>#REF!</v>
      </c>
      <c r="EC47" s="128" t="e">
        <f>'PROJECT TA Y TB KARINA'!$T43/8</f>
        <v>#REF!</v>
      </c>
      <c r="ED47" s="128" t="e">
        <f>'PROJECT TA Y TB KARINA'!$T43/8</f>
        <v>#REF!</v>
      </c>
      <c r="EE47" s="128" t="e">
        <f>'PROJECT TA Y TB KARINA'!$T43/8</f>
        <v>#REF!</v>
      </c>
      <c r="EF47" s="128" t="e">
        <f>'PROJECT TA Y TB KARINA'!$T43/8</f>
        <v>#REF!</v>
      </c>
      <c r="EG47" s="128" t="e">
        <f>'PROJECT TA Y TB KARINA'!#REF!/8</f>
        <v>#REF!</v>
      </c>
      <c r="EH47" s="128" t="e">
        <f>'PROJECT TA Y TB KARINA'!#REF!/8</f>
        <v>#REF!</v>
      </c>
      <c r="EI47" s="128" t="e">
        <f>'PROJECT TA Y TB KARINA'!#REF!/8</f>
        <v>#REF!</v>
      </c>
      <c r="EJ47" s="128" t="e">
        <f>'PROJECT TA Y TB KARINA'!#REF!/8</f>
        <v>#REF!</v>
      </c>
      <c r="EK47" s="128" t="e">
        <f>'PROJECT TA Y TB KARINA'!#REF!/8</f>
        <v>#REF!</v>
      </c>
      <c r="EL47" s="128" t="e">
        <f>'PROJECT TA Y TB KARINA'!#REF!/8</f>
        <v>#REF!</v>
      </c>
      <c r="EM47" s="128" t="e">
        <f>'PROJECT TA Y TB KARINA'!#REF!/8</f>
        <v>#REF!</v>
      </c>
      <c r="EN47" s="128" t="e">
        <f>'PROJECT TA Y TB KARINA'!#REF!/8</f>
        <v>#REF!</v>
      </c>
      <c r="EO47" s="128">
        <f>'PROJECT TA Y TB KARINA'!$C101/8</f>
        <v>0</v>
      </c>
      <c r="EP47" s="128">
        <f>'PROJECT TA Y TB KARINA'!$C101/8</f>
        <v>0</v>
      </c>
      <c r="EQ47" s="128">
        <f>'PROJECT TA Y TB KARINA'!$C101/8</f>
        <v>0</v>
      </c>
      <c r="ER47" s="128">
        <f>'PROJECT TA Y TB KARINA'!$C101/8</f>
        <v>0</v>
      </c>
      <c r="ES47" s="128">
        <f>'PROJECT TA Y TB KARINA'!$C101/8</f>
        <v>0</v>
      </c>
      <c r="ET47" s="128">
        <f>'PROJECT TA Y TB KARINA'!$C101/8</f>
        <v>0</v>
      </c>
      <c r="EU47" s="128">
        <f>'PROJECT TA Y TB KARINA'!$C101/8</f>
        <v>0</v>
      </c>
      <c r="EV47" s="128">
        <f>'PROJECT TA Y TB KARINA'!$E101/8</f>
        <v>0</v>
      </c>
      <c r="EW47" s="128">
        <f>'PROJECT TA Y TB KARINA'!$E101/8</f>
        <v>0</v>
      </c>
      <c r="EX47" s="128">
        <f>'PROJECT TA Y TB KARINA'!$E101/8</f>
        <v>0</v>
      </c>
      <c r="EY47" s="128">
        <f>'PROJECT TA Y TB KARINA'!$E101/8</f>
        <v>0</v>
      </c>
      <c r="EZ47" s="128">
        <f>'PROJECT TA Y TB KARINA'!$E101/8</f>
        <v>0</v>
      </c>
      <c r="FA47" s="128">
        <f>'PROJECT TA Y TB KARINA'!$E101/8</f>
        <v>0</v>
      </c>
      <c r="FB47" s="128">
        <f>'PROJECT TA Y TB KARINA'!$E101/8</f>
        <v>0</v>
      </c>
      <c r="FC47" s="128">
        <f>'PROJECT TA Y TB KARINA'!$E101/8</f>
        <v>0</v>
      </c>
      <c r="FD47" s="128">
        <f>'PROJECT TA Y TB KARINA'!$F101/8</f>
        <v>0</v>
      </c>
      <c r="FE47" s="128">
        <f>'PROJECT TA Y TB KARINA'!$F101/8</f>
        <v>0</v>
      </c>
      <c r="FF47" s="128">
        <f>'PROJECT TA Y TB KARINA'!$F101/8</f>
        <v>0</v>
      </c>
      <c r="FG47" s="128">
        <f>'PROJECT TA Y TB KARINA'!$F101/8</f>
        <v>0</v>
      </c>
      <c r="FH47" s="128">
        <f>'PROJECT TA Y TB KARINA'!$F101/8</f>
        <v>0</v>
      </c>
      <c r="FI47" s="128">
        <f>'PROJECT TA Y TB KARINA'!$F101/8</f>
        <v>0</v>
      </c>
      <c r="FJ47" s="128">
        <f>'PROJECT TA Y TB KARINA'!$F101/8</f>
        <v>0</v>
      </c>
      <c r="FK47" s="128">
        <f>'PROJECT TA Y TB KARINA'!$F101/8</f>
        <v>0</v>
      </c>
      <c r="FL47" s="128">
        <f>'PROJECT TA Y TB KARINA'!$G101/8</f>
        <v>0</v>
      </c>
      <c r="FM47" s="128">
        <f>'PROJECT TA Y TB KARINA'!$G101/8</f>
        <v>0</v>
      </c>
      <c r="FN47" s="128">
        <f>'PROJECT TA Y TB KARINA'!$G101/8</f>
        <v>0</v>
      </c>
      <c r="FO47" s="128">
        <f>'PROJECT TA Y TB KARINA'!$G101/8</f>
        <v>0</v>
      </c>
      <c r="FP47" s="128">
        <f>'PROJECT TA Y TB KARINA'!$G101/8</f>
        <v>0</v>
      </c>
      <c r="FQ47" s="128">
        <f>'PROJECT TA Y TB KARINA'!$G101/8</f>
        <v>0</v>
      </c>
      <c r="FR47" s="128">
        <f>'PROJECT TA Y TB KARINA'!$G101/8</f>
        <v>0</v>
      </c>
      <c r="FS47" s="128">
        <f>'PROJECT TA Y TB KARINA'!$G101/8</f>
        <v>0</v>
      </c>
      <c r="FT47" s="128">
        <f>'PROJECT TA Y TB KARINA'!$H101/8</f>
        <v>0</v>
      </c>
      <c r="FU47" s="128">
        <f>'PROJECT TA Y TB KARINA'!$H101/8</f>
        <v>0</v>
      </c>
      <c r="FV47" s="128">
        <f>'PROJECT TA Y TB KARINA'!$H101/8</f>
        <v>0</v>
      </c>
      <c r="FW47" s="128">
        <f>'PROJECT TA Y TB KARINA'!$H101/8</f>
        <v>0</v>
      </c>
      <c r="FX47" s="128">
        <f>'PROJECT TA Y TB KARINA'!$H101/8</f>
        <v>0</v>
      </c>
      <c r="FY47" s="128">
        <f>'PROJECT TA Y TB KARINA'!$H101/8</f>
        <v>0</v>
      </c>
      <c r="FZ47" s="128">
        <f>'PROJECT TA Y TB KARINA'!$H101/8</f>
        <v>0</v>
      </c>
      <c r="GA47" s="128">
        <f>'PROJECT TA Y TB KARINA'!$H101/8</f>
        <v>0</v>
      </c>
      <c r="GB47" s="128">
        <f>'PROJECT TA Y TB KARINA'!$I101/8</f>
        <v>0</v>
      </c>
      <c r="GC47" s="128">
        <f>'PROJECT TA Y TB KARINA'!$I101/8</f>
        <v>0</v>
      </c>
      <c r="GD47" s="128">
        <f>'PROJECT TA Y TB KARINA'!$I101/8</f>
        <v>0</v>
      </c>
      <c r="GE47" s="128">
        <f>'PROJECT TA Y TB KARINA'!$I101/8</f>
        <v>0</v>
      </c>
      <c r="GF47" s="128">
        <f>'PROJECT TA Y TB KARINA'!$I101/8</f>
        <v>0</v>
      </c>
      <c r="GG47" s="128">
        <f>'PROJECT TA Y TB KARINA'!$I101/8</f>
        <v>0</v>
      </c>
      <c r="GH47" s="128">
        <f>'PROJECT TA Y TB KARINA'!$I101/8</f>
        <v>0</v>
      </c>
      <c r="GI47" s="128">
        <f>'PROJECT TA Y TB KARINA'!$I101/8</f>
        <v>0</v>
      </c>
      <c r="GJ47" s="128">
        <f>'PROJECT TA Y TB KARINA'!$J101/8</f>
        <v>0</v>
      </c>
      <c r="GK47" s="128">
        <f>'PROJECT TA Y TB KARINA'!$J101/8</f>
        <v>0</v>
      </c>
      <c r="GL47" s="128">
        <f>'PROJECT TA Y TB KARINA'!$J101/8</f>
        <v>0</v>
      </c>
      <c r="GM47" s="128">
        <f>'PROJECT TA Y TB KARINA'!$J101/8</f>
        <v>0</v>
      </c>
      <c r="GN47" s="128">
        <f>'PROJECT TA Y TB KARINA'!$J101/8</f>
        <v>0</v>
      </c>
      <c r="GO47" s="128">
        <f>'PROJECT TA Y TB KARINA'!$J101/8</f>
        <v>0</v>
      </c>
      <c r="GP47" s="128">
        <f>'PROJECT TA Y TB KARINA'!$J101/8</f>
        <v>0</v>
      </c>
      <c r="GQ47" s="128">
        <f>'PROJECT TA Y TB KARINA'!$J101/8</f>
        <v>0</v>
      </c>
      <c r="GR47" s="128">
        <f>'PROJECT TA Y TB KARINA'!$K101/8</f>
        <v>0</v>
      </c>
      <c r="GS47" s="128">
        <f>'PROJECT TA Y TB KARINA'!$K101/8</f>
        <v>0</v>
      </c>
      <c r="GT47" s="128">
        <f>'PROJECT TA Y TB KARINA'!$K101/8</f>
        <v>0</v>
      </c>
      <c r="GU47" s="128">
        <f>'PROJECT TA Y TB KARINA'!$K101/8</f>
        <v>0</v>
      </c>
      <c r="GV47" s="128">
        <f>'PROJECT TA Y TB KARINA'!$K101/8</f>
        <v>0</v>
      </c>
      <c r="GW47" s="128">
        <f>'PROJECT TA Y TB KARINA'!$K101/8</f>
        <v>0</v>
      </c>
      <c r="GX47" s="128">
        <f>'PROJECT TA Y TB KARINA'!$K101/8</f>
        <v>0</v>
      </c>
      <c r="GY47" s="128">
        <f>'PROJECT TA Y TB KARINA'!$K101/8</f>
        <v>0</v>
      </c>
      <c r="GZ47" s="128">
        <f>'PROJECT TA Y TB KARINA'!$L101/8</f>
        <v>0</v>
      </c>
      <c r="HA47" s="128">
        <f>'PROJECT TA Y TB KARINA'!$L101/8</f>
        <v>0</v>
      </c>
      <c r="HB47" s="128">
        <f>'PROJECT TA Y TB KARINA'!$L101/8</f>
        <v>0</v>
      </c>
      <c r="HC47" s="128">
        <f>'PROJECT TA Y TB KARINA'!$L101/8</f>
        <v>0</v>
      </c>
      <c r="HD47" s="128">
        <f>'PROJECT TA Y TB KARINA'!$L101/8</f>
        <v>0</v>
      </c>
      <c r="HE47" s="128">
        <f>'PROJECT TA Y TB KARINA'!$L101/8</f>
        <v>0</v>
      </c>
      <c r="HF47" s="128">
        <f>'PROJECT TA Y TB KARINA'!$L101/8</f>
        <v>0</v>
      </c>
      <c r="HG47" s="128">
        <f>'PROJECT TA Y TB KARINA'!$L101/8</f>
        <v>0</v>
      </c>
      <c r="HH47" s="128">
        <f>'PROJECT TA Y TB KARINA'!$M101/8</f>
        <v>0</v>
      </c>
      <c r="HI47" s="128">
        <f>'PROJECT TA Y TB KARINA'!$M101/8</f>
        <v>0</v>
      </c>
      <c r="HJ47" s="128">
        <f>'PROJECT TA Y TB KARINA'!$M101/8</f>
        <v>0</v>
      </c>
      <c r="HK47" s="128">
        <f>'PROJECT TA Y TB KARINA'!$M101/8</f>
        <v>0</v>
      </c>
      <c r="HL47" s="128">
        <f>'PROJECT TA Y TB KARINA'!$M101/8</f>
        <v>0</v>
      </c>
      <c r="HM47" s="128">
        <f>'PROJECT TA Y TB KARINA'!$M101/8</f>
        <v>0</v>
      </c>
      <c r="HN47" s="128">
        <f>'PROJECT TA Y TB KARINA'!$M101/8</f>
        <v>0</v>
      </c>
      <c r="HO47" s="128">
        <f>'PROJECT TA Y TB KARINA'!$M101/8</f>
        <v>0</v>
      </c>
      <c r="HP47" s="128">
        <f>'PROJECT TA Y TB KARINA'!$N101/8</f>
        <v>0</v>
      </c>
      <c r="HQ47" s="128">
        <f>'PROJECT TA Y TB KARINA'!$N101/8</f>
        <v>0</v>
      </c>
      <c r="HR47" s="128">
        <f>'PROJECT TA Y TB KARINA'!$N101/8</f>
        <v>0</v>
      </c>
      <c r="HS47" s="128">
        <f>'PROJECT TA Y TB KARINA'!$N101/8</f>
        <v>0</v>
      </c>
      <c r="HT47" s="128">
        <f>'PROJECT TA Y TB KARINA'!$N101/8</f>
        <v>0</v>
      </c>
      <c r="HU47" s="128">
        <f>'PROJECT TA Y TB KARINA'!$N101/8</f>
        <v>0</v>
      </c>
      <c r="HV47" s="128">
        <f>'PROJECT TA Y TB KARINA'!$N101/8</f>
        <v>0</v>
      </c>
      <c r="HW47" s="128">
        <f>'PROJECT TA Y TB KARINA'!$N101/8</f>
        <v>0</v>
      </c>
      <c r="HX47" s="128">
        <f>'PROJECT TA Y TB KARINA'!$O101/8</f>
        <v>0</v>
      </c>
      <c r="HY47" s="128">
        <f>'PROJECT TA Y TB KARINA'!$O101/8</f>
        <v>0</v>
      </c>
      <c r="HZ47" s="128">
        <f>'PROJECT TA Y TB KARINA'!$O101/8</f>
        <v>0</v>
      </c>
      <c r="IA47" s="128">
        <f>'PROJECT TA Y TB KARINA'!$O101/8</f>
        <v>0</v>
      </c>
      <c r="IB47" s="128">
        <f>'PROJECT TA Y TB KARINA'!$O101/8</f>
        <v>0</v>
      </c>
      <c r="IC47" s="128">
        <f>'PROJECT TA Y TB KARINA'!$O101/8</f>
        <v>0</v>
      </c>
      <c r="ID47" s="128">
        <f>'PROJECT TA Y TB KARINA'!$O101/8</f>
        <v>0</v>
      </c>
      <c r="IE47" s="128">
        <f>'PROJECT TA Y TB KARINA'!$O101/8</f>
        <v>0</v>
      </c>
      <c r="IF47" s="128">
        <f>'PROJECT TA Y TB KARINA'!$P101/8</f>
        <v>0</v>
      </c>
      <c r="IG47" s="128">
        <f>'PROJECT TA Y TB KARINA'!$P101/8</f>
        <v>0</v>
      </c>
      <c r="IH47" s="128">
        <f>'PROJECT TA Y TB KARINA'!$P101/8</f>
        <v>0</v>
      </c>
      <c r="II47" s="128">
        <f>'PROJECT TA Y TB KARINA'!$P101/8</f>
        <v>0</v>
      </c>
      <c r="IJ47" s="128">
        <f>'PROJECT TA Y TB KARINA'!$P101/8</f>
        <v>0</v>
      </c>
      <c r="IK47" s="128">
        <f>'PROJECT TA Y TB KARINA'!$P101/8</f>
        <v>0</v>
      </c>
      <c r="IL47" s="128">
        <f>'PROJECT TA Y TB KARINA'!$P101/8</f>
        <v>0</v>
      </c>
      <c r="IM47" s="128">
        <f>'PROJECT TA Y TB KARINA'!$P101/8</f>
        <v>0</v>
      </c>
      <c r="IN47" s="128">
        <f>'PROJECT TA Y TB KARINA'!$Q101/8</f>
        <v>0</v>
      </c>
      <c r="IO47" s="128">
        <f>'PROJECT TA Y TB KARINA'!$Q101/8</f>
        <v>0</v>
      </c>
      <c r="IP47" s="128">
        <f>'PROJECT TA Y TB KARINA'!$Q101/8</f>
        <v>0</v>
      </c>
      <c r="IQ47" s="128">
        <f>'PROJECT TA Y TB KARINA'!$Q101/8</f>
        <v>0</v>
      </c>
      <c r="IR47" s="128">
        <f>'PROJECT TA Y TB KARINA'!$Q101/8</f>
        <v>0</v>
      </c>
      <c r="IS47" s="128">
        <f>'PROJECT TA Y TB KARINA'!$Q101/8</f>
        <v>0</v>
      </c>
      <c r="IT47" s="128">
        <f>'PROJECT TA Y TB KARINA'!$Q101/8</f>
        <v>0</v>
      </c>
      <c r="IU47" s="128">
        <f>'PROJECT TA Y TB KARINA'!$Q101/8</f>
        <v>0</v>
      </c>
      <c r="IV47" s="128">
        <f>'PROJECT TA Y TB KARINA'!$R101/8</f>
        <v>0</v>
      </c>
      <c r="IW47" s="128">
        <f>'PROJECT TA Y TB KARINA'!$R101/8</f>
        <v>0</v>
      </c>
      <c r="IX47" s="128">
        <f>'PROJECT TA Y TB KARINA'!$R101/8</f>
        <v>0</v>
      </c>
      <c r="IY47" s="128">
        <f>'PROJECT TA Y TB KARINA'!$R101/8</f>
        <v>0</v>
      </c>
      <c r="IZ47" s="128">
        <f>'PROJECT TA Y TB KARINA'!$R101/8</f>
        <v>0</v>
      </c>
      <c r="JA47" s="128">
        <f>'PROJECT TA Y TB KARINA'!$R101/8</f>
        <v>0</v>
      </c>
      <c r="JB47" s="128">
        <f>'PROJECT TA Y TB KARINA'!$R101/8</f>
        <v>0</v>
      </c>
      <c r="JC47" s="128">
        <f>'PROJECT TA Y TB KARINA'!$R101/8</f>
        <v>0</v>
      </c>
      <c r="JD47" s="128">
        <f>'PROJECT TA Y TB KARINA'!$S101/8</f>
        <v>0</v>
      </c>
      <c r="JE47" s="128">
        <f>'PROJECT TA Y TB KARINA'!$S101/8</f>
        <v>0</v>
      </c>
      <c r="JF47" s="128">
        <f>'PROJECT TA Y TB KARINA'!$S101/8</f>
        <v>0</v>
      </c>
      <c r="JG47" s="128">
        <f>'PROJECT TA Y TB KARINA'!$S101/8</f>
        <v>0</v>
      </c>
      <c r="JH47" s="128">
        <f>'PROJECT TA Y TB KARINA'!$S101/8</f>
        <v>0</v>
      </c>
      <c r="JI47" s="128">
        <f>'PROJECT TA Y TB KARINA'!$S101/8</f>
        <v>0</v>
      </c>
      <c r="JJ47" s="128">
        <f>'PROJECT TA Y TB KARINA'!$S101/8</f>
        <v>0</v>
      </c>
      <c r="JK47" s="128">
        <f>'PROJECT TA Y TB KARINA'!$S101/8</f>
        <v>0</v>
      </c>
      <c r="JL47" s="128">
        <f>'PROJECT TA Y TB KARINA'!$T101/8</f>
        <v>0</v>
      </c>
      <c r="JM47" s="128">
        <f>'PROJECT TA Y TB KARINA'!$T101/8</f>
        <v>0</v>
      </c>
      <c r="JN47" s="128">
        <f>'PROJECT TA Y TB KARINA'!$T101/8</f>
        <v>0</v>
      </c>
      <c r="JO47" s="128">
        <f>'PROJECT TA Y TB KARINA'!$T101/8</f>
        <v>0</v>
      </c>
      <c r="JP47" s="128">
        <f>'PROJECT TA Y TB KARINA'!$T101/8</f>
        <v>0</v>
      </c>
      <c r="JQ47" s="128">
        <f>'PROJECT TA Y TB KARINA'!$T101/8</f>
        <v>0</v>
      </c>
      <c r="JR47" s="128">
        <f>'PROJECT TA Y TB KARINA'!$T101/8</f>
        <v>0</v>
      </c>
      <c r="JS47" s="128">
        <f>'PROJECT TA Y TB KARINA'!$T101/8</f>
        <v>0</v>
      </c>
      <c r="JT47" s="128" t="e">
        <f>'PROJECT TA Y TB KARINA'!#REF!/8</f>
        <v>#REF!</v>
      </c>
      <c r="JU47" s="128" t="e">
        <f>'PROJECT TA Y TB KARINA'!#REF!/8</f>
        <v>#REF!</v>
      </c>
      <c r="JV47" s="128" t="e">
        <f>'PROJECT TA Y TB KARINA'!#REF!/8</f>
        <v>#REF!</v>
      </c>
      <c r="JW47" s="128" t="e">
        <f>'PROJECT TA Y TB KARINA'!#REF!/8</f>
        <v>#REF!</v>
      </c>
      <c r="JX47" s="128" t="e">
        <f>'PROJECT TA Y TB KARINA'!#REF!/8</f>
        <v>#REF!</v>
      </c>
      <c r="JY47" s="128" t="e">
        <f>'PROJECT TA Y TB KARINA'!#REF!/8</f>
        <v>#REF!</v>
      </c>
      <c r="JZ47" s="128" t="e">
        <f>'PROJECT TA Y TB KARINA'!#REF!/8</f>
        <v>#REF!</v>
      </c>
      <c r="KA47" s="128" t="e">
        <f>'PROJECT TA Y TB KARINA'!#REF!/8</f>
        <v>#REF!</v>
      </c>
    </row>
    <row r="48" spans="1:287" ht="21">
      <c r="A48" s="130" t="s">
        <v>501</v>
      </c>
      <c r="B48" s="128" t="e">
        <f>'PROJECT TA Y TB KARINA'!$C$44/8</f>
        <v>#REF!</v>
      </c>
      <c r="C48" s="128" t="e">
        <f>'PROJECT TA Y TB KARINA'!$C$44/8</f>
        <v>#REF!</v>
      </c>
      <c r="D48" s="128" t="e">
        <f>'PROJECT TA Y TB KARINA'!$C$44/8</f>
        <v>#REF!</v>
      </c>
      <c r="E48" s="128" t="e">
        <f>'PROJECT TA Y TB KARINA'!$C$44/8</f>
        <v>#REF!</v>
      </c>
      <c r="F48" s="128" t="e">
        <f>'PROJECT TA Y TB KARINA'!$C$44/8</f>
        <v>#REF!</v>
      </c>
      <c r="G48" s="128" t="e">
        <f>'PROJECT TA Y TB KARINA'!$C$44/8</f>
        <v>#REF!</v>
      </c>
      <c r="H48" s="128" t="e">
        <f>'PROJECT TA Y TB KARINA'!$C$44/8</f>
        <v>#REF!</v>
      </c>
      <c r="I48" s="128" t="e">
        <f>'PROJECT TA Y TB KARINA'!$E44/8</f>
        <v>#REF!</v>
      </c>
      <c r="J48" s="128" t="e">
        <f>'PROJECT TA Y TB KARINA'!$E44/8</f>
        <v>#REF!</v>
      </c>
      <c r="K48" s="128" t="e">
        <f>'PROJECT TA Y TB KARINA'!$E44/8</f>
        <v>#REF!</v>
      </c>
      <c r="L48" s="128" t="e">
        <f>'PROJECT TA Y TB KARINA'!$E44/8</f>
        <v>#REF!</v>
      </c>
      <c r="M48" s="128" t="e">
        <f>'PROJECT TA Y TB KARINA'!$E44/8</f>
        <v>#REF!</v>
      </c>
      <c r="N48" s="128" t="e">
        <f>'PROJECT TA Y TB KARINA'!$E44/8</f>
        <v>#REF!</v>
      </c>
      <c r="O48" s="128" t="e">
        <f>'PROJECT TA Y TB KARINA'!$E44/8</f>
        <v>#REF!</v>
      </c>
      <c r="P48" s="128" t="e">
        <f>'PROJECT TA Y TB KARINA'!$E44/8</f>
        <v>#REF!</v>
      </c>
      <c r="Q48" s="128" t="e">
        <f>'PROJECT TA Y TB KARINA'!$F44/8</f>
        <v>#REF!</v>
      </c>
      <c r="R48" s="128" t="e">
        <f>'PROJECT TA Y TB KARINA'!$F44/8</f>
        <v>#REF!</v>
      </c>
      <c r="S48" s="128" t="e">
        <f>'PROJECT TA Y TB KARINA'!$F44/8</f>
        <v>#REF!</v>
      </c>
      <c r="T48" s="128" t="e">
        <f>'PROJECT TA Y TB KARINA'!$F44/8</f>
        <v>#REF!</v>
      </c>
      <c r="U48" s="128" t="e">
        <f>'PROJECT TA Y TB KARINA'!$F44/8</f>
        <v>#REF!</v>
      </c>
      <c r="V48" s="128" t="e">
        <f>'PROJECT TA Y TB KARINA'!$F44/8</f>
        <v>#REF!</v>
      </c>
      <c r="W48" s="128" t="e">
        <f>'PROJECT TA Y TB KARINA'!$F44/8</f>
        <v>#REF!</v>
      </c>
      <c r="X48" s="128" t="e">
        <f>'PROJECT TA Y TB KARINA'!$F44/8</f>
        <v>#REF!</v>
      </c>
      <c r="Y48" s="128" t="e">
        <f>'PROJECT TA Y TB KARINA'!$G44/8</f>
        <v>#REF!</v>
      </c>
      <c r="Z48" s="128" t="e">
        <f>'PROJECT TA Y TB KARINA'!$G44/8</f>
        <v>#REF!</v>
      </c>
      <c r="AA48" s="128" t="e">
        <f>'PROJECT TA Y TB KARINA'!$G44/8</f>
        <v>#REF!</v>
      </c>
      <c r="AB48" s="128" t="e">
        <f>'PROJECT TA Y TB KARINA'!$G44/8</f>
        <v>#REF!</v>
      </c>
      <c r="AC48" s="128" t="e">
        <f>'PROJECT TA Y TB KARINA'!$G44/8</f>
        <v>#REF!</v>
      </c>
      <c r="AD48" s="128" t="e">
        <f>'PROJECT TA Y TB KARINA'!$G44/8</f>
        <v>#REF!</v>
      </c>
      <c r="AE48" s="128" t="e">
        <f>'PROJECT TA Y TB KARINA'!$G44/8</f>
        <v>#REF!</v>
      </c>
      <c r="AF48" s="128" t="e">
        <f>'PROJECT TA Y TB KARINA'!$G44/8</f>
        <v>#REF!</v>
      </c>
      <c r="AG48" s="128" t="e">
        <f>'PROJECT TA Y TB KARINA'!$H44/8</f>
        <v>#REF!</v>
      </c>
      <c r="AH48" s="128" t="e">
        <f>'PROJECT TA Y TB KARINA'!$H44/8</f>
        <v>#REF!</v>
      </c>
      <c r="AI48" s="128" t="e">
        <f>'PROJECT TA Y TB KARINA'!$H44/8</f>
        <v>#REF!</v>
      </c>
      <c r="AJ48" s="128" t="e">
        <f>'PROJECT TA Y TB KARINA'!$H44/8</f>
        <v>#REF!</v>
      </c>
      <c r="AK48" s="128" t="e">
        <f>'PROJECT TA Y TB KARINA'!$H44/8</f>
        <v>#REF!</v>
      </c>
      <c r="AL48" s="128" t="e">
        <f>'PROJECT TA Y TB KARINA'!$H44/8</f>
        <v>#REF!</v>
      </c>
      <c r="AM48" s="128" t="e">
        <f>'PROJECT TA Y TB KARINA'!$H44/8</f>
        <v>#REF!</v>
      </c>
      <c r="AN48" s="128" t="e">
        <f>'PROJECT TA Y TB KARINA'!$H44/8</f>
        <v>#REF!</v>
      </c>
      <c r="AO48" s="128" t="e">
        <f>'PROJECT TA Y TB KARINA'!$I44/8</f>
        <v>#REF!</v>
      </c>
      <c r="AP48" s="128" t="e">
        <f>'PROJECT TA Y TB KARINA'!$I44/8</f>
        <v>#REF!</v>
      </c>
      <c r="AQ48" s="128" t="e">
        <f>'PROJECT TA Y TB KARINA'!$I44/8</f>
        <v>#REF!</v>
      </c>
      <c r="AR48" s="128" t="e">
        <f>'PROJECT TA Y TB KARINA'!$I44/8</f>
        <v>#REF!</v>
      </c>
      <c r="AS48" s="128" t="e">
        <f>'PROJECT TA Y TB KARINA'!$I44/8</f>
        <v>#REF!</v>
      </c>
      <c r="AT48" s="128" t="e">
        <f>'PROJECT TA Y TB KARINA'!$I44/8</f>
        <v>#REF!</v>
      </c>
      <c r="AU48" s="128" t="e">
        <f>'PROJECT TA Y TB KARINA'!$I44/8</f>
        <v>#REF!</v>
      </c>
      <c r="AV48" s="128" t="e">
        <f>'PROJECT TA Y TB KARINA'!$I44/8</f>
        <v>#REF!</v>
      </c>
      <c r="AW48" s="128" t="e">
        <f>'PROJECT TA Y TB KARINA'!$J44/8</f>
        <v>#REF!</v>
      </c>
      <c r="AX48" s="128" t="e">
        <f>'PROJECT TA Y TB KARINA'!$J44/8</f>
        <v>#REF!</v>
      </c>
      <c r="AY48" s="128" t="e">
        <f>'PROJECT TA Y TB KARINA'!$J44/8</f>
        <v>#REF!</v>
      </c>
      <c r="AZ48" s="128" t="e">
        <f>'PROJECT TA Y TB KARINA'!$J44/8</f>
        <v>#REF!</v>
      </c>
      <c r="BA48" s="128" t="e">
        <f>'PROJECT TA Y TB KARINA'!$J44/8</f>
        <v>#REF!</v>
      </c>
      <c r="BB48" s="128" t="e">
        <f>'PROJECT TA Y TB KARINA'!$J44/8</f>
        <v>#REF!</v>
      </c>
      <c r="BC48" s="128" t="e">
        <f>'PROJECT TA Y TB KARINA'!$J44/8</f>
        <v>#REF!</v>
      </c>
      <c r="BD48" s="128" t="e">
        <f>'PROJECT TA Y TB KARINA'!$J44/8</f>
        <v>#REF!</v>
      </c>
      <c r="BE48" s="128" t="e">
        <f>'PROJECT TA Y TB KARINA'!$K44/8</f>
        <v>#REF!</v>
      </c>
      <c r="BF48" s="128" t="e">
        <f>'PROJECT TA Y TB KARINA'!$K44/8</f>
        <v>#REF!</v>
      </c>
      <c r="BG48" s="128" t="e">
        <f>'PROJECT TA Y TB KARINA'!$K44/8</f>
        <v>#REF!</v>
      </c>
      <c r="BH48" s="128" t="e">
        <f>'PROJECT TA Y TB KARINA'!$K44/8</f>
        <v>#REF!</v>
      </c>
      <c r="BI48" s="128" t="e">
        <f>'PROJECT TA Y TB KARINA'!$K44/8</f>
        <v>#REF!</v>
      </c>
      <c r="BJ48" s="128" t="e">
        <f>'PROJECT TA Y TB KARINA'!$K44/8</f>
        <v>#REF!</v>
      </c>
      <c r="BK48" s="128" t="e">
        <f>'PROJECT TA Y TB KARINA'!$K44/8</f>
        <v>#REF!</v>
      </c>
      <c r="BL48" s="128" t="e">
        <f>'PROJECT TA Y TB KARINA'!$K44/8</f>
        <v>#REF!</v>
      </c>
      <c r="BM48" s="128" t="e">
        <f>'PROJECT TA Y TB KARINA'!$L44/8</f>
        <v>#REF!</v>
      </c>
      <c r="BN48" s="128" t="e">
        <f>'PROJECT TA Y TB KARINA'!$L44/8</f>
        <v>#REF!</v>
      </c>
      <c r="BO48" s="128" t="e">
        <f>'PROJECT TA Y TB KARINA'!$L44/8</f>
        <v>#REF!</v>
      </c>
      <c r="BP48" s="128" t="e">
        <f>'PROJECT TA Y TB KARINA'!$L44/8</f>
        <v>#REF!</v>
      </c>
      <c r="BQ48" s="128" t="e">
        <f>'PROJECT TA Y TB KARINA'!$L44/8</f>
        <v>#REF!</v>
      </c>
      <c r="BR48" s="128" t="e">
        <f>'PROJECT TA Y TB KARINA'!$L44/8</f>
        <v>#REF!</v>
      </c>
      <c r="BS48" s="128" t="e">
        <f>'PROJECT TA Y TB KARINA'!$L44/8</f>
        <v>#REF!</v>
      </c>
      <c r="BT48" s="128" t="e">
        <f>'PROJECT TA Y TB KARINA'!$L44/8</f>
        <v>#REF!</v>
      </c>
      <c r="BU48" s="128" t="e">
        <f>'PROJECT TA Y TB KARINA'!$M44/8</f>
        <v>#REF!</v>
      </c>
      <c r="BV48" s="128" t="e">
        <f>'PROJECT TA Y TB KARINA'!$M44/8</f>
        <v>#REF!</v>
      </c>
      <c r="BW48" s="128" t="e">
        <f>'PROJECT TA Y TB KARINA'!$M44/8</f>
        <v>#REF!</v>
      </c>
      <c r="BX48" s="128" t="e">
        <f>'PROJECT TA Y TB KARINA'!$M44/8</f>
        <v>#REF!</v>
      </c>
      <c r="BY48" s="128" t="e">
        <f>'PROJECT TA Y TB KARINA'!$M44/8</f>
        <v>#REF!</v>
      </c>
      <c r="BZ48" s="128" t="e">
        <f>'PROJECT TA Y TB KARINA'!$M44/8</f>
        <v>#REF!</v>
      </c>
      <c r="CA48" s="128" t="e">
        <f>'PROJECT TA Y TB KARINA'!$M44/8</f>
        <v>#REF!</v>
      </c>
      <c r="CB48" s="128" t="e">
        <f>'PROJECT TA Y TB KARINA'!$M44/8</f>
        <v>#REF!</v>
      </c>
      <c r="CC48" s="128" t="e">
        <f>'PROJECT TA Y TB KARINA'!$N44/8</f>
        <v>#REF!</v>
      </c>
      <c r="CD48" s="128" t="e">
        <f>'PROJECT TA Y TB KARINA'!$N44/8</f>
        <v>#REF!</v>
      </c>
      <c r="CE48" s="128" t="e">
        <f>'PROJECT TA Y TB KARINA'!$N44/8</f>
        <v>#REF!</v>
      </c>
      <c r="CF48" s="128" t="e">
        <f>'PROJECT TA Y TB KARINA'!$N44/8</f>
        <v>#REF!</v>
      </c>
      <c r="CG48" s="128" t="e">
        <f>'PROJECT TA Y TB KARINA'!$N44/8</f>
        <v>#REF!</v>
      </c>
      <c r="CH48" s="128" t="e">
        <f>'PROJECT TA Y TB KARINA'!$N44/8</f>
        <v>#REF!</v>
      </c>
      <c r="CI48" s="128" t="e">
        <f>'PROJECT TA Y TB KARINA'!$N44/8</f>
        <v>#REF!</v>
      </c>
      <c r="CJ48" s="128" t="e">
        <f>'PROJECT TA Y TB KARINA'!$N44/8</f>
        <v>#REF!</v>
      </c>
      <c r="CK48" s="128" t="e">
        <f>'PROJECT TA Y TB KARINA'!$O44/8</f>
        <v>#REF!</v>
      </c>
      <c r="CL48" s="128" t="e">
        <f>'PROJECT TA Y TB KARINA'!$O44/8</f>
        <v>#REF!</v>
      </c>
      <c r="CM48" s="128" t="e">
        <f>'PROJECT TA Y TB KARINA'!$O44/8</f>
        <v>#REF!</v>
      </c>
      <c r="CN48" s="128" t="e">
        <f>'PROJECT TA Y TB KARINA'!$O44/8</f>
        <v>#REF!</v>
      </c>
      <c r="CO48" s="128" t="e">
        <f>'PROJECT TA Y TB KARINA'!$O44/8</f>
        <v>#REF!</v>
      </c>
      <c r="CP48" s="128" t="e">
        <f>'PROJECT TA Y TB KARINA'!$O44/8</f>
        <v>#REF!</v>
      </c>
      <c r="CQ48" s="128" t="e">
        <f>'PROJECT TA Y TB KARINA'!$O44/8</f>
        <v>#REF!</v>
      </c>
      <c r="CR48" s="128" t="e">
        <f>'PROJECT TA Y TB KARINA'!$O44/8</f>
        <v>#REF!</v>
      </c>
      <c r="CS48" s="128" t="e">
        <f>'PROJECT TA Y TB KARINA'!$P44/8</f>
        <v>#REF!</v>
      </c>
      <c r="CT48" s="128" t="e">
        <f>'PROJECT TA Y TB KARINA'!$P44/8</f>
        <v>#REF!</v>
      </c>
      <c r="CU48" s="128" t="e">
        <f>'PROJECT TA Y TB KARINA'!$P44/8</f>
        <v>#REF!</v>
      </c>
      <c r="CV48" s="128" t="e">
        <f>'PROJECT TA Y TB KARINA'!$P44/8</f>
        <v>#REF!</v>
      </c>
      <c r="CW48" s="128" t="e">
        <f>'PROJECT TA Y TB KARINA'!$P44/8</f>
        <v>#REF!</v>
      </c>
      <c r="CX48" s="128" t="e">
        <f>'PROJECT TA Y TB KARINA'!$P44/8</f>
        <v>#REF!</v>
      </c>
      <c r="CY48" s="128" t="e">
        <f>'PROJECT TA Y TB KARINA'!$P44/8</f>
        <v>#REF!</v>
      </c>
      <c r="CZ48" s="128" t="e">
        <f>'PROJECT TA Y TB KARINA'!$P44/8</f>
        <v>#REF!</v>
      </c>
      <c r="DA48" s="128" t="e">
        <f>'PROJECT TA Y TB KARINA'!$Q44/8</f>
        <v>#REF!</v>
      </c>
      <c r="DB48" s="128" t="e">
        <f>'PROJECT TA Y TB KARINA'!$Q44/8</f>
        <v>#REF!</v>
      </c>
      <c r="DC48" s="128" t="e">
        <f>'PROJECT TA Y TB KARINA'!$Q44/8</f>
        <v>#REF!</v>
      </c>
      <c r="DD48" s="128" t="e">
        <f>'PROJECT TA Y TB KARINA'!$Q44/8</f>
        <v>#REF!</v>
      </c>
      <c r="DE48" s="128" t="e">
        <f>'PROJECT TA Y TB KARINA'!$Q44/8</f>
        <v>#REF!</v>
      </c>
      <c r="DF48" s="128" t="e">
        <f>'PROJECT TA Y TB KARINA'!$Q44/8</f>
        <v>#REF!</v>
      </c>
      <c r="DG48" s="128" t="e">
        <f>'PROJECT TA Y TB KARINA'!$Q44/8</f>
        <v>#REF!</v>
      </c>
      <c r="DH48" s="128" t="e">
        <f>'PROJECT TA Y TB KARINA'!$Q44/8</f>
        <v>#REF!</v>
      </c>
      <c r="DI48" s="128" t="e">
        <f>'PROJECT TA Y TB KARINA'!$R44/8</f>
        <v>#REF!</v>
      </c>
      <c r="DJ48" s="128" t="e">
        <f>'PROJECT TA Y TB KARINA'!$R44/8</f>
        <v>#REF!</v>
      </c>
      <c r="DK48" s="128" t="e">
        <f>'PROJECT TA Y TB KARINA'!$R44/8</f>
        <v>#REF!</v>
      </c>
      <c r="DL48" s="128" t="e">
        <f>'PROJECT TA Y TB KARINA'!$R44/8</f>
        <v>#REF!</v>
      </c>
      <c r="DM48" s="128" t="e">
        <f>'PROJECT TA Y TB KARINA'!$R44/8</f>
        <v>#REF!</v>
      </c>
      <c r="DN48" s="128" t="e">
        <f>'PROJECT TA Y TB KARINA'!$R44/8</f>
        <v>#REF!</v>
      </c>
      <c r="DO48" s="128" t="e">
        <f>'PROJECT TA Y TB KARINA'!$R44/8</f>
        <v>#REF!</v>
      </c>
      <c r="DP48" s="128" t="e">
        <f>'PROJECT TA Y TB KARINA'!$R44/8</f>
        <v>#REF!</v>
      </c>
      <c r="DQ48" s="128" t="e">
        <f>'PROJECT TA Y TB KARINA'!$S44/8</f>
        <v>#REF!</v>
      </c>
      <c r="DR48" s="128" t="e">
        <f>'PROJECT TA Y TB KARINA'!$S44/8</f>
        <v>#REF!</v>
      </c>
      <c r="DS48" s="128" t="e">
        <f>'PROJECT TA Y TB KARINA'!$S44/8</f>
        <v>#REF!</v>
      </c>
      <c r="DT48" s="128" t="e">
        <f>'PROJECT TA Y TB KARINA'!$S44/8</f>
        <v>#REF!</v>
      </c>
      <c r="DU48" s="128" t="e">
        <f>'PROJECT TA Y TB KARINA'!$S44/8</f>
        <v>#REF!</v>
      </c>
      <c r="DV48" s="128" t="e">
        <f>'PROJECT TA Y TB KARINA'!$S44/8</f>
        <v>#REF!</v>
      </c>
      <c r="DW48" s="128" t="e">
        <f>'PROJECT TA Y TB KARINA'!$S44/8</f>
        <v>#REF!</v>
      </c>
      <c r="DX48" s="128" t="e">
        <f>'PROJECT TA Y TB KARINA'!$S44/8</f>
        <v>#REF!</v>
      </c>
      <c r="DY48" s="128" t="e">
        <f>'PROJECT TA Y TB KARINA'!$T44/8</f>
        <v>#REF!</v>
      </c>
      <c r="DZ48" s="128" t="e">
        <f>'PROJECT TA Y TB KARINA'!$T44/8</f>
        <v>#REF!</v>
      </c>
      <c r="EA48" s="128" t="e">
        <f>'PROJECT TA Y TB KARINA'!$T44/8</f>
        <v>#REF!</v>
      </c>
      <c r="EB48" s="128" t="e">
        <f>'PROJECT TA Y TB KARINA'!$T44/8</f>
        <v>#REF!</v>
      </c>
      <c r="EC48" s="128" t="e">
        <f>'PROJECT TA Y TB KARINA'!$T44/8</f>
        <v>#REF!</v>
      </c>
      <c r="ED48" s="128" t="e">
        <f>'PROJECT TA Y TB KARINA'!$T44/8</f>
        <v>#REF!</v>
      </c>
      <c r="EE48" s="128" t="e">
        <f>'PROJECT TA Y TB KARINA'!$T44/8</f>
        <v>#REF!</v>
      </c>
      <c r="EF48" s="128" t="e">
        <f>'PROJECT TA Y TB KARINA'!$T44/8</f>
        <v>#REF!</v>
      </c>
      <c r="EG48" s="128" t="e">
        <f>'PROJECT TA Y TB KARINA'!#REF!/8</f>
        <v>#REF!</v>
      </c>
      <c r="EH48" s="128" t="e">
        <f>'PROJECT TA Y TB KARINA'!#REF!/8</f>
        <v>#REF!</v>
      </c>
      <c r="EI48" s="128" t="e">
        <f>'PROJECT TA Y TB KARINA'!#REF!/8</f>
        <v>#REF!</v>
      </c>
      <c r="EJ48" s="128" t="e">
        <f>'PROJECT TA Y TB KARINA'!#REF!/8</f>
        <v>#REF!</v>
      </c>
      <c r="EK48" s="128" t="e">
        <f>'PROJECT TA Y TB KARINA'!#REF!/8</f>
        <v>#REF!</v>
      </c>
      <c r="EL48" s="128" t="e">
        <f>'PROJECT TA Y TB KARINA'!#REF!/8</f>
        <v>#REF!</v>
      </c>
      <c r="EM48" s="128" t="e">
        <f>'PROJECT TA Y TB KARINA'!#REF!/8</f>
        <v>#REF!</v>
      </c>
      <c r="EN48" s="128" t="e">
        <f>'PROJECT TA Y TB KARINA'!#REF!/8</f>
        <v>#REF!</v>
      </c>
      <c r="EO48" s="128">
        <f>'PROJECT TA Y TB KARINA'!$C102/8</f>
        <v>0</v>
      </c>
      <c r="EP48" s="128">
        <f>'PROJECT TA Y TB KARINA'!$C102/8</f>
        <v>0</v>
      </c>
      <c r="EQ48" s="128">
        <f>'PROJECT TA Y TB KARINA'!$C102/8</f>
        <v>0</v>
      </c>
      <c r="ER48" s="128">
        <f>'PROJECT TA Y TB KARINA'!$C102/8</f>
        <v>0</v>
      </c>
      <c r="ES48" s="128">
        <f>'PROJECT TA Y TB KARINA'!$C102/8</f>
        <v>0</v>
      </c>
      <c r="ET48" s="128">
        <f>'PROJECT TA Y TB KARINA'!$C102/8</f>
        <v>0</v>
      </c>
      <c r="EU48" s="128">
        <f>'PROJECT TA Y TB KARINA'!$C102/8</f>
        <v>0</v>
      </c>
      <c r="EV48" s="128">
        <f>'PROJECT TA Y TB KARINA'!$E102/8</f>
        <v>0</v>
      </c>
      <c r="EW48" s="128">
        <f>'PROJECT TA Y TB KARINA'!$E102/8</f>
        <v>0</v>
      </c>
      <c r="EX48" s="128">
        <f>'PROJECT TA Y TB KARINA'!$E102/8</f>
        <v>0</v>
      </c>
      <c r="EY48" s="128">
        <f>'PROJECT TA Y TB KARINA'!$E102/8</f>
        <v>0</v>
      </c>
      <c r="EZ48" s="128">
        <f>'PROJECT TA Y TB KARINA'!$E102/8</f>
        <v>0</v>
      </c>
      <c r="FA48" s="128">
        <f>'PROJECT TA Y TB KARINA'!$E102/8</f>
        <v>0</v>
      </c>
      <c r="FB48" s="128">
        <f>'PROJECT TA Y TB KARINA'!$E102/8</f>
        <v>0</v>
      </c>
      <c r="FC48" s="128">
        <f>'PROJECT TA Y TB KARINA'!$E102/8</f>
        <v>0</v>
      </c>
      <c r="FD48" s="128">
        <f>'PROJECT TA Y TB KARINA'!$F102/8</f>
        <v>0</v>
      </c>
      <c r="FE48" s="128">
        <f>'PROJECT TA Y TB KARINA'!$F102/8</f>
        <v>0</v>
      </c>
      <c r="FF48" s="128">
        <f>'PROJECT TA Y TB KARINA'!$F102/8</f>
        <v>0</v>
      </c>
      <c r="FG48" s="128">
        <f>'PROJECT TA Y TB KARINA'!$F102/8</f>
        <v>0</v>
      </c>
      <c r="FH48" s="128">
        <f>'PROJECT TA Y TB KARINA'!$F102/8</f>
        <v>0</v>
      </c>
      <c r="FI48" s="128">
        <f>'PROJECT TA Y TB KARINA'!$F102/8</f>
        <v>0</v>
      </c>
      <c r="FJ48" s="128">
        <f>'PROJECT TA Y TB KARINA'!$F102/8</f>
        <v>0</v>
      </c>
      <c r="FK48" s="128">
        <f>'PROJECT TA Y TB KARINA'!$F102/8</f>
        <v>0</v>
      </c>
      <c r="FL48" s="128">
        <f>'PROJECT TA Y TB KARINA'!$G102/8</f>
        <v>0</v>
      </c>
      <c r="FM48" s="128">
        <f>'PROJECT TA Y TB KARINA'!$G102/8</f>
        <v>0</v>
      </c>
      <c r="FN48" s="128">
        <f>'PROJECT TA Y TB KARINA'!$G102/8</f>
        <v>0</v>
      </c>
      <c r="FO48" s="128">
        <f>'PROJECT TA Y TB KARINA'!$G102/8</f>
        <v>0</v>
      </c>
      <c r="FP48" s="128">
        <f>'PROJECT TA Y TB KARINA'!$G102/8</f>
        <v>0</v>
      </c>
      <c r="FQ48" s="128">
        <f>'PROJECT TA Y TB KARINA'!$G102/8</f>
        <v>0</v>
      </c>
      <c r="FR48" s="128">
        <f>'PROJECT TA Y TB KARINA'!$G102/8</f>
        <v>0</v>
      </c>
      <c r="FS48" s="128">
        <f>'PROJECT TA Y TB KARINA'!$G102/8</f>
        <v>0</v>
      </c>
      <c r="FT48" s="128">
        <f>'PROJECT TA Y TB KARINA'!$H102/8</f>
        <v>0</v>
      </c>
      <c r="FU48" s="128">
        <f>'PROJECT TA Y TB KARINA'!$H102/8</f>
        <v>0</v>
      </c>
      <c r="FV48" s="128">
        <f>'PROJECT TA Y TB KARINA'!$H102/8</f>
        <v>0</v>
      </c>
      <c r="FW48" s="128">
        <f>'PROJECT TA Y TB KARINA'!$H102/8</f>
        <v>0</v>
      </c>
      <c r="FX48" s="128">
        <f>'PROJECT TA Y TB KARINA'!$H102/8</f>
        <v>0</v>
      </c>
      <c r="FY48" s="128">
        <f>'PROJECT TA Y TB KARINA'!$H102/8</f>
        <v>0</v>
      </c>
      <c r="FZ48" s="128">
        <f>'PROJECT TA Y TB KARINA'!$H102/8</f>
        <v>0</v>
      </c>
      <c r="GA48" s="128">
        <f>'PROJECT TA Y TB KARINA'!$H102/8</f>
        <v>0</v>
      </c>
      <c r="GB48" s="128">
        <f>'PROJECT TA Y TB KARINA'!$I102/8</f>
        <v>0</v>
      </c>
      <c r="GC48" s="128">
        <f>'PROJECT TA Y TB KARINA'!$I102/8</f>
        <v>0</v>
      </c>
      <c r="GD48" s="128">
        <f>'PROJECT TA Y TB KARINA'!$I102/8</f>
        <v>0</v>
      </c>
      <c r="GE48" s="128">
        <f>'PROJECT TA Y TB KARINA'!$I102/8</f>
        <v>0</v>
      </c>
      <c r="GF48" s="128">
        <f>'PROJECT TA Y TB KARINA'!$I102/8</f>
        <v>0</v>
      </c>
      <c r="GG48" s="128">
        <f>'PROJECT TA Y TB KARINA'!$I102/8</f>
        <v>0</v>
      </c>
      <c r="GH48" s="128">
        <f>'PROJECT TA Y TB KARINA'!$I102/8</f>
        <v>0</v>
      </c>
      <c r="GI48" s="128">
        <f>'PROJECT TA Y TB KARINA'!$I102/8</f>
        <v>0</v>
      </c>
      <c r="GJ48" s="128">
        <f>'PROJECT TA Y TB KARINA'!$J102/8</f>
        <v>0</v>
      </c>
      <c r="GK48" s="128">
        <f>'PROJECT TA Y TB KARINA'!$J102/8</f>
        <v>0</v>
      </c>
      <c r="GL48" s="128">
        <f>'PROJECT TA Y TB KARINA'!$J102/8</f>
        <v>0</v>
      </c>
      <c r="GM48" s="128">
        <f>'PROJECT TA Y TB KARINA'!$J102/8</f>
        <v>0</v>
      </c>
      <c r="GN48" s="128">
        <f>'PROJECT TA Y TB KARINA'!$J102/8</f>
        <v>0</v>
      </c>
      <c r="GO48" s="128">
        <f>'PROJECT TA Y TB KARINA'!$J102/8</f>
        <v>0</v>
      </c>
      <c r="GP48" s="128">
        <f>'PROJECT TA Y TB KARINA'!$J102/8</f>
        <v>0</v>
      </c>
      <c r="GQ48" s="128">
        <f>'PROJECT TA Y TB KARINA'!$J102/8</f>
        <v>0</v>
      </c>
      <c r="GR48" s="128">
        <f>'PROJECT TA Y TB KARINA'!$K102/8</f>
        <v>0</v>
      </c>
      <c r="GS48" s="128">
        <f>'PROJECT TA Y TB KARINA'!$K102/8</f>
        <v>0</v>
      </c>
      <c r="GT48" s="128">
        <f>'PROJECT TA Y TB KARINA'!$K102/8</f>
        <v>0</v>
      </c>
      <c r="GU48" s="128">
        <f>'PROJECT TA Y TB KARINA'!$K102/8</f>
        <v>0</v>
      </c>
      <c r="GV48" s="128">
        <f>'PROJECT TA Y TB KARINA'!$K102/8</f>
        <v>0</v>
      </c>
      <c r="GW48" s="128">
        <f>'PROJECT TA Y TB KARINA'!$K102/8</f>
        <v>0</v>
      </c>
      <c r="GX48" s="128">
        <f>'PROJECT TA Y TB KARINA'!$K102/8</f>
        <v>0</v>
      </c>
      <c r="GY48" s="128">
        <f>'PROJECT TA Y TB KARINA'!$K102/8</f>
        <v>0</v>
      </c>
      <c r="GZ48" s="128">
        <f>'PROJECT TA Y TB KARINA'!$L102/8</f>
        <v>0</v>
      </c>
      <c r="HA48" s="128">
        <f>'PROJECT TA Y TB KARINA'!$L102/8</f>
        <v>0</v>
      </c>
      <c r="HB48" s="128">
        <f>'PROJECT TA Y TB KARINA'!$L102/8</f>
        <v>0</v>
      </c>
      <c r="HC48" s="128">
        <f>'PROJECT TA Y TB KARINA'!$L102/8</f>
        <v>0</v>
      </c>
      <c r="HD48" s="128">
        <f>'PROJECT TA Y TB KARINA'!$L102/8</f>
        <v>0</v>
      </c>
      <c r="HE48" s="128">
        <f>'PROJECT TA Y TB KARINA'!$L102/8</f>
        <v>0</v>
      </c>
      <c r="HF48" s="128">
        <f>'PROJECT TA Y TB KARINA'!$L102/8</f>
        <v>0</v>
      </c>
      <c r="HG48" s="128">
        <f>'PROJECT TA Y TB KARINA'!$L102/8</f>
        <v>0</v>
      </c>
      <c r="HH48" s="128">
        <f>'PROJECT TA Y TB KARINA'!$M102/8</f>
        <v>0</v>
      </c>
      <c r="HI48" s="128">
        <f>'PROJECT TA Y TB KARINA'!$M102/8</f>
        <v>0</v>
      </c>
      <c r="HJ48" s="128">
        <f>'PROJECT TA Y TB KARINA'!$M102/8</f>
        <v>0</v>
      </c>
      <c r="HK48" s="128">
        <f>'PROJECT TA Y TB KARINA'!$M102/8</f>
        <v>0</v>
      </c>
      <c r="HL48" s="128">
        <f>'PROJECT TA Y TB KARINA'!$M102/8</f>
        <v>0</v>
      </c>
      <c r="HM48" s="128">
        <f>'PROJECT TA Y TB KARINA'!$M102/8</f>
        <v>0</v>
      </c>
      <c r="HN48" s="128">
        <f>'PROJECT TA Y TB KARINA'!$M102/8</f>
        <v>0</v>
      </c>
      <c r="HO48" s="128">
        <f>'PROJECT TA Y TB KARINA'!$M102/8</f>
        <v>0</v>
      </c>
      <c r="HP48" s="128">
        <f>'PROJECT TA Y TB KARINA'!$N102/8</f>
        <v>0</v>
      </c>
      <c r="HQ48" s="128">
        <f>'PROJECT TA Y TB KARINA'!$N102/8</f>
        <v>0</v>
      </c>
      <c r="HR48" s="128">
        <f>'PROJECT TA Y TB KARINA'!$N102/8</f>
        <v>0</v>
      </c>
      <c r="HS48" s="128">
        <f>'PROJECT TA Y TB KARINA'!$N102/8</f>
        <v>0</v>
      </c>
      <c r="HT48" s="128">
        <f>'PROJECT TA Y TB KARINA'!$N102/8</f>
        <v>0</v>
      </c>
      <c r="HU48" s="128">
        <f>'PROJECT TA Y TB KARINA'!$N102/8</f>
        <v>0</v>
      </c>
      <c r="HV48" s="128">
        <f>'PROJECT TA Y TB KARINA'!$N102/8</f>
        <v>0</v>
      </c>
      <c r="HW48" s="128">
        <f>'PROJECT TA Y TB KARINA'!$N102/8</f>
        <v>0</v>
      </c>
      <c r="HX48" s="128">
        <f>'PROJECT TA Y TB KARINA'!$O102/8</f>
        <v>0</v>
      </c>
      <c r="HY48" s="128">
        <f>'PROJECT TA Y TB KARINA'!$O102/8</f>
        <v>0</v>
      </c>
      <c r="HZ48" s="128">
        <f>'PROJECT TA Y TB KARINA'!$O102/8</f>
        <v>0</v>
      </c>
      <c r="IA48" s="128">
        <f>'PROJECT TA Y TB KARINA'!$O102/8</f>
        <v>0</v>
      </c>
      <c r="IB48" s="128">
        <f>'PROJECT TA Y TB KARINA'!$O102/8</f>
        <v>0</v>
      </c>
      <c r="IC48" s="128">
        <f>'PROJECT TA Y TB KARINA'!$O102/8</f>
        <v>0</v>
      </c>
      <c r="ID48" s="128">
        <f>'PROJECT TA Y TB KARINA'!$O102/8</f>
        <v>0</v>
      </c>
      <c r="IE48" s="128">
        <f>'PROJECT TA Y TB KARINA'!$O102/8</f>
        <v>0</v>
      </c>
      <c r="IF48" s="128">
        <f>'PROJECT TA Y TB KARINA'!$P102/8</f>
        <v>0</v>
      </c>
      <c r="IG48" s="128">
        <f>'PROJECT TA Y TB KARINA'!$P102/8</f>
        <v>0</v>
      </c>
      <c r="IH48" s="128">
        <f>'PROJECT TA Y TB KARINA'!$P102/8</f>
        <v>0</v>
      </c>
      <c r="II48" s="128">
        <f>'PROJECT TA Y TB KARINA'!$P102/8</f>
        <v>0</v>
      </c>
      <c r="IJ48" s="128">
        <f>'PROJECT TA Y TB KARINA'!$P102/8</f>
        <v>0</v>
      </c>
      <c r="IK48" s="128">
        <f>'PROJECT TA Y TB KARINA'!$P102/8</f>
        <v>0</v>
      </c>
      <c r="IL48" s="128">
        <f>'PROJECT TA Y TB KARINA'!$P102/8</f>
        <v>0</v>
      </c>
      <c r="IM48" s="128">
        <f>'PROJECT TA Y TB KARINA'!$P102/8</f>
        <v>0</v>
      </c>
      <c r="IN48" s="128">
        <f>'PROJECT TA Y TB KARINA'!$Q102/8</f>
        <v>0</v>
      </c>
      <c r="IO48" s="128">
        <f>'PROJECT TA Y TB KARINA'!$Q102/8</f>
        <v>0</v>
      </c>
      <c r="IP48" s="128">
        <f>'PROJECT TA Y TB KARINA'!$Q102/8</f>
        <v>0</v>
      </c>
      <c r="IQ48" s="128">
        <f>'PROJECT TA Y TB KARINA'!$Q102/8</f>
        <v>0</v>
      </c>
      <c r="IR48" s="128">
        <f>'PROJECT TA Y TB KARINA'!$Q102/8</f>
        <v>0</v>
      </c>
      <c r="IS48" s="128">
        <f>'PROJECT TA Y TB KARINA'!$Q102/8</f>
        <v>0</v>
      </c>
      <c r="IT48" s="128">
        <f>'PROJECT TA Y TB KARINA'!$Q102/8</f>
        <v>0</v>
      </c>
      <c r="IU48" s="128">
        <f>'PROJECT TA Y TB KARINA'!$Q102/8</f>
        <v>0</v>
      </c>
      <c r="IV48" s="128">
        <f>'PROJECT TA Y TB KARINA'!$R102/8</f>
        <v>0</v>
      </c>
      <c r="IW48" s="128">
        <f>'PROJECT TA Y TB KARINA'!$R102/8</f>
        <v>0</v>
      </c>
      <c r="IX48" s="128">
        <f>'PROJECT TA Y TB KARINA'!$R102/8</f>
        <v>0</v>
      </c>
      <c r="IY48" s="128">
        <f>'PROJECT TA Y TB KARINA'!$R102/8</f>
        <v>0</v>
      </c>
      <c r="IZ48" s="128">
        <f>'PROJECT TA Y TB KARINA'!$R102/8</f>
        <v>0</v>
      </c>
      <c r="JA48" s="128">
        <f>'PROJECT TA Y TB KARINA'!$R102/8</f>
        <v>0</v>
      </c>
      <c r="JB48" s="128">
        <f>'PROJECT TA Y TB KARINA'!$R102/8</f>
        <v>0</v>
      </c>
      <c r="JC48" s="128">
        <f>'PROJECT TA Y TB KARINA'!$R102/8</f>
        <v>0</v>
      </c>
      <c r="JD48" s="128">
        <f>'PROJECT TA Y TB KARINA'!$S102/8</f>
        <v>0</v>
      </c>
      <c r="JE48" s="128">
        <f>'PROJECT TA Y TB KARINA'!$S102/8</f>
        <v>0</v>
      </c>
      <c r="JF48" s="128">
        <f>'PROJECT TA Y TB KARINA'!$S102/8</f>
        <v>0</v>
      </c>
      <c r="JG48" s="128">
        <f>'PROJECT TA Y TB KARINA'!$S102/8</f>
        <v>0</v>
      </c>
      <c r="JH48" s="128">
        <f>'PROJECT TA Y TB KARINA'!$S102/8</f>
        <v>0</v>
      </c>
      <c r="JI48" s="128">
        <f>'PROJECT TA Y TB KARINA'!$S102/8</f>
        <v>0</v>
      </c>
      <c r="JJ48" s="128">
        <f>'PROJECT TA Y TB KARINA'!$S102/8</f>
        <v>0</v>
      </c>
      <c r="JK48" s="128">
        <f>'PROJECT TA Y TB KARINA'!$S102/8</f>
        <v>0</v>
      </c>
      <c r="JL48" s="128">
        <f>'PROJECT TA Y TB KARINA'!$T102/8</f>
        <v>0</v>
      </c>
      <c r="JM48" s="128">
        <f>'PROJECT TA Y TB KARINA'!$T102/8</f>
        <v>0</v>
      </c>
      <c r="JN48" s="128">
        <f>'PROJECT TA Y TB KARINA'!$T102/8</f>
        <v>0</v>
      </c>
      <c r="JO48" s="128">
        <f>'PROJECT TA Y TB KARINA'!$T102/8</f>
        <v>0</v>
      </c>
      <c r="JP48" s="128">
        <f>'PROJECT TA Y TB KARINA'!$T102/8</f>
        <v>0</v>
      </c>
      <c r="JQ48" s="128">
        <f>'PROJECT TA Y TB KARINA'!$T102/8</f>
        <v>0</v>
      </c>
      <c r="JR48" s="128">
        <f>'PROJECT TA Y TB KARINA'!$T102/8</f>
        <v>0</v>
      </c>
      <c r="JS48" s="128">
        <f>'PROJECT TA Y TB KARINA'!$T102/8</f>
        <v>0</v>
      </c>
      <c r="JT48" s="128" t="e">
        <f>'PROJECT TA Y TB KARINA'!#REF!/8</f>
        <v>#REF!</v>
      </c>
      <c r="JU48" s="128" t="e">
        <f>'PROJECT TA Y TB KARINA'!#REF!/8</f>
        <v>#REF!</v>
      </c>
      <c r="JV48" s="128" t="e">
        <f>'PROJECT TA Y TB KARINA'!#REF!/8</f>
        <v>#REF!</v>
      </c>
      <c r="JW48" s="128" t="e">
        <f>'PROJECT TA Y TB KARINA'!#REF!/8</f>
        <v>#REF!</v>
      </c>
      <c r="JX48" s="128" t="e">
        <f>'PROJECT TA Y TB KARINA'!#REF!/8</f>
        <v>#REF!</v>
      </c>
      <c r="JY48" s="128" t="e">
        <f>'PROJECT TA Y TB KARINA'!#REF!/8</f>
        <v>#REF!</v>
      </c>
      <c r="JZ48" s="128" t="e">
        <f>'PROJECT TA Y TB KARINA'!#REF!/8</f>
        <v>#REF!</v>
      </c>
      <c r="KA48" s="128" t="e">
        <f>'PROJECT TA Y TB KARINA'!#REF!/8</f>
        <v>#REF!</v>
      </c>
    </row>
    <row r="49" spans="1:287" ht="21">
      <c r="A49" s="130" t="s">
        <v>502</v>
      </c>
      <c r="B49" s="128" t="e">
        <f>'PROJECT TA Y TB KARINA'!$C$45/8</f>
        <v>#REF!</v>
      </c>
      <c r="C49" s="128" t="e">
        <f>'PROJECT TA Y TB KARINA'!$C$45/8</f>
        <v>#REF!</v>
      </c>
      <c r="D49" s="128" t="e">
        <f>'PROJECT TA Y TB KARINA'!$C$45/8</f>
        <v>#REF!</v>
      </c>
      <c r="E49" s="128" t="e">
        <f>'PROJECT TA Y TB KARINA'!$C$45/8</f>
        <v>#REF!</v>
      </c>
      <c r="F49" s="128" t="e">
        <f>'PROJECT TA Y TB KARINA'!$C$45/8</f>
        <v>#REF!</v>
      </c>
      <c r="G49" s="128" t="e">
        <f>'PROJECT TA Y TB KARINA'!$C$45/8</f>
        <v>#REF!</v>
      </c>
      <c r="H49" s="128" t="e">
        <f>'PROJECT TA Y TB KARINA'!$C$45/8</f>
        <v>#REF!</v>
      </c>
      <c r="I49" s="128" t="e">
        <f>'PROJECT TA Y TB KARINA'!$E45/8</f>
        <v>#REF!</v>
      </c>
      <c r="J49" s="128" t="e">
        <f>'PROJECT TA Y TB KARINA'!$E45/8</f>
        <v>#REF!</v>
      </c>
      <c r="K49" s="128" t="e">
        <f>'PROJECT TA Y TB KARINA'!$E45/8</f>
        <v>#REF!</v>
      </c>
      <c r="L49" s="128" t="e">
        <f>'PROJECT TA Y TB KARINA'!$E45/8</f>
        <v>#REF!</v>
      </c>
      <c r="M49" s="128" t="e">
        <f>'PROJECT TA Y TB KARINA'!$E45/8</f>
        <v>#REF!</v>
      </c>
      <c r="N49" s="128" t="e">
        <f>'PROJECT TA Y TB KARINA'!$E45/8</f>
        <v>#REF!</v>
      </c>
      <c r="O49" s="128" t="e">
        <f>'PROJECT TA Y TB KARINA'!$E45/8</f>
        <v>#REF!</v>
      </c>
      <c r="P49" s="128" t="e">
        <f>'PROJECT TA Y TB KARINA'!$E45/8</f>
        <v>#REF!</v>
      </c>
      <c r="Q49" s="128" t="e">
        <f>'PROJECT TA Y TB KARINA'!$F45/8</f>
        <v>#REF!</v>
      </c>
      <c r="R49" s="128" t="e">
        <f>'PROJECT TA Y TB KARINA'!$F45/8</f>
        <v>#REF!</v>
      </c>
      <c r="S49" s="128" t="e">
        <f>'PROJECT TA Y TB KARINA'!$F45/8</f>
        <v>#REF!</v>
      </c>
      <c r="T49" s="128" t="e">
        <f>'PROJECT TA Y TB KARINA'!$F45/8</f>
        <v>#REF!</v>
      </c>
      <c r="U49" s="128" t="e">
        <f>'PROJECT TA Y TB KARINA'!$F45/8</f>
        <v>#REF!</v>
      </c>
      <c r="V49" s="128" t="e">
        <f>'PROJECT TA Y TB KARINA'!$F45/8</f>
        <v>#REF!</v>
      </c>
      <c r="W49" s="128" t="e">
        <f>'PROJECT TA Y TB KARINA'!$F45/8</f>
        <v>#REF!</v>
      </c>
      <c r="X49" s="128" t="e">
        <f>'PROJECT TA Y TB KARINA'!$F45/8</f>
        <v>#REF!</v>
      </c>
      <c r="Y49" s="128" t="e">
        <f>'PROJECT TA Y TB KARINA'!$G45/8</f>
        <v>#REF!</v>
      </c>
      <c r="Z49" s="128" t="e">
        <f>'PROJECT TA Y TB KARINA'!$G45/8</f>
        <v>#REF!</v>
      </c>
      <c r="AA49" s="128" t="e">
        <f>'PROJECT TA Y TB KARINA'!$G45/8</f>
        <v>#REF!</v>
      </c>
      <c r="AB49" s="128" t="e">
        <f>'PROJECT TA Y TB KARINA'!$G45/8</f>
        <v>#REF!</v>
      </c>
      <c r="AC49" s="128" t="e">
        <f>'PROJECT TA Y TB KARINA'!$G45/8</f>
        <v>#REF!</v>
      </c>
      <c r="AD49" s="128" t="e">
        <f>'PROJECT TA Y TB KARINA'!$G45/8</f>
        <v>#REF!</v>
      </c>
      <c r="AE49" s="128" t="e">
        <f>'PROJECT TA Y TB KARINA'!$G45/8</f>
        <v>#REF!</v>
      </c>
      <c r="AF49" s="128" t="e">
        <f>'PROJECT TA Y TB KARINA'!$G45/8</f>
        <v>#REF!</v>
      </c>
      <c r="AG49" s="128" t="e">
        <f>'PROJECT TA Y TB KARINA'!$H45/8</f>
        <v>#REF!</v>
      </c>
      <c r="AH49" s="128" t="e">
        <f>'PROJECT TA Y TB KARINA'!$H45/8</f>
        <v>#REF!</v>
      </c>
      <c r="AI49" s="128" t="e">
        <f>'PROJECT TA Y TB KARINA'!$H45/8</f>
        <v>#REF!</v>
      </c>
      <c r="AJ49" s="128" t="e">
        <f>'PROJECT TA Y TB KARINA'!$H45/8</f>
        <v>#REF!</v>
      </c>
      <c r="AK49" s="128" t="e">
        <f>'PROJECT TA Y TB KARINA'!$H45/8</f>
        <v>#REF!</v>
      </c>
      <c r="AL49" s="128" t="e">
        <f>'PROJECT TA Y TB KARINA'!$H45/8</f>
        <v>#REF!</v>
      </c>
      <c r="AM49" s="128" t="e">
        <f>'PROJECT TA Y TB KARINA'!$H45/8</f>
        <v>#REF!</v>
      </c>
      <c r="AN49" s="128" t="e">
        <f>'PROJECT TA Y TB KARINA'!$H45/8</f>
        <v>#REF!</v>
      </c>
      <c r="AO49" s="128" t="e">
        <f>'PROJECT TA Y TB KARINA'!$I45/8</f>
        <v>#REF!</v>
      </c>
      <c r="AP49" s="128" t="e">
        <f>'PROJECT TA Y TB KARINA'!$I45/8</f>
        <v>#REF!</v>
      </c>
      <c r="AQ49" s="128" t="e">
        <f>'PROJECT TA Y TB KARINA'!$I45/8</f>
        <v>#REF!</v>
      </c>
      <c r="AR49" s="128" t="e">
        <f>'PROJECT TA Y TB KARINA'!$I45/8</f>
        <v>#REF!</v>
      </c>
      <c r="AS49" s="128" t="e">
        <f>'PROJECT TA Y TB KARINA'!$I45/8</f>
        <v>#REF!</v>
      </c>
      <c r="AT49" s="128" t="e">
        <f>'PROJECT TA Y TB KARINA'!$I45/8</f>
        <v>#REF!</v>
      </c>
      <c r="AU49" s="128" t="e">
        <f>'PROJECT TA Y TB KARINA'!$I45/8</f>
        <v>#REF!</v>
      </c>
      <c r="AV49" s="128" t="e">
        <f>'PROJECT TA Y TB KARINA'!$I45/8</f>
        <v>#REF!</v>
      </c>
      <c r="AW49" s="128" t="e">
        <f>'PROJECT TA Y TB KARINA'!$J45/8</f>
        <v>#REF!</v>
      </c>
      <c r="AX49" s="128" t="e">
        <f>'PROJECT TA Y TB KARINA'!$J45/8</f>
        <v>#REF!</v>
      </c>
      <c r="AY49" s="128" t="e">
        <f>'PROJECT TA Y TB KARINA'!$J45/8</f>
        <v>#REF!</v>
      </c>
      <c r="AZ49" s="128" t="e">
        <f>'PROJECT TA Y TB KARINA'!$J45/8</f>
        <v>#REF!</v>
      </c>
      <c r="BA49" s="128" t="e">
        <f>'PROJECT TA Y TB KARINA'!$J45/8</f>
        <v>#REF!</v>
      </c>
      <c r="BB49" s="128" t="e">
        <f>'PROJECT TA Y TB KARINA'!$J45/8</f>
        <v>#REF!</v>
      </c>
      <c r="BC49" s="128" t="e">
        <f>'PROJECT TA Y TB KARINA'!$J45/8</f>
        <v>#REF!</v>
      </c>
      <c r="BD49" s="128" t="e">
        <f>'PROJECT TA Y TB KARINA'!$J45/8</f>
        <v>#REF!</v>
      </c>
      <c r="BE49" s="128" t="e">
        <f>'PROJECT TA Y TB KARINA'!$K45/8</f>
        <v>#REF!</v>
      </c>
      <c r="BF49" s="128" t="e">
        <f>'PROJECT TA Y TB KARINA'!$K45/8</f>
        <v>#REF!</v>
      </c>
      <c r="BG49" s="128" t="e">
        <f>'PROJECT TA Y TB KARINA'!$K45/8</f>
        <v>#REF!</v>
      </c>
      <c r="BH49" s="128" t="e">
        <f>'PROJECT TA Y TB KARINA'!$K45/8</f>
        <v>#REF!</v>
      </c>
      <c r="BI49" s="128" t="e">
        <f>'PROJECT TA Y TB KARINA'!$K45/8</f>
        <v>#REF!</v>
      </c>
      <c r="BJ49" s="128" t="e">
        <f>'PROJECT TA Y TB KARINA'!$K45/8</f>
        <v>#REF!</v>
      </c>
      <c r="BK49" s="128" t="e">
        <f>'PROJECT TA Y TB KARINA'!$K45/8</f>
        <v>#REF!</v>
      </c>
      <c r="BL49" s="128" t="e">
        <f>'PROJECT TA Y TB KARINA'!$K45/8</f>
        <v>#REF!</v>
      </c>
      <c r="BM49" s="128" t="e">
        <f>'PROJECT TA Y TB KARINA'!$L45/8</f>
        <v>#REF!</v>
      </c>
      <c r="BN49" s="128" t="e">
        <f>'PROJECT TA Y TB KARINA'!$L45/8</f>
        <v>#REF!</v>
      </c>
      <c r="BO49" s="128" t="e">
        <f>'PROJECT TA Y TB KARINA'!$L45/8</f>
        <v>#REF!</v>
      </c>
      <c r="BP49" s="128" t="e">
        <f>'PROJECT TA Y TB KARINA'!$L45/8</f>
        <v>#REF!</v>
      </c>
      <c r="BQ49" s="128" t="e">
        <f>'PROJECT TA Y TB KARINA'!$L45/8</f>
        <v>#REF!</v>
      </c>
      <c r="BR49" s="128" t="e">
        <f>'PROJECT TA Y TB KARINA'!$L45/8</f>
        <v>#REF!</v>
      </c>
      <c r="BS49" s="128" t="e">
        <f>'PROJECT TA Y TB KARINA'!$L45/8</f>
        <v>#REF!</v>
      </c>
      <c r="BT49" s="128" t="e">
        <f>'PROJECT TA Y TB KARINA'!$L45/8</f>
        <v>#REF!</v>
      </c>
      <c r="BU49" s="128" t="e">
        <f>'PROJECT TA Y TB KARINA'!$M45/8</f>
        <v>#REF!</v>
      </c>
      <c r="BV49" s="128" t="e">
        <f>'PROJECT TA Y TB KARINA'!$M45/8</f>
        <v>#REF!</v>
      </c>
      <c r="BW49" s="128" t="e">
        <f>'PROJECT TA Y TB KARINA'!$M45/8</f>
        <v>#REF!</v>
      </c>
      <c r="BX49" s="128" t="e">
        <f>'PROJECT TA Y TB KARINA'!$M45/8</f>
        <v>#REF!</v>
      </c>
      <c r="BY49" s="128" t="e">
        <f>'PROJECT TA Y TB KARINA'!$M45/8</f>
        <v>#REF!</v>
      </c>
      <c r="BZ49" s="128" t="e">
        <f>'PROJECT TA Y TB KARINA'!$M45/8</f>
        <v>#REF!</v>
      </c>
      <c r="CA49" s="128" t="e">
        <f>'PROJECT TA Y TB KARINA'!$M45/8</f>
        <v>#REF!</v>
      </c>
      <c r="CB49" s="128" t="e">
        <f>'PROJECT TA Y TB KARINA'!$M45/8</f>
        <v>#REF!</v>
      </c>
      <c r="CC49" s="128" t="e">
        <f>'PROJECT TA Y TB KARINA'!$N45/8</f>
        <v>#REF!</v>
      </c>
      <c r="CD49" s="128" t="e">
        <f>'PROJECT TA Y TB KARINA'!$N45/8</f>
        <v>#REF!</v>
      </c>
      <c r="CE49" s="128" t="e">
        <f>'PROJECT TA Y TB KARINA'!$N45/8</f>
        <v>#REF!</v>
      </c>
      <c r="CF49" s="128" t="e">
        <f>'PROJECT TA Y TB KARINA'!$N45/8</f>
        <v>#REF!</v>
      </c>
      <c r="CG49" s="128" t="e">
        <f>'PROJECT TA Y TB KARINA'!$N45/8</f>
        <v>#REF!</v>
      </c>
      <c r="CH49" s="128" t="e">
        <f>'PROJECT TA Y TB KARINA'!$N45/8</f>
        <v>#REF!</v>
      </c>
      <c r="CI49" s="128" t="e">
        <f>'PROJECT TA Y TB KARINA'!$N45/8</f>
        <v>#REF!</v>
      </c>
      <c r="CJ49" s="128" t="e">
        <f>'PROJECT TA Y TB KARINA'!$N45/8</f>
        <v>#REF!</v>
      </c>
      <c r="CK49" s="128" t="e">
        <f>'PROJECT TA Y TB KARINA'!$O45/8</f>
        <v>#REF!</v>
      </c>
      <c r="CL49" s="128" t="e">
        <f>'PROJECT TA Y TB KARINA'!$O45/8</f>
        <v>#REF!</v>
      </c>
      <c r="CM49" s="128" t="e">
        <f>'PROJECT TA Y TB KARINA'!$O45/8</f>
        <v>#REF!</v>
      </c>
      <c r="CN49" s="128" t="e">
        <f>'PROJECT TA Y TB KARINA'!$O45/8</f>
        <v>#REF!</v>
      </c>
      <c r="CO49" s="128" t="e">
        <f>'PROJECT TA Y TB KARINA'!$O45/8</f>
        <v>#REF!</v>
      </c>
      <c r="CP49" s="128" t="e">
        <f>'PROJECT TA Y TB KARINA'!$O45/8</f>
        <v>#REF!</v>
      </c>
      <c r="CQ49" s="128" t="e">
        <f>'PROJECT TA Y TB KARINA'!$O45/8</f>
        <v>#REF!</v>
      </c>
      <c r="CR49" s="128" t="e">
        <f>'PROJECT TA Y TB KARINA'!$O45/8</f>
        <v>#REF!</v>
      </c>
      <c r="CS49" s="128" t="e">
        <f>'PROJECT TA Y TB KARINA'!$P45/8</f>
        <v>#REF!</v>
      </c>
      <c r="CT49" s="128" t="e">
        <f>'PROJECT TA Y TB KARINA'!$P45/8</f>
        <v>#REF!</v>
      </c>
      <c r="CU49" s="128" t="e">
        <f>'PROJECT TA Y TB KARINA'!$P45/8</f>
        <v>#REF!</v>
      </c>
      <c r="CV49" s="128" t="e">
        <f>'PROJECT TA Y TB KARINA'!$P45/8</f>
        <v>#REF!</v>
      </c>
      <c r="CW49" s="128" t="e">
        <f>'PROJECT TA Y TB KARINA'!$P45/8</f>
        <v>#REF!</v>
      </c>
      <c r="CX49" s="128" t="e">
        <f>'PROJECT TA Y TB KARINA'!$P45/8</f>
        <v>#REF!</v>
      </c>
      <c r="CY49" s="128" t="e">
        <f>'PROJECT TA Y TB KARINA'!$P45/8</f>
        <v>#REF!</v>
      </c>
      <c r="CZ49" s="128" t="e">
        <f>'PROJECT TA Y TB KARINA'!$P45/8</f>
        <v>#REF!</v>
      </c>
      <c r="DA49" s="128" t="e">
        <f>'PROJECT TA Y TB KARINA'!$Q45/8</f>
        <v>#REF!</v>
      </c>
      <c r="DB49" s="128" t="e">
        <f>'PROJECT TA Y TB KARINA'!$Q45/8</f>
        <v>#REF!</v>
      </c>
      <c r="DC49" s="128" t="e">
        <f>'PROJECT TA Y TB KARINA'!$Q45/8</f>
        <v>#REF!</v>
      </c>
      <c r="DD49" s="128" t="e">
        <f>'PROJECT TA Y TB KARINA'!$Q45/8</f>
        <v>#REF!</v>
      </c>
      <c r="DE49" s="128" t="e">
        <f>'PROJECT TA Y TB KARINA'!$Q45/8</f>
        <v>#REF!</v>
      </c>
      <c r="DF49" s="128" t="e">
        <f>'PROJECT TA Y TB KARINA'!$Q45/8</f>
        <v>#REF!</v>
      </c>
      <c r="DG49" s="128" t="e">
        <f>'PROJECT TA Y TB KARINA'!$Q45/8</f>
        <v>#REF!</v>
      </c>
      <c r="DH49" s="128" t="e">
        <f>'PROJECT TA Y TB KARINA'!$Q45/8</f>
        <v>#REF!</v>
      </c>
      <c r="DI49" s="128" t="e">
        <f>'PROJECT TA Y TB KARINA'!$R45/8</f>
        <v>#REF!</v>
      </c>
      <c r="DJ49" s="128" t="e">
        <f>'PROJECT TA Y TB KARINA'!$R45/8</f>
        <v>#REF!</v>
      </c>
      <c r="DK49" s="128" t="e">
        <f>'PROJECT TA Y TB KARINA'!$R45/8</f>
        <v>#REF!</v>
      </c>
      <c r="DL49" s="128" t="e">
        <f>'PROJECT TA Y TB KARINA'!$R45/8</f>
        <v>#REF!</v>
      </c>
      <c r="DM49" s="128" t="e">
        <f>'PROJECT TA Y TB KARINA'!$R45/8</f>
        <v>#REF!</v>
      </c>
      <c r="DN49" s="128" t="e">
        <f>'PROJECT TA Y TB KARINA'!$R45/8</f>
        <v>#REF!</v>
      </c>
      <c r="DO49" s="128" t="e">
        <f>'PROJECT TA Y TB KARINA'!$R45/8</f>
        <v>#REF!</v>
      </c>
      <c r="DP49" s="128" t="e">
        <f>'PROJECT TA Y TB KARINA'!$R45/8</f>
        <v>#REF!</v>
      </c>
      <c r="DQ49" s="128" t="e">
        <f>'PROJECT TA Y TB KARINA'!$S45/8</f>
        <v>#REF!</v>
      </c>
      <c r="DR49" s="128" t="e">
        <f>'PROJECT TA Y TB KARINA'!$S45/8</f>
        <v>#REF!</v>
      </c>
      <c r="DS49" s="128" t="e">
        <f>'PROJECT TA Y TB KARINA'!$S45/8</f>
        <v>#REF!</v>
      </c>
      <c r="DT49" s="128" t="e">
        <f>'PROJECT TA Y TB KARINA'!$S45/8</f>
        <v>#REF!</v>
      </c>
      <c r="DU49" s="128" t="e">
        <f>'PROJECT TA Y TB KARINA'!$S45/8</f>
        <v>#REF!</v>
      </c>
      <c r="DV49" s="128" t="e">
        <f>'PROJECT TA Y TB KARINA'!$S45/8</f>
        <v>#REF!</v>
      </c>
      <c r="DW49" s="128" t="e">
        <f>'PROJECT TA Y TB KARINA'!$S45/8</f>
        <v>#REF!</v>
      </c>
      <c r="DX49" s="128" t="e">
        <f>'PROJECT TA Y TB KARINA'!$S45/8</f>
        <v>#REF!</v>
      </c>
      <c r="DY49" s="128" t="e">
        <f>'PROJECT TA Y TB KARINA'!$T45/8</f>
        <v>#REF!</v>
      </c>
      <c r="DZ49" s="128" t="e">
        <f>'PROJECT TA Y TB KARINA'!$T45/8</f>
        <v>#REF!</v>
      </c>
      <c r="EA49" s="128" t="e">
        <f>'PROJECT TA Y TB KARINA'!$T45/8</f>
        <v>#REF!</v>
      </c>
      <c r="EB49" s="128" t="e">
        <f>'PROJECT TA Y TB KARINA'!$T45/8</f>
        <v>#REF!</v>
      </c>
      <c r="EC49" s="128" t="e">
        <f>'PROJECT TA Y TB KARINA'!$T45/8</f>
        <v>#REF!</v>
      </c>
      <c r="ED49" s="128" t="e">
        <f>'PROJECT TA Y TB KARINA'!$T45/8</f>
        <v>#REF!</v>
      </c>
      <c r="EE49" s="128" t="e">
        <f>'PROJECT TA Y TB KARINA'!$T45/8</f>
        <v>#REF!</v>
      </c>
      <c r="EF49" s="128" t="e">
        <f>'PROJECT TA Y TB KARINA'!$T45/8</f>
        <v>#REF!</v>
      </c>
      <c r="EG49" s="128" t="e">
        <f>'PROJECT TA Y TB KARINA'!#REF!/8</f>
        <v>#REF!</v>
      </c>
      <c r="EH49" s="128" t="e">
        <f>'PROJECT TA Y TB KARINA'!#REF!/8</f>
        <v>#REF!</v>
      </c>
      <c r="EI49" s="128" t="e">
        <f>'PROJECT TA Y TB KARINA'!#REF!/8</f>
        <v>#REF!</v>
      </c>
      <c r="EJ49" s="128" t="e">
        <f>'PROJECT TA Y TB KARINA'!#REF!/8</f>
        <v>#REF!</v>
      </c>
      <c r="EK49" s="128" t="e">
        <f>'PROJECT TA Y TB KARINA'!#REF!/8</f>
        <v>#REF!</v>
      </c>
      <c r="EL49" s="128" t="e">
        <f>'PROJECT TA Y TB KARINA'!#REF!/8</f>
        <v>#REF!</v>
      </c>
      <c r="EM49" s="128" t="e">
        <f>'PROJECT TA Y TB KARINA'!#REF!/8</f>
        <v>#REF!</v>
      </c>
      <c r="EN49" s="128" t="e">
        <f>'PROJECT TA Y TB KARINA'!#REF!/8</f>
        <v>#REF!</v>
      </c>
      <c r="EO49" s="128">
        <f>'PROJECT TA Y TB KARINA'!$C103/8</f>
        <v>0</v>
      </c>
      <c r="EP49" s="128">
        <f>'PROJECT TA Y TB KARINA'!$C103/8</f>
        <v>0</v>
      </c>
      <c r="EQ49" s="128">
        <f>'PROJECT TA Y TB KARINA'!$C103/8</f>
        <v>0</v>
      </c>
      <c r="ER49" s="128">
        <f>'PROJECT TA Y TB KARINA'!$C103/8</f>
        <v>0</v>
      </c>
      <c r="ES49" s="128">
        <f>'PROJECT TA Y TB KARINA'!$C103/8</f>
        <v>0</v>
      </c>
      <c r="ET49" s="128">
        <f>'PROJECT TA Y TB KARINA'!$C103/8</f>
        <v>0</v>
      </c>
      <c r="EU49" s="128">
        <f>'PROJECT TA Y TB KARINA'!$C103/8</f>
        <v>0</v>
      </c>
      <c r="EV49" s="128">
        <f>'PROJECT TA Y TB KARINA'!$E103/8</f>
        <v>0</v>
      </c>
      <c r="EW49" s="128">
        <f>'PROJECT TA Y TB KARINA'!$E103/8</f>
        <v>0</v>
      </c>
      <c r="EX49" s="128">
        <f>'PROJECT TA Y TB KARINA'!$E103/8</f>
        <v>0</v>
      </c>
      <c r="EY49" s="128">
        <f>'PROJECT TA Y TB KARINA'!$E103/8</f>
        <v>0</v>
      </c>
      <c r="EZ49" s="128">
        <f>'PROJECT TA Y TB KARINA'!$E103/8</f>
        <v>0</v>
      </c>
      <c r="FA49" s="128">
        <f>'PROJECT TA Y TB KARINA'!$E103/8</f>
        <v>0</v>
      </c>
      <c r="FB49" s="128">
        <f>'PROJECT TA Y TB KARINA'!$E103/8</f>
        <v>0</v>
      </c>
      <c r="FC49" s="128">
        <f>'PROJECT TA Y TB KARINA'!$E103/8</f>
        <v>0</v>
      </c>
      <c r="FD49" s="128">
        <f>'PROJECT TA Y TB KARINA'!$F103/8</f>
        <v>0</v>
      </c>
      <c r="FE49" s="128">
        <f>'PROJECT TA Y TB KARINA'!$F103/8</f>
        <v>0</v>
      </c>
      <c r="FF49" s="128">
        <f>'PROJECT TA Y TB KARINA'!$F103/8</f>
        <v>0</v>
      </c>
      <c r="FG49" s="128">
        <f>'PROJECT TA Y TB KARINA'!$F103/8</f>
        <v>0</v>
      </c>
      <c r="FH49" s="128">
        <f>'PROJECT TA Y TB KARINA'!$F103/8</f>
        <v>0</v>
      </c>
      <c r="FI49" s="128">
        <f>'PROJECT TA Y TB KARINA'!$F103/8</f>
        <v>0</v>
      </c>
      <c r="FJ49" s="128">
        <f>'PROJECT TA Y TB KARINA'!$F103/8</f>
        <v>0</v>
      </c>
      <c r="FK49" s="128">
        <f>'PROJECT TA Y TB KARINA'!$F103/8</f>
        <v>0</v>
      </c>
      <c r="FL49" s="128">
        <f>'PROJECT TA Y TB KARINA'!$G103/8</f>
        <v>0</v>
      </c>
      <c r="FM49" s="128">
        <f>'PROJECT TA Y TB KARINA'!$G103/8</f>
        <v>0</v>
      </c>
      <c r="FN49" s="128">
        <f>'PROJECT TA Y TB KARINA'!$G103/8</f>
        <v>0</v>
      </c>
      <c r="FO49" s="128">
        <f>'PROJECT TA Y TB KARINA'!$G103/8</f>
        <v>0</v>
      </c>
      <c r="FP49" s="128">
        <f>'PROJECT TA Y TB KARINA'!$G103/8</f>
        <v>0</v>
      </c>
      <c r="FQ49" s="128">
        <f>'PROJECT TA Y TB KARINA'!$G103/8</f>
        <v>0</v>
      </c>
      <c r="FR49" s="128">
        <f>'PROJECT TA Y TB KARINA'!$G103/8</f>
        <v>0</v>
      </c>
      <c r="FS49" s="128">
        <f>'PROJECT TA Y TB KARINA'!$G103/8</f>
        <v>0</v>
      </c>
      <c r="FT49" s="128">
        <f>'PROJECT TA Y TB KARINA'!$H103/8</f>
        <v>0</v>
      </c>
      <c r="FU49" s="128">
        <f>'PROJECT TA Y TB KARINA'!$H103/8</f>
        <v>0</v>
      </c>
      <c r="FV49" s="128">
        <f>'PROJECT TA Y TB KARINA'!$H103/8</f>
        <v>0</v>
      </c>
      <c r="FW49" s="128">
        <f>'PROJECT TA Y TB KARINA'!$H103/8</f>
        <v>0</v>
      </c>
      <c r="FX49" s="128">
        <f>'PROJECT TA Y TB KARINA'!$H103/8</f>
        <v>0</v>
      </c>
      <c r="FY49" s="128">
        <f>'PROJECT TA Y TB KARINA'!$H103/8</f>
        <v>0</v>
      </c>
      <c r="FZ49" s="128">
        <f>'PROJECT TA Y TB KARINA'!$H103/8</f>
        <v>0</v>
      </c>
      <c r="GA49" s="128">
        <f>'PROJECT TA Y TB KARINA'!$H103/8</f>
        <v>0</v>
      </c>
      <c r="GB49" s="128">
        <f>'PROJECT TA Y TB KARINA'!$I103/8</f>
        <v>0</v>
      </c>
      <c r="GC49" s="128">
        <f>'PROJECT TA Y TB KARINA'!$I103/8</f>
        <v>0</v>
      </c>
      <c r="GD49" s="128">
        <f>'PROJECT TA Y TB KARINA'!$I103/8</f>
        <v>0</v>
      </c>
      <c r="GE49" s="128">
        <f>'PROJECT TA Y TB KARINA'!$I103/8</f>
        <v>0</v>
      </c>
      <c r="GF49" s="128">
        <f>'PROJECT TA Y TB KARINA'!$I103/8</f>
        <v>0</v>
      </c>
      <c r="GG49" s="128">
        <f>'PROJECT TA Y TB KARINA'!$I103/8</f>
        <v>0</v>
      </c>
      <c r="GH49" s="128">
        <f>'PROJECT TA Y TB KARINA'!$I103/8</f>
        <v>0</v>
      </c>
      <c r="GI49" s="128">
        <f>'PROJECT TA Y TB KARINA'!$I103/8</f>
        <v>0</v>
      </c>
      <c r="GJ49" s="128">
        <f>'PROJECT TA Y TB KARINA'!$J103/8</f>
        <v>0</v>
      </c>
      <c r="GK49" s="128">
        <f>'PROJECT TA Y TB KARINA'!$J103/8</f>
        <v>0</v>
      </c>
      <c r="GL49" s="128">
        <f>'PROJECT TA Y TB KARINA'!$J103/8</f>
        <v>0</v>
      </c>
      <c r="GM49" s="128">
        <f>'PROJECT TA Y TB KARINA'!$J103/8</f>
        <v>0</v>
      </c>
      <c r="GN49" s="128">
        <f>'PROJECT TA Y TB KARINA'!$J103/8</f>
        <v>0</v>
      </c>
      <c r="GO49" s="128">
        <f>'PROJECT TA Y TB KARINA'!$J103/8</f>
        <v>0</v>
      </c>
      <c r="GP49" s="128">
        <f>'PROJECT TA Y TB KARINA'!$J103/8</f>
        <v>0</v>
      </c>
      <c r="GQ49" s="128">
        <f>'PROJECT TA Y TB KARINA'!$J103/8</f>
        <v>0</v>
      </c>
      <c r="GR49" s="128">
        <f>'PROJECT TA Y TB KARINA'!$K103/8</f>
        <v>0</v>
      </c>
      <c r="GS49" s="128">
        <f>'PROJECT TA Y TB KARINA'!$K103/8</f>
        <v>0</v>
      </c>
      <c r="GT49" s="128">
        <f>'PROJECT TA Y TB KARINA'!$K103/8</f>
        <v>0</v>
      </c>
      <c r="GU49" s="128">
        <f>'PROJECT TA Y TB KARINA'!$K103/8</f>
        <v>0</v>
      </c>
      <c r="GV49" s="128">
        <f>'PROJECT TA Y TB KARINA'!$K103/8</f>
        <v>0</v>
      </c>
      <c r="GW49" s="128">
        <f>'PROJECT TA Y TB KARINA'!$K103/8</f>
        <v>0</v>
      </c>
      <c r="GX49" s="128">
        <f>'PROJECT TA Y TB KARINA'!$K103/8</f>
        <v>0</v>
      </c>
      <c r="GY49" s="128">
        <f>'PROJECT TA Y TB KARINA'!$K103/8</f>
        <v>0</v>
      </c>
      <c r="GZ49" s="128">
        <f>'PROJECT TA Y TB KARINA'!$L103/8</f>
        <v>0</v>
      </c>
      <c r="HA49" s="128">
        <f>'PROJECT TA Y TB KARINA'!$L103/8</f>
        <v>0</v>
      </c>
      <c r="HB49" s="128">
        <f>'PROJECT TA Y TB KARINA'!$L103/8</f>
        <v>0</v>
      </c>
      <c r="HC49" s="128">
        <f>'PROJECT TA Y TB KARINA'!$L103/8</f>
        <v>0</v>
      </c>
      <c r="HD49" s="128">
        <f>'PROJECT TA Y TB KARINA'!$L103/8</f>
        <v>0</v>
      </c>
      <c r="HE49" s="128">
        <f>'PROJECT TA Y TB KARINA'!$L103/8</f>
        <v>0</v>
      </c>
      <c r="HF49" s="128">
        <f>'PROJECT TA Y TB KARINA'!$L103/8</f>
        <v>0</v>
      </c>
      <c r="HG49" s="128">
        <f>'PROJECT TA Y TB KARINA'!$L103/8</f>
        <v>0</v>
      </c>
      <c r="HH49" s="128">
        <f>'PROJECT TA Y TB KARINA'!$M103/8</f>
        <v>0</v>
      </c>
      <c r="HI49" s="128">
        <f>'PROJECT TA Y TB KARINA'!$M103/8</f>
        <v>0</v>
      </c>
      <c r="HJ49" s="128">
        <f>'PROJECT TA Y TB KARINA'!$M103/8</f>
        <v>0</v>
      </c>
      <c r="HK49" s="128">
        <f>'PROJECT TA Y TB KARINA'!$M103/8</f>
        <v>0</v>
      </c>
      <c r="HL49" s="128">
        <f>'PROJECT TA Y TB KARINA'!$M103/8</f>
        <v>0</v>
      </c>
      <c r="HM49" s="128">
        <f>'PROJECT TA Y TB KARINA'!$M103/8</f>
        <v>0</v>
      </c>
      <c r="HN49" s="128">
        <f>'PROJECT TA Y TB KARINA'!$M103/8</f>
        <v>0</v>
      </c>
      <c r="HO49" s="128">
        <f>'PROJECT TA Y TB KARINA'!$M103/8</f>
        <v>0</v>
      </c>
      <c r="HP49" s="128">
        <f>'PROJECT TA Y TB KARINA'!$N103/8</f>
        <v>0</v>
      </c>
      <c r="HQ49" s="128">
        <f>'PROJECT TA Y TB KARINA'!$N103/8</f>
        <v>0</v>
      </c>
      <c r="HR49" s="128">
        <f>'PROJECT TA Y TB KARINA'!$N103/8</f>
        <v>0</v>
      </c>
      <c r="HS49" s="128">
        <f>'PROJECT TA Y TB KARINA'!$N103/8</f>
        <v>0</v>
      </c>
      <c r="HT49" s="128">
        <f>'PROJECT TA Y TB KARINA'!$N103/8</f>
        <v>0</v>
      </c>
      <c r="HU49" s="128">
        <f>'PROJECT TA Y TB KARINA'!$N103/8</f>
        <v>0</v>
      </c>
      <c r="HV49" s="128">
        <f>'PROJECT TA Y TB KARINA'!$N103/8</f>
        <v>0</v>
      </c>
      <c r="HW49" s="128">
        <f>'PROJECT TA Y TB KARINA'!$N103/8</f>
        <v>0</v>
      </c>
      <c r="HX49" s="128">
        <f>'PROJECT TA Y TB KARINA'!$O103/8</f>
        <v>0</v>
      </c>
      <c r="HY49" s="128">
        <f>'PROJECT TA Y TB KARINA'!$O103/8</f>
        <v>0</v>
      </c>
      <c r="HZ49" s="128">
        <f>'PROJECT TA Y TB KARINA'!$O103/8</f>
        <v>0</v>
      </c>
      <c r="IA49" s="128">
        <f>'PROJECT TA Y TB KARINA'!$O103/8</f>
        <v>0</v>
      </c>
      <c r="IB49" s="128">
        <f>'PROJECT TA Y TB KARINA'!$O103/8</f>
        <v>0</v>
      </c>
      <c r="IC49" s="128">
        <f>'PROJECT TA Y TB KARINA'!$O103/8</f>
        <v>0</v>
      </c>
      <c r="ID49" s="128">
        <f>'PROJECT TA Y TB KARINA'!$O103/8</f>
        <v>0</v>
      </c>
      <c r="IE49" s="128">
        <f>'PROJECT TA Y TB KARINA'!$O103/8</f>
        <v>0</v>
      </c>
      <c r="IF49" s="128">
        <f>'PROJECT TA Y TB KARINA'!$P103/8</f>
        <v>0</v>
      </c>
      <c r="IG49" s="128">
        <f>'PROJECT TA Y TB KARINA'!$P103/8</f>
        <v>0</v>
      </c>
      <c r="IH49" s="128">
        <f>'PROJECT TA Y TB KARINA'!$P103/8</f>
        <v>0</v>
      </c>
      <c r="II49" s="128">
        <f>'PROJECT TA Y TB KARINA'!$P103/8</f>
        <v>0</v>
      </c>
      <c r="IJ49" s="128">
        <f>'PROJECT TA Y TB KARINA'!$P103/8</f>
        <v>0</v>
      </c>
      <c r="IK49" s="128">
        <f>'PROJECT TA Y TB KARINA'!$P103/8</f>
        <v>0</v>
      </c>
      <c r="IL49" s="128">
        <f>'PROJECT TA Y TB KARINA'!$P103/8</f>
        <v>0</v>
      </c>
      <c r="IM49" s="128">
        <f>'PROJECT TA Y TB KARINA'!$P103/8</f>
        <v>0</v>
      </c>
      <c r="IN49" s="128">
        <f>'PROJECT TA Y TB KARINA'!$Q103/8</f>
        <v>0</v>
      </c>
      <c r="IO49" s="128">
        <f>'PROJECT TA Y TB KARINA'!$Q103/8</f>
        <v>0</v>
      </c>
      <c r="IP49" s="128">
        <f>'PROJECT TA Y TB KARINA'!$Q103/8</f>
        <v>0</v>
      </c>
      <c r="IQ49" s="128">
        <f>'PROJECT TA Y TB KARINA'!$Q103/8</f>
        <v>0</v>
      </c>
      <c r="IR49" s="128">
        <f>'PROJECT TA Y TB KARINA'!$Q103/8</f>
        <v>0</v>
      </c>
      <c r="IS49" s="128">
        <f>'PROJECT TA Y TB KARINA'!$Q103/8</f>
        <v>0</v>
      </c>
      <c r="IT49" s="128">
        <f>'PROJECT TA Y TB KARINA'!$Q103/8</f>
        <v>0</v>
      </c>
      <c r="IU49" s="128">
        <f>'PROJECT TA Y TB KARINA'!$Q103/8</f>
        <v>0</v>
      </c>
      <c r="IV49" s="128">
        <f>'PROJECT TA Y TB KARINA'!$R103/8</f>
        <v>0</v>
      </c>
      <c r="IW49" s="128">
        <f>'PROJECT TA Y TB KARINA'!$R103/8</f>
        <v>0</v>
      </c>
      <c r="IX49" s="128">
        <f>'PROJECT TA Y TB KARINA'!$R103/8</f>
        <v>0</v>
      </c>
      <c r="IY49" s="128">
        <f>'PROJECT TA Y TB KARINA'!$R103/8</f>
        <v>0</v>
      </c>
      <c r="IZ49" s="128">
        <f>'PROJECT TA Y TB KARINA'!$R103/8</f>
        <v>0</v>
      </c>
      <c r="JA49" s="128">
        <f>'PROJECT TA Y TB KARINA'!$R103/8</f>
        <v>0</v>
      </c>
      <c r="JB49" s="128">
        <f>'PROJECT TA Y TB KARINA'!$R103/8</f>
        <v>0</v>
      </c>
      <c r="JC49" s="128">
        <f>'PROJECT TA Y TB KARINA'!$R103/8</f>
        <v>0</v>
      </c>
      <c r="JD49" s="128">
        <f>'PROJECT TA Y TB KARINA'!$S103/8</f>
        <v>0</v>
      </c>
      <c r="JE49" s="128">
        <f>'PROJECT TA Y TB KARINA'!$S103/8</f>
        <v>0</v>
      </c>
      <c r="JF49" s="128">
        <f>'PROJECT TA Y TB KARINA'!$S103/8</f>
        <v>0</v>
      </c>
      <c r="JG49" s="128">
        <f>'PROJECT TA Y TB KARINA'!$S103/8</f>
        <v>0</v>
      </c>
      <c r="JH49" s="128">
        <f>'PROJECT TA Y TB KARINA'!$S103/8</f>
        <v>0</v>
      </c>
      <c r="JI49" s="128">
        <f>'PROJECT TA Y TB KARINA'!$S103/8</f>
        <v>0</v>
      </c>
      <c r="JJ49" s="128">
        <f>'PROJECT TA Y TB KARINA'!$S103/8</f>
        <v>0</v>
      </c>
      <c r="JK49" s="128">
        <f>'PROJECT TA Y TB KARINA'!$S103/8</f>
        <v>0</v>
      </c>
      <c r="JL49" s="128">
        <f>'PROJECT TA Y TB KARINA'!$T103/8</f>
        <v>0</v>
      </c>
      <c r="JM49" s="128">
        <f>'PROJECT TA Y TB KARINA'!$T103/8</f>
        <v>0</v>
      </c>
      <c r="JN49" s="128">
        <f>'PROJECT TA Y TB KARINA'!$T103/8</f>
        <v>0</v>
      </c>
      <c r="JO49" s="128">
        <f>'PROJECT TA Y TB KARINA'!$T103/8</f>
        <v>0</v>
      </c>
      <c r="JP49" s="128">
        <f>'PROJECT TA Y TB KARINA'!$T103/8</f>
        <v>0</v>
      </c>
      <c r="JQ49" s="128">
        <f>'PROJECT TA Y TB KARINA'!$T103/8</f>
        <v>0</v>
      </c>
      <c r="JR49" s="128">
        <f>'PROJECT TA Y TB KARINA'!$T103/8</f>
        <v>0</v>
      </c>
      <c r="JS49" s="128">
        <f>'PROJECT TA Y TB KARINA'!$T103/8</f>
        <v>0</v>
      </c>
      <c r="JT49" s="128" t="e">
        <f>'PROJECT TA Y TB KARINA'!#REF!/8</f>
        <v>#REF!</v>
      </c>
      <c r="JU49" s="128" t="e">
        <f>'PROJECT TA Y TB KARINA'!#REF!/8</f>
        <v>#REF!</v>
      </c>
      <c r="JV49" s="128" t="e">
        <f>'PROJECT TA Y TB KARINA'!#REF!/8</f>
        <v>#REF!</v>
      </c>
      <c r="JW49" s="128" t="e">
        <f>'PROJECT TA Y TB KARINA'!#REF!/8</f>
        <v>#REF!</v>
      </c>
      <c r="JX49" s="128" t="e">
        <f>'PROJECT TA Y TB KARINA'!#REF!/8</f>
        <v>#REF!</v>
      </c>
      <c r="JY49" s="128" t="e">
        <f>'PROJECT TA Y TB KARINA'!#REF!/8</f>
        <v>#REF!</v>
      </c>
      <c r="JZ49" s="128" t="e">
        <f>'PROJECT TA Y TB KARINA'!#REF!/8</f>
        <v>#REF!</v>
      </c>
      <c r="KA49" s="128" t="e">
        <f>'PROJECT TA Y TB KARINA'!#REF!/8</f>
        <v>#REF!</v>
      </c>
    </row>
    <row r="50" spans="1:287" ht="21">
      <c r="A50" s="130" t="s">
        <v>503</v>
      </c>
      <c r="B50" s="128" t="e">
        <f>'PROJECT TA Y TB KARINA'!$C$46/8</f>
        <v>#REF!</v>
      </c>
      <c r="C50" s="128" t="e">
        <f>'PROJECT TA Y TB KARINA'!$C$46/8</f>
        <v>#REF!</v>
      </c>
      <c r="D50" s="128" t="e">
        <f>'PROJECT TA Y TB KARINA'!$C$46/8</f>
        <v>#REF!</v>
      </c>
      <c r="E50" s="128" t="e">
        <f>'PROJECT TA Y TB KARINA'!$C$46/8</f>
        <v>#REF!</v>
      </c>
      <c r="F50" s="128" t="e">
        <f>'PROJECT TA Y TB KARINA'!$C$46/8</f>
        <v>#REF!</v>
      </c>
      <c r="G50" s="128" t="e">
        <f>'PROJECT TA Y TB KARINA'!$C$46/8</f>
        <v>#REF!</v>
      </c>
      <c r="H50" s="128" t="e">
        <f>'PROJECT TA Y TB KARINA'!$C$46/8</f>
        <v>#REF!</v>
      </c>
      <c r="I50" s="128" t="e">
        <f>'PROJECT TA Y TB KARINA'!$E46/8</f>
        <v>#REF!</v>
      </c>
      <c r="J50" s="128" t="e">
        <f>'PROJECT TA Y TB KARINA'!$E46/8</f>
        <v>#REF!</v>
      </c>
      <c r="K50" s="128" t="e">
        <f>'PROJECT TA Y TB KARINA'!$E46/8</f>
        <v>#REF!</v>
      </c>
      <c r="L50" s="128" t="e">
        <f>'PROJECT TA Y TB KARINA'!$E46/8</f>
        <v>#REF!</v>
      </c>
      <c r="M50" s="128" t="e">
        <f>'PROJECT TA Y TB KARINA'!$E46/8</f>
        <v>#REF!</v>
      </c>
      <c r="N50" s="128" t="e">
        <f>'PROJECT TA Y TB KARINA'!$E46/8</f>
        <v>#REF!</v>
      </c>
      <c r="O50" s="128" t="e">
        <f>'PROJECT TA Y TB KARINA'!$E46/8</f>
        <v>#REF!</v>
      </c>
      <c r="P50" s="128" t="e">
        <f>'PROJECT TA Y TB KARINA'!$E46/8</f>
        <v>#REF!</v>
      </c>
      <c r="Q50" s="128" t="e">
        <f>'PROJECT TA Y TB KARINA'!$F46/8</f>
        <v>#REF!</v>
      </c>
      <c r="R50" s="128" t="e">
        <f>'PROJECT TA Y TB KARINA'!$F46/8</f>
        <v>#REF!</v>
      </c>
      <c r="S50" s="128" t="e">
        <f>'PROJECT TA Y TB KARINA'!$F46/8</f>
        <v>#REF!</v>
      </c>
      <c r="T50" s="128" t="e">
        <f>'PROJECT TA Y TB KARINA'!$F46/8</f>
        <v>#REF!</v>
      </c>
      <c r="U50" s="128" t="e">
        <f>'PROJECT TA Y TB KARINA'!$F46/8</f>
        <v>#REF!</v>
      </c>
      <c r="V50" s="128" t="e">
        <f>'PROJECT TA Y TB KARINA'!$F46/8</f>
        <v>#REF!</v>
      </c>
      <c r="W50" s="128" t="e">
        <f>'PROJECT TA Y TB KARINA'!$F46/8</f>
        <v>#REF!</v>
      </c>
      <c r="X50" s="128" t="e">
        <f>'PROJECT TA Y TB KARINA'!$F46/8</f>
        <v>#REF!</v>
      </c>
      <c r="Y50" s="128" t="e">
        <f>'PROJECT TA Y TB KARINA'!$G46/8</f>
        <v>#REF!</v>
      </c>
      <c r="Z50" s="128" t="e">
        <f>'PROJECT TA Y TB KARINA'!$G46/8</f>
        <v>#REF!</v>
      </c>
      <c r="AA50" s="128" t="e">
        <f>'PROJECT TA Y TB KARINA'!$G46/8</f>
        <v>#REF!</v>
      </c>
      <c r="AB50" s="128" t="e">
        <f>'PROJECT TA Y TB KARINA'!$G46/8</f>
        <v>#REF!</v>
      </c>
      <c r="AC50" s="128" t="e">
        <f>'PROJECT TA Y TB KARINA'!$G46/8</f>
        <v>#REF!</v>
      </c>
      <c r="AD50" s="128" t="e">
        <f>'PROJECT TA Y TB KARINA'!$G46/8</f>
        <v>#REF!</v>
      </c>
      <c r="AE50" s="128" t="e">
        <f>'PROJECT TA Y TB KARINA'!$G46/8</f>
        <v>#REF!</v>
      </c>
      <c r="AF50" s="128" t="e">
        <f>'PROJECT TA Y TB KARINA'!$G46/8</f>
        <v>#REF!</v>
      </c>
      <c r="AG50" s="128" t="e">
        <f>'PROJECT TA Y TB KARINA'!$H46/8</f>
        <v>#REF!</v>
      </c>
      <c r="AH50" s="128" t="e">
        <f>'PROJECT TA Y TB KARINA'!$H46/8</f>
        <v>#REF!</v>
      </c>
      <c r="AI50" s="128" t="e">
        <f>'PROJECT TA Y TB KARINA'!$H46/8</f>
        <v>#REF!</v>
      </c>
      <c r="AJ50" s="128" t="e">
        <f>'PROJECT TA Y TB KARINA'!$H46/8</f>
        <v>#REF!</v>
      </c>
      <c r="AK50" s="128" t="e">
        <f>'PROJECT TA Y TB KARINA'!$H46/8</f>
        <v>#REF!</v>
      </c>
      <c r="AL50" s="128" t="e">
        <f>'PROJECT TA Y TB KARINA'!$H46/8</f>
        <v>#REF!</v>
      </c>
      <c r="AM50" s="128" t="e">
        <f>'PROJECT TA Y TB KARINA'!$H46/8</f>
        <v>#REF!</v>
      </c>
      <c r="AN50" s="128" t="e">
        <f>'PROJECT TA Y TB KARINA'!$H46/8</f>
        <v>#REF!</v>
      </c>
      <c r="AO50" s="128" t="e">
        <f>'PROJECT TA Y TB KARINA'!$I46/8</f>
        <v>#REF!</v>
      </c>
      <c r="AP50" s="128" t="e">
        <f>'PROJECT TA Y TB KARINA'!$I46/8</f>
        <v>#REF!</v>
      </c>
      <c r="AQ50" s="128" t="e">
        <f>'PROJECT TA Y TB KARINA'!$I46/8</f>
        <v>#REF!</v>
      </c>
      <c r="AR50" s="128" t="e">
        <f>'PROJECT TA Y TB KARINA'!$I46/8</f>
        <v>#REF!</v>
      </c>
      <c r="AS50" s="128" t="e">
        <f>'PROJECT TA Y TB KARINA'!$I46/8</f>
        <v>#REF!</v>
      </c>
      <c r="AT50" s="128" t="e">
        <f>'PROJECT TA Y TB KARINA'!$I46/8</f>
        <v>#REF!</v>
      </c>
      <c r="AU50" s="128" t="e">
        <f>'PROJECT TA Y TB KARINA'!$I46/8</f>
        <v>#REF!</v>
      </c>
      <c r="AV50" s="128" t="e">
        <f>'PROJECT TA Y TB KARINA'!$I46/8</f>
        <v>#REF!</v>
      </c>
      <c r="AW50" s="128" t="e">
        <f>'PROJECT TA Y TB KARINA'!$J46/8</f>
        <v>#REF!</v>
      </c>
      <c r="AX50" s="128" t="e">
        <f>'PROJECT TA Y TB KARINA'!$J46/8</f>
        <v>#REF!</v>
      </c>
      <c r="AY50" s="128" t="e">
        <f>'PROJECT TA Y TB KARINA'!$J46/8</f>
        <v>#REF!</v>
      </c>
      <c r="AZ50" s="128" t="e">
        <f>'PROJECT TA Y TB KARINA'!$J46/8</f>
        <v>#REF!</v>
      </c>
      <c r="BA50" s="128" t="e">
        <f>'PROJECT TA Y TB KARINA'!$J46/8</f>
        <v>#REF!</v>
      </c>
      <c r="BB50" s="128" t="e">
        <f>'PROJECT TA Y TB KARINA'!$J46/8</f>
        <v>#REF!</v>
      </c>
      <c r="BC50" s="128" t="e">
        <f>'PROJECT TA Y TB KARINA'!$J46/8</f>
        <v>#REF!</v>
      </c>
      <c r="BD50" s="128" t="e">
        <f>'PROJECT TA Y TB KARINA'!$J46/8</f>
        <v>#REF!</v>
      </c>
      <c r="BE50" s="128" t="e">
        <f>'PROJECT TA Y TB KARINA'!$K46/8</f>
        <v>#REF!</v>
      </c>
      <c r="BF50" s="128" t="e">
        <f>'PROJECT TA Y TB KARINA'!$K46/8</f>
        <v>#REF!</v>
      </c>
      <c r="BG50" s="128" t="e">
        <f>'PROJECT TA Y TB KARINA'!$K46/8</f>
        <v>#REF!</v>
      </c>
      <c r="BH50" s="128" t="e">
        <f>'PROJECT TA Y TB KARINA'!$K46/8</f>
        <v>#REF!</v>
      </c>
      <c r="BI50" s="128" t="e">
        <f>'PROJECT TA Y TB KARINA'!$K46/8</f>
        <v>#REF!</v>
      </c>
      <c r="BJ50" s="128" t="e">
        <f>'PROJECT TA Y TB KARINA'!$K46/8</f>
        <v>#REF!</v>
      </c>
      <c r="BK50" s="128" t="e">
        <f>'PROJECT TA Y TB KARINA'!$K46/8</f>
        <v>#REF!</v>
      </c>
      <c r="BL50" s="128" t="e">
        <f>'PROJECT TA Y TB KARINA'!$K46/8</f>
        <v>#REF!</v>
      </c>
      <c r="BM50" s="128" t="e">
        <f>'PROJECT TA Y TB KARINA'!$L46/8</f>
        <v>#REF!</v>
      </c>
      <c r="BN50" s="128" t="e">
        <f>'PROJECT TA Y TB KARINA'!$L46/8</f>
        <v>#REF!</v>
      </c>
      <c r="BO50" s="128" t="e">
        <f>'PROJECT TA Y TB KARINA'!$L46/8</f>
        <v>#REF!</v>
      </c>
      <c r="BP50" s="128" t="e">
        <f>'PROJECT TA Y TB KARINA'!$L46/8</f>
        <v>#REF!</v>
      </c>
      <c r="BQ50" s="128" t="e">
        <f>'PROJECT TA Y TB KARINA'!$L46/8</f>
        <v>#REF!</v>
      </c>
      <c r="BR50" s="128" t="e">
        <f>'PROJECT TA Y TB KARINA'!$L46/8</f>
        <v>#REF!</v>
      </c>
      <c r="BS50" s="128" t="e">
        <f>'PROJECT TA Y TB KARINA'!$L46/8</f>
        <v>#REF!</v>
      </c>
      <c r="BT50" s="128" t="e">
        <f>'PROJECT TA Y TB KARINA'!$L46/8</f>
        <v>#REF!</v>
      </c>
      <c r="BU50" s="128" t="e">
        <f>'PROJECT TA Y TB KARINA'!$M46/8</f>
        <v>#REF!</v>
      </c>
      <c r="BV50" s="128" t="e">
        <f>'PROJECT TA Y TB KARINA'!$M46/8</f>
        <v>#REF!</v>
      </c>
      <c r="BW50" s="128" t="e">
        <f>'PROJECT TA Y TB KARINA'!$M46/8</f>
        <v>#REF!</v>
      </c>
      <c r="BX50" s="128" t="e">
        <f>'PROJECT TA Y TB KARINA'!$M46/8</f>
        <v>#REF!</v>
      </c>
      <c r="BY50" s="128" t="e">
        <f>'PROJECT TA Y TB KARINA'!$M46/8</f>
        <v>#REF!</v>
      </c>
      <c r="BZ50" s="128" t="e">
        <f>'PROJECT TA Y TB KARINA'!$M46/8</f>
        <v>#REF!</v>
      </c>
      <c r="CA50" s="128" t="e">
        <f>'PROJECT TA Y TB KARINA'!$M46/8</f>
        <v>#REF!</v>
      </c>
      <c r="CB50" s="128" t="e">
        <f>'PROJECT TA Y TB KARINA'!$M46/8</f>
        <v>#REF!</v>
      </c>
      <c r="CC50" s="128" t="e">
        <f>'PROJECT TA Y TB KARINA'!$N46/8</f>
        <v>#REF!</v>
      </c>
      <c r="CD50" s="128" t="e">
        <f>'PROJECT TA Y TB KARINA'!$N46/8</f>
        <v>#REF!</v>
      </c>
      <c r="CE50" s="128" t="e">
        <f>'PROJECT TA Y TB KARINA'!$N46/8</f>
        <v>#REF!</v>
      </c>
      <c r="CF50" s="128" t="e">
        <f>'PROJECT TA Y TB KARINA'!$N46/8</f>
        <v>#REF!</v>
      </c>
      <c r="CG50" s="128" t="e">
        <f>'PROJECT TA Y TB KARINA'!$N46/8</f>
        <v>#REF!</v>
      </c>
      <c r="CH50" s="128" t="e">
        <f>'PROJECT TA Y TB KARINA'!$N46/8</f>
        <v>#REF!</v>
      </c>
      <c r="CI50" s="128" t="e">
        <f>'PROJECT TA Y TB KARINA'!$N46/8</f>
        <v>#REF!</v>
      </c>
      <c r="CJ50" s="128" t="e">
        <f>'PROJECT TA Y TB KARINA'!$N46/8</f>
        <v>#REF!</v>
      </c>
      <c r="CK50" s="128" t="e">
        <f>'PROJECT TA Y TB KARINA'!$O46/8</f>
        <v>#REF!</v>
      </c>
      <c r="CL50" s="128" t="e">
        <f>'PROJECT TA Y TB KARINA'!$O46/8</f>
        <v>#REF!</v>
      </c>
      <c r="CM50" s="128" t="e">
        <f>'PROJECT TA Y TB KARINA'!$O46/8</f>
        <v>#REF!</v>
      </c>
      <c r="CN50" s="128" t="e">
        <f>'PROJECT TA Y TB KARINA'!$O46/8</f>
        <v>#REF!</v>
      </c>
      <c r="CO50" s="128" t="e">
        <f>'PROJECT TA Y TB KARINA'!$O46/8</f>
        <v>#REF!</v>
      </c>
      <c r="CP50" s="128" t="e">
        <f>'PROJECT TA Y TB KARINA'!$O46/8</f>
        <v>#REF!</v>
      </c>
      <c r="CQ50" s="128" t="e">
        <f>'PROJECT TA Y TB KARINA'!$O46/8</f>
        <v>#REF!</v>
      </c>
      <c r="CR50" s="128" t="e">
        <f>'PROJECT TA Y TB KARINA'!$O46/8</f>
        <v>#REF!</v>
      </c>
      <c r="CS50" s="128" t="e">
        <f>'PROJECT TA Y TB KARINA'!$P46/8</f>
        <v>#REF!</v>
      </c>
      <c r="CT50" s="128" t="e">
        <f>'PROJECT TA Y TB KARINA'!$P46/8</f>
        <v>#REF!</v>
      </c>
      <c r="CU50" s="128" t="e">
        <f>'PROJECT TA Y TB KARINA'!$P46/8</f>
        <v>#REF!</v>
      </c>
      <c r="CV50" s="128" t="e">
        <f>'PROJECT TA Y TB KARINA'!$P46/8</f>
        <v>#REF!</v>
      </c>
      <c r="CW50" s="128" t="e">
        <f>'PROJECT TA Y TB KARINA'!$P46/8</f>
        <v>#REF!</v>
      </c>
      <c r="CX50" s="128" t="e">
        <f>'PROJECT TA Y TB KARINA'!$P46/8</f>
        <v>#REF!</v>
      </c>
      <c r="CY50" s="128" t="e">
        <f>'PROJECT TA Y TB KARINA'!$P46/8</f>
        <v>#REF!</v>
      </c>
      <c r="CZ50" s="128" t="e">
        <f>'PROJECT TA Y TB KARINA'!$P46/8</f>
        <v>#REF!</v>
      </c>
      <c r="DA50" s="128" t="e">
        <f>'PROJECT TA Y TB KARINA'!$Q46/8</f>
        <v>#REF!</v>
      </c>
      <c r="DB50" s="128" t="e">
        <f>'PROJECT TA Y TB KARINA'!$Q46/8</f>
        <v>#REF!</v>
      </c>
      <c r="DC50" s="128" t="e">
        <f>'PROJECT TA Y TB KARINA'!$Q46/8</f>
        <v>#REF!</v>
      </c>
      <c r="DD50" s="128" t="e">
        <f>'PROJECT TA Y TB KARINA'!$Q46/8</f>
        <v>#REF!</v>
      </c>
      <c r="DE50" s="128" t="e">
        <f>'PROJECT TA Y TB KARINA'!$Q46/8</f>
        <v>#REF!</v>
      </c>
      <c r="DF50" s="128" t="e">
        <f>'PROJECT TA Y TB KARINA'!$Q46/8</f>
        <v>#REF!</v>
      </c>
      <c r="DG50" s="128" t="e">
        <f>'PROJECT TA Y TB KARINA'!$Q46/8</f>
        <v>#REF!</v>
      </c>
      <c r="DH50" s="128" t="e">
        <f>'PROJECT TA Y TB KARINA'!$Q46/8</f>
        <v>#REF!</v>
      </c>
      <c r="DI50" s="128" t="e">
        <f>'PROJECT TA Y TB KARINA'!$R46/8</f>
        <v>#REF!</v>
      </c>
      <c r="DJ50" s="128" t="e">
        <f>'PROJECT TA Y TB KARINA'!$R46/8</f>
        <v>#REF!</v>
      </c>
      <c r="DK50" s="128" t="e">
        <f>'PROJECT TA Y TB KARINA'!$R46/8</f>
        <v>#REF!</v>
      </c>
      <c r="DL50" s="128" t="e">
        <f>'PROJECT TA Y TB KARINA'!$R46/8</f>
        <v>#REF!</v>
      </c>
      <c r="DM50" s="128" t="e">
        <f>'PROJECT TA Y TB KARINA'!$R46/8</f>
        <v>#REF!</v>
      </c>
      <c r="DN50" s="128" t="e">
        <f>'PROJECT TA Y TB KARINA'!$R46/8</f>
        <v>#REF!</v>
      </c>
      <c r="DO50" s="128" t="e">
        <f>'PROJECT TA Y TB KARINA'!$R46/8</f>
        <v>#REF!</v>
      </c>
      <c r="DP50" s="128" t="e">
        <f>'PROJECT TA Y TB KARINA'!$R46/8</f>
        <v>#REF!</v>
      </c>
      <c r="DQ50" s="128" t="e">
        <f>'PROJECT TA Y TB KARINA'!$S46/8</f>
        <v>#REF!</v>
      </c>
      <c r="DR50" s="128" t="e">
        <f>'PROJECT TA Y TB KARINA'!$S46/8</f>
        <v>#REF!</v>
      </c>
      <c r="DS50" s="128" t="e">
        <f>'PROJECT TA Y TB KARINA'!$S46/8</f>
        <v>#REF!</v>
      </c>
      <c r="DT50" s="128" t="e">
        <f>'PROJECT TA Y TB KARINA'!$S46/8</f>
        <v>#REF!</v>
      </c>
      <c r="DU50" s="128" t="e">
        <f>'PROJECT TA Y TB KARINA'!$S46/8</f>
        <v>#REF!</v>
      </c>
      <c r="DV50" s="128" t="e">
        <f>'PROJECT TA Y TB KARINA'!$S46/8</f>
        <v>#REF!</v>
      </c>
      <c r="DW50" s="128" t="e">
        <f>'PROJECT TA Y TB KARINA'!$S46/8</f>
        <v>#REF!</v>
      </c>
      <c r="DX50" s="128" t="e">
        <f>'PROJECT TA Y TB KARINA'!$S46/8</f>
        <v>#REF!</v>
      </c>
      <c r="DY50" s="128" t="e">
        <f>'PROJECT TA Y TB KARINA'!$T46/8</f>
        <v>#REF!</v>
      </c>
      <c r="DZ50" s="128" t="e">
        <f>'PROJECT TA Y TB KARINA'!$T46/8</f>
        <v>#REF!</v>
      </c>
      <c r="EA50" s="128" t="e">
        <f>'PROJECT TA Y TB KARINA'!$T46/8</f>
        <v>#REF!</v>
      </c>
      <c r="EB50" s="128" t="e">
        <f>'PROJECT TA Y TB KARINA'!$T46/8</f>
        <v>#REF!</v>
      </c>
      <c r="EC50" s="128" t="e">
        <f>'PROJECT TA Y TB KARINA'!$T46/8</f>
        <v>#REF!</v>
      </c>
      <c r="ED50" s="128" t="e">
        <f>'PROJECT TA Y TB KARINA'!$T46/8</f>
        <v>#REF!</v>
      </c>
      <c r="EE50" s="128" t="e">
        <f>'PROJECT TA Y TB KARINA'!$T46/8</f>
        <v>#REF!</v>
      </c>
      <c r="EF50" s="128" t="e">
        <f>'PROJECT TA Y TB KARINA'!$T46/8</f>
        <v>#REF!</v>
      </c>
      <c r="EG50" s="128" t="e">
        <f>'PROJECT TA Y TB KARINA'!#REF!/8</f>
        <v>#REF!</v>
      </c>
      <c r="EH50" s="128" t="e">
        <f>'PROJECT TA Y TB KARINA'!#REF!/8</f>
        <v>#REF!</v>
      </c>
      <c r="EI50" s="128" t="e">
        <f>'PROJECT TA Y TB KARINA'!#REF!/8</f>
        <v>#REF!</v>
      </c>
      <c r="EJ50" s="128" t="e">
        <f>'PROJECT TA Y TB KARINA'!#REF!/8</f>
        <v>#REF!</v>
      </c>
      <c r="EK50" s="128" t="e">
        <f>'PROJECT TA Y TB KARINA'!#REF!/8</f>
        <v>#REF!</v>
      </c>
      <c r="EL50" s="128" t="e">
        <f>'PROJECT TA Y TB KARINA'!#REF!/8</f>
        <v>#REF!</v>
      </c>
      <c r="EM50" s="128" t="e">
        <f>'PROJECT TA Y TB KARINA'!#REF!/8</f>
        <v>#REF!</v>
      </c>
      <c r="EN50" s="128" t="e">
        <f>'PROJECT TA Y TB KARINA'!#REF!/8</f>
        <v>#REF!</v>
      </c>
      <c r="EO50" s="128">
        <f>'PROJECT TA Y TB KARINA'!$C104/8</f>
        <v>0</v>
      </c>
      <c r="EP50" s="128">
        <f>'PROJECT TA Y TB KARINA'!$C104/8</f>
        <v>0</v>
      </c>
      <c r="EQ50" s="128">
        <f>'PROJECT TA Y TB KARINA'!$C104/8</f>
        <v>0</v>
      </c>
      <c r="ER50" s="128">
        <f>'PROJECT TA Y TB KARINA'!$C104/8</f>
        <v>0</v>
      </c>
      <c r="ES50" s="128">
        <f>'PROJECT TA Y TB KARINA'!$C104/8</f>
        <v>0</v>
      </c>
      <c r="ET50" s="128">
        <f>'PROJECT TA Y TB KARINA'!$C104/8</f>
        <v>0</v>
      </c>
      <c r="EU50" s="128">
        <f>'PROJECT TA Y TB KARINA'!$C104/8</f>
        <v>0</v>
      </c>
      <c r="EV50" s="128">
        <f>'PROJECT TA Y TB KARINA'!$E104/8</f>
        <v>0</v>
      </c>
      <c r="EW50" s="128">
        <f>'PROJECT TA Y TB KARINA'!$E104/8</f>
        <v>0</v>
      </c>
      <c r="EX50" s="128">
        <f>'PROJECT TA Y TB KARINA'!$E104/8</f>
        <v>0</v>
      </c>
      <c r="EY50" s="128">
        <f>'PROJECT TA Y TB KARINA'!$E104/8</f>
        <v>0</v>
      </c>
      <c r="EZ50" s="128">
        <f>'PROJECT TA Y TB KARINA'!$E104/8</f>
        <v>0</v>
      </c>
      <c r="FA50" s="128">
        <f>'PROJECT TA Y TB KARINA'!$E104/8</f>
        <v>0</v>
      </c>
      <c r="FB50" s="128">
        <f>'PROJECT TA Y TB KARINA'!$E104/8</f>
        <v>0</v>
      </c>
      <c r="FC50" s="128">
        <f>'PROJECT TA Y TB KARINA'!$E104/8</f>
        <v>0</v>
      </c>
      <c r="FD50" s="128">
        <f>'PROJECT TA Y TB KARINA'!$F104/8</f>
        <v>0</v>
      </c>
      <c r="FE50" s="128">
        <f>'PROJECT TA Y TB KARINA'!$F104/8</f>
        <v>0</v>
      </c>
      <c r="FF50" s="128">
        <f>'PROJECT TA Y TB KARINA'!$F104/8</f>
        <v>0</v>
      </c>
      <c r="FG50" s="128">
        <f>'PROJECT TA Y TB KARINA'!$F104/8</f>
        <v>0</v>
      </c>
      <c r="FH50" s="128">
        <f>'PROJECT TA Y TB KARINA'!$F104/8</f>
        <v>0</v>
      </c>
      <c r="FI50" s="128">
        <f>'PROJECT TA Y TB KARINA'!$F104/8</f>
        <v>0</v>
      </c>
      <c r="FJ50" s="128">
        <f>'PROJECT TA Y TB KARINA'!$F104/8</f>
        <v>0</v>
      </c>
      <c r="FK50" s="128">
        <f>'PROJECT TA Y TB KARINA'!$F104/8</f>
        <v>0</v>
      </c>
      <c r="FL50" s="128">
        <f>'PROJECT TA Y TB KARINA'!$G104/8</f>
        <v>0</v>
      </c>
      <c r="FM50" s="128">
        <f>'PROJECT TA Y TB KARINA'!$G104/8</f>
        <v>0</v>
      </c>
      <c r="FN50" s="128">
        <f>'PROJECT TA Y TB KARINA'!$G104/8</f>
        <v>0</v>
      </c>
      <c r="FO50" s="128">
        <f>'PROJECT TA Y TB KARINA'!$G104/8</f>
        <v>0</v>
      </c>
      <c r="FP50" s="128">
        <f>'PROJECT TA Y TB KARINA'!$G104/8</f>
        <v>0</v>
      </c>
      <c r="FQ50" s="128">
        <f>'PROJECT TA Y TB KARINA'!$G104/8</f>
        <v>0</v>
      </c>
      <c r="FR50" s="128">
        <f>'PROJECT TA Y TB KARINA'!$G104/8</f>
        <v>0</v>
      </c>
      <c r="FS50" s="128">
        <f>'PROJECT TA Y TB KARINA'!$G104/8</f>
        <v>0</v>
      </c>
      <c r="FT50" s="128">
        <f>'PROJECT TA Y TB KARINA'!$H104/8</f>
        <v>0</v>
      </c>
      <c r="FU50" s="128">
        <f>'PROJECT TA Y TB KARINA'!$H104/8</f>
        <v>0</v>
      </c>
      <c r="FV50" s="128">
        <f>'PROJECT TA Y TB KARINA'!$H104/8</f>
        <v>0</v>
      </c>
      <c r="FW50" s="128">
        <f>'PROJECT TA Y TB KARINA'!$H104/8</f>
        <v>0</v>
      </c>
      <c r="FX50" s="128">
        <f>'PROJECT TA Y TB KARINA'!$H104/8</f>
        <v>0</v>
      </c>
      <c r="FY50" s="128">
        <f>'PROJECT TA Y TB KARINA'!$H104/8</f>
        <v>0</v>
      </c>
      <c r="FZ50" s="128">
        <f>'PROJECT TA Y TB KARINA'!$H104/8</f>
        <v>0</v>
      </c>
      <c r="GA50" s="128">
        <f>'PROJECT TA Y TB KARINA'!$H104/8</f>
        <v>0</v>
      </c>
      <c r="GB50" s="128">
        <f>'PROJECT TA Y TB KARINA'!$I104/8</f>
        <v>0</v>
      </c>
      <c r="GC50" s="128">
        <f>'PROJECT TA Y TB KARINA'!$I104/8</f>
        <v>0</v>
      </c>
      <c r="GD50" s="128">
        <f>'PROJECT TA Y TB KARINA'!$I104/8</f>
        <v>0</v>
      </c>
      <c r="GE50" s="128">
        <f>'PROJECT TA Y TB KARINA'!$I104/8</f>
        <v>0</v>
      </c>
      <c r="GF50" s="128">
        <f>'PROJECT TA Y TB KARINA'!$I104/8</f>
        <v>0</v>
      </c>
      <c r="GG50" s="128">
        <f>'PROJECT TA Y TB KARINA'!$I104/8</f>
        <v>0</v>
      </c>
      <c r="GH50" s="128">
        <f>'PROJECT TA Y TB KARINA'!$I104/8</f>
        <v>0</v>
      </c>
      <c r="GI50" s="128">
        <f>'PROJECT TA Y TB KARINA'!$I104/8</f>
        <v>0</v>
      </c>
      <c r="GJ50" s="128">
        <f>'PROJECT TA Y TB KARINA'!$J104/8</f>
        <v>0</v>
      </c>
      <c r="GK50" s="128">
        <f>'PROJECT TA Y TB KARINA'!$J104/8</f>
        <v>0</v>
      </c>
      <c r="GL50" s="128">
        <f>'PROJECT TA Y TB KARINA'!$J104/8</f>
        <v>0</v>
      </c>
      <c r="GM50" s="128">
        <f>'PROJECT TA Y TB KARINA'!$J104/8</f>
        <v>0</v>
      </c>
      <c r="GN50" s="128">
        <f>'PROJECT TA Y TB KARINA'!$J104/8</f>
        <v>0</v>
      </c>
      <c r="GO50" s="128">
        <f>'PROJECT TA Y TB KARINA'!$J104/8</f>
        <v>0</v>
      </c>
      <c r="GP50" s="128">
        <f>'PROJECT TA Y TB KARINA'!$J104/8</f>
        <v>0</v>
      </c>
      <c r="GQ50" s="128">
        <f>'PROJECT TA Y TB KARINA'!$J104/8</f>
        <v>0</v>
      </c>
      <c r="GR50" s="128">
        <f>'PROJECT TA Y TB KARINA'!$K104/8</f>
        <v>0</v>
      </c>
      <c r="GS50" s="128">
        <f>'PROJECT TA Y TB KARINA'!$K104/8</f>
        <v>0</v>
      </c>
      <c r="GT50" s="128">
        <f>'PROJECT TA Y TB KARINA'!$K104/8</f>
        <v>0</v>
      </c>
      <c r="GU50" s="128">
        <f>'PROJECT TA Y TB KARINA'!$K104/8</f>
        <v>0</v>
      </c>
      <c r="GV50" s="128">
        <f>'PROJECT TA Y TB KARINA'!$K104/8</f>
        <v>0</v>
      </c>
      <c r="GW50" s="128">
        <f>'PROJECT TA Y TB KARINA'!$K104/8</f>
        <v>0</v>
      </c>
      <c r="GX50" s="128">
        <f>'PROJECT TA Y TB KARINA'!$K104/8</f>
        <v>0</v>
      </c>
      <c r="GY50" s="128">
        <f>'PROJECT TA Y TB KARINA'!$K104/8</f>
        <v>0</v>
      </c>
      <c r="GZ50" s="128">
        <f>'PROJECT TA Y TB KARINA'!$L104/8</f>
        <v>0</v>
      </c>
      <c r="HA50" s="128">
        <f>'PROJECT TA Y TB KARINA'!$L104/8</f>
        <v>0</v>
      </c>
      <c r="HB50" s="128">
        <f>'PROJECT TA Y TB KARINA'!$L104/8</f>
        <v>0</v>
      </c>
      <c r="HC50" s="128">
        <f>'PROJECT TA Y TB KARINA'!$L104/8</f>
        <v>0</v>
      </c>
      <c r="HD50" s="128">
        <f>'PROJECT TA Y TB KARINA'!$L104/8</f>
        <v>0</v>
      </c>
      <c r="HE50" s="128">
        <f>'PROJECT TA Y TB KARINA'!$L104/8</f>
        <v>0</v>
      </c>
      <c r="HF50" s="128">
        <f>'PROJECT TA Y TB KARINA'!$L104/8</f>
        <v>0</v>
      </c>
      <c r="HG50" s="128">
        <f>'PROJECT TA Y TB KARINA'!$L104/8</f>
        <v>0</v>
      </c>
      <c r="HH50" s="128">
        <f>'PROJECT TA Y TB KARINA'!$M104/8</f>
        <v>0</v>
      </c>
      <c r="HI50" s="128">
        <f>'PROJECT TA Y TB KARINA'!$M104/8</f>
        <v>0</v>
      </c>
      <c r="HJ50" s="128">
        <f>'PROJECT TA Y TB KARINA'!$M104/8</f>
        <v>0</v>
      </c>
      <c r="HK50" s="128">
        <f>'PROJECT TA Y TB KARINA'!$M104/8</f>
        <v>0</v>
      </c>
      <c r="HL50" s="128">
        <f>'PROJECT TA Y TB KARINA'!$M104/8</f>
        <v>0</v>
      </c>
      <c r="HM50" s="128">
        <f>'PROJECT TA Y TB KARINA'!$M104/8</f>
        <v>0</v>
      </c>
      <c r="HN50" s="128">
        <f>'PROJECT TA Y TB KARINA'!$M104/8</f>
        <v>0</v>
      </c>
      <c r="HO50" s="128">
        <f>'PROJECT TA Y TB KARINA'!$M104/8</f>
        <v>0</v>
      </c>
      <c r="HP50" s="128">
        <f>'PROJECT TA Y TB KARINA'!$N104/8</f>
        <v>0</v>
      </c>
      <c r="HQ50" s="128">
        <f>'PROJECT TA Y TB KARINA'!$N104/8</f>
        <v>0</v>
      </c>
      <c r="HR50" s="128">
        <f>'PROJECT TA Y TB KARINA'!$N104/8</f>
        <v>0</v>
      </c>
      <c r="HS50" s="128">
        <f>'PROJECT TA Y TB KARINA'!$N104/8</f>
        <v>0</v>
      </c>
      <c r="HT50" s="128">
        <f>'PROJECT TA Y TB KARINA'!$N104/8</f>
        <v>0</v>
      </c>
      <c r="HU50" s="128">
        <f>'PROJECT TA Y TB KARINA'!$N104/8</f>
        <v>0</v>
      </c>
      <c r="HV50" s="128">
        <f>'PROJECT TA Y TB KARINA'!$N104/8</f>
        <v>0</v>
      </c>
      <c r="HW50" s="128">
        <f>'PROJECT TA Y TB KARINA'!$N104/8</f>
        <v>0</v>
      </c>
      <c r="HX50" s="128">
        <f>'PROJECT TA Y TB KARINA'!$O104/8</f>
        <v>0</v>
      </c>
      <c r="HY50" s="128">
        <f>'PROJECT TA Y TB KARINA'!$O104/8</f>
        <v>0</v>
      </c>
      <c r="HZ50" s="128">
        <f>'PROJECT TA Y TB KARINA'!$O104/8</f>
        <v>0</v>
      </c>
      <c r="IA50" s="128">
        <f>'PROJECT TA Y TB KARINA'!$O104/8</f>
        <v>0</v>
      </c>
      <c r="IB50" s="128">
        <f>'PROJECT TA Y TB KARINA'!$O104/8</f>
        <v>0</v>
      </c>
      <c r="IC50" s="128">
        <f>'PROJECT TA Y TB KARINA'!$O104/8</f>
        <v>0</v>
      </c>
      <c r="ID50" s="128">
        <f>'PROJECT TA Y TB KARINA'!$O104/8</f>
        <v>0</v>
      </c>
      <c r="IE50" s="128">
        <f>'PROJECT TA Y TB KARINA'!$O104/8</f>
        <v>0</v>
      </c>
      <c r="IF50" s="128">
        <f>'PROJECT TA Y TB KARINA'!$P104/8</f>
        <v>0</v>
      </c>
      <c r="IG50" s="128">
        <f>'PROJECT TA Y TB KARINA'!$P104/8</f>
        <v>0</v>
      </c>
      <c r="IH50" s="128">
        <f>'PROJECT TA Y TB KARINA'!$P104/8</f>
        <v>0</v>
      </c>
      <c r="II50" s="128">
        <f>'PROJECT TA Y TB KARINA'!$P104/8</f>
        <v>0</v>
      </c>
      <c r="IJ50" s="128">
        <f>'PROJECT TA Y TB KARINA'!$P104/8</f>
        <v>0</v>
      </c>
      <c r="IK50" s="128">
        <f>'PROJECT TA Y TB KARINA'!$P104/8</f>
        <v>0</v>
      </c>
      <c r="IL50" s="128">
        <f>'PROJECT TA Y TB KARINA'!$P104/8</f>
        <v>0</v>
      </c>
      <c r="IM50" s="128">
        <f>'PROJECT TA Y TB KARINA'!$P104/8</f>
        <v>0</v>
      </c>
      <c r="IN50" s="128">
        <f>'PROJECT TA Y TB KARINA'!$Q104/8</f>
        <v>0</v>
      </c>
      <c r="IO50" s="128">
        <f>'PROJECT TA Y TB KARINA'!$Q104/8</f>
        <v>0</v>
      </c>
      <c r="IP50" s="128">
        <f>'PROJECT TA Y TB KARINA'!$Q104/8</f>
        <v>0</v>
      </c>
      <c r="IQ50" s="128">
        <f>'PROJECT TA Y TB KARINA'!$Q104/8</f>
        <v>0</v>
      </c>
      <c r="IR50" s="128">
        <f>'PROJECT TA Y TB KARINA'!$Q104/8</f>
        <v>0</v>
      </c>
      <c r="IS50" s="128">
        <f>'PROJECT TA Y TB KARINA'!$Q104/8</f>
        <v>0</v>
      </c>
      <c r="IT50" s="128">
        <f>'PROJECT TA Y TB KARINA'!$Q104/8</f>
        <v>0</v>
      </c>
      <c r="IU50" s="128">
        <f>'PROJECT TA Y TB KARINA'!$Q104/8</f>
        <v>0</v>
      </c>
      <c r="IV50" s="128">
        <f>'PROJECT TA Y TB KARINA'!$R104/8</f>
        <v>0</v>
      </c>
      <c r="IW50" s="128">
        <f>'PROJECT TA Y TB KARINA'!$R104/8</f>
        <v>0</v>
      </c>
      <c r="IX50" s="128">
        <f>'PROJECT TA Y TB KARINA'!$R104/8</f>
        <v>0</v>
      </c>
      <c r="IY50" s="128">
        <f>'PROJECT TA Y TB KARINA'!$R104/8</f>
        <v>0</v>
      </c>
      <c r="IZ50" s="128">
        <f>'PROJECT TA Y TB KARINA'!$R104/8</f>
        <v>0</v>
      </c>
      <c r="JA50" s="128">
        <f>'PROJECT TA Y TB KARINA'!$R104/8</f>
        <v>0</v>
      </c>
      <c r="JB50" s="128">
        <f>'PROJECT TA Y TB KARINA'!$R104/8</f>
        <v>0</v>
      </c>
      <c r="JC50" s="128">
        <f>'PROJECT TA Y TB KARINA'!$R104/8</f>
        <v>0</v>
      </c>
      <c r="JD50" s="128">
        <f>'PROJECT TA Y TB KARINA'!$S104/8</f>
        <v>0</v>
      </c>
      <c r="JE50" s="128">
        <f>'PROJECT TA Y TB KARINA'!$S104/8</f>
        <v>0</v>
      </c>
      <c r="JF50" s="128">
        <f>'PROJECT TA Y TB KARINA'!$S104/8</f>
        <v>0</v>
      </c>
      <c r="JG50" s="128">
        <f>'PROJECT TA Y TB KARINA'!$S104/8</f>
        <v>0</v>
      </c>
      <c r="JH50" s="128">
        <f>'PROJECT TA Y TB KARINA'!$S104/8</f>
        <v>0</v>
      </c>
      <c r="JI50" s="128">
        <f>'PROJECT TA Y TB KARINA'!$S104/8</f>
        <v>0</v>
      </c>
      <c r="JJ50" s="128">
        <f>'PROJECT TA Y TB KARINA'!$S104/8</f>
        <v>0</v>
      </c>
      <c r="JK50" s="128">
        <f>'PROJECT TA Y TB KARINA'!$S104/8</f>
        <v>0</v>
      </c>
      <c r="JL50" s="128">
        <f>'PROJECT TA Y TB KARINA'!$T104/8</f>
        <v>0</v>
      </c>
      <c r="JM50" s="128">
        <f>'PROJECT TA Y TB KARINA'!$T104/8</f>
        <v>0</v>
      </c>
      <c r="JN50" s="128">
        <f>'PROJECT TA Y TB KARINA'!$T104/8</f>
        <v>0</v>
      </c>
      <c r="JO50" s="128">
        <f>'PROJECT TA Y TB KARINA'!$T104/8</f>
        <v>0</v>
      </c>
      <c r="JP50" s="128">
        <f>'PROJECT TA Y TB KARINA'!$T104/8</f>
        <v>0</v>
      </c>
      <c r="JQ50" s="128">
        <f>'PROJECT TA Y TB KARINA'!$T104/8</f>
        <v>0</v>
      </c>
      <c r="JR50" s="128">
        <f>'PROJECT TA Y TB KARINA'!$T104/8</f>
        <v>0</v>
      </c>
      <c r="JS50" s="128">
        <f>'PROJECT TA Y TB KARINA'!$T104/8</f>
        <v>0</v>
      </c>
      <c r="JT50" s="128" t="e">
        <f>'PROJECT TA Y TB KARINA'!#REF!/8</f>
        <v>#REF!</v>
      </c>
      <c r="JU50" s="128" t="e">
        <f>'PROJECT TA Y TB KARINA'!#REF!/8</f>
        <v>#REF!</v>
      </c>
      <c r="JV50" s="128" t="e">
        <f>'PROJECT TA Y TB KARINA'!#REF!/8</f>
        <v>#REF!</v>
      </c>
      <c r="JW50" s="128" t="e">
        <f>'PROJECT TA Y TB KARINA'!#REF!/8</f>
        <v>#REF!</v>
      </c>
      <c r="JX50" s="128" t="e">
        <f>'PROJECT TA Y TB KARINA'!#REF!/8</f>
        <v>#REF!</v>
      </c>
      <c r="JY50" s="128" t="e">
        <f>'PROJECT TA Y TB KARINA'!#REF!/8</f>
        <v>#REF!</v>
      </c>
      <c r="JZ50" s="128" t="e">
        <f>'PROJECT TA Y TB KARINA'!#REF!/8</f>
        <v>#REF!</v>
      </c>
      <c r="KA50" s="128" t="e">
        <f>'PROJECT TA Y TB KARINA'!#REF!/8</f>
        <v>#REF!</v>
      </c>
    </row>
    <row r="51" spans="1:287" ht="21">
      <c r="A51" s="130" t="s">
        <v>504</v>
      </c>
      <c r="B51" s="128" t="e">
        <f>'PROJECT TA Y TB KARINA'!$C$47/8</f>
        <v>#REF!</v>
      </c>
      <c r="C51" s="128" t="e">
        <f>'PROJECT TA Y TB KARINA'!$C$47/8</f>
        <v>#REF!</v>
      </c>
      <c r="D51" s="128" t="e">
        <f>'PROJECT TA Y TB KARINA'!$C$47/8</f>
        <v>#REF!</v>
      </c>
      <c r="E51" s="128" t="e">
        <f>'PROJECT TA Y TB KARINA'!$C$47/8</f>
        <v>#REF!</v>
      </c>
      <c r="F51" s="128" t="e">
        <f>'PROJECT TA Y TB KARINA'!$C$47/8</f>
        <v>#REF!</v>
      </c>
      <c r="G51" s="128" t="e">
        <f>'PROJECT TA Y TB KARINA'!$C$47/8</f>
        <v>#REF!</v>
      </c>
      <c r="H51" s="128" t="e">
        <f>'PROJECT TA Y TB KARINA'!$C$47/8</f>
        <v>#REF!</v>
      </c>
      <c r="I51" s="128" t="e">
        <f>'PROJECT TA Y TB KARINA'!$E47/8</f>
        <v>#REF!</v>
      </c>
      <c r="J51" s="128" t="e">
        <f>'PROJECT TA Y TB KARINA'!$E47/8</f>
        <v>#REF!</v>
      </c>
      <c r="K51" s="128" t="e">
        <f>'PROJECT TA Y TB KARINA'!$E47/8</f>
        <v>#REF!</v>
      </c>
      <c r="L51" s="128" t="e">
        <f>'PROJECT TA Y TB KARINA'!$E47/8</f>
        <v>#REF!</v>
      </c>
      <c r="M51" s="128" t="e">
        <f>'PROJECT TA Y TB KARINA'!$E47/8</f>
        <v>#REF!</v>
      </c>
      <c r="N51" s="128" t="e">
        <f>'PROJECT TA Y TB KARINA'!$E47/8</f>
        <v>#REF!</v>
      </c>
      <c r="O51" s="128" t="e">
        <f>'PROJECT TA Y TB KARINA'!$E47/8</f>
        <v>#REF!</v>
      </c>
      <c r="P51" s="128" t="e">
        <f>'PROJECT TA Y TB KARINA'!$E47/8</f>
        <v>#REF!</v>
      </c>
      <c r="Q51" s="128" t="e">
        <f>'PROJECT TA Y TB KARINA'!$F47/8</f>
        <v>#REF!</v>
      </c>
      <c r="R51" s="128" t="e">
        <f>'PROJECT TA Y TB KARINA'!$F47/8</f>
        <v>#REF!</v>
      </c>
      <c r="S51" s="128" t="e">
        <f>'PROJECT TA Y TB KARINA'!$F47/8</f>
        <v>#REF!</v>
      </c>
      <c r="T51" s="128" t="e">
        <f>'PROJECT TA Y TB KARINA'!$F47/8</f>
        <v>#REF!</v>
      </c>
      <c r="U51" s="128" t="e">
        <f>'PROJECT TA Y TB KARINA'!$F47/8</f>
        <v>#REF!</v>
      </c>
      <c r="V51" s="128" t="e">
        <f>'PROJECT TA Y TB KARINA'!$F47/8</f>
        <v>#REF!</v>
      </c>
      <c r="W51" s="128" t="e">
        <f>'PROJECT TA Y TB KARINA'!$F47/8</f>
        <v>#REF!</v>
      </c>
      <c r="X51" s="128" t="e">
        <f>'PROJECT TA Y TB KARINA'!$F47/8</f>
        <v>#REF!</v>
      </c>
      <c r="Y51" s="128" t="e">
        <f>'PROJECT TA Y TB KARINA'!$G47/8</f>
        <v>#REF!</v>
      </c>
      <c r="Z51" s="128" t="e">
        <f>'PROJECT TA Y TB KARINA'!$G47/8</f>
        <v>#REF!</v>
      </c>
      <c r="AA51" s="128" t="e">
        <f>'PROJECT TA Y TB KARINA'!$G47/8</f>
        <v>#REF!</v>
      </c>
      <c r="AB51" s="128" t="e">
        <f>'PROJECT TA Y TB KARINA'!$G47/8</f>
        <v>#REF!</v>
      </c>
      <c r="AC51" s="128" t="e">
        <f>'PROJECT TA Y TB KARINA'!$G47/8</f>
        <v>#REF!</v>
      </c>
      <c r="AD51" s="128" t="e">
        <f>'PROJECT TA Y TB KARINA'!$G47/8</f>
        <v>#REF!</v>
      </c>
      <c r="AE51" s="128" t="e">
        <f>'PROJECT TA Y TB KARINA'!$G47/8</f>
        <v>#REF!</v>
      </c>
      <c r="AF51" s="128" t="e">
        <f>'PROJECT TA Y TB KARINA'!$G47/8</f>
        <v>#REF!</v>
      </c>
      <c r="AG51" s="128" t="e">
        <f>'PROJECT TA Y TB KARINA'!$H47/8</f>
        <v>#REF!</v>
      </c>
      <c r="AH51" s="128" t="e">
        <f>'PROJECT TA Y TB KARINA'!$H47/8</f>
        <v>#REF!</v>
      </c>
      <c r="AI51" s="128" t="e">
        <f>'PROJECT TA Y TB KARINA'!$H47/8</f>
        <v>#REF!</v>
      </c>
      <c r="AJ51" s="128" t="e">
        <f>'PROJECT TA Y TB KARINA'!$H47/8</f>
        <v>#REF!</v>
      </c>
      <c r="AK51" s="128" t="e">
        <f>'PROJECT TA Y TB KARINA'!$H47/8</f>
        <v>#REF!</v>
      </c>
      <c r="AL51" s="128" t="e">
        <f>'PROJECT TA Y TB KARINA'!$H47/8</f>
        <v>#REF!</v>
      </c>
      <c r="AM51" s="128" t="e">
        <f>'PROJECT TA Y TB KARINA'!$H47/8</f>
        <v>#REF!</v>
      </c>
      <c r="AN51" s="128" t="e">
        <f>'PROJECT TA Y TB KARINA'!$H47/8</f>
        <v>#REF!</v>
      </c>
      <c r="AO51" s="128" t="e">
        <f>'PROJECT TA Y TB KARINA'!$I47/8</f>
        <v>#REF!</v>
      </c>
      <c r="AP51" s="128" t="e">
        <f>'PROJECT TA Y TB KARINA'!$I47/8</f>
        <v>#REF!</v>
      </c>
      <c r="AQ51" s="128" t="e">
        <f>'PROJECT TA Y TB KARINA'!$I47/8</f>
        <v>#REF!</v>
      </c>
      <c r="AR51" s="128" t="e">
        <f>'PROJECT TA Y TB KARINA'!$I47/8</f>
        <v>#REF!</v>
      </c>
      <c r="AS51" s="128" t="e">
        <f>'PROJECT TA Y TB KARINA'!$I47/8</f>
        <v>#REF!</v>
      </c>
      <c r="AT51" s="128" t="e">
        <f>'PROJECT TA Y TB KARINA'!$I47/8</f>
        <v>#REF!</v>
      </c>
      <c r="AU51" s="128" t="e">
        <f>'PROJECT TA Y TB KARINA'!$I47/8</f>
        <v>#REF!</v>
      </c>
      <c r="AV51" s="128" t="e">
        <f>'PROJECT TA Y TB KARINA'!$I47/8</f>
        <v>#REF!</v>
      </c>
      <c r="AW51" s="128" t="e">
        <f>'PROJECT TA Y TB KARINA'!$J47/8</f>
        <v>#REF!</v>
      </c>
      <c r="AX51" s="128" t="e">
        <f>'PROJECT TA Y TB KARINA'!$J47/8</f>
        <v>#REF!</v>
      </c>
      <c r="AY51" s="128" t="e">
        <f>'PROJECT TA Y TB KARINA'!$J47/8</f>
        <v>#REF!</v>
      </c>
      <c r="AZ51" s="128" t="e">
        <f>'PROJECT TA Y TB KARINA'!$J47/8</f>
        <v>#REF!</v>
      </c>
      <c r="BA51" s="128" t="e">
        <f>'PROJECT TA Y TB KARINA'!$J47/8</f>
        <v>#REF!</v>
      </c>
      <c r="BB51" s="128" t="e">
        <f>'PROJECT TA Y TB KARINA'!$J47/8</f>
        <v>#REF!</v>
      </c>
      <c r="BC51" s="128" t="e">
        <f>'PROJECT TA Y TB KARINA'!$J47/8</f>
        <v>#REF!</v>
      </c>
      <c r="BD51" s="128" t="e">
        <f>'PROJECT TA Y TB KARINA'!$J47/8</f>
        <v>#REF!</v>
      </c>
      <c r="BE51" s="128" t="e">
        <f>'PROJECT TA Y TB KARINA'!$K47/8</f>
        <v>#REF!</v>
      </c>
      <c r="BF51" s="128" t="e">
        <f>'PROJECT TA Y TB KARINA'!$K47/8</f>
        <v>#REF!</v>
      </c>
      <c r="BG51" s="128" t="e">
        <f>'PROJECT TA Y TB KARINA'!$K47/8</f>
        <v>#REF!</v>
      </c>
      <c r="BH51" s="128" t="e">
        <f>'PROJECT TA Y TB KARINA'!$K47/8</f>
        <v>#REF!</v>
      </c>
      <c r="BI51" s="128" t="e">
        <f>'PROJECT TA Y TB KARINA'!$K47/8</f>
        <v>#REF!</v>
      </c>
      <c r="BJ51" s="128" t="e">
        <f>'PROJECT TA Y TB KARINA'!$K47/8</f>
        <v>#REF!</v>
      </c>
      <c r="BK51" s="128" t="e">
        <f>'PROJECT TA Y TB KARINA'!$K47/8</f>
        <v>#REF!</v>
      </c>
      <c r="BL51" s="128" t="e">
        <f>'PROJECT TA Y TB KARINA'!$K47/8</f>
        <v>#REF!</v>
      </c>
      <c r="BM51" s="128" t="e">
        <f>'PROJECT TA Y TB KARINA'!$L47/8</f>
        <v>#REF!</v>
      </c>
      <c r="BN51" s="128" t="e">
        <f>'PROJECT TA Y TB KARINA'!$L47/8</f>
        <v>#REF!</v>
      </c>
      <c r="BO51" s="128" t="e">
        <f>'PROJECT TA Y TB KARINA'!$L47/8</f>
        <v>#REF!</v>
      </c>
      <c r="BP51" s="128" t="e">
        <f>'PROJECT TA Y TB KARINA'!$L47/8</f>
        <v>#REF!</v>
      </c>
      <c r="BQ51" s="128" t="e">
        <f>'PROJECT TA Y TB KARINA'!$L47/8</f>
        <v>#REF!</v>
      </c>
      <c r="BR51" s="128" t="e">
        <f>'PROJECT TA Y TB KARINA'!$L47/8</f>
        <v>#REF!</v>
      </c>
      <c r="BS51" s="128" t="e">
        <f>'PROJECT TA Y TB KARINA'!$L47/8</f>
        <v>#REF!</v>
      </c>
      <c r="BT51" s="128" t="e">
        <f>'PROJECT TA Y TB KARINA'!$L47/8</f>
        <v>#REF!</v>
      </c>
      <c r="BU51" s="128" t="e">
        <f>'PROJECT TA Y TB KARINA'!$M47/8</f>
        <v>#REF!</v>
      </c>
      <c r="BV51" s="128" t="e">
        <f>'PROJECT TA Y TB KARINA'!$M47/8</f>
        <v>#REF!</v>
      </c>
      <c r="BW51" s="128" t="e">
        <f>'PROJECT TA Y TB KARINA'!$M47/8</f>
        <v>#REF!</v>
      </c>
      <c r="BX51" s="128" t="e">
        <f>'PROJECT TA Y TB KARINA'!$M47/8</f>
        <v>#REF!</v>
      </c>
      <c r="BY51" s="128" t="e">
        <f>'PROJECT TA Y TB KARINA'!$M47/8</f>
        <v>#REF!</v>
      </c>
      <c r="BZ51" s="128" t="e">
        <f>'PROJECT TA Y TB KARINA'!$M47/8</f>
        <v>#REF!</v>
      </c>
      <c r="CA51" s="128" t="e">
        <f>'PROJECT TA Y TB KARINA'!$M47/8</f>
        <v>#REF!</v>
      </c>
      <c r="CB51" s="128" t="e">
        <f>'PROJECT TA Y TB KARINA'!$M47/8</f>
        <v>#REF!</v>
      </c>
      <c r="CC51" s="128" t="e">
        <f>'PROJECT TA Y TB KARINA'!$N47/8</f>
        <v>#REF!</v>
      </c>
      <c r="CD51" s="128" t="e">
        <f>'PROJECT TA Y TB KARINA'!$N47/8</f>
        <v>#REF!</v>
      </c>
      <c r="CE51" s="128" t="e">
        <f>'PROJECT TA Y TB KARINA'!$N47/8</f>
        <v>#REF!</v>
      </c>
      <c r="CF51" s="128" t="e">
        <f>'PROJECT TA Y TB KARINA'!$N47/8</f>
        <v>#REF!</v>
      </c>
      <c r="CG51" s="128" t="e">
        <f>'PROJECT TA Y TB KARINA'!$N47/8</f>
        <v>#REF!</v>
      </c>
      <c r="CH51" s="128" t="e">
        <f>'PROJECT TA Y TB KARINA'!$N47/8</f>
        <v>#REF!</v>
      </c>
      <c r="CI51" s="128" t="e">
        <f>'PROJECT TA Y TB KARINA'!$N47/8</f>
        <v>#REF!</v>
      </c>
      <c r="CJ51" s="128" t="e">
        <f>'PROJECT TA Y TB KARINA'!$N47/8</f>
        <v>#REF!</v>
      </c>
      <c r="CK51" s="128" t="e">
        <f>'PROJECT TA Y TB KARINA'!$O47/8</f>
        <v>#REF!</v>
      </c>
      <c r="CL51" s="128" t="e">
        <f>'PROJECT TA Y TB KARINA'!$O47/8</f>
        <v>#REF!</v>
      </c>
      <c r="CM51" s="128" t="e">
        <f>'PROJECT TA Y TB KARINA'!$O47/8</f>
        <v>#REF!</v>
      </c>
      <c r="CN51" s="128" t="e">
        <f>'PROJECT TA Y TB KARINA'!$O47/8</f>
        <v>#REF!</v>
      </c>
      <c r="CO51" s="128" t="e">
        <f>'PROJECT TA Y TB KARINA'!$O47/8</f>
        <v>#REF!</v>
      </c>
      <c r="CP51" s="128" t="e">
        <f>'PROJECT TA Y TB KARINA'!$O47/8</f>
        <v>#REF!</v>
      </c>
      <c r="CQ51" s="128" t="e">
        <f>'PROJECT TA Y TB KARINA'!$O47/8</f>
        <v>#REF!</v>
      </c>
      <c r="CR51" s="128" t="e">
        <f>'PROJECT TA Y TB KARINA'!$O47/8</f>
        <v>#REF!</v>
      </c>
      <c r="CS51" s="128" t="e">
        <f>'PROJECT TA Y TB KARINA'!$P47/8</f>
        <v>#REF!</v>
      </c>
      <c r="CT51" s="128" t="e">
        <f>'PROJECT TA Y TB KARINA'!$P47/8</f>
        <v>#REF!</v>
      </c>
      <c r="CU51" s="128" t="e">
        <f>'PROJECT TA Y TB KARINA'!$P47/8</f>
        <v>#REF!</v>
      </c>
      <c r="CV51" s="128" t="e">
        <f>'PROJECT TA Y TB KARINA'!$P47/8</f>
        <v>#REF!</v>
      </c>
      <c r="CW51" s="128" t="e">
        <f>'PROJECT TA Y TB KARINA'!$P47/8</f>
        <v>#REF!</v>
      </c>
      <c r="CX51" s="128" t="e">
        <f>'PROJECT TA Y TB KARINA'!$P47/8</f>
        <v>#REF!</v>
      </c>
      <c r="CY51" s="128" t="e">
        <f>'PROJECT TA Y TB KARINA'!$P47/8</f>
        <v>#REF!</v>
      </c>
      <c r="CZ51" s="128" t="e">
        <f>'PROJECT TA Y TB KARINA'!$P47/8</f>
        <v>#REF!</v>
      </c>
      <c r="DA51" s="128" t="e">
        <f>'PROJECT TA Y TB KARINA'!$Q47/8</f>
        <v>#REF!</v>
      </c>
      <c r="DB51" s="128" t="e">
        <f>'PROJECT TA Y TB KARINA'!$Q47/8</f>
        <v>#REF!</v>
      </c>
      <c r="DC51" s="128" t="e">
        <f>'PROJECT TA Y TB KARINA'!$Q47/8</f>
        <v>#REF!</v>
      </c>
      <c r="DD51" s="128" t="e">
        <f>'PROJECT TA Y TB KARINA'!$Q47/8</f>
        <v>#REF!</v>
      </c>
      <c r="DE51" s="128" t="e">
        <f>'PROJECT TA Y TB KARINA'!$Q47/8</f>
        <v>#REF!</v>
      </c>
      <c r="DF51" s="128" t="e">
        <f>'PROJECT TA Y TB KARINA'!$Q47/8</f>
        <v>#REF!</v>
      </c>
      <c r="DG51" s="128" t="e">
        <f>'PROJECT TA Y TB KARINA'!$Q47/8</f>
        <v>#REF!</v>
      </c>
      <c r="DH51" s="128" t="e">
        <f>'PROJECT TA Y TB KARINA'!$Q47/8</f>
        <v>#REF!</v>
      </c>
      <c r="DI51" s="128" t="e">
        <f>'PROJECT TA Y TB KARINA'!$R47/8</f>
        <v>#REF!</v>
      </c>
      <c r="DJ51" s="128" t="e">
        <f>'PROJECT TA Y TB KARINA'!$R47/8</f>
        <v>#REF!</v>
      </c>
      <c r="DK51" s="128" t="e">
        <f>'PROJECT TA Y TB KARINA'!$R47/8</f>
        <v>#REF!</v>
      </c>
      <c r="DL51" s="128" t="e">
        <f>'PROJECT TA Y TB KARINA'!$R47/8</f>
        <v>#REF!</v>
      </c>
      <c r="DM51" s="128" t="e">
        <f>'PROJECT TA Y TB KARINA'!$R47/8</f>
        <v>#REF!</v>
      </c>
      <c r="DN51" s="128" t="e">
        <f>'PROJECT TA Y TB KARINA'!$R47/8</f>
        <v>#REF!</v>
      </c>
      <c r="DO51" s="128" t="e">
        <f>'PROJECT TA Y TB KARINA'!$R47/8</f>
        <v>#REF!</v>
      </c>
      <c r="DP51" s="128" t="e">
        <f>'PROJECT TA Y TB KARINA'!$R47/8</f>
        <v>#REF!</v>
      </c>
      <c r="DQ51" s="128" t="e">
        <f>'PROJECT TA Y TB KARINA'!$S47/8</f>
        <v>#REF!</v>
      </c>
      <c r="DR51" s="128" t="e">
        <f>'PROJECT TA Y TB KARINA'!$S47/8</f>
        <v>#REF!</v>
      </c>
      <c r="DS51" s="128" t="e">
        <f>'PROJECT TA Y TB KARINA'!$S47/8</f>
        <v>#REF!</v>
      </c>
      <c r="DT51" s="128" t="e">
        <f>'PROJECT TA Y TB KARINA'!$S47/8</f>
        <v>#REF!</v>
      </c>
      <c r="DU51" s="128" t="e">
        <f>'PROJECT TA Y TB KARINA'!$S47/8</f>
        <v>#REF!</v>
      </c>
      <c r="DV51" s="128" t="e">
        <f>'PROJECT TA Y TB KARINA'!$S47/8</f>
        <v>#REF!</v>
      </c>
      <c r="DW51" s="128" t="e">
        <f>'PROJECT TA Y TB KARINA'!$S47/8</f>
        <v>#REF!</v>
      </c>
      <c r="DX51" s="128" t="e">
        <f>'PROJECT TA Y TB KARINA'!$S47/8</f>
        <v>#REF!</v>
      </c>
      <c r="DY51" s="128" t="e">
        <f>'PROJECT TA Y TB KARINA'!$T47/8</f>
        <v>#REF!</v>
      </c>
      <c r="DZ51" s="128" t="e">
        <f>'PROJECT TA Y TB KARINA'!$T47/8</f>
        <v>#REF!</v>
      </c>
      <c r="EA51" s="128" t="e">
        <f>'PROJECT TA Y TB KARINA'!$T47/8</f>
        <v>#REF!</v>
      </c>
      <c r="EB51" s="128" t="e">
        <f>'PROJECT TA Y TB KARINA'!$T47/8</f>
        <v>#REF!</v>
      </c>
      <c r="EC51" s="128" t="e">
        <f>'PROJECT TA Y TB KARINA'!$T47/8</f>
        <v>#REF!</v>
      </c>
      <c r="ED51" s="128" t="e">
        <f>'PROJECT TA Y TB KARINA'!$T47/8</f>
        <v>#REF!</v>
      </c>
      <c r="EE51" s="128" t="e">
        <f>'PROJECT TA Y TB KARINA'!$T47/8</f>
        <v>#REF!</v>
      </c>
      <c r="EF51" s="128" t="e">
        <f>'PROJECT TA Y TB KARINA'!$T47/8</f>
        <v>#REF!</v>
      </c>
      <c r="EG51" s="128" t="e">
        <f>'PROJECT TA Y TB KARINA'!#REF!/8</f>
        <v>#REF!</v>
      </c>
      <c r="EH51" s="128" t="e">
        <f>'PROJECT TA Y TB KARINA'!#REF!/8</f>
        <v>#REF!</v>
      </c>
      <c r="EI51" s="128" t="e">
        <f>'PROJECT TA Y TB KARINA'!#REF!/8</f>
        <v>#REF!</v>
      </c>
      <c r="EJ51" s="128" t="e">
        <f>'PROJECT TA Y TB KARINA'!#REF!/8</f>
        <v>#REF!</v>
      </c>
      <c r="EK51" s="128" t="e">
        <f>'PROJECT TA Y TB KARINA'!#REF!/8</f>
        <v>#REF!</v>
      </c>
      <c r="EL51" s="128" t="e">
        <f>'PROJECT TA Y TB KARINA'!#REF!/8</f>
        <v>#REF!</v>
      </c>
      <c r="EM51" s="128" t="e">
        <f>'PROJECT TA Y TB KARINA'!#REF!/8</f>
        <v>#REF!</v>
      </c>
      <c r="EN51" s="128" t="e">
        <f>'PROJECT TA Y TB KARINA'!#REF!/8</f>
        <v>#REF!</v>
      </c>
      <c r="EO51" s="128">
        <f>'PROJECT TA Y TB KARINA'!$C105/8</f>
        <v>0</v>
      </c>
      <c r="EP51" s="128">
        <f>'PROJECT TA Y TB KARINA'!$C105/8</f>
        <v>0</v>
      </c>
      <c r="EQ51" s="128">
        <f>'PROJECT TA Y TB KARINA'!$C105/8</f>
        <v>0</v>
      </c>
      <c r="ER51" s="128">
        <f>'PROJECT TA Y TB KARINA'!$C105/8</f>
        <v>0</v>
      </c>
      <c r="ES51" s="128">
        <f>'PROJECT TA Y TB KARINA'!$C105/8</f>
        <v>0</v>
      </c>
      <c r="ET51" s="128">
        <f>'PROJECT TA Y TB KARINA'!$C105/8</f>
        <v>0</v>
      </c>
      <c r="EU51" s="128">
        <f>'PROJECT TA Y TB KARINA'!$C105/8</f>
        <v>0</v>
      </c>
      <c r="EV51" s="128">
        <f>'PROJECT TA Y TB KARINA'!$E105/8</f>
        <v>0</v>
      </c>
      <c r="EW51" s="128">
        <f>'PROJECT TA Y TB KARINA'!$E105/8</f>
        <v>0</v>
      </c>
      <c r="EX51" s="128">
        <f>'PROJECT TA Y TB KARINA'!$E105/8</f>
        <v>0</v>
      </c>
      <c r="EY51" s="128">
        <f>'PROJECT TA Y TB KARINA'!$E105/8</f>
        <v>0</v>
      </c>
      <c r="EZ51" s="128">
        <f>'PROJECT TA Y TB KARINA'!$E105/8</f>
        <v>0</v>
      </c>
      <c r="FA51" s="128">
        <f>'PROJECT TA Y TB KARINA'!$E105/8</f>
        <v>0</v>
      </c>
      <c r="FB51" s="128">
        <f>'PROJECT TA Y TB KARINA'!$E105/8</f>
        <v>0</v>
      </c>
      <c r="FC51" s="128">
        <f>'PROJECT TA Y TB KARINA'!$E105/8</f>
        <v>0</v>
      </c>
      <c r="FD51" s="128">
        <f>'PROJECT TA Y TB KARINA'!$F105/8</f>
        <v>0</v>
      </c>
      <c r="FE51" s="128">
        <f>'PROJECT TA Y TB KARINA'!$F105/8</f>
        <v>0</v>
      </c>
      <c r="FF51" s="128">
        <f>'PROJECT TA Y TB KARINA'!$F105/8</f>
        <v>0</v>
      </c>
      <c r="FG51" s="128">
        <f>'PROJECT TA Y TB KARINA'!$F105/8</f>
        <v>0</v>
      </c>
      <c r="FH51" s="128">
        <f>'PROJECT TA Y TB KARINA'!$F105/8</f>
        <v>0</v>
      </c>
      <c r="FI51" s="128">
        <f>'PROJECT TA Y TB KARINA'!$F105/8</f>
        <v>0</v>
      </c>
      <c r="FJ51" s="128">
        <f>'PROJECT TA Y TB KARINA'!$F105/8</f>
        <v>0</v>
      </c>
      <c r="FK51" s="128">
        <f>'PROJECT TA Y TB KARINA'!$F105/8</f>
        <v>0</v>
      </c>
      <c r="FL51" s="128">
        <f>'PROJECT TA Y TB KARINA'!$G105/8</f>
        <v>0</v>
      </c>
      <c r="FM51" s="128">
        <f>'PROJECT TA Y TB KARINA'!$G105/8</f>
        <v>0</v>
      </c>
      <c r="FN51" s="128">
        <f>'PROJECT TA Y TB KARINA'!$G105/8</f>
        <v>0</v>
      </c>
      <c r="FO51" s="128">
        <f>'PROJECT TA Y TB KARINA'!$G105/8</f>
        <v>0</v>
      </c>
      <c r="FP51" s="128">
        <f>'PROJECT TA Y TB KARINA'!$G105/8</f>
        <v>0</v>
      </c>
      <c r="FQ51" s="128">
        <f>'PROJECT TA Y TB KARINA'!$G105/8</f>
        <v>0</v>
      </c>
      <c r="FR51" s="128">
        <f>'PROJECT TA Y TB KARINA'!$G105/8</f>
        <v>0</v>
      </c>
      <c r="FS51" s="128">
        <f>'PROJECT TA Y TB KARINA'!$G105/8</f>
        <v>0</v>
      </c>
      <c r="FT51" s="128">
        <f>'PROJECT TA Y TB KARINA'!$H105/8</f>
        <v>0</v>
      </c>
      <c r="FU51" s="128">
        <f>'PROJECT TA Y TB KARINA'!$H105/8</f>
        <v>0</v>
      </c>
      <c r="FV51" s="128">
        <f>'PROJECT TA Y TB KARINA'!$H105/8</f>
        <v>0</v>
      </c>
      <c r="FW51" s="128">
        <f>'PROJECT TA Y TB KARINA'!$H105/8</f>
        <v>0</v>
      </c>
      <c r="FX51" s="128">
        <f>'PROJECT TA Y TB KARINA'!$H105/8</f>
        <v>0</v>
      </c>
      <c r="FY51" s="128">
        <f>'PROJECT TA Y TB KARINA'!$H105/8</f>
        <v>0</v>
      </c>
      <c r="FZ51" s="128">
        <f>'PROJECT TA Y TB KARINA'!$H105/8</f>
        <v>0</v>
      </c>
      <c r="GA51" s="128">
        <f>'PROJECT TA Y TB KARINA'!$H105/8</f>
        <v>0</v>
      </c>
      <c r="GB51" s="128">
        <f>'PROJECT TA Y TB KARINA'!$I105/8</f>
        <v>0</v>
      </c>
      <c r="GC51" s="128">
        <f>'PROJECT TA Y TB KARINA'!$I105/8</f>
        <v>0</v>
      </c>
      <c r="GD51" s="128">
        <f>'PROJECT TA Y TB KARINA'!$I105/8</f>
        <v>0</v>
      </c>
      <c r="GE51" s="128">
        <f>'PROJECT TA Y TB KARINA'!$I105/8</f>
        <v>0</v>
      </c>
      <c r="GF51" s="128">
        <f>'PROJECT TA Y TB KARINA'!$I105/8</f>
        <v>0</v>
      </c>
      <c r="GG51" s="128">
        <f>'PROJECT TA Y TB KARINA'!$I105/8</f>
        <v>0</v>
      </c>
      <c r="GH51" s="128">
        <f>'PROJECT TA Y TB KARINA'!$I105/8</f>
        <v>0</v>
      </c>
      <c r="GI51" s="128">
        <f>'PROJECT TA Y TB KARINA'!$I105/8</f>
        <v>0</v>
      </c>
      <c r="GJ51" s="128">
        <f>'PROJECT TA Y TB KARINA'!$J105/8</f>
        <v>0</v>
      </c>
      <c r="GK51" s="128">
        <f>'PROJECT TA Y TB KARINA'!$J105/8</f>
        <v>0</v>
      </c>
      <c r="GL51" s="128">
        <f>'PROJECT TA Y TB KARINA'!$J105/8</f>
        <v>0</v>
      </c>
      <c r="GM51" s="128">
        <f>'PROJECT TA Y TB KARINA'!$J105/8</f>
        <v>0</v>
      </c>
      <c r="GN51" s="128">
        <f>'PROJECT TA Y TB KARINA'!$J105/8</f>
        <v>0</v>
      </c>
      <c r="GO51" s="128">
        <f>'PROJECT TA Y TB KARINA'!$J105/8</f>
        <v>0</v>
      </c>
      <c r="GP51" s="128">
        <f>'PROJECT TA Y TB KARINA'!$J105/8</f>
        <v>0</v>
      </c>
      <c r="GQ51" s="128">
        <f>'PROJECT TA Y TB KARINA'!$J105/8</f>
        <v>0</v>
      </c>
      <c r="GR51" s="128">
        <f>'PROJECT TA Y TB KARINA'!$K105/8</f>
        <v>0</v>
      </c>
      <c r="GS51" s="128">
        <f>'PROJECT TA Y TB KARINA'!$K105/8</f>
        <v>0</v>
      </c>
      <c r="GT51" s="128">
        <f>'PROJECT TA Y TB KARINA'!$K105/8</f>
        <v>0</v>
      </c>
      <c r="GU51" s="128">
        <f>'PROJECT TA Y TB KARINA'!$K105/8</f>
        <v>0</v>
      </c>
      <c r="GV51" s="128">
        <f>'PROJECT TA Y TB KARINA'!$K105/8</f>
        <v>0</v>
      </c>
      <c r="GW51" s="128">
        <f>'PROJECT TA Y TB KARINA'!$K105/8</f>
        <v>0</v>
      </c>
      <c r="GX51" s="128">
        <f>'PROJECT TA Y TB KARINA'!$K105/8</f>
        <v>0</v>
      </c>
      <c r="GY51" s="128">
        <f>'PROJECT TA Y TB KARINA'!$K105/8</f>
        <v>0</v>
      </c>
      <c r="GZ51" s="128">
        <f>'PROJECT TA Y TB KARINA'!$L105/8</f>
        <v>0</v>
      </c>
      <c r="HA51" s="128">
        <f>'PROJECT TA Y TB KARINA'!$L105/8</f>
        <v>0</v>
      </c>
      <c r="HB51" s="128">
        <f>'PROJECT TA Y TB KARINA'!$L105/8</f>
        <v>0</v>
      </c>
      <c r="HC51" s="128">
        <f>'PROJECT TA Y TB KARINA'!$L105/8</f>
        <v>0</v>
      </c>
      <c r="HD51" s="128">
        <f>'PROJECT TA Y TB KARINA'!$L105/8</f>
        <v>0</v>
      </c>
      <c r="HE51" s="128">
        <f>'PROJECT TA Y TB KARINA'!$L105/8</f>
        <v>0</v>
      </c>
      <c r="HF51" s="128">
        <f>'PROJECT TA Y TB KARINA'!$L105/8</f>
        <v>0</v>
      </c>
      <c r="HG51" s="128">
        <f>'PROJECT TA Y TB KARINA'!$L105/8</f>
        <v>0</v>
      </c>
      <c r="HH51" s="128">
        <f>'PROJECT TA Y TB KARINA'!$M105/8</f>
        <v>0</v>
      </c>
      <c r="HI51" s="128">
        <f>'PROJECT TA Y TB KARINA'!$M105/8</f>
        <v>0</v>
      </c>
      <c r="HJ51" s="128">
        <f>'PROJECT TA Y TB KARINA'!$M105/8</f>
        <v>0</v>
      </c>
      <c r="HK51" s="128">
        <f>'PROJECT TA Y TB KARINA'!$M105/8</f>
        <v>0</v>
      </c>
      <c r="HL51" s="128">
        <f>'PROJECT TA Y TB KARINA'!$M105/8</f>
        <v>0</v>
      </c>
      <c r="HM51" s="128">
        <f>'PROJECT TA Y TB KARINA'!$M105/8</f>
        <v>0</v>
      </c>
      <c r="HN51" s="128">
        <f>'PROJECT TA Y TB KARINA'!$M105/8</f>
        <v>0</v>
      </c>
      <c r="HO51" s="128">
        <f>'PROJECT TA Y TB KARINA'!$M105/8</f>
        <v>0</v>
      </c>
      <c r="HP51" s="128">
        <f>'PROJECT TA Y TB KARINA'!$N105/8</f>
        <v>0</v>
      </c>
      <c r="HQ51" s="128">
        <f>'PROJECT TA Y TB KARINA'!$N105/8</f>
        <v>0</v>
      </c>
      <c r="HR51" s="128">
        <f>'PROJECT TA Y TB KARINA'!$N105/8</f>
        <v>0</v>
      </c>
      <c r="HS51" s="128">
        <f>'PROJECT TA Y TB KARINA'!$N105/8</f>
        <v>0</v>
      </c>
      <c r="HT51" s="128">
        <f>'PROJECT TA Y TB KARINA'!$N105/8</f>
        <v>0</v>
      </c>
      <c r="HU51" s="128">
        <f>'PROJECT TA Y TB KARINA'!$N105/8</f>
        <v>0</v>
      </c>
      <c r="HV51" s="128">
        <f>'PROJECT TA Y TB KARINA'!$N105/8</f>
        <v>0</v>
      </c>
      <c r="HW51" s="128">
        <f>'PROJECT TA Y TB KARINA'!$N105/8</f>
        <v>0</v>
      </c>
      <c r="HX51" s="128">
        <f>'PROJECT TA Y TB KARINA'!$O105/8</f>
        <v>0</v>
      </c>
      <c r="HY51" s="128">
        <f>'PROJECT TA Y TB KARINA'!$O105/8</f>
        <v>0</v>
      </c>
      <c r="HZ51" s="128">
        <f>'PROJECT TA Y TB KARINA'!$O105/8</f>
        <v>0</v>
      </c>
      <c r="IA51" s="128">
        <f>'PROJECT TA Y TB KARINA'!$O105/8</f>
        <v>0</v>
      </c>
      <c r="IB51" s="128">
        <f>'PROJECT TA Y TB KARINA'!$O105/8</f>
        <v>0</v>
      </c>
      <c r="IC51" s="128">
        <f>'PROJECT TA Y TB KARINA'!$O105/8</f>
        <v>0</v>
      </c>
      <c r="ID51" s="128">
        <f>'PROJECT TA Y TB KARINA'!$O105/8</f>
        <v>0</v>
      </c>
      <c r="IE51" s="128">
        <f>'PROJECT TA Y TB KARINA'!$O105/8</f>
        <v>0</v>
      </c>
      <c r="IF51" s="128">
        <f>'PROJECT TA Y TB KARINA'!$P105/8</f>
        <v>0</v>
      </c>
      <c r="IG51" s="128">
        <f>'PROJECT TA Y TB KARINA'!$P105/8</f>
        <v>0</v>
      </c>
      <c r="IH51" s="128">
        <f>'PROJECT TA Y TB KARINA'!$P105/8</f>
        <v>0</v>
      </c>
      <c r="II51" s="128">
        <f>'PROJECT TA Y TB KARINA'!$P105/8</f>
        <v>0</v>
      </c>
      <c r="IJ51" s="128">
        <f>'PROJECT TA Y TB KARINA'!$P105/8</f>
        <v>0</v>
      </c>
      <c r="IK51" s="128">
        <f>'PROJECT TA Y TB KARINA'!$P105/8</f>
        <v>0</v>
      </c>
      <c r="IL51" s="128">
        <f>'PROJECT TA Y TB KARINA'!$P105/8</f>
        <v>0</v>
      </c>
      <c r="IM51" s="128">
        <f>'PROJECT TA Y TB KARINA'!$P105/8</f>
        <v>0</v>
      </c>
      <c r="IN51" s="128">
        <f>'PROJECT TA Y TB KARINA'!$Q105/8</f>
        <v>0</v>
      </c>
      <c r="IO51" s="128">
        <f>'PROJECT TA Y TB KARINA'!$Q105/8</f>
        <v>0</v>
      </c>
      <c r="IP51" s="128">
        <f>'PROJECT TA Y TB KARINA'!$Q105/8</f>
        <v>0</v>
      </c>
      <c r="IQ51" s="128">
        <f>'PROJECT TA Y TB KARINA'!$Q105/8</f>
        <v>0</v>
      </c>
      <c r="IR51" s="128">
        <f>'PROJECT TA Y TB KARINA'!$Q105/8</f>
        <v>0</v>
      </c>
      <c r="IS51" s="128">
        <f>'PROJECT TA Y TB KARINA'!$Q105/8</f>
        <v>0</v>
      </c>
      <c r="IT51" s="128">
        <f>'PROJECT TA Y TB KARINA'!$Q105/8</f>
        <v>0</v>
      </c>
      <c r="IU51" s="128">
        <f>'PROJECT TA Y TB KARINA'!$Q105/8</f>
        <v>0</v>
      </c>
      <c r="IV51" s="128">
        <f>'PROJECT TA Y TB KARINA'!$R105/8</f>
        <v>0</v>
      </c>
      <c r="IW51" s="128">
        <f>'PROJECT TA Y TB KARINA'!$R105/8</f>
        <v>0</v>
      </c>
      <c r="IX51" s="128">
        <f>'PROJECT TA Y TB KARINA'!$R105/8</f>
        <v>0</v>
      </c>
      <c r="IY51" s="128">
        <f>'PROJECT TA Y TB KARINA'!$R105/8</f>
        <v>0</v>
      </c>
      <c r="IZ51" s="128">
        <f>'PROJECT TA Y TB KARINA'!$R105/8</f>
        <v>0</v>
      </c>
      <c r="JA51" s="128">
        <f>'PROJECT TA Y TB KARINA'!$R105/8</f>
        <v>0</v>
      </c>
      <c r="JB51" s="128">
        <f>'PROJECT TA Y TB KARINA'!$R105/8</f>
        <v>0</v>
      </c>
      <c r="JC51" s="128">
        <f>'PROJECT TA Y TB KARINA'!$R105/8</f>
        <v>0</v>
      </c>
      <c r="JD51" s="128">
        <f>'PROJECT TA Y TB KARINA'!$S105/8</f>
        <v>0</v>
      </c>
      <c r="JE51" s="128">
        <f>'PROJECT TA Y TB KARINA'!$S105/8</f>
        <v>0</v>
      </c>
      <c r="JF51" s="128">
        <f>'PROJECT TA Y TB KARINA'!$S105/8</f>
        <v>0</v>
      </c>
      <c r="JG51" s="128">
        <f>'PROJECT TA Y TB KARINA'!$S105/8</f>
        <v>0</v>
      </c>
      <c r="JH51" s="128">
        <f>'PROJECT TA Y TB KARINA'!$S105/8</f>
        <v>0</v>
      </c>
      <c r="JI51" s="128">
        <f>'PROJECT TA Y TB KARINA'!$S105/8</f>
        <v>0</v>
      </c>
      <c r="JJ51" s="128">
        <f>'PROJECT TA Y TB KARINA'!$S105/8</f>
        <v>0</v>
      </c>
      <c r="JK51" s="128">
        <f>'PROJECT TA Y TB KARINA'!$S105/8</f>
        <v>0</v>
      </c>
      <c r="JL51" s="128">
        <f>'PROJECT TA Y TB KARINA'!$T105/8</f>
        <v>0</v>
      </c>
      <c r="JM51" s="128">
        <f>'PROJECT TA Y TB KARINA'!$T105/8</f>
        <v>0</v>
      </c>
      <c r="JN51" s="128">
        <f>'PROJECT TA Y TB KARINA'!$T105/8</f>
        <v>0</v>
      </c>
      <c r="JO51" s="128">
        <f>'PROJECT TA Y TB KARINA'!$T105/8</f>
        <v>0</v>
      </c>
      <c r="JP51" s="128">
        <f>'PROJECT TA Y TB KARINA'!$T105/8</f>
        <v>0</v>
      </c>
      <c r="JQ51" s="128">
        <f>'PROJECT TA Y TB KARINA'!$T105/8</f>
        <v>0</v>
      </c>
      <c r="JR51" s="128">
        <f>'PROJECT TA Y TB KARINA'!$T105/8</f>
        <v>0</v>
      </c>
      <c r="JS51" s="128">
        <f>'PROJECT TA Y TB KARINA'!$T105/8</f>
        <v>0</v>
      </c>
      <c r="JT51" s="128" t="e">
        <f>'PROJECT TA Y TB KARINA'!#REF!/8</f>
        <v>#REF!</v>
      </c>
      <c r="JU51" s="128" t="e">
        <f>'PROJECT TA Y TB KARINA'!#REF!/8</f>
        <v>#REF!</v>
      </c>
      <c r="JV51" s="128" t="e">
        <f>'PROJECT TA Y TB KARINA'!#REF!/8</f>
        <v>#REF!</v>
      </c>
      <c r="JW51" s="128" t="e">
        <f>'PROJECT TA Y TB KARINA'!#REF!/8</f>
        <v>#REF!</v>
      </c>
      <c r="JX51" s="128" t="e">
        <f>'PROJECT TA Y TB KARINA'!#REF!/8</f>
        <v>#REF!</v>
      </c>
      <c r="JY51" s="128" t="e">
        <f>'PROJECT TA Y TB KARINA'!#REF!/8</f>
        <v>#REF!</v>
      </c>
      <c r="JZ51" s="128" t="e">
        <f>'PROJECT TA Y TB KARINA'!#REF!/8</f>
        <v>#REF!</v>
      </c>
      <c r="KA51" s="128" t="e">
        <f>'PROJECT TA Y TB KARINA'!#REF!/8</f>
        <v>#REF!</v>
      </c>
    </row>
    <row r="52" spans="1:287" ht="21">
      <c r="A52" s="130" t="s">
        <v>505</v>
      </c>
      <c r="B52" s="128" t="e">
        <f>'PROJECT TA Y TB KARINA'!$C$48/8</f>
        <v>#REF!</v>
      </c>
      <c r="C52" s="128" t="e">
        <f>'PROJECT TA Y TB KARINA'!$C$48/8</f>
        <v>#REF!</v>
      </c>
      <c r="D52" s="128" t="e">
        <f>'PROJECT TA Y TB KARINA'!$C$48/8</f>
        <v>#REF!</v>
      </c>
      <c r="E52" s="128" t="e">
        <f>'PROJECT TA Y TB KARINA'!$C$48/8</f>
        <v>#REF!</v>
      </c>
      <c r="F52" s="128" t="e">
        <f>'PROJECT TA Y TB KARINA'!$C$48/8</f>
        <v>#REF!</v>
      </c>
      <c r="G52" s="128" t="e">
        <f>'PROJECT TA Y TB KARINA'!$C$48/8</f>
        <v>#REF!</v>
      </c>
      <c r="H52" s="128" t="e">
        <f>'PROJECT TA Y TB KARINA'!$C$48/8</f>
        <v>#REF!</v>
      </c>
      <c r="I52" s="128" t="e">
        <f>'PROJECT TA Y TB KARINA'!$E48/8</f>
        <v>#REF!</v>
      </c>
      <c r="J52" s="128" t="e">
        <f>'PROJECT TA Y TB KARINA'!$E48/8</f>
        <v>#REF!</v>
      </c>
      <c r="K52" s="128" t="e">
        <f>'PROJECT TA Y TB KARINA'!$E48/8</f>
        <v>#REF!</v>
      </c>
      <c r="L52" s="128" t="e">
        <f>'PROJECT TA Y TB KARINA'!$E48/8</f>
        <v>#REF!</v>
      </c>
      <c r="M52" s="128" t="e">
        <f>'PROJECT TA Y TB KARINA'!$E48/8</f>
        <v>#REF!</v>
      </c>
      <c r="N52" s="128" t="e">
        <f>'PROJECT TA Y TB KARINA'!$E48/8</f>
        <v>#REF!</v>
      </c>
      <c r="O52" s="128" t="e">
        <f>'PROJECT TA Y TB KARINA'!$E48/8</f>
        <v>#REF!</v>
      </c>
      <c r="P52" s="128" t="e">
        <f>'PROJECT TA Y TB KARINA'!$E48/8</f>
        <v>#REF!</v>
      </c>
      <c r="Q52" s="128" t="e">
        <f>'PROJECT TA Y TB KARINA'!$F48/8</f>
        <v>#REF!</v>
      </c>
      <c r="R52" s="128" t="e">
        <f>'PROJECT TA Y TB KARINA'!$F48/8</f>
        <v>#REF!</v>
      </c>
      <c r="S52" s="128" t="e">
        <f>'PROJECT TA Y TB KARINA'!$F48/8</f>
        <v>#REF!</v>
      </c>
      <c r="T52" s="128" t="e">
        <f>'PROJECT TA Y TB KARINA'!$F48/8</f>
        <v>#REF!</v>
      </c>
      <c r="U52" s="128" t="e">
        <f>'PROJECT TA Y TB KARINA'!$F48/8</f>
        <v>#REF!</v>
      </c>
      <c r="V52" s="128" t="e">
        <f>'PROJECT TA Y TB KARINA'!$F48/8</f>
        <v>#REF!</v>
      </c>
      <c r="W52" s="128" t="e">
        <f>'PROJECT TA Y TB KARINA'!$F48/8</f>
        <v>#REF!</v>
      </c>
      <c r="X52" s="128" t="e">
        <f>'PROJECT TA Y TB KARINA'!$F48/8</f>
        <v>#REF!</v>
      </c>
      <c r="Y52" s="128" t="e">
        <f>'PROJECT TA Y TB KARINA'!$G48/8</f>
        <v>#REF!</v>
      </c>
      <c r="Z52" s="128" t="e">
        <f>'PROJECT TA Y TB KARINA'!$G48/8</f>
        <v>#REF!</v>
      </c>
      <c r="AA52" s="128" t="e">
        <f>'PROJECT TA Y TB KARINA'!$G48/8</f>
        <v>#REF!</v>
      </c>
      <c r="AB52" s="128" t="e">
        <f>'PROJECT TA Y TB KARINA'!$G48/8</f>
        <v>#REF!</v>
      </c>
      <c r="AC52" s="128" t="e">
        <f>'PROJECT TA Y TB KARINA'!$G48/8</f>
        <v>#REF!</v>
      </c>
      <c r="AD52" s="128" t="e">
        <f>'PROJECT TA Y TB KARINA'!$G48/8</f>
        <v>#REF!</v>
      </c>
      <c r="AE52" s="128" t="e">
        <f>'PROJECT TA Y TB KARINA'!$G48/8</f>
        <v>#REF!</v>
      </c>
      <c r="AF52" s="128" t="e">
        <f>'PROJECT TA Y TB KARINA'!$G48/8</f>
        <v>#REF!</v>
      </c>
      <c r="AG52" s="128" t="e">
        <f>'PROJECT TA Y TB KARINA'!$H48/8</f>
        <v>#REF!</v>
      </c>
      <c r="AH52" s="128" t="e">
        <f>'PROJECT TA Y TB KARINA'!$H48/8</f>
        <v>#REF!</v>
      </c>
      <c r="AI52" s="128" t="e">
        <f>'PROJECT TA Y TB KARINA'!$H48/8</f>
        <v>#REF!</v>
      </c>
      <c r="AJ52" s="128" t="e">
        <f>'PROJECT TA Y TB KARINA'!$H48/8</f>
        <v>#REF!</v>
      </c>
      <c r="AK52" s="128" t="e">
        <f>'PROJECT TA Y TB KARINA'!$H48/8</f>
        <v>#REF!</v>
      </c>
      <c r="AL52" s="128" t="e">
        <f>'PROJECT TA Y TB KARINA'!$H48/8</f>
        <v>#REF!</v>
      </c>
      <c r="AM52" s="128" t="e">
        <f>'PROJECT TA Y TB KARINA'!$H48/8</f>
        <v>#REF!</v>
      </c>
      <c r="AN52" s="128" t="e">
        <f>'PROJECT TA Y TB KARINA'!$H48/8</f>
        <v>#REF!</v>
      </c>
      <c r="AO52" s="128" t="e">
        <f>'PROJECT TA Y TB KARINA'!$I48/8</f>
        <v>#REF!</v>
      </c>
      <c r="AP52" s="128" t="e">
        <f>'PROJECT TA Y TB KARINA'!$I48/8</f>
        <v>#REF!</v>
      </c>
      <c r="AQ52" s="128" t="e">
        <f>'PROJECT TA Y TB KARINA'!$I48/8</f>
        <v>#REF!</v>
      </c>
      <c r="AR52" s="128" t="e">
        <f>'PROJECT TA Y TB KARINA'!$I48/8</f>
        <v>#REF!</v>
      </c>
      <c r="AS52" s="128" t="e">
        <f>'PROJECT TA Y TB KARINA'!$I48/8</f>
        <v>#REF!</v>
      </c>
      <c r="AT52" s="128" t="e">
        <f>'PROJECT TA Y TB KARINA'!$I48/8</f>
        <v>#REF!</v>
      </c>
      <c r="AU52" s="128" t="e">
        <f>'PROJECT TA Y TB KARINA'!$I48/8</f>
        <v>#REF!</v>
      </c>
      <c r="AV52" s="128" t="e">
        <f>'PROJECT TA Y TB KARINA'!$I48/8</f>
        <v>#REF!</v>
      </c>
      <c r="AW52" s="128" t="e">
        <f>'PROJECT TA Y TB KARINA'!$J48/8</f>
        <v>#REF!</v>
      </c>
      <c r="AX52" s="128" t="e">
        <f>'PROJECT TA Y TB KARINA'!$J48/8</f>
        <v>#REF!</v>
      </c>
      <c r="AY52" s="128" t="e">
        <f>'PROJECT TA Y TB KARINA'!$J48/8</f>
        <v>#REF!</v>
      </c>
      <c r="AZ52" s="128" t="e">
        <f>'PROJECT TA Y TB KARINA'!$J48/8</f>
        <v>#REF!</v>
      </c>
      <c r="BA52" s="128" t="e">
        <f>'PROJECT TA Y TB KARINA'!$J48/8</f>
        <v>#REF!</v>
      </c>
      <c r="BB52" s="128" t="e">
        <f>'PROJECT TA Y TB KARINA'!$J48/8</f>
        <v>#REF!</v>
      </c>
      <c r="BC52" s="128" t="e">
        <f>'PROJECT TA Y TB KARINA'!$J48/8</f>
        <v>#REF!</v>
      </c>
      <c r="BD52" s="128" t="e">
        <f>'PROJECT TA Y TB KARINA'!$J48/8</f>
        <v>#REF!</v>
      </c>
      <c r="BE52" s="128" t="e">
        <f>'PROJECT TA Y TB KARINA'!$K48/8</f>
        <v>#REF!</v>
      </c>
      <c r="BF52" s="128" t="e">
        <f>'PROJECT TA Y TB KARINA'!$K48/8</f>
        <v>#REF!</v>
      </c>
      <c r="BG52" s="128" t="e">
        <f>'PROJECT TA Y TB KARINA'!$K48/8</f>
        <v>#REF!</v>
      </c>
      <c r="BH52" s="128" t="e">
        <f>'PROJECT TA Y TB KARINA'!$K48/8</f>
        <v>#REF!</v>
      </c>
      <c r="BI52" s="128" t="e">
        <f>'PROJECT TA Y TB KARINA'!$K48/8</f>
        <v>#REF!</v>
      </c>
      <c r="BJ52" s="128" t="e">
        <f>'PROJECT TA Y TB KARINA'!$K48/8</f>
        <v>#REF!</v>
      </c>
      <c r="BK52" s="128" t="e">
        <f>'PROJECT TA Y TB KARINA'!$K48/8</f>
        <v>#REF!</v>
      </c>
      <c r="BL52" s="128" t="e">
        <f>'PROJECT TA Y TB KARINA'!$K48/8</f>
        <v>#REF!</v>
      </c>
      <c r="BM52" s="128" t="e">
        <f>'PROJECT TA Y TB KARINA'!$L48/8</f>
        <v>#REF!</v>
      </c>
      <c r="BN52" s="128" t="e">
        <f>'PROJECT TA Y TB KARINA'!$L48/8</f>
        <v>#REF!</v>
      </c>
      <c r="BO52" s="128" t="e">
        <f>'PROJECT TA Y TB KARINA'!$L48/8</f>
        <v>#REF!</v>
      </c>
      <c r="BP52" s="128" t="e">
        <f>'PROJECT TA Y TB KARINA'!$L48/8</f>
        <v>#REF!</v>
      </c>
      <c r="BQ52" s="128" t="e">
        <f>'PROJECT TA Y TB KARINA'!$L48/8</f>
        <v>#REF!</v>
      </c>
      <c r="BR52" s="128" t="e">
        <f>'PROJECT TA Y TB KARINA'!$L48/8</f>
        <v>#REF!</v>
      </c>
      <c r="BS52" s="128" t="e">
        <f>'PROJECT TA Y TB KARINA'!$L48/8</f>
        <v>#REF!</v>
      </c>
      <c r="BT52" s="128" t="e">
        <f>'PROJECT TA Y TB KARINA'!$L48/8</f>
        <v>#REF!</v>
      </c>
      <c r="BU52" s="128" t="e">
        <f>'PROJECT TA Y TB KARINA'!$M48/8</f>
        <v>#REF!</v>
      </c>
      <c r="BV52" s="128" t="e">
        <f>'PROJECT TA Y TB KARINA'!$M48/8</f>
        <v>#REF!</v>
      </c>
      <c r="BW52" s="128" t="e">
        <f>'PROJECT TA Y TB KARINA'!$M48/8</f>
        <v>#REF!</v>
      </c>
      <c r="BX52" s="128" t="e">
        <f>'PROJECT TA Y TB KARINA'!$M48/8</f>
        <v>#REF!</v>
      </c>
      <c r="BY52" s="128" t="e">
        <f>'PROJECT TA Y TB KARINA'!$M48/8</f>
        <v>#REF!</v>
      </c>
      <c r="BZ52" s="128" t="e">
        <f>'PROJECT TA Y TB KARINA'!$M48/8</f>
        <v>#REF!</v>
      </c>
      <c r="CA52" s="128" t="e">
        <f>'PROJECT TA Y TB KARINA'!$M48/8</f>
        <v>#REF!</v>
      </c>
      <c r="CB52" s="128" t="e">
        <f>'PROJECT TA Y TB KARINA'!$M48/8</f>
        <v>#REF!</v>
      </c>
      <c r="CC52" s="128" t="e">
        <f>'PROJECT TA Y TB KARINA'!$N48/8</f>
        <v>#REF!</v>
      </c>
      <c r="CD52" s="128" t="e">
        <f>'PROJECT TA Y TB KARINA'!$N48/8</f>
        <v>#REF!</v>
      </c>
      <c r="CE52" s="128" t="e">
        <f>'PROJECT TA Y TB KARINA'!$N48/8</f>
        <v>#REF!</v>
      </c>
      <c r="CF52" s="128" t="e">
        <f>'PROJECT TA Y TB KARINA'!$N48/8</f>
        <v>#REF!</v>
      </c>
      <c r="CG52" s="128" t="e">
        <f>'PROJECT TA Y TB KARINA'!$N48/8</f>
        <v>#REF!</v>
      </c>
      <c r="CH52" s="128" t="e">
        <f>'PROJECT TA Y TB KARINA'!$N48/8</f>
        <v>#REF!</v>
      </c>
      <c r="CI52" s="128" t="e">
        <f>'PROJECT TA Y TB KARINA'!$N48/8</f>
        <v>#REF!</v>
      </c>
      <c r="CJ52" s="128" t="e">
        <f>'PROJECT TA Y TB KARINA'!$N48/8</f>
        <v>#REF!</v>
      </c>
      <c r="CK52" s="128" t="e">
        <f>'PROJECT TA Y TB KARINA'!$O48/8</f>
        <v>#REF!</v>
      </c>
      <c r="CL52" s="128" t="e">
        <f>'PROJECT TA Y TB KARINA'!$O48/8</f>
        <v>#REF!</v>
      </c>
      <c r="CM52" s="128" t="e">
        <f>'PROJECT TA Y TB KARINA'!$O48/8</f>
        <v>#REF!</v>
      </c>
      <c r="CN52" s="128" t="e">
        <f>'PROJECT TA Y TB KARINA'!$O48/8</f>
        <v>#REF!</v>
      </c>
      <c r="CO52" s="128" t="e">
        <f>'PROJECT TA Y TB KARINA'!$O48/8</f>
        <v>#REF!</v>
      </c>
      <c r="CP52" s="128" t="e">
        <f>'PROJECT TA Y TB KARINA'!$O48/8</f>
        <v>#REF!</v>
      </c>
      <c r="CQ52" s="128" t="e">
        <f>'PROJECT TA Y TB KARINA'!$O48/8</f>
        <v>#REF!</v>
      </c>
      <c r="CR52" s="128" t="e">
        <f>'PROJECT TA Y TB KARINA'!$O48/8</f>
        <v>#REF!</v>
      </c>
      <c r="CS52" s="128" t="e">
        <f>'PROJECT TA Y TB KARINA'!$P48/8</f>
        <v>#REF!</v>
      </c>
      <c r="CT52" s="128" t="e">
        <f>'PROJECT TA Y TB KARINA'!$P48/8</f>
        <v>#REF!</v>
      </c>
      <c r="CU52" s="128" t="e">
        <f>'PROJECT TA Y TB KARINA'!$P48/8</f>
        <v>#REF!</v>
      </c>
      <c r="CV52" s="128" t="e">
        <f>'PROJECT TA Y TB KARINA'!$P48/8</f>
        <v>#REF!</v>
      </c>
      <c r="CW52" s="128" t="e">
        <f>'PROJECT TA Y TB KARINA'!$P48/8</f>
        <v>#REF!</v>
      </c>
      <c r="CX52" s="128" t="e">
        <f>'PROJECT TA Y TB KARINA'!$P48/8</f>
        <v>#REF!</v>
      </c>
      <c r="CY52" s="128" t="e">
        <f>'PROJECT TA Y TB KARINA'!$P48/8</f>
        <v>#REF!</v>
      </c>
      <c r="CZ52" s="128" t="e">
        <f>'PROJECT TA Y TB KARINA'!$P48/8</f>
        <v>#REF!</v>
      </c>
      <c r="DA52" s="128" t="e">
        <f>'PROJECT TA Y TB KARINA'!$Q48/8</f>
        <v>#REF!</v>
      </c>
      <c r="DB52" s="128" t="e">
        <f>'PROJECT TA Y TB KARINA'!$Q48/8</f>
        <v>#REF!</v>
      </c>
      <c r="DC52" s="128" t="e">
        <f>'PROJECT TA Y TB KARINA'!$Q48/8</f>
        <v>#REF!</v>
      </c>
      <c r="DD52" s="128" t="e">
        <f>'PROJECT TA Y TB KARINA'!$Q48/8</f>
        <v>#REF!</v>
      </c>
      <c r="DE52" s="128" t="e">
        <f>'PROJECT TA Y TB KARINA'!$Q48/8</f>
        <v>#REF!</v>
      </c>
      <c r="DF52" s="128" t="e">
        <f>'PROJECT TA Y TB KARINA'!$Q48/8</f>
        <v>#REF!</v>
      </c>
      <c r="DG52" s="128" t="e">
        <f>'PROJECT TA Y TB KARINA'!$Q48/8</f>
        <v>#REF!</v>
      </c>
      <c r="DH52" s="128" t="e">
        <f>'PROJECT TA Y TB KARINA'!$Q48/8</f>
        <v>#REF!</v>
      </c>
      <c r="DI52" s="128" t="e">
        <f>'PROJECT TA Y TB KARINA'!$R48/8</f>
        <v>#REF!</v>
      </c>
      <c r="DJ52" s="128" t="e">
        <f>'PROJECT TA Y TB KARINA'!$R48/8</f>
        <v>#REF!</v>
      </c>
      <c r="DK52" s="128" t="e">
        <f>'PROJECT TA Y TB KARINA'!$R48/8</f>
        <v>#REF!</v>
      </c>
      <c r="DL52" s="128" t="e">
        <f>'PROJECT TA Y TB KARINA'!$R48/8</f>
        <v>#REF!</v>
      </c>
      <c r="DM52" s="128" t="e">
        <f>'PROJECT TA Y TB KARINA'!$R48/8</f>
        <v>#REF!</v>
      </c>
      <c r="DN52" s="128" t="e">
        <f>'PROJECT TA Y TB KARINA'!$R48/8</f>
        <v>#REF!</v>
      </c>
      <c r="DO52" s="128" t="e">
        <f>'PROJECT TA Y TB KARINA'!$R48/8</f>
        <v>#REF!</v>
      </c>
      <c r="DP52" s="128" t="e">
        <f>'PROJECT TA Y TB KARINA'!$R48/8</f>
        <v>#REF!</v>
      </c>
      <c r="DQ52" s="128" t="e">
        <f>'PROJECT TA Y TB KARINA'!$S48/8</f>
        <v>#REF!</v>
      </c>
      <c r="DR52" s="128" t="e">
        <f>'PROJECT TA Y TB KARINA'!$S48/8</f>
        <v>#REF!</v>
      </c>
      <c r="DS52" s="128" t="e">
        <f>'PROJECT TA Y TB KARINA'!$S48/8</f>
        <v>#REF!</v>
      </c>
      <c r="DT52" s="128" t="e">
        <f>'PROJECT TA Y TB KARINA'!$S48/8</f>
        <v>#REF!</v>
      </c>
      <c r="DU52" s="128" t="e">
        <f>'PROJECT TA Y TB KARINA'!$S48/8</f>
        <v>#REF!</v>
      </c>
      <c r="DV52" s="128" t="e">
        <f>'PROJECT TA Y TB KARINA'!$S48/8</f>
        <v>#REF!</v>
      </c>
      <c r="DW52" s="128" t="e">
        <f>'PROJECT TA Y TB KARINA'!$S48/8</f>
        <v>#REF!</v>
      </c>
      <c r="DX52" s="128" t="e">
        <f>'PROJECT TA Y TB KARINA'!$S48/8</f>
        <v>#REF!</v>
      </c>
      <c r="DY52" s="128" t="e">
        <f>'PROJECT TA Y TB KARINA'!$T48/8</f>
        <v>#REF!</v>
      </c>
      <c r="DZ52" s="128" t="e">
        <f>'PROJECT TA Y TB KARINA'!$T48/8</f>
        <v>#REF!</v>
      </c>
      <c r="EA52" s="128" t="e">
        <f>'PROJECT TA Y TB KARINA'!$T48/8</f>
        <v>#REF!</v>
      </c>
      <c r="EB52" s="128" t="e">
        <f>'PROJECT TA Y TB KARINA'!$T48/8</f>
        <v>#REF!</v>
      </c>
      <c r="EC52" s="128" t="e">
        <f>'PROJECT TA Y TB KARINA'!$T48/8</f>
        <v>#REF!</v>
      </c>
      <c r="ED52" s="128" t="e">
        <f>'PROJECT TA Y TB KARINA'!$T48/8</f>
        <v>#REF!</v>
      </c>
      <c r="EE52" s="128" t="e">
        <f>'PROJECT TA Y TB KARINA'!$T48/8</f>
        <v>#REF!</v>
      </c>
      <c r="EF52" s="128" t="e">
        <f>'PROJECT TA Y TB KARINA'!$T48/8</f>
        <v>#REF!</v>
      </c>
      <c r="EG52" s="128" t="e">
        <f>'PROJECT TA Y TB KARINA'!#REF!/8</f>
        <v>#REF!</v>
      </c>
      <c r="EH52" s="128" t="e">
        <f>'PROJECT TA Y TB KARINA'!#REF!/8</f>
        <v>#REF!</v>
      </c>
      <c r="EI52" s="128" t="e">
        <f>'PROJECT TA Y TB KARINA'!#REF!/8</f>
        <v>#REF!</v>
      </c>
      <c r="EJ52" s="128" t="e">
        <f>'PROJECT TA Y TB KARINA'!#REF!/8</f>
        <v>#REF!</v>
      </c>
      <c r="EK52" s="128" t="e">
        <f>'PROJECT TA Y TB KARINA'!#REF!/8</f>
        <v>#REF!</v>
      </c>
      <c r="EL52" s="128" t="e">
        <f>'PROJECT TA Y TB KARINA'!#REF!/8</f>
        <v>#REF!</v>
      </c>
      <c r="EM52" s="128" t="e">
        <f>'PROJECT TA Y TB KARINA'!#REF!/8</f>
        <v>#REF!</v>
      </c>
      <c r="EN52" s="128" t="e">
        <f>'PROJECT TA Y TB KARINA'!#REF!/8</f>
        <v>#REF!</v>
      </c>
      <c r="EO52" s="128">
        <f>'PROJECT TA Y TB KARINA'!$C106/8</f>
        <v>0</v>
      </c>
      <c r="EP52" s="128">
        <f>'PROJECT TA Y TB KARINA'!$C106/8</f>
        <v>0</v>
      </c>
      <c r="EQ52" s="128">
        <f>'PROJECT TA Y TB KARINA'!$C106/8</f>
        <v>0</v>
      </c>
      <c r="ER52" s="128">
        <f>'PROJECT TA Y TB KARINA'!$C106/8</f>
        <v>0</v>
      </c>
      <c r="ES52" s="128">
        <f>'PROJECT TA Y TB KARINA'!$C106/8</f>
        <v>0</v>
      </c>
      <c r="ET52" s="128">
        <f>'PROJECT TA Y TB KARINA'!$C106/8</f>
        <v>0</v>
      </c>
      <c r="EU52" s="128">
        <f>'PROJECT TA Y TB KARINA'!$C106/8</f>
        <v>0</v>
      </c>
      <c r="EV52" s="128">
        <f>'PROJECT TA Y TB KARINA'!$E106/8</f>
        <v>0</v>
      </c>
      <c r="EW52" s="128">
        <f>'PROJECT TA Y TB KARINA'!$E106/8</f>
        <v>0</v>
      </c>
      <c r="EX52" s="128">
        <f>'PROJECT TA Y TB KARINA'!$E106/8</f>
        <v>0</v>
      </c>
      <c r="EY52" s="128">
        <f>'PROJECT TA Y TB KARINA'!$E106/8</f>
        <v>0</v>
      </c>
      <c r="EZ52" s="128">
        <f>'PROJECT TA Y TB KARINA'!$E106/8</f>
        <v>0</v>
      </c>
      <c r="FA52" s="128">
        <f>'PROJECT TA Y TB KARINA'!$E106/8</f>
        <v>0</v>
      </c>
      <c r="FB52" s="128">
        <f>'PROJECT TA Y TB KARINA'!$E106/8</f>
        <v>0</v>
      </c>
      <c r="FC52" s="128">
        <f>'PROJECT TA Y TB KARINA'!$E106/8</f>
        <v>0</v>
      </c>
      <c r="FD52" s="128">
        <f>'PROJECT TA Y TB KARINA'!$F106/8</f>
        <v>0</v>
      </c>
      <c r="FE52" s="128">
        <f>'PROJECT TA Y TB KARINA'!$F106/8</f>
        <v>0</v>
      </c>
      <c r="FF52" s="128">
        <f>'PROJECT TA Y TB KARINA'!$F106/8</f>
        <v>0</v>
      </c>
      <c r="FG52" s="128">
        <f>'PROJECT TA Y TB KARINA'!$F106/8</f>
        <v>0</v>
      </c>
      <c r="FH52" s="128">
        <f>'PROJECT TA Y TB KARINA'!$F106/8</f>
        <v>0</v>
      </c>
      <c r="FI52" s="128">
        <f>'PROJECT TA Y TB KARINA'!$F106/8</f>
        <v>0</v>
      </c>
      <c r="FJ52" s="128">
        <f>'PROJECT TA Y TB KARINA'!$F106/8</f>
        <v>0</v>
      </c>
      <c r="FK52" s="128">
        <f>'PROJECT TA Y TB KARINA'!$F106/8</f>
        <v>0</v>
      </c>
      <c r="FL52" s="128">
        <f>'PROJECT TA Y TB KARINA'!$G106/8</f>
        <v>0</v>
      </c>
      <c r="FM52" s="128">
        <f>'PROJECT TA Y TB KARINA'!$G106/8</f>
        <v>0</v>
      </c>
      <c r="FN52" s="128">
        <f>'PROJECT TA Y TB KARINA'!$G106/8</f>
        <v>0</v>
      </c>
      <c r="FO52" s="128">
        <f>'PROJECT TA Y TB KARINA'!$G106/8</f>
        <v>0</v>
      </c>
      <c r="FP52" s="128">
        <f>'PROJECT TA Y TB KARINA'!$G106/8</f>
        <v>0</v>
      </c>
      <c r="FQ52" s="128">
        <f>'PROJECT TA Y TB KARINA'!$G106/8</f>
        <v>0</v>
      </c>
      <c r="FR52" s="128">
        <f>'PROJECT TA Y TB KARINA'!$G106/8</f>
        <v>0</v>
      </c>
      <c r="FS52" s="128">
        <f>'PROJECT TA Y TB KARINA'!$G106/8</f>
        <v>0</v>
      </c>
      <c r="FT52" s="128">
        <f>'PROJECT TA Y TB KARINA'!$H106/8</f>
        <v>0</v>
      </c>
      <c r="FU52" s="128">
        <f>'PROJECT TA Y TB KARINA'!$H106/8</f>
        <v>0</v>
      </c>
      <c r="FV52" s="128">
        <f>'PROJECT TA Y TB KARINA'!$H106/8</f>
        <v>0</v>
      </c>
      <c r="FW52" s="128">
        <f>'PROJECT TA Y TB KARINA'!$H106/8</f>
        <v>0</v>
      </c>
      <c r="FX52" s="128">
        <f>'PROJECT TA Y TB KARINA'!$H106/8</f>
        <v>0</v>
      </c>
      <c r="FY52" s="128">
        <f>'PROJECT TA Y TB KARINA'!$H106/8</f>
        <v>0</v>
      </c>
      <c r="FZ52" s="128">
        <f>'PROJECT TA Y TB KARINA'!$H106/8</f>
        <v>0</v>
      </c>
      <c r="GA52" s="128">
        <f>'PROJECT TA Y TB KARINA'!$H106/8</f>
        <v>0</v>
      </c>
      <c r="GB52" s="128">
        <f>'PROJECT TA Y TB KARINA'!$I106/8</f>
        <v>0</v>
      </c>
      <c r="GC52" s="128">
        <f>'PROJECT TA Y TB KARINA'!$I106/8</f>
        <v>0</v>
      </c>
      <c r="GD52" s="128">
        <f>'PROJECT TA Y TB KARINA'!$I106/8</f>
        <v>0</v>
      </c>
      <c r="GE52" s="128">
        <f>'PROJECT TA Y TB KARINA'!$I106/8</f>
        <v>0</v>
      </c>
      <c r="GF52" s="128">
        <f>'PROJECT TA Y TB KARINA'!$I106/8</f>
        <v>0</v>
      </c>
      <c r="GG52" s="128">
        <f>'PROJECT TA Y TB KARINA'!$I106/8</f>
        <v>0</v>
      </c>
      <c r="GH52" s="128">
        <f>'PROJECT TA Y TB KARINA'!$I106/8</f>
        <v>0</v>
      </c>
      <c r="GI52" s="128">
        <f>'PROJECT TA Y TB KARINA'!$I106/8</f>
        <v>0</v>
      </c>
      <c r="GJ52" s="128">
        <f>'PROJECT TA Y TB KARINA'!$J106/8</f>
        <v>0</v>
      </c>
      <c r="GK52" s="128">
        <f>'PROJECT TA Y TB KARINA'!$J106/8</f>
        <v>0</v>
      </c>
      <c r="GL52" s="128">
        <f>'PROJECT TA Y TB KARINA'!$J106/8</f>
        <v>0</v>
      </c>
      <c r="GM52" s="128">
        <f>'PROJECT TA Y TB KARINA'!$J106/8</f>
        <v>0</v>
      </c>
      <c r="GN52" s="128">
        <f>'PROJECT TA Y TB KARINA'!$J106/8</f>
        <v>0</v>
      </c>
      <c r="GO52" s="128">
        <f>'PROJECT TA Y TB KARINA'!$J106/8</f>
        <v>0</v>
      </c>
      <c r="GP52" s="128">
        <f>'PROJECT TA Y TB KARINA'!$J106/8</f>
        <v>0</v>
      </c>
      <c r="GQ52" s="128">
        <f>'PROJECT TA Y TB KARINA'!$J106/8</f>
        <v>0</v>
      </c>
      <c r="GR52" s="128">
        <f>'PROJECT TA Y TB KARINA'!$K106/8</f>
        <v>0</v>
      </c>
      <c r="GS52" s="128">
        <f>'PROJECT TA Y TB KARINA'!$K106/8</f>
        <v>0</v>
      </c>
      <c r="GT52" s="128">
        <f>'PROJECT TA Y TB KARINA'!$K106/8</f>
        <v>0</v>
      </c>
      <c r="GU52" s="128">
        <f>'PROJECT TA Y TB KARINA'!$K106/8</f>
        <v>0</v>
      </c>
      <c r="GV52" s="128">
        <f>'PROJECT TA Y TB KARINA'!$K106/8</f>
        <v>0</v>
      </c>
      <c r="GW52" s="128">
        <f>'PROJECT TA Y TB KARINA'!$K106/8</f>
        <v>0</v>
      </c>
      <c r="GX52" s="128">
        <f>'PROJECT TA Y TB KARINA'!$K106/8</f>
        <v>0</v>
      </c>
      <c r="GY52" s="128">
        <f>'PROJECT TA Y TB KARINA'!$K106/8</f>
        <v>0</v>
      </c>
      <c r="GZ52" s="128">
        <f>'PROJECT TA Y TB KARINA'!$L106/8</f>
        <v>0</v>
      </c>
      <c r="HA52" s="128">
        <f>'PROJECT TA Y TB KARINA'!$L106/8</f>
        <v>0</v>
      </c>
      <c r="HB52" s="128">
        <f>'PROJECT TA Y TB KARINA'!$L106/8</f>
        <v>0</v>
      </c>
      <c r="HC52" s="128">
        <f>'PROJECT TA Y TB KARINA'!$L106/8</f>
        <v>0</v>
      </c>
      <c r="HD52" s="128">
        <f>'PROJECT TA Y TB KARINA'!$L106/8</f>
        <v>0</v>
      </c>
      <c r="HE52" s="128">
        <f>'PROJECT TA Y TB KARINA'!$L106/8</f>
        <v>0</v>
      </c>
      <c r="HF52" s="128">
        <f>'PROJECT TA Y TB KARINA'!$L106/8</f>
        <v>0</v>
      </c>
      <c r="HG52" s="128">
        <f>'PROJECT TA Y TB KARINA'!$L106/8</f>
        <v>0</v>
      </c>
      <c r="HH52" s="128">
        <f>'PROJECT TA Y TB KARINA'!$M106/8</f>
        <v>0</v>
      </c>
      <c r="HI52" s="128">
        <f>'PROJECT TA Y TB KARINA'!$M106/8</f>
        <v>0</v>
      </c>
      <c r="HJ52" s="128">
        <f>'PROJECT TA Y TB KARINA'!$M106/8</f>
        <v>0</v>
      </c>
      <c r="HK52" s="128">
        <f>'PROJECT TA Y TB KARINA'!$M106/8</f>
        <v>0</v>
      </c>
      <c r="HL52" s="128">
        <f>'PROJECT TA Y TB KARINA'!$M106/8</f>
        <v>0</v>
      </c>
      <c r="HM52" s="128">
        <f>'PROJECT TA Y TB KARINA'!$M106/8</f>
        <v>0</v>
      </c>
      <c r="HN52" s="128">
        <f>'PROJECT TA Y TB KARINA'!$M106/8</f>
        <v>0</v>
      </c>
      <c r="HO52" s="128">
        <f>'PROJECT TA Y TB KARINA'!$M106/8</f>
        <v>0</v>
      </c>
      <c r="HP52" s="128">
        <f>'PROJECT TA Y TB KARINA'!$N106/8</f>
        <v>0</v>
      </c>
      <c r="HQ52" s="128">
        <f>'PROJECT TA Y TB KARINA'!$N106/8</f>
        <v>0</v>
      </c>
      <c r="HR52" s="128">
        <f>'PROJECT TA Y TB KARINA'!$N106/8</f>
        <v>0</v>
      </c>
      <c r="HS52" s="128">
        <f>'PROJECT TA Y TB KARINA'!$N106/8</f>
        <v>0</v>
      </c>
      <c r="HT52" s="128">
        <f>'PROJECT TA Y TB KARINA'!$N106/8</f>
        <v>0</v>
      </c>
      <c r="HU52" s="128">
        <f>'PROJECT TA Y TB KARINA'!$N106/8</f>
        <v>0</v>
      </c>
      <c r="HV52" s="128">
        <f>'PROJECT TA Y TB KARINA'!$N106/8</f>
        <v>0</v>
      </c>
      <c r="HW52" s="128">
        <f>'PROJECT TA Y TB KARINA'!$N106/8</f>
        <v>0</v>
      </c>
      <c r="HX52" s="128">
        <f>'PROJECT TA Y TB KARINA'!$O106/8</f>
        <v>0</v>
      </c>
      <c r="HY52" s="128">
        <f>'PROJECT TA Y TB KARINA'!$O106/8</f>
        <v>0</v>
      </c>
      <c r="HZ52" s="128">
        <f>'PROJECT TA Y TB KARINA'!$O106/8</f>
        <v>0</v>
      </c>
      <c r="IA52" s="128">
        <f>'PROJECT TA Y TB KARINA'!$O106/8</f>
        <v>0</v>
      </c>
      <c r="IB52" s="128">
        <f>'PROJECT TA Y TB KARINA'!$O106/8</f>
        <v>0</v>
      </c>
      <c r="IC52" s="128">
        <f>'PROJECT TA Y TB KARINA'!$O106/8</f>
        <v>0</v>
      </c>
      <c r="ID52" s="128">
        <f>'PROJECT TA Y TB KARINA'!$O106/8</f>
        <v>0</v>
      </c>
      <c r="IE52" s="128">
        <f>'PROJECT TA Y TB KARINA'!$O106/8</f>
        <v>0</v>
      </c>
      <c r="IF52" s="128">
        <f>'PROJECT TA Y TB KARINA'!$P106/8</f>
        <v>0</v>
      </c>
      <c r="IG52" s="128">
        <f>'PROJECT TA Y TB KARINA'!$P106/8</f>
        <v>0</v>
      </c>
      <c r="IH52" s="128">
        <f>'PROJECT TA Y TB KARINA'!$P106/8</f>
        <v>0</v>
      </c>
      <c r="II52" s="128">
        <f>'PROJECT TA Y TB KARINA'!$P106/8</f>
        <v>0</v>
      </c>
      <c r="IJ52" s="128">
        <f>'PROJECT TA Y TB KARINA'!$P106/8</f>
        <v>0</v>
      </c>
      <c r="IK52" s="128">
        <f>'PROJECT TA Y TB KARINA'!$P106/8</f>
        <v>0</v>
      </c>
      <c r="IL52" s="128">
        <f>'PROJECT TA Y TB KARINA'!$P106/8</f>
        <v>0</v>
      </c>
      <c r="IM52" s="128">
        <f>'PROJECT TA Y TB KARINA'!$P106/8</f>
        <v>0</v>
      </c>
      <c r="IN52" s="128">
        <f>'PROJECT TA Y TB KARINA'!$Q106/8</f>
        <v>0</v>
      </c>
      <c r="IO52" s="128">
        <f>'PROJECT TA Y TB KARINA'!$Q106/8</f>
        <v>0</v>
      </c>
      <c r="IP52" s="128">
        <f>'PROJECT TA Y TB KARINA'!$Q106/8</f>
        <v>0</v>
      </c>
      <c r="IQ52" s="128">
        <f>'PROJECT TA Y TB KARINA'!$Q106/8</f>
        <v>0</v>
      </c>
      <c r="IR52" s="128">
        <f>'PROJECT TA Y TB KARINA'!$Q106/8</f>
        <v>0</v>
      </c>
      <c r="IS52" s="128">
        <f>'PROJECT TA Y TB KARINA'!$Q106/8</f>
        <v>0</v>
      </c>
      <c r="IT52" s="128">
        <f>'PROJECT TA Y TB KARINA'!$Q106/8</f>
        <v>0</v>
      </c>
      <c r="IU52" s="128">
        <f>'PROJECT TA Y TB KARINA'!$Q106/8</f>
        <v>0</v>
      </c>
      <c r="IV52" s="128">
        <f>'PROJECT TA Y TB KARINA'!$R106/8</f>
        <v>0</v>
      </c>
      <c r="IW52" s="128">
        <f>'PROJECT TA Y TB KARINA'!$R106/8</f>
        <v>0</v>
      </c>
      <c r="IX52" s="128">
        <f>'PROJECT TA Y TB KARINA'!$R106/8</f>
        <v>0</v>
      </c>
      <c r="IY52" s="128">
        <f>'PROJECT TA Y TB KARINA'!$R106/8</f>
        <v>0</v>
      </c>
      <c r="IZ52" s="128">
        <f>'PROJECT TA Y TB KARINA'!$R106/8</f>
        <v>0</v>
      </c>
      <c r="JA52" s="128">
        <f>'PROJECT TA Y TB KARINA'!$R106/8</f>
        <v>0</v>
      </c>
      <c r="JB52" s="128">
        <f>'PROJECT TA Y TB KARINA'!$R106/8</f>
        <v>0</v>
      </c>
      <c r="JC52" s="128">
        <f>'PROJECT TA Y TB KARINA'!$R106/8</f>
        <v>0</v>
      </c>
      <c r="JD52" s="128">
        <f>'PROJECT TA Y TB KARINA'!$S106/8</f>
        <v>0</v>
      </c>
      <c r="JE52" s="128">
        <f>'PROJECT TA Y TB KARINA'!$S106/8</f>
        <v>0</v>
      </c>
      <c r="JF52" s="128">
        <f>'PROJECT TA Y TB KARINA'!$S106/8</f>
        <v>0</v>
      </c>
      <c r="JG52" s="128">
        <f>'PROJECT TA Y TB KARINA'!$S106/8</f>
        <v>0</v>
      </c>
      <c r="JH52" s="128">
        <f>'PROJECT TA Y TB KARINA'!$S106/8</f>
        <v>0</v>
      </c>
      <c r="JI52" s="128">
        <f>'PROJECT TA Y TB KARINA'!$S106/8</f>
        <v>0</v>
      </c>
      <c r="JJ52" s="128">
        <f>'PROJECT TA Y TB KARINA'!$S106/8</f>
        <v>0</v>
      </c>
      <c r="JK52" s="128">
        <f>'PROJECT TA Y TB KARINA'!$S106/8</f>
        <v>0</v>
      </c>
      <c r="JL52" s="128">
        <f>'PROJECT TA Y TB KARINA'!$T106/8</f>
        <v>0</v>
      </c>
      <c r="JM52" s="128">
        <f>'PROJECT TA Y TB KARINA'!$T106/8</f>
        <v>0</v>
      </c>
      <c r="JN52" s="128">
        <f>'PROJECT TA Y TB KARINA'!$T106/8</f>
        <v>0</v>
      </c>
      <c r="JO52" s="128">
        <f>'PROJECT TA Y TB KARINA'!$T106/8</f>
        <v>0</v>
      </c>
      <c r="JP52" s="128">
        <f>'PROJECT TA Y TB KARINA'!$T106/8</f>
        <v>0</v>
      </c>
      <c r="JQ52" s="128">
        <f>'PROJECT TA Y TB KARINA'!$T106/8</f>
        <v>0</v>
      </c>
      <c r="JR52" s="128">
        <f>'PROJECT TA Y TB KARINA'!$T106/8</f>
        <v>0</v>
      </c>
      <c r="JS52" s="128">
        <f>'PROJECT TA Y TB KARINA'!$T106/8</f>
        <v>0</v>
      </c>
      <c r="JT52" s="128" t="e">
        <f>'PROJECT TA Y TB KARINA'!#REF!/8</f>
        <v>#REF!</v>
      </c>
      <c r="JU52" s="128" t="e">
        <f>'PROJECT TA Y TB KARINA'!#REF!/8</f>
        <v>#REF!</v>
      </c>
      <c r="JV52" s="128" t="e">
        <f>'PROJECT TA Y TB KARINA'!#REF!/8</f>
        <v>#REF!</v>
      </c>
      <c r="JW52" s="128" t="e">
        <f>'PROJECT TA Y TB KARINA'!#REF!/8</f>
        <v>#REF!</v>
      </c>
      <c r="JX52" s="128" t="e">
        <f>'PROJECT TA Y TB KARINA'!#REF!/8</f>
        <v>#REF!</v>
      </c>
      <c r="JY52" s="128" t="e">
        <f>'PROJECT TA Y TB KARINA'!#REF!/8</f>
        <v>#REF!</v>
      </c>
      <c r="JZ52" s="128" t="e">
        <f>'PROJECT TA Y TB KARINA'!#REF!/8</f>
        <v>#REF!</v>
      </c>
      <c r="KA52" s="128" t="e">
        <f>'PROJECT TA Y TB KARINA'!#REF!/8</f>
        <v>#REF!</v>
      </c>
    </row>
    <row r="53" spans="1:287" ht="21">
      <c r="A53" s="130" t="s">
        <v>506</v>
      </c>
      <c r="B53" s="128" t="e">
        <f>'PROJECT TA Y TB KARINA'!$C$49/8</f>
        <v>#REF!</v>
      </c>
      <c r="C53" s="128" t="e">
        <f>'PROJECT TA Y TB KARINA'!$C$49/8</f>
        <v>#REF!</v>
      </c>
      <c r="D53" s="128" t="e">
        <f>'PROJECT TA Y TB KARINA'!$C$49/8</f>
        <v>#REF!</v>
      </c>
      <c r="E53" s="128" t="e">
        <f>'PROJECT TA Y TB KARINA'!$C$49/8</f>
        <v>#REF!</v>
      </c>
      <c r="F53" s="128" t="e">
        <f>'PROJECT TA Y TB KARINA'!$C$49/8</f>
        <v>#REF!</v>
      </c>
      <c r="G53" s="128" t="e">
        <f>'PROJECT TA Y TB KARINA'!$C$49/8</f>
        <v>#REF!</v>
      </c>
      <c r="H53" s="128" t="e">
        <f>'PROJECT TA Y TB KARINA'!$C$49/8</f>
        <v>#REF!</v>
      </c>
      <c r="I53" s="128" t="e">
        <f>'PROJECT TA Y TB KARINA'!$E49/8</f>
        <v>#REF!</v>
      </c>
      <c r="J53" s="128" t="e">
        <f>'PROJECT TA Y TB KARINA'!$E49/8</f>
        <v>#REF!</v>
      </c>
      <c r="K53" s="128" t="e">
        <f>'PROJECT TA Y TB KARINA'!$E49/8</f>
        <v>#REF!</v>
      </c>
      <c r="L53" s="128" t="e">
        <f>'PROJECT TA Y TB KARINA'!$E49/8</f>
        <v>#REF!</v>
      </c>
      <c r="M53" s="128" t="e">
        <f>'PROJECT TA Y TB KARINA'!$E49/8</f>
        <v>#REF!</v>
      </c>
      <c r="N53" s="128" t="e">
        <f>'PROJECT TA Y TB KARINA'!$E49/8</f>
        <v>#REF!</v>
      </c>
      <c r="O53" s="128" t="e">
        <f>'PROJECT TA Y TB KARINA'!$E49/8</f>
        <v>#REF!</v>
      </c>
      <c r="P53" s="128" t="e">
        <f>'PROJECT TA Y TB KARINA'!$E49/8</f>
        <v>#REF!</v>
      </c>
      <c r="Q53" s="128" t="e">
        <f>'PROJECT TA Y TB KARINA'!$F49/8</f>
        <v>#REF!</v>
      </c>
      <c r="R53" s="128" t="e">
        <f>'PROJECT TA Y TB KARINA'!$F49/8</f>
        <v>#REF!</v>
      </c>
      <c r="S53" s="128" t="e">
        <f>'PROJECT TA Y TB KARINA'!$F49/8</f>
        <v>#REF!</v>
      </c>
      <c r="T53" s="128" t="e">
        <f>'PROJECT TA Y TB KARINA'!$F49/8</f>
        <v>#REF!</v>
      </c>
      <c r="U53" s="128" t="e">
        <f>'PROJECT TA Y TB KARINA'!$F49/8</f>
        <v>#REF!</v>
      </c>
      <c r="V53" s="128" t="e">
        <f>'PROJECT TA Y TB KARINA'!$F49/8</f>
        <v>#REF!</v>
      </c>
      <c r="W53" s="128" t="e">
        <f>'PROJECT TA Y TB KARINA'!$F49/8</f>
        <v>#REF!</v>
      </c>
      <c r="X53" s="128" t="e">
        <f>'PROJECT TA Y TB KARINA'!$F49/8</f>
        <v>#REF!</v>
      </c>
      <c r="Y53" s="128" t="e">
        <f>'PROJECT TA Y TB KARINA'!$G49/8</f>
        <v>#REF!</v>
      </c>
      <c r="Z53" s="128" t="e">
        <f>'PROJECT TA Y TB KARINA'!$G49/8</f>
        <v>#REF!</v>
      </c>
      <c r="AA53" s="128" t="e">
        <f>'PROJECT TA Y TB KARINA'!$G49/8</f>
        <v>#REF!</v>
      </c>
      <c r="AB53" s="128" t="e">
        <f>'PROJECT TA Y TB KARINA'!$G49/8</f>
        <v>#REF!</v>
      </c>
      <c r="AC53" s="128" t="e">
        <f>'PROJECT TA Y TB KARINA'!$G49/8</f>
        <v>#REF!</v>
      </c>
      <c r="AD53" s="128" t="e">
        <f>'PROJECT TA Y TB KARINA'!$G49/8</f>
        <v>#REF!</v>
      </c>
      <c r="AE53" s="128" t="e">
        <f>'PROJECT TA Y TB KARINA'!$G49/8</f>
        <v>#REF!</v>
      </c>
      <c r="AF53" s="128" t="e">
        <f>'PROJECT TA Y TB KARINA'!$G49/8</f>
        <v>#REF!</v>
      </c>
      <c r="AG53" s="128" t="e">
        <f>'PROJECT TA Y TB KARINA'!$H49/8</f>
        <v>#REF!</v>
      </c>
      <c r="AH53" s="128" t="e">
        <f>'PROJECT TA Y TB KARINA'!$H49/8</f>
        <v>#REF!</v>
      </c>
      <c r="AI53" s="128" t="e">
        <f>'PROJECT TA Y TB KARINA'!$H49/8</f>
        <v>#REF!</v>
      </c>
      <c r="AJ53" s="128" t="e">
        <f>'PROJECT TA Y TB KARINA'!$H49/8</f>
        <v>#REF!</v>
      </c>
      <c r="AK53" s="128" t="e">
        <f>'PROJECT TA Y TB KARINA'!$H49/8</f>
        <v>#REF!</v>
      </c>
      <c r="AL53" s="128" t="e">
        <f>'PROJECT TA Y TB KARINA'!$H49/8</f>
        <v>#REF!</v>
      </c>
      <c r="AM53" s="128" t="e">
        <f>'PROJECT TA Y TB KARINA'!$H49/8</f>
        <v>#REF!</v>
      </c>
      <c r="AN53" s="128" t="e">
        <f>'PROJECT TA Y TB KARINA'!$H49/8</f>
        <v>#REF!</v>
      </c>
      <c r="AO53" s="128" t="e">
        <f>'PROJECT TA Y TB KARINA'!$I49/8</f>
        <v>#REF!</v>
      </c>
      <c r="AP53" s="128" t="e">
        <f>'PROJECT TA Y TB KARINA'!$I49/8</f>
        <v>#REF!</v>
      </c>
      <c r="AQ53" s="128" t="e">
        <f>'PROJECT TA Y TB KARINA'!$I49/8</f>
        <v>#REF!</v>
      </c>
      <c r="AR53" s="128" t="e">
        <f>'PROJECT TA Y TB KARINA'!$I49/8</f>
        <v>#REF!</v>
      </c>
      <c r="AS53" s="128" t="e">
        <f>'PROJECT TA Y TB KARINA'!$I49/8</f>
        <v>#REF!</v>
      </c>
      <c r="AT53" s="128" t="e">
        <f>'PROJECT TA Y TB KARINA'!$I49/8</f>
        <v>#REF!</v>
      </c>
      <c r="AU53" s="128" t="e">
        <f>'PROJECT TA Y TB KARINA'!$I49/8</f>
        <v>#REF!</v>
      </c>
      <c r="AV53" s="128" t="e">
        <f>'PROJECT TA Y TB KARINA'!$I49/8</f>
        <v>#REF!</v>
      </c>
      <c r="AW53" s="128" t="e">
        <f>'PROJECT TA Y TB KARINA'!$J49/8</f>
        <v>#REF!</v>
      </c>
      <c r="AX53" s="128" t="e">
        <f>'PROJECT TA Y TB KARINA'!$J49/8</f>
        <v>#REF!</v>
      </c>
      <c r="AY53" s="128" t="e">
        <f>'PROJECT TA Y TB KARINA'!$J49/8</f>
        <v>#REF!</v>
      </c>
      <c r="AZ53" s="128" t="e">
        <f>'PROJECT TA Y TB KARINA'!$J49/8</f>
        <v>#REF!</v>
      </c>
      <c r="BA53" s="128" t="e">
        <f>'PROJECT TA Y TB KARINA'!$J49/8</f>
        <v>#REF!</v>
      </c>
      <c r="BB53" s="128" t="e">
        <f>'PROJECT TA Y TB KARINA'!$J49/8</f>
        <v>#REF!</v>
      </c>
      <c r="BC53" s="128" t="e">
        <f>'PROJECT TA Y TB KARINA'!$J49/8</f>
        <v>#REF!</v>
      </c>
      <c r="BD53" s="128" t="e">
        <f>'PROJECT TA Y TB KARINA'!$J49/8</f>
        <v>#REF!</v>
      </c>
      <c r="BE53" s="128" t="e">
        <f>'PROJECT TA Y TB KARINA'!$K49/8</f>
        <v>#REF!</v>
      </c>
      <c r="BF53" s="128" t="e">
        <f>'PROJECT TA Y TB KARINA'!$K49/8</f>
        <v>#REF!</v>
      </c>
      <c r="BG53" s="128" t="e">
        <f>'PROJECT TA Y TB KARINA'!$K49/8</f>
        <v>#REF!</v>
      </c>
      <c r="BH53" s="128" t="e">
        <f>'PROJECT TA Y TB KARINA'!$K49/8</f>
        <v>#REF!</v>
      </c>
      <c r="BI53" s="128" t="e">
        <f>'PROJECT TA Y TB KARINA'!$K49/8</f>
        <v>#REF!</v>
      </c>
      <c r="BJ53" s="128" t="e">
        <f>'PROJECT TA Y TB KARINA'!$K49/8</f>
        <v>#REF!</v>
      </c>
      <c r="BK53" s="128" t="e">
        <f>'PROJECT TA Y TB KARINA'!$K49/8</f>
        <v>#REF!</v>
      </c>
      <c r="BL53" s="128" t="e">
        <f>'PROJECT TA Y TB KARINA'!$K49/8</f>
        <v>#REF!</v>
      </c>
      <c r="BM53" s="128" t="e">
        <f>'PROJECT TA Y TB KARINA'!$L49/8</f>
        <v>#REF!</v>
      </c>
      <c r="BN53" s="128" t="e">
        <f>'PROJECT TA Y TB KARINA'!$L49/8</f>
        <v>#REF!</v>
      </c>
      <c r="BO53" s="128" t="e">
        <f>'PROJECT TA Y TB KARINA'!$L49/8</f>
        <v>#REF!</v>
      </c>
      <c r="BP53" s="128" t="e">
        <f>'PROJECT TA Y TB KARINA'!$L49/8</f>
        <v>#REF!</v>
      </c>
      <c r="BQ53" s="128" t="e">
        <f>'PROJECT TA Y TB KARINA'!$L49/8</f>
        <v>#REF!</v>
      </c>
      <c r="BR53" s="128" t="e">
        <f>'PROJECT TA Y TB KARINA'!$L49/8</f>
        <v>#REF!</v>
      </c>
      <c r="BS53" s="128" t="e">
        <f>'PROJECT TA Y TB KARINA'!$L49/8</f>
        <v>#REF!</v>
      </c>
      <c r="BT53" s="128" t="e">
        <f>'PROJECT TA Y TB KARINA'!$L49/8</f>
        <v>#REF!</v>
      </c>
      <c r="BU53" s="128" t="e">
        <f>'PROJECT TA Y TB KARINA'!$M49/8</f>
        <v>#REF!</v>
      </c>
      <c r="BV53" s="128" t="e">
        <f>'PROJECT TA Y TB KARINA'!$M49/8</f>
        <v>#REF!</v>
      </c>
      <c r="BW53" s="128" t="e">
        <f>'PROJECT TA Y TB KARINA'!$M49/8</f>
        <v>#REF!</v>
      </c>
      <c r="BX53" s="128" t="e">
        <f>'PROJECT TA Y TB KARINA'!$M49/8</f>
        <v>#REF!</v>
      </c>
      <c r="BY53" s="128" t="e">
        <f>'PROJECT TA Y TB KARINA'!$M49/8</f>
        <v>#REF!</v>
      </c>
      <c r="BZ53" s="128" t="e">
        <f>'PROJECT TA Y TB KARINA'!$M49/8</f>
        <v>#REF!</v>
      </c>
      <c r="CA53" s="128" t="e">
        <f>'PROJECT TA Y TB KARINA'!$M49/8</f>
        <v>#REF!</v>
      </c>
      <c r="CB53" s="128" t="e">
        <f>'PROJECT TA Y TB KARINA'!$M49/8</f>
        <v>#REF!</v>
      </c>
      <c r="CC53" s="128" t="e">
        <f>'PROJECT TA Y TB KARINA'!$N49/8</f>
        <v>#REF!</v>
      </c>
      <c r="CD53" s="128" t="e">
        <f>'PROJECT TA Y TB KARINA'!$N49/8</f>
        <v>#REF!</v>
      </c>
      <c r="CE53" s="128" t="e">
        <f>'PROJECT TA Y TB KARINA'!$N49/8</f>
        <v>#REF!</v>
      </c>
      <c r="CF53" s="128" t="e">
        <f>'PROJECT TA Y TB KARINA'!$N49/8</f>
        <v>#REF!</v>
      </c>
      <c r="CG53" s="128" t="e">
        <f>'PROJECT TA Y TB KARINA'!$N49/8</f>
        <v>#REF!</v>
      </c>
      <c r="CH53" s="128" t="e">
        <f>'PROJECT TA Y TB KARINA'!$N49/8</f>
        <v>#REF!</v>
      </c>
      <c r="CI53" s="128" t="e">
        <f>'PROJECT TA Y TB KARINA'!$N49/8</f>
        <v>#REF!</v>
      </c>
      <c r="CJ53" s="128" t="e">
        <f>'PROJECT TA Y TB KARINA'!$N49/8</f>
        <v>#REF!</v>
      </c>
      <c r="CK53" s="128" t="e">
        <f>'PROJECT TA Y TB KARINA'!$O49/8</f>
        <v>#REF!</v>
      </c>
      <c r="CL53" s="128" t="e">
        <f>'PROJECT TA Y TB KARINA'!$O49/8</f>
        <v>#REF!</v>
      </c>
      <c r="CM53" s="128" t="e">
        <f>'PROJECT TA Y TB KARINA'!$O49/8</f>
        <v>#REF!</v>
      </c>
      <c r="CN53" s="128" t="e">
        <f>'PROJECT TA Y TB KARINA'!$O49/8</f>
        <v>#REF!</v>
      </c>
      <c r="CO53" s="128" t="e">
        <f>'PROJECT TA Y TB KARINA'!$O49/8</f>
        <v>#REF!</v>
      </c>
      <c r="CP53" s="128" t="e">
        <f>'PROJECT TA Y TB KARINA'!$O49/8</f>
        <v>#REF!</v>
      </c>
      <c r="CQ53" s="128" t="e">
        <f>'PROJECT TA Y TB KARINA'!$O49/8</f>
        <v>#REF!</v>
      </c>
      <c r="CR53" s="128" t="e">
        <f>'PROJECT TA Y TB KARINA'!$O49/8</f>
        <v>#REF!</v>
      </c>
      <c r="CS53" s="128" t="e">
        <f>'PROJECT TA Y TB KARINA'!$P49/8</f>
        <v>#REF!</v>
      </c>
      <c r="CT53" s="128" t="e">
        <f>'PROJECT TA Y TB KARINA'!$P49/8</f>
        <v>#REF!</v>
      </c>
      <c r="CU53" s="128" t="e">
        <f>'PROJECT TA Y TB KARINA'!$P49/8</f>
        <v>#REF!</v>
      </c>
      <c r="CV53" s="128" t="e">
        <f>'PROJECT TA Y TB KARINA'!$P49/8</f>
        <v>#REF!</v>
      </c>
      <c r="CW53" s="128" t="e">
        <f>'PROJECT TA Y TB KARINA'!$P49/8</f>
        <v>#REF!</v>
      </c>
      <c r="CX53" s="128" t="e">
        <f>'PROJECT TA Y TB KARINA'!$P49/8</f>
        <v>#REF!</v>
      </c>
      <c r="CY53" s="128" t="e">
        <f>'PROJECT TA Y TB KARINA'!$P49/8</f>
        <v>#REF!</v>
      </c>
      <c r="CZ53" s="128" t="e">
        <f>'PROJECT TA Y TB KARINA'!$P49/8</f>
        <v>#REF!</v>
      </c>
      <c r="DA53" s="128" t="e">
        <f>'PROJECT TA Y TB KARINA'!$Q49/8</f>
        <v>#REF!</v>
      </c>
      <c r="DB53" s="128" t="e">
        <f>'PROJECT TA Y TB KARINA'!$Q49/8</f>
        <v>#REF!</v>
      </c>
      <c r="DC53" s="128" t="e">
        <f>'PROJECT TA Y TB KARINA'!$Q49/8</f>
        <v>#REF!</v>
      </c>
      <c r="DD53" s="128" t="e">
        <f>'PROJECT TA Y TB KARINA'!$Q49/8</f>
        <v>#REF!</v>
      </c>
      <c r="DE53" s="128" t="e">
        <f>'PROJECT TA Y TB KARINA'!$Q49/8</f>
        <v>#REF!</v>
      </c>
      <c r="DF53" s="128" t="e">
        <f>'PROJECT TA Y TB KARINA'!$Q49/8</f>
        <v>#REF!</v>
      </c>
      <c r="DG53" s="128" t="e">
        <f>'PROJECT TA Y TB KARINA'!$Q49/8</f>
        <v>#REF!</v>
      </c>
      <c r="DH53" s="128" t="e">
        <f>'PROJECT TA Y TB KARINA'!$Q49/8</f>
        <v>#REF!</v>
      </c>
      <c r="DI53" s="128" t="e">
        <f>'PROJECT TA Y TB KARINA'!$R49/8</f>
        <v>#REF!</v>
      </c>
      <c r="DJ53" s="128" t="e">
        <f>'PROJECT TA Y TB KARINA'!$R49/8</f>
        <v>#REF!</v>
      </c>
      <c r="DK53" s="128" t="e">
        <f>'PROJECT TA Y TB KARINA'!$R49/8</f>
        <v>#REF!</v>
      </c>
      <c r="DL53" s="128" t="e">
        <f>'PROJECT TA Y TB KARINA'!$R49/8</f>
        <v>#REF!</v>
      </c>
      <c r="DM53" s="128" t="e">
        <f>'PROJECT TA Y TB KARINA'!$R49/8</f>
        <v>#REF!</v>
      </c>
      <c r="DN53" s="128" t="e">
        <f>'PROJECT TA Y TB KARINA'!$R49/8</f>
        <v>#REF!</v>
      </c>
      <c r="DO53" s="128" t="e">
        <f>'PROJECT TA Y TB KARINA'!$R49/8</f>
        <v>#REF!</v>
      </c>
      <c r="DP53" s="128" t="e">
        <f>'PROJECT TA Y TB KARINA'!$R49/8</f>
        <v>#REF!</v>
      </c>
      <c r="DQ53" s="128" t="e">
        <f>'PROJECT TA Y TB KARINA'!$S49/8</f>
        <v>#REF!</v>
      </c>
      <c r="DR53" s="128" t="e">
        <f>'PROJECT TA Y TB KARINA'!$S49/8</f>
        <v>#REF!</v>
      </c>
      <c r="DS53" s="128" t="e">
        <f>'PROJECT TA Y TB KARINA'!$S49/8</f>
        <v>#REF!</v>
      </c>
      <c r="DT53" s="128" t="e">
        <f>'PROJECT TA Y TB KARINA'!$S49/8</f>
        <v>#REF!</v>
      </c>
      <c r="DU53" s="128" t="e">
        <f>'PROJECT TA Y TB KARINA'!$S49/8</f>
        <v>#REF!</v>
      </c>
      <c r="DV53" s="128" t="e">
        <f>'PROJECT TA Y TB KARINA'!$S49/8</f>
        <v>#REF!</v>
      </c>
      <c r="DW53" s="128" t="e">
        <f>'PROJECT TA Y TB KARINA'!$S49/8</f>
        <v>#REF!</v>
      </c>
      <c r="DX53" s="128" t="e">
        <f>'PROJECT TA Y TB KARINA'!$S49/8</f>
        <v>#REF!</v>
      </c>
      <c r="DY53" s="128" t="e">
        <f>'PROJECT TA Y TB KARINA'!$T49/8</f>
        <v>#REF!</v>
      </c>
      <c r="DZ53" s="128" t="e">
        <f>'PROJECT TA Y TB KARINA'!$T49/8</f>
        <v>#REF!</v>
      </c>
      <c r="EA53" s="128" t="e">
        <f>'PROJECT TA Y TB KARINA'!$T49/8</f>
        <v>#REF!</v>
      </c>
      <c r="EB53" s="128" t="e">
        <f>'PROJECT TA Y TB KARINA'!$T49/8</f>
        <v>#REF!</v>
      </c>
      <c r="EC53" s="128" t="e">
        <f>'PROJECT TA Y TB KARINA'!$T49/8</f>
        <v>#REF!</v>
      </c>
      <c r="ED53" s="128" t="e">
        <f>'PROJECT TA Y TB KARINA'!$T49/8</f>
        <v>#REF!</v>
      </c>
      <c r="EE53" s="128" t="e">
        <f>'PROJECT TA Y TB KARINA'!$T49/8</f>
        <v>#REF!</v>
      </c>
      <c r="EF53" s="128" t="e">
        <f>'PROJECT TA Y TB KARINA'!$T49/8</f>
        <v>#REF!</v>
      </c>
      <c r="EG53" s="128" t="e">
        <f>'PROJECT TA Y TB KARINA'!#REF!/8</f>
        <v>#REF!</v>
      </c>
      <c r="EH53" s="128" t="e">
        <f>'PROJECT TA Y TB KARINA'!#REF!/8</f>
        <v>#REF!</v>
      </c>
      <c r="EI53" s="128" t="e">
        <f>'PROJECT TA Y TB KARINA'!#REF!/8</f>
        <v>#REF!</v>
      </c>
      <c r="EJ53" s="128" t="e">
        <f>'PROJECT TA Y TB KARINA'!#REF!/8</f>
        <v>#REF!</v>
      </c>
      <c r="EK53" s="128" t="e">
        <f>'PROJECT TA Y TB KARINA'!#REF!/8</f>
        <v>#REF!</v>
      </c>
      <c r="EL53" s="128" t="e">
        <f>'PROJECT TA Y TB KARINA'!#REF!/8</f>
        <v>#REF!</v>
      </c>
      <c r="EM53" s="128" t="e">
        <f>'PROJECT TA Y TB KARINA'!#REF!/8</f>
        <v>#REF!</v>
      </c>
      <c r="EN53" s="128" t="e">
        <f>'PROJECT TA Y TB KARINA'!#REF!/8</f>
        <v>#REF!</v>
      </c>
      <c r="EO53" s="128">
        <f>'PROJECT TA Y TB KARINA'!$C107/8</f>
        <v>0</v>
      </c>
      <c r="EP53" s="128">
        <f>'PROJECT TA Y TB KARINA'!$C107/8</f>
        <v>0</v>
      </c>
      <c r="EQ53" s="128">
        <f>'PROJECT TA Y TB KARINA'!$C107/8</f>
        <v>0</v>
      </c>
      <c r="ER53" s="128">
        <f>'PROJECT TA Y TB KARINA'!$C107/8</f>
        <v>0</v>
      </c>
      <c r="ES53" s="128">
        <f>'PROJECT TA Y TB KARINA'!$C107/8</f>
        <v>0</v>
      </c>
      <c r="ET53" s="128">
        <f>'PROJECT TA Y TB KARINA'!$C107/8</f>
        <v>0</v>
      </c>
      <c r="EU53" s="128">
        <f>'PROJECT TA Y TB KARINA'!$C107/8</f>
        <v>0</v>
      </c>
      <c r="EV53" s="128">
        <f>'PROJECT TA Y TB KARINA'!$E107/8</f>
        <v>0</v>
      </c>
      <c r="EW53" s="128">
        <f>'PROJECT TA Y TB KARINA'!$E107/8</f>
        <v>0</v>
      </c>
      <c r="EX53" s="128">
        <f>'PROJECT TA Y TB KARINA'!$E107/8</f>
        <v>0</v>
      </c>
      <c r="EY53" s="128">
        <f>'PROJECT TA Y TB KARINA'!$E107/8</f>
        <v>0</v>
      </c>
      <c r="EZ53" s="128">
        <f>'PROJECT TA Y TB KARINA'!$E107/8</f>
        <v>0</v>
      </c>
      <c r="FA53" s="128">
        <f>'PROJECT TA Y TB KARINA'!$E107/8</f>
        <v>0</v>
      </c>
      <c r="FB53" s="128">
        <f>'PROJECT TA Y TB KARINA'!$E107/8</f>
        <v>0</v>
      </c>
      <c r="FC53" s="128">
        <f>'PROJECT TA Y TB KARINA'!$E107/8</f>
        <v>0</v>
      </c>
      <c r="FD53" s="128">
        <f>'PROJECT TA Y TB KARINA'!$F107/8</f>
        <v>0</v>
      </c>
      <c r="FE53" s="128">
        <f>'PROJECT TA Y TB KARINA'!$F107/8</f>
        <v>0</v>
      </c>
      <c r="FF53" s="128">
        <f>'PROJECT TA Y TB KARINA'!$F107/8</f>
        <v>0</v>
      </c>
      <c r="FG53" s="128">
        <f>'PROJECT TA Y TB KARINA'!$F107/8</f>
        <v>0</v>
      </c>
      <c r="FH53" s="128">
        <f>'PROJECT TA Y TB KARINA'!$F107/8</f>
        <v>0</v>
      </c>
      <c r="FI53" s="128">
        <f>'PROJECT TA Y TB KARINA'!$F107/8</f>
        <v>0</v>
      </c>
      <c r="FJ53" s="128">
        <f>'PROJECT TA Y TB KARINA'!$F107/8</f>
        <v>0</v>
      </c>
      <c r="FK53" s="128">
        <f>'PROJECT TA Y TB KARINA'!$F107/8</f>
        <v>0</v>
      </c>
      <c r="FL53" s="128">
        <f>'PROJECT TA Y TB KARINA'!$G107/8</f>
        <v>0</v>
      </c>
      <c r="FM53" s="128">
        <f>'PROJECT TA Y TB KARINA'!$G107/8</f>
        <v>0</v>
      </c>
      <c r="FN53" s="128">
        <f>'PROJECT TA Y TB KARINA'!$G107/8</f>
        <v>0</v>
      </c>
      <c r="FO53" s="128">
        <f>'PROJECT TA Y TB KARINA'!$G107/8</f>
        <v>0</v>
      </c>
      <c r="FP53" s="128">
        <f>'PROJECT TA Y TB KARINA'!$G107/8</f>
        <v>0</v>
      </c>
      <c r="FQ53" s="128">
        <f>'PROJECT TA Y TB KARINA'!$G107/8</f>
        <v>0</v>
      </c>
      <c r="FR53" s="128">
        <f>'PROJECT TA Y TB KARINA'!$G107/8</f>
        <v>0</v>
      </c>
      <c r="FS53" s="128">
        <f>'PROJECT TA Y TB KARINA'!$G107/8</f>
        <v>0</v>
      </c>
      <c r="FT53" s="128">
        <f>'PROJECT TA Y TB KARINA'!$H107/8</f>
        <v>0</v>
      </c>
      <c r="FU53" s="128">
        <f>'PROJECT TA Y TB KARINA'!$H107/8</f>
        <v>0</v>
      </c>
      <c r="FV53" s="128">
        <f>'PROJECT TA Y TB KARINA'!$H107/8</f>
        <v>0</v>
      </c>
      <c r="FW53" s="128">
        <f>'PROJECT TA Y TB KARINA'!$H107/8</f>
        <v>0</v>
      </c>
      <c r="FX53" s="128">
        <f>'PROJECT TA Y TB KARINA'!$H107/8</f>
        <v>0</v>
      </c>
      <c r="FY53" s="128">
        <f>'PROJECT TA Y TB KARINA'!$H107/8</f>
        <v>0</v>
      </c>
      <c r="FZ53" s="128">
        <f>'PROJECT TA Y TB KARINA'!$H107/8</f>
        <v>0</v>
      </c>
      <c r="GA53" s="128">
        <f>'PROJECT TA Y TB KARINA'!$H107/8</f>
        <v>0</v>
      </c>
      <c r="GB53" s="128">
        <f>'PROJECT TA Y TB KARINA'!$I107/8</f>
        <v>0</v>
      </c>
      <c r="GC53" s="128">
        <f>'PROJECT TA Y TB KARINA'!$I107/8</f>
        <v>0</v>
      </c>
      <c r="GD53" s="128">
        <f>'PROJECT TA Y TB KARINA'!$I107/8</f>
        <v>0</v>
      </c>
      <c r="GE53" s="128">
        <f>'PROJECT TA Y TB KARINA'!$I107/8</f>
        <v>0</v>
      </c>
      <c r="GF53" s="128">
        <f>'PROJECT TA Y TB KARINA'!$I107/8</f>
        <v>0</v>
      </c>
      <c r="GG53" s="128">
        <f>'PROJECT TA Y TB KARINA'!$I107/8</f>
        <v>0</v>
      </c>
      <c r="GH53" s="128">
        <f>'PROJECT TA Y TB KARINA'!$I107/8</f>
        <v>0</v>
      </c>
      <c r="GI53" s="128">
        <f>'PROJECT TA Y TB KARINA'!$I107/8</f>
        <v>0</v>
      </c>
      <c r="GJ53" s="128">
        <f>'PROJECT TA Y TB KARINA'!$J107/8</f>
        <v>0</v>
      </c>
      <c r="GK53" s="128">
        <f>'PROJECT TA Y TB KARINA'!$J107/8</f>
        <v>0</v>
      </c>
      <c r="GL53" s="128">
        <f>'PROJECT TA Y TB KARINA'!$J107/8</f>
        <v>0</v>
      </c>
      <c r="GM53" s="128">
        <f>'PROJECT TA Y TB KARINA'!$J107/8</f>
        <v>0</v>
      </c>
      <c r="GN53" s="128">
        <f>'PROJECT TA Y TB KARINA'!$J107/8</f>
        <v>0</v>
      </c>
      <c r="GO53" s="128">
        <f>'PROJECT TA Y TB KARINA'!$J107/8</f>
        <v>0</v>
      </c>
      <c r="GP53" s="128">
        <f>'PROJECT TA Y TB KARINA'!$J107/8</f>
        <v>0</v>
      </c>
      <c r="GQ53" s="128">
        <f>'PROJECT TA Y TB KARINA'!$J107/8</f>
        <v>0</v>
      </c>
      <c r="GR53" s="128">
        <f>'PROJECT TA Y TB KARINA'!$K107/8</f>
        <v>0</v>
      </c>
      <c r="GS53" s="128">
        <f>'PROJECT TA Y TB KARINA'!$K107/8</f>
        <v>0</v>
      </c>
      <c r="GT53" s="128">
        <f>'PROJECT TA Y TB KARINA'!$K107/8</f>
        <v>0</v>
      </c>
      <c r="GU53" s="128">
        <f>'PROJECT TA Y TB KARINA'!$K107/8</f>
        <v>0</v>
      </c>
      <c r="GV53" s="128">
        <f>'PROJECT TA Y TB KARINA'!$K107/8</f>
        <v>0</v>
      </c>
      <c r="GW53" s="128">
        <f>'PROJECT TA Y TB KARINA'!$K107/8</f>
        <v>0</v>
      </c>
      <c r="GX53" s="128">
        <f>'PROJECT TA Y TB KARINA'!$K107/8</f>
        <v>0</v>
      </c>
      <c r="GY53" s="128">
        <f>'PROJECT TA Y TB KARINA'!$K107/8</f>
        <v>0</v>
      </c>
      <c r="GZ53" s="128">
        <f>'PROJECT TA Y TB KARINA'!$L107/8</f>
        <v>0</v>
      </c>
      <c r="HA53" s="128">
        <f>'PROJECT TA Y TB KARINA'!$L107/8</f>
        <v>0</v>
      </c>
      <c r="HB53" s="128">
        <f>'PROJECT TA Y TB KARINA'!$L107/8</f>
        <v>0</v>
      </c>
      <c r="HC53" s="128">
        <f>'PROJECT TA Y TB KARINA'!$L107/8</f>
        <v>0</v>
      </c>
      <c r="HD53" s="128">
        <f>'PROJECT TA Y TB KARINA'!$L107/8</f>
        <v>0</v>
      </c>
      <c r="HE53" s="128">
        <f>'PROJECT TA Y TB KARINA'!$L107/8</f>
        <v>0</v>
      </c>
      <c r="HF53" s="128">
        <f>'PROJECT TA Y TB KARINA'!$L107/8</f>
        <v>0</v>
      </c>
      <c r="HG53" s="128">
        <f>'PROJECT TA Y TB KARINA'!$L107/8</f>
        <v>0</v>
      </c>
      <c r="HH53" s="128">
        <f>'PROJECT TA Y TB KARINA'!$M107/8</f>
        <v>0</v>
      </c>
      <c r="HI53" s="128">
        <f>'PROJECT TA Y TB KARINA'!$M107/8</f>
        <v>0</v>
      </c>
      <c r="HJ53" s="128">
        <f>'PROJECT TA Y TB KARINA'!$M107/8</f>
        <v>0</v>
      </c>
      <c r="HK53" s="128">
        <f>'PROJECT TA Y TB KARINA'!$M107/8</f>
        <v>0</v>
      </c>
      <c r="HL53" s="128">
        <f>'PROJECT TA Y TB KARINA'!$M107/8</f>
        <v>0</v>
      </c>
      <c r="HM53" s="128">
        <f>'PROJECT TA Y TB KARINA'!$M107/8</f>
        <v>0</v>
      </c>
      <c r="HN53" s="128">
        <f>'PROJECT TA Y TB KARINA'!$M107/8</f>
        <v>0</v>
      </c>
      <c r="HO53" s="128">
        <f>'PROJECT TA Y TB KARINA'!$M107/8</f>
        <v>0</v>
      </c>
      <c r="HP53" s="128">
        <f>'PROJECT TA Y TB KARINA'!$N107/8</f>
        <v>0</v>
      </c>
      <c r="HQ53" s="128">
        <f>'PROJECT TA Y TB KARINA'!$N107/8</f>
        <v>0</v>
      </c>
      <c r="HR53" s="128">
        <f>'PROJECT TA Y TB KARINA'!$N107/8</f>
        <v>0</v>
      </c>
      <c r="HS53" s="128">
        <f>'PROJECT TA Y TB KARINA'!$N107/8</f>
        <v>0</v>
      </c>
      <c r="HT53" s="128">
        <f>'PROJECT TA Y TB KARINA'!$N107/8</f>
        <v>0</v>
      </c>
      <c r="HU53" s="128">
        <f>'PROJECT TA Y TB KARINA'!$N107/8</f>
        <v>0</v>
      </c>
      <c r="HV53" s="128">
        <f>'PROJECT TA Y TB KARINA'!$N107/8</f>
        <v>0</v>
      </c>
      <c r="HW53" s="128">
        <f>'PROJECT TA Y TB KARINA'!$N107/8</f>
        <v>0</v>
      </c>
      <c r="HX53" s="128">
        <f>'PROJECT TA Y TB KARINA'!$O107/8</f>
        <v>0</v>
      </c>
      <c r="HY53" s="128">
        <f>'PROJECT TA Y TB KARINA'!$O107/8</f>
        <v>0</v>
      </c>
      <c r="HZ53" s="128">
        <f>'PROJECT TA Y TB KARINA'!$O107/8</f>
        <v>0</v>
      </c>
      <c r="IA53" s="128">
        <f>'PROJECT TA Y TB KARINA'!$O107/8</f>
        <v>0</v>
      </c>
      <c r="IB53" s="128">
        <f>'PROJECT TA Y TB KARINA'!$O107/8</f>
        <v>0</v>
      </c>
      <c r="IC53" s="128">
        <f>'PROJECT TA Y TB KARINA'!$O107/8</f>
        <v>0</v>
      </c>
      <c r="ID53" s="128">
        <f>'PROJECT TA Y TB KARINA'!$O107/8</f>
        <v>0</v>
      </c>
      <c r="IE53" s="128">
        <f>'PROJECT TA Y TB KARINA'!$O107/8</f>
        <v>0</v>
      </c>
      <c r="IF53" s="128">
        <f>'PROJECT TA Y TB KARINA'!$P107/8</f>
        <v>0</v>
      </c>
      <c r="IG53" s="128">
        <f>'PROJECT TA Y TB KARINA'!$P107/8</f>
        <v>0</v>
      </c>
      <c r="IH53" s="128">
        <f>'PROJECT TA Y TB KARINA'!$P107/8</f>
        <v>0</v>
      </c>
      <c r="II53" s="128">
        <f>'PROJECT TA Y TB KARINA'!$P107/8</f>
        <v>0</v>
      </c>
      <c r="IJ53" s="128">
        <f>'PROJECT TA Y TB KARINA'!$P107/8</f>
        <v>0</v>
      </c>
      <c r="IK53" s="128">
        <f>'PROJECT TA Y TB KARINA'!$P107/8</f>
        <v>0</v>
      </c>
      <c r="IL53" s="128">
        <f>'PROJECT TA Y TB KARINA'!$P107/8</f>
        <v>0</v>
      </c>
      <c r="IM53" s="128">
        <f>'PROJECT TA Y TB KARINA'!$P107/8</f>
        <v>0</v>
      </c>
      <c r="IN53" s="128">
        <f>'PROJECT TA Y TB KARINA'!$Q107/8</f>
        <v>0</v>
      </c>
      <c r="IO53" s="128">
        <f>'PROJECT TA Y TB KARINA'!$Q107/8</f>
        <v>0</v>
      </c>
      <c r="IP53" s="128">
        <f>'PROJECT TA Y TB KARINA'!$Q107/8</f>
        <v>0</v>
      </c>
      <c r="IQ53" s="128">
        <f>'PROJECT TA Y TB KARINA'!$Q107/8</f>
        <v>0</v>
      </c>
      <c r="IR53" s="128">
        <f>'PROJECT TA Y TB KARINA'!$Q107/8</f>
        <v>0</v>
      </c>
      <c r="IS53" s="128">
        <f>'PROJECT TA Y TB KARINA'!$Q107/8</f>
        <v>0</v>
      </c>
      <c r="IT53" s="128">
        <f>'PROJECT TA Y TB KARINA'!$Q107/8</f>
        <v>0</v>
      </c>
      <c r="IU53" s="128">
        <f>'PROJECT TA Y TB KARINA'!$Q107/8</f>
        <v>0</v>
      </c>
      <c r="IV53" s="128">
        <f>'PROJECT TA Y TB KARINA'!$R107/8</f>
        <v>0</v>
      </c>
      <c r="IW53" s="128">
        <f>'PROJECT TA Y TB KARINA'!$R107/8</f>
        <v>0</v>
      </c>
      <c r="IX53" s="128">
        <f>'PROJECT TA Y TB KARINA'!$R107/8</f>
        <v>0</v>
      </c>
      <c r="IY53" s="128">
        <f>'PROJECT TA Y TB KARINA'!$R107/8</f>
        <v>0</v>
      </c>
      <c r="IZ53" s="128">
        <f>'PROJECT TA Y TB KARINA'!$R107/8</f>
        <v>0</v>
      </c>
      <c r="JA53" s="128">
        <f>'PROJECT TA Y TB KARINA'!$R107/8</f>
        <v>0</v>
      </c>
      <c r="JB53" s="128">
        <f>'PROJECT TA Y TB KARINA'!$R107/8</f>
        <v>0</v>
      </c>
      <c r="JC53" s="128">
        <f>'PROJECT TA Y TB KARINA'!$R107/8</f>
        <v>0</v>
      </c>
      <c r="JD53" s="128">
        <f>'PROJECT TA Y TB KARINA'!$S107/8</f>
        <v>0</v>
      </c>
      <c r="JE53" s="128">
        <f>'PROJECT TA Y TB KARINA'!$S107/8</f>
        <v>0</v>
      </c>
      <c r="JF53" s="128">
        <f>'PROJECT TA Y TB KARINA'!$S107/8</f>
        <v>0</v>
      </c>
      <c r="JG53" s="128">
        <f>'PROJECT TA Y TB KARINA'!$S107/8</f>
        <v>0</v>
      </c>
      <c r="JH53" s="128">
        <f>'PROJECT TA Y TB KARINA'!$S107/8</f>
        <v>0</v>
      </c>
      <c r="JI53" s="128">
        <f>'PROJECT TA Y TB KARINA'!$S107/8</f>
        <v>0</v>
      </c>
      <c r="JJ53" s="128">
        <f>'PROJECT TA Y TB KARINA'!$S107/8</f>
        <v>0</v>
      </c>
      <c r="JK53" s="128">
        <f>'PROJECT TA Y TB KARINA'!$S107/8</f>
        <v>0</v>
      </c>
      <c r="JL53" s="128">
        <f>'PROJECT TA Y TB KARINA'!$T107/8</f>
        <v>0</v>
      </c>
      <c r="JM53" s="128">
        <f>'PROJECT TA Y TB KARINA'!$T107/8</f>
        <v>0</v>
      </c>
      <c r="JN53" s="128">
        <f>'PROJECT TA Y TB KARINA'!$T107/8</f>
        <v>0</v>
      </c>
      <c r="JO53" s="128">
        <f>'PROJECT TA Y TB KARINA'!$T107/8</f>
        <v>0</v>
      </c>
      <c r="JP53" s="128">
        <f>'PROJECT TA Y TB KARINA'!$T107/8</f>
        <v>0</v>
      </c>
      <c r="JQ53" s="128">
        <f>'PROJECT TA Y TB KARINA'!$T107/8</f>
        <v>0</v>
      </c>
      <c r="JR53" s="128">
        <f>'PROJECT TA Y TB KARINA'!$T107/8</f>
        <v>0</v>
      </c>
      <c r="JS53" s="128">
        <f>'PROJECT TA Y TB KARINA'!$T107/8</f>
        <v>0</v>
      </c>
      <c r="JT53" s="128" t="e">
        <f>'PROJECT TA Y TB KARINA'!#REF!/8</f>
        <v>#REF!</v>
      </c>
      <c r="JU53" s="128" t="e">
        <f>'PROJECT TA Y TB KARINA'!#REF!/8</f>
        <v>#REF!</v>
      </c>
      <c r="JV53" s="128" t="e">
        <f>'PROJECT TA Y TB KARINA'!#REF!/8</f>
        <v>#REF!</v>
      </c>
      <c r="JW53" s="128" t="e">
        <f>'PROJECT TA Y TB KARINA'!#REF!/8</f>
        <v>#REF!</v>
      </c>
      <c r="JX53" s="128" t="e">
        <f>'PROJECT TA Y TB KARINA'!#REF!/8</f>
        <v>#REF!</v>
      </c>
      <c r="JY53" s="128" t="e">
        <f>'PROJECT TA Y TB KARINA'!#REF!/8</f>
        <v>#REF!</v>
      </c>
      <c r="JZ53" s="128" t="e">
        <f>'PROJECT TA Y TB KARINA'!#REF!/8</f>
        <v>#REF!</v>
      </c>
      <c r="KA53" s="128" t="e">
        <f>'PROJECT TA Y TB KARINA'!#REF!/8</f>
        <v>#REF!</v>
      </c>
    </row>
    <row r="54" spans="1:287" ht="21">
      <c r="A54" s="130" t="s">
        <v>507</v>
      </c>
      <c r="B54" s="128" t="e">
        <f>'PROJECT TA Y TB KARINA'!$C$50/8</f>
        <v>#REF!</v>
      </c>
      <c r="C54" s="128" t="e">
        <f>'PROJECT TA Y TB KARINA'!$C$50/8</f>
        <v>#REF!</v>
      </c>
      <c r="D54" s="128" t="e">
        <f>'PROJECT TA Y TB KARINA'!$C$50/8</f>
        <v>#REF!</v>
      </c>
      <c r="E54" s="128" t="e">
        <f>'PROJECT TA Y TB KARINA'!$C$50/8</f>
        <v>#REF!</v>
      </c>
      <c r="F54" s="128" t="e">
        <f>'PROJECT TA Y TB KARINA'!$C$50/8</f>
        <v>#REF!</v>
      </c>
      <c r="G54" s="128" t="e">
        <f>'PROJECT TA Y TB KARINA'!$C$50/8</f>
        <v>#REF!</v>
      </c>
      <c r="H54" s="128" t="e">
        <f>'PROJECT TA Y TB KARINA'!$C$50/8</f>
        <v>#REF!</v>
      </c>
      <c r="I54" s="128" t="e">
        <f>'PROJECT TA Y TB KARINA'!$E50/8</f>
        <v>#REF!</v>
      </c>
      <c r="J54" s="128" t="e">
        <f>'PROJECT TA Y TB KARINA'!$E50/8</f>
        <v>#REF!</v>
      </c>
      <c r="K54" s="128" t="e">
        <f>'PROJECT TA Y TB KARINA'!$E50/8</f>
        <v>#REF!</v>
      </c>
      <c r="L54" s="128" t="e">
        <f>'PROJECT TA Y TB KARINA'!$E50/8</f>
        <v>#REF!</v>
      </c>
      <c r="M54" s="128" t="e">
        <f>'PROJECT TA Y TB KARINA'!$E50/8</f>
        <v>#REF!</v>
      </c>
      <c r="N54" s="128" t="e">
        <f>'PROJECT TA Y TB KARINA'!$E50/8</f>
        <v>#REF!</v>
      </c>
      <c r="O54" s="128" t="e">
        <f>'PROJECT TA Y TB KARINA'!$E50/8</f>
        <v>#REF!</v>
      </c>
      <c r="P54" s="128" t="e">
        <f>'PROJECT TA Y TB KARINA'!$E50/8</f>
        <v>#REF!</v>
      </c>
      <c r="Q54" s="128" t="e">
        <f>'PROJECT TA Y TB KARINA'!$F50/8</f>
        <v>#REF!</v>
      </c>
      <c r="R54" s="128" t="e">
        <f>'PROJECT TA Y TB KARINA'!$F50/8</f>
        <v>#REF!</v>
      </c>
      <c r="S54" s="128" t="e">
        <f>'PROJECT TA Y TB KARINA'!$F50/8</f>
        <v>#REF!</v>
      </c>
      <c r="T54" s="128" t="e">
        <f>'PROJECT TA Y TB KARINA'!$F50/8</f>
        <v>#REF!</v>
      </c>
      <c r="U54" s="128" t="e">
        <f>'PROJECT TA Y TB KARINA'!$F50/8</f>
        <v>#REF!</v>
      </c>
      <c r="V54" s="128" t="e">
        <f>'PROJECT TA Y TB KARINA'!$F50/8</f>
        <v>#REF!</v>
      </c>
      <c r="W54" s="128" t="e">
        <f>'PROJECT TA Y TB KARINA'!$F50/8</f>
        <v>#REF!</v>
      </c>
      <c r="X54" s="128" t="e">
        <f>'PROJECT TA Y TB KARINA'!$F50/8</f>
        <v>#REF!</v>
      </c>
      <c r="Y54" s="128" t="e">
        <f>'PROJECT TA Y TB KARINA'!$G50/8</f>
        <v>#REF!</v>
      </c>
      <c r="Z54" s="128" t="e">
        <f>'PROJECT TA Y TB KARINA'!$G50/8</f>
        <v>#REF!</v>
      </c>
      <c r="AA54" s="128" t="e">
        <f>'PROJECT TA Y TB KARINA'!$G50/8</f>
        <v>#REF!</v>
      </c>
      <c r="AB54" s="128" t="e">
        <f>'PROJECT TA Y TB KARINA'!$G50/8</f>
        <v>#REF!</v>
      </c>
      <c r="AC54" s="128" t="e">
        <f>'PROJECT TA Y TB KARINA'!$G50/8</f>
        <v>#REF!</v>
      </c>
      <c r="AD54" s="128" t="e">
        <f>'PROJECT TA Y TB KARINA'!$G50/8</f>
        <v>#REF!</v>
      </c>
      <c r="AE54" s="128" t="e">
        <f>'PROJECT TA Y TB KARINA'!$G50/8</f>
        <v>#REF!</v>
      </c>
      <c r="AF54" s="128" t="e">
        <f>'PROJECT TA Y TB KARINA'!$G50/8</f>
        <v>#REF!</v>
      </c>
      <c r="AG54" s="128" t="e">
        <f>'PROJECT TA Y TB KARINA'!$H50/8</f>
        <v>#REF!</v>
      </c>
      <c r="AH54" s="128" t="e">
        <f>'PROJECT TA Y TB KARINA'!$H50/8</f>
        <v>#REF!</v>
      </c>
      <c r="AI54" s="128" t="e">
        <f>'PROJECT TA Y TB KARINA'!$H50/8</f>
        <v>#REF!</v>
      </c>
      <c r="AJ54" s="128" t="e">
        <f>'PROJECT TA Y TB KARINA'!$H50/8</f>
        <v>#REF!</v>
      </c>
      <c r="AK54" s="128" t="e">
        <f>'PROJECT TA Y TB KARINA'!$H50/8</f>
        <v>#REF!</v>
      </c>
      <c r="AL54" s="128" t="e">
        <f>'PROJECT TA Y TB KARINA'!$H50/8</f>
        <v>#REF!</v>
      </c>
      <c r="AM54" s="128" t="e">
        <f>'PROJECT TA Y TB KARINA'!$H50/8</f>
        <v>#REF!</v>
      </c>
      <c r="AN54" s="128" t="e">
        <f>'PROJECT TA Y TB KARINA'!$H50/8</f>
        <v>#REF!</v>
      </c>
      <c r="AO54" s="128" t="e">
        <f>'PROJECT TA Y TB KARINA'!$I50/8</f>
        <v>#REF!</v>
      </c>
      <c r="AP54" s="128" t="e">
        <f>'PROJECT TA Y TB KARINA'!$I50/8</f>
        <v>#REF!</v>
      </c>
      <c r="AQ54" s="128" t="e">
        <f>'PROJECT TA Y TB KARINA'!$I50/8</f>
        <v>#REF!</v>
      </c>
      <c r="AR54" s="128" t="e">
        <f>'PROJECT TA Y TB KARINA'!$I50/8</f>
        <v>#REF!</v>
      </c>
      <c r="AS54" s="128" t="e">
        <f>'PROJECT TA Y TB KARINA'!$I50/8</f>
        <v>#REF!</v>
      </c>
      <c r="AT54" s="128" t="e">
        <f>'PROJECT TA Y TB KARINA'!$I50/8</f>
        <v>#REF!</v>
      </c>
      <c r="AU54" s="128" t="e">
        <f>'PROJECT TA Y TB KARINA'!$I50/8</f>
        <v>#REF!</v>
      </c>
      <c r="AV54" s="128" t="e">
        <f>'PROJECT TA Y TB KARINA'!$I50/8</f>
        <v>#REF!</v>
      </c>
      <c r="AW54" s="128" t="e">
        <f>'PROJECT TA Y TB KARINA'!$J50/8</f>
        <v>#REF!</v>
      </c>
      <c r="AX54" s="128" t="e">
        <f>'PROJECT TA Y TB KARINA'!$J50/8</f>
        <v>#REF!</v>
      </c>
      <c r="AY54" s="128" t="e">
        <f>'PROJECT TA Y TB KARINA'!$J50/8</f>
        <v>#REF!</v>
      </c>
      <c r="AZ54" s="128" t="e">
        <f>'PROJECT TA Y TB KARINA'!$J50/8</f>
        <v>#REF!</v>
      </c>
      <c r="BA54" s="128" t="e">
        <f>'PROJECT TA Y TB KARINA'!$J50/8</f>
        <v>#REF!</v>
      </c>
      <c r="BB54" s="128" t="e">
        <f>'PROJECT TA Y TB KARINA'!$J50/8</f>
        <v>#REF!</v>
      </c>
      <c r="BC54" s="128" t="e">
        <f>'PROJECT TA Y TB KARINA'!$J50/8</f>
        <v>#REF!</v>
      </c>
      <c r="BD54" s="128" t="e">
        <f>'PROJECT TA Y TB KARINA'!$J50/8</f>
        <v>#REF!</v>
      </c>
      <c r="BE54" s="128" t="e">
        <f>'PROJECT TA Y TB KARINA'!$K50/8</f>
        <v>#REF!</v>
      </c>
      <c r="BF54" s="128" t="e">
        <f>'PROJECT TA Y TB KARINA'!$K50/8</f>
        <v>#REF!</v>
      </c>
      <c r="BG54" s="128" t="e">
        <f>'PROJECT TA Y TB KARINA'!$K50/8</f>
        <v>#REF!</v>
      </c>
      <c r="BH54" s="128" t="e">
        <f>'PROJECT TA Y TB KARINA'!$K50/8</f>
        <v>#REF!</v>
      </c>
      <c r="BI54" s="128" t="e">
        <f>'PROJECT TA Y TB KARINA'!$K50/8</f>
        <v>#REF!</v>
      </c>
      <c r="BJ54" s="128" t="e">
        <f>'PROJECT TA Y TB KARINA'!$K50/8</f>
        <v>#REF!</v>
      </c>
      <c r="BK54" s="128" t="e">
        <f>'PROJECT TA Y TB KARINA'!$K50/8</f>
        <v>#REF!</v>
      </c>
      <c r="BL54" s="128" t="e">
        <f>'PROJECT TA Y TB KARINA'!$K50/8</f>
        <v>#REF!</v>
      </c>
      <c r="BM54" s="128" t="e">
        <f>'PROJECT TA Y TB KARINA'!$L50/8</f>
        <v>#REF!</v>
      </c>
      <c r="BN54" s="128" t="e">
        <f>'PROJECT TA Y TB KARINA'!$L50/8</f>
        <v>#REF!</v>
      </c>
      <c r="BO54" s="128" t="e">
        <f>'PROJECT TA Y TB KARINA'!$L50/8</f>
        <v>#REF!</v>
      </c>
      <c r="BP54" s="128" t="e">
        <f>'PROJECT TA Y TB KARINA'!$L50/8</f>
        <v>#REF!</v>
      </c>
      <c r="BQ54" s="128" t="e">
        <f>'PROJECT TA Y TB KARINA'!$L50/8</f>
        <v>#REF!</v>
      </c>
      <c r="BR54" s="128" t="e">
        <f>'PROJECT TA Y TB KARINA'!$L50/8</f>
        <v>#REF!</v>
      </c>
      <c r="BS54" s="128" t="e">
        <f>'PROJECT TA Y TB KARINA'!$L50/8</f>
        <v>#REF!</v>
      </c>
      <c r="BT54" s="128" t="e">
        <f>'PROJECT TA Y TB KARINA'!$L50/8</f>
        <v>#REF!</v>
      </c>
      <c r="BU54" s="128" t="e">
        <f>'PROJECT TA Y TB KARINA'!$M50/8</f>
        <v>#REF!</v>
      </c>
      <c r="BV54" s="128" t="e">
        <f>'PROJECT TA Y TB KARINA'!$M50/8</f>
        <v>#REF!</v>
      </c>
      <c r="BW54" s="128" t="e">
        <f>'PROJECT TA Y TB KARINA'!$M50/8</f>
        <v>#REF!</v>
      </c>
      <c r="BX54" s="128" t="e">
        <f>'PROJECT TA Y TB KARINA'!$M50/8</f>
        <v>#REF!</v>
      </c>
      <c r="BY54" s="128" t="e">
        <f>'PROJECT TA Y TB KARINA'!$M50/8</f>
        <v>#REF!</v>
      </c>
      <c r="BZ54" s="128" t="e">
        <f>'PROJECT TA Y TB KARINA'!$M50/8</f>
        <v>#REF!</v>
      </c>
      <c r="CA54" s="128" t="e">
        <f>'PROJECT TA Y TB KARINA'!$M50/8</f>
        <v>#REF!</v>
      </c>
      <c r="CB54" s="128" t="e">
        <f>'PROJECT TA Y TB KARINA'!$M50/8</f>
        <v>#REF!</v>
      </c>
      <c r="CC54" s="128" t="e">
        <f>'PROJECT TA Y TB KARINA'!$N50/8</f>
        <v>#REF!</v>
      </c>
      <c r="CD54" s="128" t="e">
        <f>'PROJECT TA Y TB KARINA'!$N50/8</f>
        <v>#REF!</v>
      </c>
      <c r="CE54" s="128" t="e">
        <f>'PROJECT TA Y TB KARINA'!$N50/8</f>
        <v>#REF!</v>
      </c>
      <c r="CF54" s="128" t="e">
        <f>'PROJECT TA Y TB KARINA'!$N50/8</f>
        <v>#REF!</v>
      </c>
      <c r="CG54" s="128" t="e">
        <f>'PROJECT TA Y TB KARINA'!$N50/8</f>
        <v>#REF!</v>
      </c>
      <c r="CH54" s="128" t="e">
        <f>'PROJECT TA Y TB KARINA'!$N50/8</f>
        <v>#REF!</v>
      </c>
      <c r="CI54" s="128" t="e">
        <f>'PROJECT TA Y TB KARINA'!$N50/8</f>
        <v>#REF!</v>
      </c>
      <c r="CJ54" s="128" t="e">
        <f>'PROJECT TA Y TB KARINA'!$N50/8</f>
        <v>#REF!</v>
      </c>
      <c r="CK54" s="128" t="e">
        <f>'PROJECT TA Y TB KARINA'!$O50/8</f>
        <v>#REF!</v>
      </c>
      <c r="CL54" s="128" t="e">
        <f>'PROJECT TA Y TB KARINA'!$O50/8</f>
        <v>#REF!</v>
      </c>
      <c r="CM54" s="128" t="e">
        <f>'PROJECT TA Y TB KARINA'!$O50/8</f>
        <v>#REF!</v>
      </c>
      <c r="CN54" s="128" t="e">
        <f>'PROJECT TA Y TB KARINA'!$O50/8</f>
        <v>#REF!</v>
      </c>
      <c r="CO54" s="128" t="e">
        <f>'PROJECT TA Y TB KARINA'!$O50/8</f>
        <v>#REF!</v>
      </c>
      <c r="CP54" s="128" t="e">
        <f>'PROJECT TA Y TB KARINA'!$O50/8</f>
        <v>#REF!</v>
      </c>
      <c r="CQ54" s="128" t="e">
        <f>'PROJECT TA Y TB KARINA'!$O50/8</f>
        <v>#REF!</v>
      </c>
      <c r="CR54" s="128" t="e">
        <f>'PROJECT TA Y TB KARINA'!$O50/8</f>
        <v>#REF!</v>
      </c>
      <c r="CS54" s="128" t="e">
        <f>'PROJECT TA Y TB KARINA'!$P50/8</f>
        <v>#REF!</v>
      </c>
      <c r="CT54" s="128" t="e">
        <f>'PROJECT TA Y TB KARINA'!$P50/8</f>
        <v>#REF!</v>
      </c>
      <c r="CU54" s="128" t="e">
        <f>'PROJECT TA Y TB KARINA'!$P50/8</f>
        <v>#REF!</v>
      </c>
      <c r="CV54" s="128" t="e">
        <f>'PROJECT TA Y TB KARINA'!$P50/8</f>
        <v>#REF!</v>
      </c>
      <c r="CW54" s="128" t="e">
        <f>'PROJECT TA Y TB KARINA'!$P50/8</f>
        <v>#REF!</v>
      </c>
      <c r="CX54" s="128" t="e">
        <f>'PROJECT TA Y TB KARINA'!$P50/8</f>
        <v>#REF!</v>
      </c>
      <c r="CY54" s="128" t="e">
        <f>'PROJECT TA Y TB KARINA'!$P50/8</f>
        <v>#REF!</v>
      </c>
      <c r="CZ54" s="128" t="e">
        <f>'PROJECT TA Y TB KARINA'!$P50/8</f>
        <v>#REF!</v>
      </c>
      <c r="DA54" s="128" t="e">
        <f>'PROJECT TA Y TB KARINA'!$Q50/8</f>
        <v>#REF!</v>
      </c>
      <c r="DB54" s="128" t="e">
        <f>'PROJECT TA Y TB KARINA'!$Q50/8</f>
        <v>#REF!</v>
      </c>
      <c r="DC54" s="128" t="e">
        <f>'PROJECT TA Y TB KARINA'!$Q50/8</f>
        <v>#REF!</v>
      </c>
      <c r="DD54" s="128" t="e">
        <f>'PROJECT TA Y TB KARINA'!$Q50/8</f>
        <v>#REF!</v>
      </c>
      <c r="DE54" s="128" t="e">
        <f>'PROJECT TA Y TB KARINA'!$Q50/8</f>
        <v>#REF!</v>
      </c>
      <c r="DF54" s="128" t="e">
        <f>'PROJECT TA Y TB KARINA'!$Q50/8</f>
        <v>#REF!</v>
      </c>
      <c r="DG54" s="128" t="e">
        <f>'PROJECT TA Y TB KARINA'!$Q50/8</f>
        <v>#REF!</v>
      </c>
      <c r="DH54" s="128" t="e">
        <f>'PROJECT TA Y TB KARINA'!$Q50/8</f>
        <v>#REF!</v>
      </c>
      <c r="DI54" s="128" t="e">
        <f>'PROJECT TA Y TB KARINA'!$R50/8</f>
        <v>#REF!</v>
      </c>
      <c r="DJ54" s="128" t="e">
        <f>'PROJECT TA Y TB KARINA'!$R50/8</f>
        <v>#REF!</v>
      </c>
      <c r="DK54" s="128" t="e">
        <f>'PROJECT TA Y TB KARINA'!$R50/8</f>
        <v>#REF!</v>
      </c>
      <c r="DL54" s="128" t="e">
        <f>'PROJECT TA Y TB KARINA'!$R50/8</f>
        <v>#REF!</v>
      </c>
      <c r="DM54" s="128" t="e">
        <f>'PROJECT TA Y TB KARINA'!$R50/8</f>
        <v>#REF!</v>
      </c>
      <c r="DN54" s="128" t="e">
        <f>'PROJECT TA Y TB KARINA'!$R50/8</f>
        <v>#REF!</v>
      </c>
      <c r="DO54" s="128" t="e">
        <f>'PROJECT TA Y TB KARINA'!$R50/8</f>
        <v>#REF!</v>
      </c>
      <c r="DP54" s="128" t="e">
        <f>'PROJECT TA Y TB KARINA'!$R50/8</f>
        <v>#REF!</v>
      </c>
      <c r="DQ54" s="128" t="e">
        <f>'PROJECT TA Y TB KARINA'!$S50/8</f>
        <v>#REF!</v>
      </c>
      <c r="DR54" s="128" t="e">
        <f>'PROJECT TA Y TB KARINA'!$S50/8</f>
        <v>#REF!</v>
      </c>
      <c r="DS54" s="128" t="e">
        <f>'PROJECT TA Y TB KARINA'!$S50/8</f>
        <v>#REF!</v>
      </c>
      <c r="DT54" s="128" t="e">
        <f>'PROJECT TA Y TB KARINA'!$S50/8</f>
        <v>#REF!</v>
      </c>
      <c r="DU54" s="128" t="e">
        <f>'PROJECT TA Y TB KARINA'!$S50/8</f>
        <v>#REF!</v>
      </c>
      <c r="DV54" s="128" t="e">
        <f>'PROJECT TA Y TB KARINA'!$S50/8</f>
        <v>#REF!</v>
      </c>
      <c r="DW54" s="128" t="e">
        <f>'PROJECT TA Y TB KARINA'!$S50/8</f>
        <v>#REF!</v>
      </c>
      <c r="DX54" s="128" t="e">
        <f>'PROJECT TA Y TB KARINA'!$S50/8</f>
        <v>#REF!</v>
      </c>
      <c r="DY54" s="128" t="e">
        <f>'PROJECT TA Y TB KARINA'!$T50/8</f>
        <v>#REF!</v>
      </c>
      <c r="DZ54" s="128" t="e">
        <f>'PROJECT TA Y TB KARINA'!$T50/8</f>
        <v>#REF!</v>
      </c>
      <c r="EA54" s="128" t="e">
        <f>'PROJECT TA Y TB KARINA'!$T50/8</f>
        <v>#REF!</v>
      </c>
      <c r="EB54" s="128" t="e">
        <f>'PROJECT TA Y TB KARINA'!$T50/8</f>
        <v>#REF!</v>
      </c>
      <c r="EC54" s="128" t="e">
        <f>'PROJECT TA Y TB KARINA'!$T50/8</f>
        <v>#REF!</v>
      </c>
      <c r="ED54" s="128" t="e">
        <f>'PROJECT TA Y TB KARINA'!$T50/8</f>
        <v>#REF!</v>
      </c>
      <c r="EE54" s="128" t="e">
        <f>'PROJECT TA Y TB KARINA'!$T50/8</f>
        <v>#REF!</v>
      </c>
      <c r="EF54" s="128" t="e">
        <f>'PROJECT TA Y TB KARINA'!$T50/8</f>
        <v>#REF!</v>
      </c>
      <c r="EG54" s="128" t="e">
        <f>'PROJECT TA Y TB KARINA'!#REF!/8</f>
        <v>#REF!</v>
      </c>
      <c r="EH54" s="128" t="e">
        <f>'PROJECT TA Y TB KARINA'!#REF!/8</f>
        <v>#REF!</v>
      </c>
      <c r="EI54" s="128" t="e">
        <f>'PROJECT TA Y TB KARINA'!#REF!/8</f>
        <v>#REF!</v>
      </c>
      <c r="EJ54" s="128" t="e">
        <f>'PROJECT TA Y TB KARINA'!#REF!/8</f>
        <v>#REF!</v>
      </c>
      <c r="EK54" s="128" t="e">
        <f>'PROJECT TA Y TB KARINA'!#REF!/8</f>
        <v>#REF!</v>
      </c>
      <c r="EL54" s="128" t="e">
        <f>'PROJECT TA Y TB KARINA'!#REF!/8</f>
        <v>#REF!</v>
      </c>
      <c r="EM54" s="128" t="e">
        <f>'PROJECT TA Y TB KARINA'!#REF!/8</f>
        <v>#REF!</v>
      </c>
      <c r="EN54" s="128" t="e">
        <f>'PROJECT TA Y TB KARINA'!#REF!/8</f>
        <v>#REF!</v>
      </c>
      <c r="EO54" s="128">
        <f>'PROJECT TA Y TB KARINA'!$C108/8</f>
        <v>0</v>
      </c>
      <c r="EP54" s="128">
        <f>'PROJECT TA Y TB KARINA'!$C108/8</f>
        <v>0</v>
      </c>
      <c r="EQ54" s="128">
        <f>'PROJECT TA Y TB KARINA'!$C108/8</f>
        <v>0</v>
      </c>
      <c r="ER54" s="128">
        <f>'PROJECT TA Y TB KARINA'!$C108/8</f>
        <v>0</v>
      </c>
      <c r="ES54" s="128">
        <f>'PROJECT TA Y TB KARINA'!$C108/8</f>
        <v>0</v>
      </c>
      <c r="ET54" s="128">
        <f>'PROJECT TA Y TB KARINA'!$C108/8</f>
        <v>0</v>
      </c>
      <c r="EU54" s="128">
        <f>'PROJECT TA Y TB KARINA'!$C108/8</f>
        <v>0</v>
      </c>
      <c r="EV54" s="128">
        <f>'PROJECT TA Y TB KARINA'!$E108/8</f>
        <v>0</v>
      </c>
      <c r="EW54" s="128">
        <f>'PROJECT TA Y TB KARINA'!$E108/8</f>
        <v>0</v>
      </c>
      <c r="EX54" s="128">
        <f>'PROJECT TA Y TB KARINA'!$E108/8</f>
        <v>0</v>
      </c>
      <c r="EY54" s="128">
        <f>'PROJECT TA Y TB KARINA'!$E108/8</f>
        <v>0</v>
      </c>
      <c r="EZ54" s="128">
        <f>'PROJECT TA Y TB KARINA'!$E108/8</f>
        <v>0</v>
      </c>
      <c r="FA54" s="128">
        <f>'PROJECT TA Y TB KARINA'!$E108/8</f>
        <v>0</v>
      </c>
      <c r="FB54" s="128">
        <f>'PROJECT TA Y TB KARINA'!$E108/8</f>
        <v>0</v>
      </c>
      <c r="FC54" s="128">
        <f>'PROJECT TA Y TB KARINA'!$E108/8</f>
        <v>0</v>
      </c>
      <c r="FD54" s="128">
        <f>'PROJECT TA Y TB KARINA'!$F108/8</f>
        <v>0</v>
      </c>
      <c r="FE54" s="128">
        <f>'PROJECT TA Y TB KARINA'!$F108/8</f>
        <v>0</v>
      </c>
      <c r="FF54" s="128">
        <f>'PROJECT TA Y TB KARINA'!$F108/8</f>
        <v>0</v>
      </c>
      <c r="FG54" s="128">
        <f>'PROJECT TA Y TB KARINA'!$F108/8</f>
        <v>0</v>
      </c>
      <c r="FH54" s="128">
        <f>'PROJECT TA Y TB KARINA'!$F108/8</f>
        <v>0</v>
      </c>
      <c r="FI54" s="128">
        <f>'PROJECT TA Y TB KARINA'!$F108/8</f>
        <v>0</v>
      </c>
      <c r="FJ54" s="128">
        <f>'PROJECT TA Y TB KARINA'!$F108/8</f>
        <v>0</v>
      </c>
      <c r="FK54" s="128">
        <f>'PROJECT TA Y TB KARINA'!$F108/8</f>
        <v>0</v>
      </c>
      <c r="FL54" s="128">
        <f>'PROJECT TA Y TB KARINA'!$G108/8</f>
        <v>0</v>
      </c>
      <c r="FM54" s="128">
        <f>'PROJECT TA Y TB KARINA'!$G108/8</f>
        <v>0</v>
      </c>
      <c r="FN54" s="128">
        <f>'PROJECT TA Y TB KARINA'!$G108/8</f>
        <v>0</v>
      </c>
      <c r="FO54" s="128">
        <f>'PROJECT TA Y TB KARINA'!$G108/8</f>
        <v>0</v>
      </c>
      <c r="FP54" s="128">
        <f>'PROJECT TA Y TB KARINA'!$G108/8</f>
        <v>0</v>
      </c>
      <c r="FQ54" s="128">
        <f>'PROJECT TA Y TB KARINA'!$G108/8</f>
        <v>0</v>
      </c>
      <c r="FR54" s="128">
        <f>'PROJECT TA Y TB KARINA'!$G108/8</f>
        <v>0</v>
      </c>
      <c r="FS54" s="128">
        <f>'PROJECT TA Y TB KARINA'!$G108/8</f>
        <v>0</v>
      </c>
      <c r="FT54" s="128">
        <f>'PROJECT TA Y TB KARINA'!$H108/8</f>
        <v>0</v>
      </c>
      <c r="FU54" s="128">
        <f>'PROJECT TA Y TB KARINA'!$H108/8</f>
        <v>0</v>
      </c>
      <c r="FV54" s="128">
        <f>'PROJECT TA Y TB KARINA'!$H108/8</f>
        <v>0</v>
      </c>
      <c r="FW54" s="128">
        <f>'PROJECT TA Y TB KARINA'!$H108/8</f>
        <v>0</v>
      </c>
      <c r="FX54" s="128">
        <f>'PROJECT TA Y TB KARINA'!$H108/8</f>
        <v>0</v>
      </c>
      <c r="FY54" s="128">
        <f>'PROJECT TA Y TB KARINA'!$H108/8</f>
        <v>0</v>
      </c>
      <c r="FZ54" s="128">
        <f>'PROJECT TA Y TB KARINA'!$H108/8</f>
        <v>0</v>
      </c>
      <c r="GA54" s="128">
        <f>'PROJECT TA Y TB KARINA'!$H108/8</f>
        <v>0</v>
      </c>
      <c r="GB54" s="128">
        <f>'PROJECT TA Y TB KARINA'!$I108/8</f>
        <v>0</v>
      </c>
      <c r="GC54" s="128">
        <f>'PROJECT TA Y TB KARINA'!$I108/8</f>
        <v>0</v>
      </c>
      <c r="GD54" s="128">
        <f>'PROJECT TA Y TB KARINA'!$I108/8</f>
        <v>0</v>
      </c>
      <c r="GE54" s="128">
        <f>'PROJECT TA Y TB KARINA'!$I108/8</f>
        <v>0</v>
      </c>
      <c r="GF54" s="128">
        <f>'PROJECT TA Y TB KARINA'!$I108/8</f>
        <v>0</v>
      </c>
      <c r="GG54" s="128">
        <f>'PROJECT TA Y TB KARINA'!$I108/8</f>
        <v>0</v>
      </c>
      <c r="GH54" s="128">
        <f>'PROJECT TA Y TB KARINA'!$I108/8</f>
        <v>0</v>
      </c>
      <c r="GI54" s="128">
        <f>'PROJECT TA Y TB KARINA'!$I108/8</f>
        <v>0</v>
      </c>
      <c r="GJ54" s="128">
        <f>'PROJECT TA Y TB KARINA'!$J108/8</f>
        <v>0</v>
      </c>
      <c r="GK54" s="128">
        <f>'PROJECT TA Y TB KARINA'!$J108/8</f>
        <v>0</v>
      </c>
      <c r="GL54" s="128">
        <f>'PROJECT TA Y TB KARINA'!$J108/8</f>
        <v>0</v>
      </c>
      <c r="GM54" s="128">
        <f>'PROJECT TA Y TB KARINA'!$J108/8</f>
        <v>0</v>
      </c>
      <c r="GN54" s="128">
        <f>'PROJECT TA Y TB KARINA'!$J108/8</f>
        <v>0</v>
      </c>
      <c r="GO54" s="128">
        <f>'PROJECT TA Y TB KARINA'!$J108/8</f>
        <v>0</v>
      </c>
      <c r="GP54" s="128">
        <f>'PROJECT TA Y TB KARINA'!$J108/8</f>
        <v>0</v>
      </c>
      <c r="GQ54" s="128">
        <f>'PROJECT TA Y TB KARINA'!$J108/8</f>
        <v>0</v>
      </c>
      <c r="GR54" s="128">
        <f>'PROJECT TA Y TB KARINA'!$K108/8</f>
        <v>0</v>
      </c>
      <c r="GS54" s="128">
        <f>'PROJECT TA Y TB KARINA'!$K108/8</f>
        <v>0</v>
      </c>
      <c r="GT54" s="128">
        <f>'PROJECT TA Y TB KARINA'!$K108/8</f>
        <v>0</v>
      </c>
      <c r="GU54" s="128">
        <f>'PROJECT TA Y TB KARINA'!$K108/8</f>
        <v>0</v>
      </c>
      <c r="GV54" s="128">
        <f>'PROJECT TA Y TB KARINA'!$K108/8</f>
        <v>0</v>
      </c>
      <c r="GW54" s="128">
        <f>'PROJECT TA Y TB KARINA'!$K108/8</f>
        <v>0</v>
      </c>
      <c r="GX54" s="128">
        <f>'PROJECT TA Y TB KARINA'!$K108/8</f>
        <v>0</v>
      </c>
      <c r="GY54" s="128">
        <f>'PROJECT TA Y TB KARINA'!$K108/8</f>
        <v>0</v>
      </c>
      <c r="GZ54" s="128">
        <f>'PROJECT TA Y TB KARINA'!$L108/8</f>
        <v>0</v>
      </c>
      <c r="HA54" s="128">
        <f>'PROJECT TA Y TB KARINA'!$L108/8</f>
        <v>0</v>
      </c>
      <c r="HB54" s="128">
        <f>'PROJECT TA Y TB KARINA'!$L108/8</f>
        <v>0</v>
      </c>
      <c r="HC54" s="128">
        <f>'PROJECT TA Y TB KARINA'!$L108/8</f>
        <v>0</v>
      </c>
      <c r="HD54" s="128">
        <f>'PROJECT TA Y TB KARINA'!$L108/8</f>
        <v>0</v>
      </c>
      <c r="HE54" s="128">
        <f>'PROJECT TA Y TB KARINA'!$L108/8</f>
        <v>0</v>
      </c>
      <c r="HF54" s="128">
        <f>'PROJECT TA Y TB KARINA'!$L108/8</f>
        <v>0</v>
      </c>
      <c r="HG54" s="128">
        <f>'PROJECT TA Y TB KARINA'!$L108/8</f>
        <v>0</v>
      </c>
      <c r="HH54" s="128">
        <f>'PROJECT TA Y TB KARINA'!$M108/8</f>
        <v>0</v>
      </c>
      <c r="HI54" s="128">
        <f>'PROJECT TA Y TB KARINA'!$M108/8</f>
        <v>0</v>
      </c>
      <c r="HJ54" s="128">
        <f>'PROJECT TA Y TB KARINA'!$M108/8</f>
        <v>0</v>
      </c>
      <c r="HK54" s="128">
        <f>'PROJECT TA Y TB KARINA'!$M108/8</f>
        <v>0</v>
      </c>
      <c r="HL54" s="128">
        <f>'PROJECT TA Y TB KARINA'!$M108/8</f>
        <v>0</v>
      </c>
      <c r="HM54" s="128">
        <f>'PROJECT TA Y TB KARINA'!$M108/8</f>
        <v>0</v>
      </c>
      <c r="HN54" s="128">
        <f>'PROJECT TA Y TB KARINA'!$M108/8</f>
        <v>0</v>
      </c>
      <c r="HO54" s="128">
        <f>'PROJECT TA Y TB KARINA'!$M108/8</f>
        <v>0</v>
      </c>
      <c r="HP54" s="128">
        <f>'PROJECT TA Y TB KARINA'!$N108/8</f>
        <v>0</v>
      </c>
      <c r="HQ54" s="128">
        <f>'PROJECT TA Y TB KARINA'!$N108/8</f>
        <v>0</v>
      </c>
      <c r="HR54" s="128">
        <f>'PROJECT TA Y TB KARINA'!$N108/8</f>
        <v>0</v>
      </c>
      <c r="HS54" s="128">
        <f>'PROJECT TA Y TB KARINA'!$N108/8</f>
        <v>0</v>
      </c>
      <c r="HT54" s="128">
        <f>'PROJECT TA Y TB KARINA'!$N108/8</f>
        <v>0</v>
      </c>
      <c r="HU54" s="128">
        <f>'PROJECT TA Y TB KARINA'!$N108/8</f>
        <v>0</v>
      </c>
      <c r="HV54" s="128">
        <f>'PROJECT TA Y TB KARINA'!$N108/8</f>
        <v>0</v>
      </c>
      <c r="HW54" s="128">
        <f>'PROJECT TA Y TB KARINA'!$N108/8</f>
        <v>0</v>
      </c>
      <c r="HX54" s="128">
        <f>'PROJECT TA Y TB KARINA'!$O108/8</f>
        <v>0</v>
      </c>
      <c r="HY54" s="128">
        <f>'PROJECT TA Y TB KARINA'!$O108/8</f>
        <v>0</v>
      </c>
      <c r="HZ54" s="128">
        <f>'PROJECT TA Y TB KARINA'!$O108/8</f>
        <v>0</v>
      </c>
      <c r="IA54" s="128">
        <f>'PROJECT TA Y TB KARINA'!$O108/8</f>
        <v>0</v>
      </c>
      <c r="IB54" s="128">
        <f>'PROJECT TA Y TB KARINA'!$O108/8</f>
        <v>0</v>
      </c>
      <c r="IC54" s="128">
        <f>'PROJECT TA Y TB KARINA'!$O108/8</f>
        <v>0</v>
      </c>
      <c r="ID54" s="128">
        <f>'PROJECT TA Y TB KARINA'!$O108/8</f>
        <v>0</v>
      </c>
      <c r="IE54" s="128">
        <f>'PROJECT TA Y TB KARINA'!$O108/8</f>
        <v>0</v>
      </c>
      <c r="IF54" s="128">
        <f>'PROJECT TA Y TB KARINA'!$P108/8</f>
        <v>0</v>
      </c>
      <c r="IG54" s="128">
        <f>'PROJECT TA Y TB KARINA'!$P108/8</f>
        <v>0</v>
      </c>
      <c r="IH54" s="128">
        <f>'PROJECT TA Y TB KARINA'!$P108/8</f>
        <v>0</v>
      </c>
      <c r="II54" s="128">
        <f>'PROJECT TA Y TB KARINA'!$P108/8</f>
        <v>0</v>
      </c>
      <c r="IJ54" s="128">
        <f>'PROJECT TA Y TB KARINA'!$P108/8</f>
        <v>0</v>
      </c>
      <c r="IK54" s="128">
        <f>'PROJECT TA Y TB KARINA'!$P108/8</f>
        <v>0</v>
      </c>
      <c r="IL54" s="128">
        <f>'PROJECT TA Y TB KARINA'!$P108/8</f>
        <v>0</v>
      </c>
      <c r="IM54" s="128">
        <f>'PROJECT TA Y TB KARINA'!$P108/8</f>
        <v>0</v>
      </c>
      <c r="IN54" s="128">
        <f>'PROJECT TA Y TB KARINA'!$Q108/8</f>
        <v>0</v>
      </c>
      <c r="IO54" s="128">
        <f>'PROJECT TA Y TB KARINA'!$Q108/8</f>
        <v>0</v>
      </c>
      <c r="IP54" s="128">
        <f>'PROJECT TA Y TB KARINA'!$Q108/8</f>
        <v>0</v>
      </c>
      <c r="IQ54" s="128">
        <f>'PROJECT TA Y TB KARINA'!$Q108/8</f>
        <v>0</v>
      </c>
      <c r="IR54" s="128">
        <f>'PROJECT TA Y TB KARINA'!$Q108/8</f>
        <v>0</v>
      </c>
      <c r="IS54" s="128">
        <f>'PROJECT TA Y TB KARINA'!$Q108/8</f>
        <v>0</v>
      </c>
      <c r="IT54" s="128">
        <f>'PROJECT TA Y TB KARINA'!$Q108/8</f>
        <v>0</v>
      </c>
      <c r="IU54" s="128">
        <f>'PROJECT TA Y TB KARINA'!$Q108/8</f>
        <v>0</v>
      </c>
      <c r="IV54" s="128">
        <f>'PROJECT TA Y TB KARINA'!$R108/8</f>
        <v>0</v>
      </c>
      <c r="IW54" s="128">
        <f>'PROJECT TA Y TB KARINA'!$R108/8</f>
        <v>0</v>
      </c>
      <c r="IX54" s="128">
        <f>'PROJECT TA Y TB KARINA'!$R108/8</f>
        <v>0</v>
      </c>
      <c r="IY54" s="128">
        <f>'PROJECT TA Y TB KARINA'!$R108/8</f>
        <v>0</v>
      </c>
      <c r="IZ54" s="128">
        <f>'PROJECT TA Y TB KARINA'!$R108/8</f>
        <v>0</v>
      </c>
      <c r="JA54" s="128">
        <f>'PROJECT TA Y TB KARINA'!$R108/8</f>
        <v>0</v>
      </c>
      <c r="JB54" s="128">
        <f>'PROJECT TA Y TB KARINA'!$R108/8</f>
        <v>0</v>
      </c>
      <c r="JC54" s="128">
        <f>'PROJECT TA Y TB KARINA'!$R108/8</f>
        <v>0</v>
      </c>
      <c r="JD54" s="128">
        <f>'PROJECT TA Y TB KARINA'!$S108/8</f>
        <v>0</v>
      </c>
      <c r="JE54" s="128">
        <f>'PROJECT TA Y TB KARINA'!$S108/8</f>
        <v>0</v>
      </c>
      <c r="JF54" s="128">
        <f>'PROJECT TA Y TB KARINA'!$S108/8</f>
        <v>0</v>
      </c>
      <c r="JG54" s="128">
        <f>'PROJECT TA Y TB KARINA'!$S108/8</f>
        <v>0</v>
      </c>
      <c r="JH54" s="128">
        <f>'PROJECT TA Y TB KARINA'!$S108/8</f>
        <v>0</v>
      </c>
      <c r="JI54" s="128">
        <f>'PROJECT TA Y TB KARINA'!$S108/8</f>
        <v>0</v>
      </c>
      <c r="JJ54" s="128">
        <f>'PROJECT TA Y TB KARINA'!$S108/8</f>
        <v>0</v>
      </c>
      <c r="JK54" s="128">
        <f>'PROJECT TA Y TB KARINA'!$S108/8</f>
        <v>0</v>
      </c>
      <c r="JL54" s="128">
        <f>'PROJECT TA Y TB KARINA'!$T108/8</f>
        <v>0</v>
      </c>
      <c r="JM54" s="128">
        <f>'PROJECT TA Y TB KARINA'!$T108/8</f>
        <v>0</v>
      </c>
      <c r="JN54" s="128">
        <f>'PROJECT TA Y TB KARINA'!$T108/8</f>
        <v>0</v>
      </c>
      <c r="JO54" s="128">
        <f>'PROJECT TA Y TB KARINA'!$T108/8</f>
        <v>0</v>
      </c>
      <c r="JP54" s="128">
        <f>'PROJECT TA Y TB KARINA'!$T108/8</f>
        <v>0</v>
      </c>
      <c r="JQ54" s="128">
        <f>'PROJECT TA Y TB KARINA'!$T108/8</f>
        <v>0</v>
      </c>
      <c r="JR54" s="128">
        <f>'PROJECT TA Y TB KARINA'!$T108/8</f>
        <v>0</v>
      </c>
      <c r="JS54" s="128">
        <f>'PROJECT TA Y TB KARINA'!$T108/8</f>
        <v>0</v>
      </c>
      <c r="JT54" s="128" t="e">
        <f>'PROJECT TA Y TB KARINA'!#REF!/8</f>
        <v>#REF!</v>
      </c>
      <c r="JU54" s="128" t="e">
        <f>'PROJECT TA Y TB KARINA'!#REF!/8</f>
        <v>#REF!</v>
      </c>
      <c r="JV54" s="128" t="e">
        <f>'PROJECT TA Y TB KARINA'!#REF!/8</f>
        <v>#REF!</v>
      </c>
      <c r="JW54" s="128" t="e">
        <f>'PROJECT TA Y TB KARINA'!#REF!/8</f>
        <v>#REF!</v>
      </c>
      <c r="JX54" s="128" t="e">
        <f>'PROJECT TA Y TB KARINA'!#REF!/8</f>
        <v>#REF!</v>
      </c>
      <c r="JY54" s="128" t="e">
        <f>'PROJECT TA Y TB KARINA'!#REF!/8</f>
        <v>#REF!</v>
      </c>
      <c r="JZ54" s="128" t="e">
        <f>'PROJECT TA Y TB KARINA'!#REF!/8</f>
        <v>#REF!</v>
      </c>
      <c r="KA54" s="128" t="e">
        <f>'PROJECT TA Y TB KARINA'!#REF!/8</f>
        <v>#REF!</v>
      </c>
    </row>
    <row r="55" spans="1:287" ht="21">
      <c r="A55" s="130" t="s">
        <v>508</v>
      </c>
      <c r="B55" s="128" t="e">
        <f>'PROJECT TA Y TB KARINA'!$C$51/8</f>
        <v>#REF!</v>
      </c>
      <c r="C55" s="128" t="e">
        <f>'PROJECT TA Y TB KARINA'!$C$51/8</f>
        <v>#REF!</v>
      </c>
      <c r="D55" s="128" t="e">
        <f>'PROJECT TA Y TB KARINA'!$C$51/8</f>
        <v>#REF!</v>
      </c>
      <c r="E55" s="128" t="e">
        <f>'PROJECT TA Y TB KARINA'!$C$51/8</f>
        <v>#REF!</v>
      </c>
      <c r="F55" s="128" t="e">
        <f>'PROJECT TA Y TB KARINA'!$C$51/8</f>
        <v>#REF!</v>
      </c>
      <c r="G55" s="128" t="e">
        <f>'PROJECT TA Y TB KARINA'!$C$51/8</f>
        <v>#REF!</v>
      </c>
      <c r="H55" s="128" t="e">
        <f>'PROJECT TA Y TB KARINA'!$C$51/8</f>
        <v>#REF!</v>
      </c>
      <c r="I55" s="128" t="e">
        <f>'PROJECT TA Y TB KARINA'!$E51/8</f>
        <v>#REF!</v>
      </c>
      <c r="J55" s="128" t="e">
        <f>'PROJECT TA Y TB KARINA'!$E51/8</f>
        <v>#REF!</v>
      </c>
      <c r="K55" s="128" t="e">
        <f>'PROJECT TA Y TB KARINA'!$E51/8</f>
        <v>#REF!</v>
      </c>
      <c r="L55" s="128" t="e">
        <f>'PROJECT TA Y TB KARINA'!$E51/8</f>
        <v>#REF!</v>
      </c>
      <c r="M55" s="128" t="e">
        <f>'PROJECT TA Y TB KARINA'!$E51/8</f>
        <v>#REF!</v>
      </c>
      <c r="N55" s="128" t="e">
        <f>'PROJECT TA Y TB KARINA'!$E51/8</f>
        <v>#REF!</v>
      </c>
      <c r="O55" s="128" t="e">
        <f>'PROJECT TA Y TB KARINA'!$E51/8</f>
        <v>#REF!</v>
      </c>
      <c r="P55" s="128" t="e">
        <f>'PROJECT TA Y TB KARINA'!$E51/8</f>
        <v>#REF!</v>
      </c>
      <c r="Q55" s="128" t="e">
        <f>'PROJECT TA Y TB KARINA'!$F51/8</f>
        <v>#REF!</v>
      </c>
      <c r="R55" s="128" t="e">
        <f>'PROJECT TA Y TB KARINA'!$F51/8</f>
        <v>#REF!</v>
      </c>
      <c r="S55" s="128" t="e">
        <f>'PROJECT TA Y TB KARINA'!$F51/8</f>
        <v>#REF!</v>
      </c>
      <c r="T55" s="128" t="e">
        <f>'PROJECT TA Y TB KARINA'!$F51/8</f>
        <v>#REF!</v>
      </c>
      <c r="U55" s="128" t="e">
        <f>'PROJECT TA Y TB KARINA'!$F51/8</f>
        <v>#REF!</v>
      </c>
      <c r="V55" s="128" t="e">
        <f>'PROJECT TA Y TB KARINA'!$F51/8</f>
        <v>#REF!</v>
      </c>
      <c r="W55" s="128" t="e">
        <f>'PROJECT TA Y TB KARINA'!$F51/8</f>
        <v>#REF!</v>
      </c>
      <c r="X55" s="128" t="e">
        <f>'PROJECT TA Y TB KARINA'!$F51/8</f>
        <v>#REF!</v>
      </c>
      <c r="Y55" s="128" t="e">
        <f>'PROJECT TA Y TB KARINA'!$G51/8</f>
        <v>#REF!</v>
      </c>
      <c r="Z55" s="128" t="e">
        <f>'PROJECT TA Y TB KARINA'!$G51/8</f>
        <v>#REF!</v>
      </c>
      <c r="AA55" s="128" t="e">
        <f>'PROJECT TA Y TB KARINA'!$G51/8</f>
        <v>#REF!</v>
      </c>
      <c r="AB55" s="128" t="e">
        <f>'PROJECT TA Y TB KARINA'!$G51/8</f>
        <v>#REF!</v>
      </c>
      <c r="AC55" s="128" t="e">
        <f>'PROJECT TA Y TB KARINA'!$G51/8</f>
        <v>#REF!</v>
      </c>
      <c r="AD55" s="128" t="e">
        <f>'PROJECT TA Y TB KARINA'!$G51/8</f>
        <v>#REF!</v>
      </c>
      <c r="AE55" s="128" t="e">
        <f>'PROJECT TA Y TB KARINA'!$G51/8</f>
        <v>#REF!</v>
      </c>
      <c r="AF55" s="128" t="e">
        <f>'PROJECT TA Y TB KARINA'!$G51/8</f>
        <v>#REF!</v>
      </c>
      <c r="AG55" s="128" t="e">
        <f>'PROJECT TA Y TB KARINA'!$H51/8</f>
        <v>#REF!</v>
      </c>
      <c r="AH55" s="128" t="e">
        <f>'PROJECT TA Y TB KARINA'!$H51/8</f>
        <v>#REF!</v>
      </c>
      <c r="AI55" s="128" t="e">
        <f>'PROJECT TA Y TB KARINA'!$H51/8</f>
        <v>#REF!</v>
      </c>
      <c r="AJ55" s="128" t="e">
        <f>'PROJECT TA Y TB KARINA'!$H51/8</f>
        <v>#REF!</v>
      </c>
      <c r="AK55" s="128" t="e">
        <f>'PROJECT TA Y TB KARINA'!$H51/8</f>
        <v>#REF!</v>
      </c>
      <c r="AL55" s="128" t="e">
        <f>'PROJECT TA Y TB KARINA'!$H51/8</f>
        <v>#REF!</v>
      </c>
      <c r="AM55" s="128" t="e">
        <f>'PROJECT TA Y TB KARINA'!$H51/8</f>
        <v>#REF!</v>
      </c>
      <c r="AN55" s="128" t="e">
        <f>'PROJECT TA Y TB KARINA'!$H51/8</f>
        <v>#REF!</v>
      </c>
      <c r="AO55" s="128" t="e">
        <f>'PROJECT TA Y TB KARINA'!$I51/8</f>
        <v>#REF!</v>
      </c>
      <c r="AP55" s="128" t="e">
        <f>'PROJECT TA Y TB KARINA'!$I51/8</f>
        <v>#REF!</v>
      </c>
      <c r="AQ55" s="128" t="e">
        <f>'PROJECT TA Y TB KARINA'!$I51/8</f>
        <v>#REF!</v>
      </c>
      <c r="AR55" s="128" t="e">
        <f>'PROJECT TA Y TB KARINA'!$I51/8</f>
        <v>#REF!</v>
      </c>
      <c r="AS55" s="128" t="e">
        <f>'PROJECT TA Y TB KARINA'!$I51/8</f>
        <v>#REF!</v>
      </c>
      <c r="AT55" s="128" t="e">
        <f>'PROJECT TA Y TB KARINA'!$I51/8</f>
        <v>#REF!</v>
      </c>
      <c r="AU55" s="128" t="e">
        <f>'PROJECT TA Y TB KARINA'!$I51/8</f>
        <v>#REF!</v>
      </c>
      <c r="AV55" s="128" t="e">
        <f>'PROJECT TA Y TB KARINA'!$I51/8</f>
        <v>#REF!</v>
      </c>
      <c r="AW55" s="128" t="e">
        <f>'PROJECT TA Y TB KARINA'!$J51/8</f>
        <v>#REF!</v>
      </c>
      <c r="AX55" s="128" t="e">
        <f>'PROJECT TA Y TB KARINA'!$J51/8</f>
        <v>#REF!</v>
      </c>
      <c r="AY55" s="128" t="e">
        <f>'PROJECT TA Y TB KARINA'!$J51/8</f>
        <v>#REF!</v>
      </c>
      <c r="AZ55" s="128" t="e">
        <f>'PROJECT TA Y TB KARINA'!$J51/8</f>
        <v>#REF!</v>
      </c>
      <c r="BA55" s="128" t="e">
        <f>'PROJECT TA Y TB KARINA'!$J51/8</f>
        <v>#REF!</v>
      </c>
      <c r="BB55" s="128" t="e">
        <f>'PROJECT TA Y TB KARINA'!$J51/8</f>
        <v>#REF!</v>
      </c>
      <c r="BC55" s="128" t="e">
        <f>'PROJECT TA Y TB KARINA'!$J51/8</f>
        <v>#REF!</v>
      </c>
      <c r="BD55" s="128" t="e">
        <f>'PROJECT TA Y TB KARINA'!$J51/8</f>
        <v>#REF!</v>
      </c>
      <c r="BE55" s="128" t="e">
        <f>'PROJECT TA Y TB KARINA'!$K51/8</f>
        <v>#REF!</v>
      </c>
      <c r="BF55" s="128" t="e">
        <f>'PROJECT TA Y TB KARINA'!$K51/8</f>
        <v>#REF!</v>
      </c>
      <c r="BG55" s="128" t="e">
        <f>'PROJECT TA Y TB KARINA'!$K51/8</f>
        <v>#REF!</v>
      </c>
      <c r="BH55" s="128" t="e">
        <f>'PROJECT TA Y TB KARINA'!$K51/8</f>
        <v>#REF!</v>
      </c>
      <c r="BI55" s="128" t="e">
        <f>'PROJECT TA Y TB KARINA'!$K51/8</f>
        <v>#REF!</v>
      </c>
      <c r="BJ55" s="128" t="e">
        <f>'PROJECT TA Y TB KARINA'!$K51/8</f>
        <v>#REF!</v>
      </c>
      <c r="BK55" s="128" t="e">
        <f>'PROJECT TA Y TB KARINA'!$K51/8</f>
        <v>#REF!</v>
      </c>
      <c r="BL55" s="128" t="e">
        <f>'PROJECT TA Y TB KARINA'!$K51/8</f>
        <v>#REF!</v>
      </c>
      <c r="BM55" s="128" t="e">
        <f>'PROJECT TA Y TB KARINA'!$L51/8</f>
        <v>#REF!</v>
      </c>
      <c r="BN55" s="128" t="e">
        <f>'PROJECT TA Y TB KARINA'!$L51/8</f>
        <v>#REF!</v>
      </c>
      <c r="BO55" s="128" t="e">
        <f>'PROJECT TA Y TB KARINA'!$L51/8</f>
        <v>#REF!</v>
      </c>
      <c r="BP55" s="128" t="e">
        <f>'PROJECT TA Y TB KARINA'!$L51/8</f>
        <v>#REF!</v>
      </c>
      <c r="BQ55" s="128" t="e">
        <f>'PROJECT TA Y TB KARINA'!$L51/8</f>
        <v>#REF!</v>
      </c>
      <c r="BR55" s="128" t="e">
        <f>'PROJECT TA Y TB KARINA'!$L51/8</f>
        <v>#REF!</v>
      </c>
      <c r="BS55" s="128" t="e">
        <f>'PROJECT TA Y TB KARINA'!$L51/8</f>
        <v>#REF!</v>
      </c>
      <c r="BT55" s="128" t="e">
        <f>'PROJECT TA Y TB KARINA'!$L51/8</f>
        <v>#REF!</v>
      </c>
      <c r="BU55" s="128" t="e">
        <f>'PROJECT TA Y TB KARINA'!$M51/8</f>
        <v>#REF!</v>
      </c>
      <c r="BV55" s="128" t="e">
        <f>'PROJECT TA Y TB KARINA'!$M51/8</f>
        <v>#REF!</v>
      </c>
      <c r="BW55" s="128" t="e">
        <f>'PROJECT TA Y TB KARINA'!$M51/8</f>
        <v>#REF!</v>
      </c>
      <c r="BX55" s="128" t="e">
        <f>'PROJECT TA Y TB KARINA'!$M51/8</f>
        <v>#REF!</v>
      </c>
      <c r="BY55" s="128" t="e">
        <f>'PROJECT TA Y TB KARINA'!$M51/8</f>
        <v>#REF!</v>
      </c>
      <c r="BZ55" s="128" t="e">
        <f>'PROJECT TA Y TB KARINA'!$M51/8</f>
        <v>#REF!</v>
      </c>
      <c r="CA55" s="128" t="e">
        <f>'PROJECT TA Y TB KARINA'!$M51/8</f>
        <v>#REF!</v>
      </c>
      <c r="CB55" s="128" t="e">
        <f>'PROJECT TA Y TB KARINA'!$M51/8</f>
        <v>#REF!</v>
      </c>
      <c r="CC55" s="128" t="e">
        <f>'PROJECT TA Y TB KARINA'!$N51/8</f>
        <v>#REF!</v>
      </c>
      <c r="CD55" s="128" t="e">
        <f>'PROJECT TA Y TB KARINA'!$N51/8</f>
        <v>#REF!</v>
      </c>
      <c r="CE55" s="128" t="e">
        <f>'PROJECT TA Y TB KARINA'!$N51/8</f>
        <v>#REF!</v>
      </c>
      <c r="CF55" s="128" t="e">
        <f>'PROJECT TA Y TB KARINA'!$N51/8</f>
        <v>#REF!</v>
      </c>
      <c r="CG55" s="128" t="e">
        <f>'PROJECT TA Y TB KARINA'!$N51/8</f>
        <v>#REF!</v>
      </c>
      <c r="CH55" s="128" t="e">
        <f>'PROJECT TA Y TB KARINA'!$N51/8</f>
        <v>#REF!</v>
      </c>
      <c r="CI55" s="128" t="e">
        <f>'PROJECT TA Y TB KARINA'!$N51/8</f>
        <v>#REF!</v>
      </c>
      <c r="CJ55" s="128" t="e">
        <f>'PROJECT TA Y TB KARINA'!$N51/8</f>
        <v>#REF!</v>
      </c>
      <c r="CK55" s="128" t="e">
        <f>'PROJECT TA Y TB KARINA'!$O51/8</f>
        <v>#REF!</v>
      </c>
      <c r="CL55" s="128" t="e">
        <f>'PROJECT TA Y TB KARINA'!$O51/8</f>
        <v>#REF!</v>
      </c>
      <c r="CM55" s="128" t="e">
        <f>'PROJECT TA Y TB KARINA'!$O51/8</f>
        <v>#REF!</v>
      </c>
      <c r="CN55" s="128" t="e">
        <f>'PROJECT TA Y TB KARINA'!$O51/8</f>
        <v>#REF!</v>
      </c>
      <c r="CO55" s="128" t="e">
        <f>'PROJECT TA Y TB KARINA'!$O51/8</f>
        <v>#REF!</v>
      </c>
      <c r="CP55" s="128" t="e">
        <f>'PROJECT TA Y TB KARINA'!$O51/8</f>
        <v>#REF!</v>
      </c>
      <c r="CQ55" s="128" t="e">
        <f>'PROJECT TA Y TB KARINA'!$O51/8</f>
        <v>#REF!</v>
      </c>
      <c r="CR55" s="128" t="e">
        <f>'PROJECT TA Y TB KARINA'!$O51/8</f>
        <v>#REF!</v>
      </c>
      <c r="CS55" s="128" t="e">
        <f>'PROJECT TA Y TB KARINA'!$P51/8</f>
        <v>#REF!</v>
      </c>
      <c r="CT55" s="128" t="e">
        <f>'PROJECT TA Y TB KARINA'!$P51/8</f>
        <v>#REF!</v>
      </c>
      <c r="CU55" s="128" t="e">
        <f>'PROJECT TA Y TB KARINA'!$P51/8</f>
        <v>#REF!</v>
      </c>
      <c r="CV55" s="128" t="e">
        <f>'PROJECT TA Y TB KARINA'!$P51/8</f>
        <v>#REF!</v>
      </c>
      <c r="CW55" s="128" t="e">
        <f>'PROJECT TA Y TB KARINA'!$P51/8</f>
        <v>#REF!</v>
      </c>
      <c r="CX55" s="128" t="e">
        <f>'PROJECT TA Y TB KARINA'!$P51/8</f>
        <v>#REF!</v>
      </c>
      <c r="CY55" s="128" t="e">
        <f>'PROJECT TA Y TB KARINA'!$P51/8</f>
        <v>#REF!</v>
      </c>
      <c r="CZ55" s="128" t="e">
        <f>'PROJECT TA Y TB KARINA'!$P51/8</f>
        <v>#REF!</v>
      </c>
      <c r="DA55" s="128" t="e">
        <f>'PROJECT TA Y TB KARINA'!$Q51/8</f>
        <v>#REF!</v>
      </c>
      <c r="DB55" s="128" t="e">
        <f>'PROJECT TA Y TB KARINA'!$Q51/8</f>
        <v>#REF!</v>
      </c>
      <c r="DC55" s="128" t="e">
        <f>'PROJECT TA Y TB KARINA'!$Q51/8</f>
        <v>#REF!</v>
      </c>
      <c r="DD55" s="128" t="e">
        <f>'PROJECT TA Y TB KARINA'!$Q51/8</f>
        <v>#REF!</v>
      </c>
      <c r="DE55" s="128" t="e">
        <f>'PROJECT TA Y TB KARINA'!$Q51/8</f>
        <v>#REF!</v>
      </c>
      <c r="DF55" s="128" t="e">
        <f>'PROJECT TA Y TB KARINA'!$Q51/8</f>
        <v>#REF!</v>
      </c>
      <c r="DG55" s="128" t="e">
        <f>'PROJECT TA Y TB KARINA'!$Q51/8</f>
        <v>#REF!</v>
      </c>
      <c r="DH55" s="128" t="e">
        <f>'PROJECT TA Y TB KARINA'!$Q51/8</f>
        <v>#REF!</v>
      </c>
      <c r="DI55" s="128" t="e">
        <f>'PROJECT TA Y TB KARINA'!$R51/8</f>
        <v>#REF!</v>
      </c>
      <c r="DJ55" s="128" t="e">
        <f>'PROJECT TA Y TB KARINA'!$R51/8</f>
        <v>#REF!</v>
      </c>
      <c r="DK55" s="128" t="e">
        <f>'PROJECT TA Y TB KARINA'!$R51/8</f>
        <v>#REF!</v>
      </c>
      <c r="DL55" s="128" t="e">
        <f>'PROJECT TA Y TB KARINA'!$R51/8</f>
        <v>#REF!</v>
      </c>
      <c r="DM55" s="128" t="e">
        <f>'PROJECT TA Y TB KARINA'!$R51/8</f>
        <v>#REF!</v>
      </c>
      <c r="DN55" s="128" t="e">
        <f>'PROJECT TA Y TB KARINA'!$R51/8</f>
        <v>#REF!</v>
      </c>
      <c r="DO55" s="128" t="e">
        <f>'PROJECT TA Y TB KARINA'!$R51/8</f>
        <v>#REF!</v>
      </c>
      <c r="DP55" s="128" t="e">
        <f>'PROJECT TA Y TB KARINA'!$R51/8</f>
        <v>#REF!</v>
      </c>
      <c r="DQ55" s="128" t="e">
        <f>'PROJECT TA Y TB KARINA'!$S51/8</f>
        <v>#REF!</v>
      </c>
      <c r="DR55" s="128" t="e">
        <f>'PROJECT TA Y TB KARINA'!$S51/8</f>
        <v>#REF!</v>
      </c>
      <c r="DS55" s="128" t="e">
        <f>'PROJECT TA Y TB KARINA'!$S51/8</f>
        <v>#REF!</v>
      </c>
      <c r="DT55" s="128" t="e">
        <f>'PROJECT TA Y TB KARINA'!$S51/8</f>
        <v>#REF!</v>
      </c>
      <c r="DU55" s="128" t="e">
        <f>'PROJECT TA Y TB KARINA'!$S51/8</f>
        <v>#REF!</v>
      </c>
      <c r="DV55" s="128" t="e">
        <f>'PROJECT TA Y TB KARINA'!$S51/8</f>
        <v>#REF!</v>
      </c>
      <c r="DW55" s="128" t="e">
        <f>'PROJECT TA Y TB KARINA'!$S51/8</f>
        <v>#REF!</v>
      </c>
      <c r="DX55" s="128" t="e">
        <f>'PROJECT TA Y TB KARINA'!$S51/8</f>
        <v>#REF!</v>
      </c>
      <c r="DY55" s="128" t="e">
        <f>'PROJECT TA Y TB KARINA'!$T51/8</f>
        <v>#REF!</v>
      </c>
      <c r="DZ55" s="128" t="e">
        <f>'PROJECT TA Y TB KARINA'!$T51/8</f>
        <v>#REF!</v>
      </c>
      <c r="EA55" s="128" t="e">
        <f>'PROJECT TA Y TB KARINA'!$T51/8</f>
        <v>#REF!</v>
      </c>
      <c r="EB55" s="128" t="e">
        <f>'PROJECT TA Y TB KARINA'!$T51/8</f>
        <v>#REF!</v>
      </c>
      <c r="EC55" s="128" t="e">
        <f>'PROJECT TA Y TB KARINA'!$T51/8</f>
        <v>#REF!</v>
      </c>
      <c r="ED55" s="128" t="e">
        <f>'PROJECT TA Y TB KARINA'!$T51/8</f>
        <v>#REF!</v>
      </c>
      <c r="EE55" s="128" t="e">
        <f>'PROJECT TA Y TB KARINA'!$T51/8</f>
        <v>#REF!</v>
      </c>
      <c r="EF55" s="128" t="e">
        <f>'PROJECT TA Y TB KARINA'!$T51/8</f>
        <v>#REF!</v>
      </c>
      <c r="EG55" s="128" t="e">
        <f>'PROJECT TA Y TB KARINA'!#REF!/8</f>
        <v>#REF!</v>
      </c>
      <c r="EH55" s="128" t="e">
        <f>'PROJECT TA Y TB KARINA'!#REF!/8</f>
        <v>#REF!</v>
      </c>
      <c r="EI55" s="128" t="e">
        <f>'PROJECT TA Y TB KARINA'!#REF!/8</f>
        <v>#REF!</v>
      </c>
      <c r="EJ55" s="128" t="e">
        <f>'PROJECT TA Y TB KARINA'!#REF!/8</f>
        <v>#REF!</v>
      </c>
      <c r="EK55" s="128" t="e">
        <f>'PROJECT TA Y TB KARINA'!#REF!/8</f>
        <v>#REF!</v>
      </c>
      <c r="EL55" s="128" t="e">
        <f>'PROJECT TA Y TB KARINA'!#REF!/8</f>
        <v>#REF!</v>
      </c>
      <c r="EM55" s="128" t="e">
        <f>'PROJECT TA Y TB KARINA'!#REF!/8</f>
        <v>#REF!</v>
      </c>
      <c r="EN55" s="128" t="e">
        <f>'PROJECT TA Y TB KARINA'!#REF!/8</f>
        <v>#REF!</v>
      </c>
      <c r="EO55" s="128">
        <f>'PROJECT TA Y TB KARINA'!$C109/8</f>
        <v>0</v>
      </c>
      <c r="EP55" s="128">
        <f>'PROJECT TA Y TB KARINA'!$C109/8</f>
        <v>0</v>
      </c>
      <c r="EQ55" s="128">
        <f>'PROJECT TA Y TB KARINA'!$C109/8</f>
        <v>0</v>
      </c>
      <c r="ER55" s="128">
        <f>'PROJECT TA Y TB KARINA'!$C109/8</f>
        <v>0</v>
      </c>
      <c r="ES55" s="128">
        <f>'PROJECT TA Y TB KARINA'!$C109/8</f>
        <v>0</v>
      </c>
      <c r="ET55" s="128">
        <f>'PROJECT TA Y TB KARINA'!$C109/8</f>
        <v>0</v>
      </c>
      <c r="EU55" s="128">
        <f>'PROJECT TA Y TB KARINA'!$C109/8</f>
        <v>0</v>
      </c>
      <c r="EV55" s="128">
        <f>'PROJECT TA Y TB KARINA'!$E109/8</f>
        <v>0</v>
      </c>
      <c r="EW55" s="128">
        <f>'PROJECT TA Y TB KARINA'!$E109/8</f>
        <v>0</v>
      </c>
      <c r="EX55" s="128">
        <f>'PROJECT TA Y TB KARINA'!$E109/8</f>
        <v>0</v>
      </c>
      <c r="EY55" s="128">
        <f>'PROJECT TA Y TB KARINA'!$E109/8</f>
        <v>0</v>
      </c>
      <c r="EZ55" s="128">
        <f>'PROJECT TA Y TB KARINA'!$E109/8</f>
        <v>0</v>
      </c>
      <c r="FA55" s="128">
        <f>'PROJECT TA Y TB KARINA'!$E109/8</f>
        <v>0</v>
      </c>
      <c r="FB55" s="128">
        <f>'PROJECT TA Y TB KARINA'!$E109/8</f>
        <v>0</v>
      </c>
      <c r="FC55" s="128">
        <f>'PROJECT TA Y TB KARINA'!$E109/8</f>
        <v>0</v>
      </c>
      <c r="FD55" s="128">
        <f>'PROJECT TA Y TB KARINA'!$F109/8</f>
        <v>0</v>
      </c>
      <c r="FE55" s="128">
        <f>'PROJECT TA Y TB KARINA'!$F109/8</f>
        <v>0</v>
      </c>
      <c r="FF55" s="128">
        <f>'PROJECT TA Y TB KARINA'!$F109/8</f>
        <v>0</v>
      </c>
      <c r="FG55" s="128">
        <f>'PROJECT TA Y TB KARINA'!$F109/8</f>
        <v>0</v>
      </c>
      <c r="FH55" s="128">
        <f>'PROJECT TA Y TB KARINA'!$F109/8</f>
        <v>0</v>
      </c>
      <c r="FI55" s="128">
        <f>'PROJECT TA Y TB KARINA'!$F109/8</f>
        <v>0</v>
      </c>
      <c r="FJ55" s="128">
        <f>'PROJECT TA Y TB KARINA'!$F109/8</f>
        <v>0</v>
      </c>
      <c r="FK55" s="128">
        <f>'PROJECT TA Y TB KARINA'!$F109/8</f>
        <v>0</v>
      </c>
      <c r="FL55" s="128">
        <f>'PROJECT TA Y TB KARINA'!$G109/8</f>
        <v>0</v>
      </c>
      <c r="FM55" s="128">
        <f>'PROJECT TA Y TB KARINA'!$G109/8</f>
        <v>0</v>
      </c>
      <c r="FN55" s="128">
        <f>'PROJECT TA Y TB KARINA'!$G109/8</f>
        <v>0</v>
      </c>
      <c r="FO55" s="128">
        <f>'PROJECT TA Y TB KARINA'!$G109/8</f>
        <v>0</v>
      </c>
      <c r="FP55" s="128">
        <f>'PROJECT TA Y TB KARINA'!$G109/8</f>
        <v>0</v>
      </c>
      <c r="FQ55" s="128">
        <f>'PROJECT TA Y TB KARINA'!$G109/8</f>
        <v>0</v>
      </c>
      <c r="FR55" s="128">
        <f>'PROJECT TA Y TB KARINA'!$G109/8</f>
        <v>0</v>
      </c>
      <c r="FS55" s="128">
        <f>'PROJECT TA Y TB KARINA'!$G109/8</f>
        <v>0</v>
      </c>
      <c r="FT55" s="128">
        <f>'PROJECT TA Y TB KARINA'!$H109/8</f>
        <v>0</v>
      </c>
      <c r="FU55" s="128">
        <f>'PROJECT TA Y TB KARINA'!$H109/8</f>
        <v>0</v>
      </c>
      <c r="FV55" s="128">
        <f>'PROJECT TA Y TB KARINA'!$H109/8</f>
        <v>0</v>
      </c>
      <c r="FW55" s="128">
        <f>'PROJECT TA Y TB KARINA'!$H109/8</f>
        <v>0</v>
      </c>
      <c r="FX55" s="128">
        <f>'PROJECT TA Y TB KARINA'!$H109/8</f>
        <v>0</v>
      </c>
      <c r="FY55" s="128">
        <f>'PROJECT TA Y TB KARINA'!$H109/8</f>
        <v>0</v>
      </c>
      <c r="FZ55" s="128">
        <f>'PROJECT TA Y TB KARINA'!$H109/8</f>
        <v>0</v>
      </c>
      <c r="GA55" s="128">
        <f>'PROJECT TA Y TB KARINA'!$H109/8</f>
        <v>0</v>
      </c>
      <c r="GB55" s="128">
        <f>'PROJECT TA Y TB KARINA'!$I109/8</f>
        <v>0</v>
      </c>
      <c r="GC55" s="128">
        <f>'PROJECT TA Y TB KARINA'!$I109/8</f>
        <v>0</v>
      </c>
      <c r="GD55" s="128">
        <f>'PROJECT TA Y TB KARINA'!$I109/8</f>
        <v>0</v>
      </c>
      <c r="GE55" s="128">
        <f>'PROJECT TA Y TB KARINA'!$I109/8</f>
        <v>0</v>
      </c>
      <c r="GF55" s="128">
        <f>'PROJECT TA Y TB KARINA'!$I109/8</f>
        <v>0</v>
      </c>
      <c r="GG55" s="128">
        <f>'PROJECT TA Y TB KARINA'!$I109/8</f>
        <v>0</v>
      </c>
      <c r="GH55" s="128">
        <f>'PROJECT TA Y TB KARINA'!$I109/8</f>
        <v>0</v>
      </c>
      <c r="GI55" s="128">
        <f>'PROJECT TA Y TB KARINA'!$I109/8</f>
        <v>0</v>
      </c>
      <c r="GJ55" s="128">
        <f>'PROJECT TA Y TB KARINA'!$J109/8</f>
        <v>0</v>
      </c>
      <c r="GK55" s="128">
        <f>'PROJECT TA Y TB KARINA'!$J109/8</f>
        <v>0</v>
      </c>
      <c r="GL55" s="128">
        <f>'PROJECT TA Y TB KARINA'!$J109/8</f>
        <v>0</v>
      </c>
      <c r="GM55" s="128">
        <f>'PROJECT TA Y TB KARINA'!$J109/8</f>
        <v>0</v>
      </c>
      <c r="GN55" s="128">
        <f>'PROJECT TA Y TB KARINA'!$J109/8</f>
        <v>0</v>
      </c>
      <c r="GO55" s="128">
        <f>'PROJECT TA Y TB KARINA'!$J109/8</f>
        <v>0</v>
      </c>
      <c r="GP55" s="128">
        <f>'PROJECT TA Y TB KARINA'!$J109/8</f>
        <v>0</v>
      </c>
      <c r="GQ55" s="128">
        <f>'PROJECT TA Y TB KARINA'!$J109/8</f>
        <v>0</v>
      </c>
      <c r="GR55" s="128">
        <f>'PROJECT TA Y TB KARINA'!$K109/8</f>
        <v>0</v>
      </c>
      <c r="GS55" s="128">
        <f>'PROJECT TA Y TB KARINA'!$K109/8</f>
        <v>0</v>
      </c>
      <c r="GT55" s="128">
        <f>'PROJECT TA Y TB KARINA'!$K109/8</f>
        <v>0</v>
      </c>
      <c r="GU55" s="128">
        <f>'PROJECT TA Y TB KARINA'!$K109/8</f>
        <v>0</v>
      </c>
      <c r="GV55" s="128">
        <f>'PROJECT TA Y TB KARINA'!$K109/8</f>
        <v>0</v>
      </c>
      <c r="GW55" s="128">
        <f>'PROJECT TA Y TB KARINA'!$K109/8</f>
        <v>0</v>
      </c>
      <c r="GX55" s="128">
        <f>'PROJECT TA Y TB KARINA'!$K109/8</f>
        <v>0</v>
      </c>
      <c r="GY55" s="128">
        <f>'PROJECT TA Y TB KARINA'!$K109/8</f>
        <v>0</v>
      </c>
      <c r="GZ55" s="128">
        <f>'PROJECT TA Y TB KARINA'!$L109/8</f>
        <v>0</v>
      </c>
      <c r="HA55" s="128">
        <f>'PROJECT TA Y TB KARINA'!$L109/8</f>
        <v>0</v>
      </c>
      <c r="HB55" s="128">
        <f>'PROJECT TA Y TB KARINA'!$L109/8</f>
        <v>0</v>
      </c>
      <c r="HC55" s="128">
        <f>'PROJECT TA Y TB KARINA'!$L109/8</f>
        <v>0</v>
      </c>
      <c r="HD55" s="128">
        <f>'PROJECT TA Y TB KARINA'!$L109/8</f>
        <v>0</v>
      </c>
      <c r="HE55" s="128">
        <f>'PROJECT TA Y TB KARINA'!$L109/8</f>
        <v>0</v>
      </c>
      <c r="HF55" s="128">
        <f>'PROJECT TA Y TB KARINA'!$L109/8</f>
        <v>0</v>
      </c>
      <c r="HG55" s="128">
        <f>'PROJECT TA Y TB KARINA'!$L109/8</f>
        <v>0</v>
      </c>
      <c r="HH55" s="128">
        <f>'PROJECT TA Y TB KARINA'!$M109/8</f>
        <v>0</v>
      </c>
      <c r="HI55" s="128">
        <f>'PROJECT TA Y TB KARINA'!$M109/8</f>
        <v>0</v>
      </c>
      <c r="HJ55" s="128">
        <f>'PROJECT TA Y TB KARINA'!$M109/8</f>
        <v>0</v>
      </c>
      <c r="HK55" s="128">
        <f>'PROJECT TA Y TB KARINA'!$M109/8</f>
        <v>0</v>
      </c>
      <c r="HL55" s="128">
        <f>'PROJECT TA Y TB KARINA'!$M109/8</f>
        <v>0</v>
      </c>
      <c r="HM55" s="128">
        <f>'PROJECT TA Y TB KARINA'!$M109/8</f>
        <v>0</v>
      </c>
      <c r="HN55" s="128">
        <f>'PROJECT TA Y TB KARINA'!$M109/8</f>
        <v>0</v>
      </c>
      <c r="HO55" s="128">
        <f>'PROJECT TA Y TB KARINA'!$M109/8</f>
        <v>0</v>
      </c>
      <c r="HP55" s="128">
        <f>'PROJECT TA Y TB KARINA'!$N109/8</f>
        <v>0</v>
      </c>
      <c r="HQ55" s="128">
        <f>'PROJECT TA Y TB KARINA'!$N109/8</f>
        <v>0</v>
      </c>
      <c r="HR55" s="128">
        <f>'PROJECT TA Y TB KARINA'!$N109/8</f>
        <v>0</v>
      </c>
      <c r="HS55" s="128">
        <f>'PROJECT TA Y TB KARINA'!$N109/8</f>
        <v>0</v>
      </c>
      <c r="HT55" s="128">
        <f>'PROJECT TA Y TB KARINA'!$N109/8</f>
        <v>0</v>
      </c>
      <c r="HU55" s="128">
        <f>'PROJECT TA Y TB KARINA'!$N109/8</f>
        <v>0</v>
      </c>
      <c r="HV55" s="128">
        <f>'PROJECT TA Y TB KARINA'!$N109/8</f>
        <v>0</v>
      </c>
      <c r="HW55" s="128">
        <f>'PROJECT TA Y TB KARINA'!$N109/8</f>
        <v>0</v>
      </c>
      <c r="HX55" s="128">
        <f>'PROJECT TA Y TB KARINA'!$O109/8</f>
        <v>0</v>
      </c>
      <c r="HY55" s="128">
        <f>'PROJECT TA Y TB KARINA'!$O109/8</f>
        <v>0</v>
      </c>
      <c r="HZ55" s="128">
        <f>'PROJECT TA Y TB KARINA'!$O109/8</f>
        <v>0</v>
      </c>
      <c r="IA55" s="128">
        <f>'PROJECT TA Y TB KARINA'!$O109/8</f>
        <v>0</v>
      </c>
      <c r="IB55" s="128">
        <f>'PROJECT TA Y TB KARINA'!$O109/8</f>
        <v>0</v>
      </c>
      <c r="IC55" s="128">
        <f>'PROJECT TA Y TB KARINA'!$O109/8</f>
        <v>0</v>
      </c>
      <c r="ID55" s="128">
        <f>'PROJECT TA Y TB KARINA'!$O109/8</f>
        <v>0</v>
      </c>
      <c r="IE55" s="128">
        <f>'PROJECT TA Y TB KARINA'!$O109/8</f>
        <v>0</v>
      </c>
      <c r="IF55" s="128">
        <f>'PROJECT TA Y TB KARINA'!$P109/8</f>
        <v>0</v>
      </c>
      <c r="IG55" s="128">
        <f>'PROJECT TA Y TB KARINA'!$P109/8</f>
        <v>0</v>
      </c>
      <c r="IH55" s="128">
        <f>'PROJECT TA Y TB KARINA'!$P109/8</f>
        <v>0</v>
      </c>
      <c r="II55" s="128">
        <f>'PROJECT TA Y TB KARINA'!$P109/8</f>
        <v>0</v>
      </c>
      <c r="IJ55" s="128">
        <f>'PROJECT TA Y TB KARINA'!$P109/8</f>
        <v>0</v>
      </c>
      <c r="IK55" s="128">
        <f>'PROJECT TA Y TB KARINA'!$P109/8</f>
        <v>0</v>
      </c>
      <c r="IL55" s="128">
        <f>'PROJECT TA Y TB KARINA'!$P109/8</f>
        <v>0</v>
      </c>
      <c r="IM55" s="128">
        <f>'PROJECT TA Y TB KARINA'!$P109/8</f>
        <v>0</v>
      </c>
      <c r="IN55" s="128">
        <f>'PROJECT TA Y TB KARINA'!$Q109/8</f>
        <v>0</v>
      </c>
      <c r="IO55" s="128">
        <f>'PROJECT TA Y TB KARINA'!$Q109/8</f>
        <v>0</v>
      </c>
      <c r="IP55" s="128">
        <f>'PROJECT TA Y TB KARINA'!$Q109/8</f>
        <v>0</v>
      </c>
      <c r="IQ55" s="128">
        <f>'PROJECT TA Y TB KARINA'!$Q109/8</f>
        <v>0</v>
      </c>
      <c r="IR55" s="128">
        <f>'PROJECT TA Y TB KARINA'!$Q109/8</f>
        <v>0</v>
      </c>
      <c r="IS55" s="128">
        <f>'PROJECT TA Y TB KARINA'!$Q109/8</f>
        <v>0</v>
      </c>
      <c r="IT55" s="128">
        <f>'PROJECT TA Y TB KARINA'!$Q109/8</f>
        <v>0</v>
      </c>
      <c r="IU55" s="128">
        <f>'PROJECT TA Y TB KARINA'!$Q109/8</f>
        <v>0</v>
      </c>
      <c r="IV55" s="128">
        <f>'PROJECT TA Y TB KARINA'!$R109/8</f>
        <v>0</v>
      </c>
      <c r="IW55" s="128">
        <f>'PROJECT TA Y TB KARINA'!$R109/8</f>
        <v>0</v>
      </c>
      <c r="IX55" s="128">
        <f>'PROJECT TA Y TB KARINA'!$R109/8</f>
        <v>0</v>
      </c>
      <c r="IY55" s="128">
        <f>'PROJECT TA Y TB KARINA'!$R109/8</f>
        <v>0</v>
      </c>
      <c r="IZ55" s="128">
        <f>'PROJECT TA Y TB KARINA'!$R109/8</f>
        <v>0</v>
      </c>
      <c r="JA55" s="128">
        <f>'PROJECT TA Y TB KARINA'!$R109/8</f>
        <v>0</v>
      </c>
      <c r="JB55" s="128">
        <f>'PROJECT TA Y TB KARINA'!$R109/8</f>
        <v>0</v>
      </c>
      <c r="JC55" s="128">
        <f>'PROJECT TA Y TB KARINA'!$R109/8</f>
        <v>0</v>
      </c>
      <c r="JD55" s="128">
        <f>'PROJECT TA Y TB KARINA'!$S109/8</f>
        <v>0</v>
      </c>
      <c r="JE55" s="128">
        <f>'PROJECT TA Y TB KARINA'!$S109/8</f>
        <v>0</v>
      </c>
      <c r="JF55" s="128">
        <f>'PROJECT TA Y TB KARINA'!$S109/8</f>
        <v>0</v>
      </c>
      <c r="JG55" s="128">
        <f>'PROJECT TA Y TB KARINA'!$S109/8</f>
        <v>0</v>
      </c>
      <c r="JH55" s="128">
        <f>'PROJECT TA Y TB KARINA'!$S109/8</f>
        <v>0</v>
      </c>
      <c r="JI55" s="128">
        <f>'PROJECT TA Y TB KARINA'!$S109/8</f>
        <v>0</v>
      </c>
      <c r="JJ55" s="128">
        <f>'PROJECT TA Y TB KARINA'!$S109/8</f>
        <v>0</v>
      </c>
      <c r="JK55" s="128">
        <f>'PROJECT TA Y TB KARINA'!$S109/8</f>
        <v>0</v>
      </c>
      <c r="JL55" s="128">
        <f>'PROJECT TA Y TB KARINA'!$T109/8</f>
        <v>0</v>
      </c>
      <c r="JM55" s="128">
        <f>'PROJECT TA Y TB KARINA'!$T109/8</f>
        <v>0</v>
      </c>
      <c r="JN55" s="128">
        <f>'PROJECT TA Y TB KARINA'!$T109/8</f>
        <v>0</v>
      </c>
      <c r="JO55" s="128">
        <f>'PROJECT TA Y TB KARINA'!$T109/8</f>
        <v>0</v>
      </c>
      <c r="JP55" s="128">
        <f>'PROJECT TA Y TB KARINA'!$T109/8</f>
        <v>0</v>
      </c>
      <c r="JQ55" s="128">
        <f>'PROJECT TA Y TB KARINA'!$T109/8</f>
        <v>0</v>
      </c>
      <c r="JR55" s="128">
        <f>'PROJECT TA Y TB KARINA'!$T109/8</f>
        <v>0</v>
      </c>
      <c r="JS55" s="128">
        <f>'PROJECT TA Y TB KARINA'!$T109/8</f>
        <v>0</v>
      </c>
      <c r="JT55" s="128" t="e">
        <f>'PROJECT TA Y TB KARINA'!#REF!/8</f>
        <v>#REF!</v>
      </c>
      <c r="JU55" s="128" t="e">
        <f>'PROJECT TA Y TB KARINA'!#REF!/8</f>
        <v>#REF!</v>
      </c>
      <c r="JV55" s="128" t="e">
        <f>'PROJECT TA Y TB KARINA'!#REF!/8</f>
        <v>#REF!</v>
      </c>
      <c r="JW55" s="128" t="e">
        <f>'PROJECT TA Y TB KARINA'!#REF!/8</f>
        <v>#REF!</v>
      </c>
      <c r="JX55" s="128" t="e">
        <f>'PROJECT TA Y TB KARINA'!#REF!/8</f>
        <v>#REF!</v>
      </c>
      <c r="JY55" s="128" t="e">
        <f>'PROJECT TA Y TB KARINA'!#REF!/8</f>
        <v>#REF!</v>
      </c>
      <c r="JZ55" s="128" t="e">
        <f>'PROJECT TA Y TB KARINA'!#REF!/8</f>
        <v>#REF!</v>
      </c>
      <c r="KA55" s="128" t="e">
        <f>'PROJECT TA Y TB KARINA'!#REF!/8</f>
        <v>#REF!</v>
      </c>
    </row>
    <row r="56" spans="1:287" ht="21">
      <c r="A56" s="130" t="s">
        <v>509</v>
      </c>
      <c r="B56" s="128" t="e">
        <f>'PROJECT TA Y TB KARINA'!$C$52/8</f>
        <v>#REF!</v>
      </c>
      <c r="C56" s="128" t="e">
        <f>'PROJECT TA Y TB KARINA'!$C$52/8</f>
        <v>#REF!</v>
      </c>
      <c r="D56" s="128" t="e">
        <f>'PROJECT TA Y TB KARINA'!$C$52/8</f>
        <v>#REF!</v>
      </c>
      <c r="E56" s="128" t="e">
        <f>'PROJECT TA Y TB KARINA'!$C$52/8</f>
        <v>#REF!</v>
      </c>
      <c r="F56" s="128" t="e">
        <f>'PROJECT TA Y TB KARINA'!$C$52/8</f>
        <v>#REF!</v>
      </c>
      <c r="G56" s="128" t="e">
        <f>'PROJECT TA Y TB KARINA'!$C$52/8</f>
        <v>#REF!</v>
      </c>
      <c r="H56" s="128" t="e">
        <f>'PROJECT TA Y TB KARINA'!$C$52/8</f>
        <v>#REF!</v>
      </c>
      <c r="I56" s="128" t="e">
        <f>'PROJECT TA Y TB KARINA'!$E52/8</f>
        <v>#REF!</v>
      </c>
      <c r="J56" s="128" t="e">
        <f>'PROJECT TA Y TB KARINA'!$E52/8</f>
        <v>#REF!</v>
      </c>
      <c r="K56" s="128" t="e">
        <f>'PROJECT TA Y TB KARINA'!$E52/8</f>
        <v>#REF!</v>
      </c>
      <c r="L56" s="128" t="e">
        <f>'PROJECT TA Y TB KARINA'!$E52/8</f>
        <v>#REF!</v>
      </c>
      <c r="M56" s="128" t="e">
        <f>'PROJECT TA Y TB KARINA'!$E52/8</f>
        <v>#REF!</v>
      </c>
      <c r="N56" s="128" t="e">
        <f>'PROJECT TA Y TB KARINA'!$E52/8</f>
        <v>#REF!</v>
      </c>
      <c r="O56" s="128" t="e">
        <f>'PROJECT TA Y TB KARINA'!$E52/8</f>
        <v>#REF!</v>
      </c>
      <c r="P56" s="128" t="e">
        <f>'PROJECT TA Y TB KARINA'!$E52/8</f>
        <v>#REF!</v>
      </c>
      <c r="Q56" s="128" t="e">
        <f>'PROJECT TA Y TB KARINA'!$F52/8</f>
        <v>#REF!</v>
      </c>
      <c r="R56" s="128" t="e">
        <f>'PROJECT TA Y TB KARINA'!$F52/8</f>
        <v>#REF!</v>
      </c>
      <c r="S56" s="128" t="e">
        <f>'PROJECT TA Y TB KARINA'!$F52/8</f>
        <v>#REF!</v>
      </c>
      <c r="T56" s="128" t="e">
        <f>'PROJECT TA Y TB KARINA'!$F52/8</f>
        <v>#REF!</v>
      </c>
      <c r="U56" s="128" t="e">
        <f>'PROJECT TA Y TB KARINA'!$F52/8</f>
        <v>#REF!</v>
      </c>
      <c r="V56" s="128" t="e">
        <f>'PROJECT TA Y TB KARINA'!$F52/8</f>
        <v>#REF!</v>
      </c>
      <c r="W56" s="128" t="e">
        <f>'PROJECT TA Y TB KARINA'!$F52/8</f>
        <v>#REF!</v>
      </c>
      <c r="X56" s="128" t="e">
        <f>'PROJECT TA Y TB KARINA'!$F52/8</f>
        <v>#REF!</v>
      </c>
      <c r="Y56" s="128" t="e">
        <f>'PROJECT TA Y TB KARINA'!$G52/8</f>
        <v>#REF!</v>
      </c>
      <c r="Z56" s="128" t="e">
        <f>'PROJECT TA Y TB KARINA'!$G52/8</f>
        <v>#REF!</v>
      </c>
      <c r="AA56" s="128" t="e">
        <f>'PROJECT TA Y TB KARINA'!$G52/8</f>
        <v>#REF!</v>
      </c>
      <c r="AB56" s="128" t="e">
        <f>'PROJECT TA Y TB KARINA'!$G52/8</f>
        <v>#REF!</v>
      </c>
      <c r="AC56" s="128" t="e">
        <f>'PROJECT TA Y TB KARINA'!$G52/8</f>
        <v>#REF!</v>
      </c>
      <c r="AD56" s="128" t="e">
        <f>'PROJECT TA Y TB KARINA'!$G52/8</f>
        <v>#REF!</v>
      </c>
      <c r="AE56" s="128" t="e">
        <f>'PROJECT TA Y TB KARINA'!$G52/8</f>
        <v>#REF!</v>
      </c>
      <c r="AF56" s="128" t="e">
        <f>'PROJECT TA Y TB KARINA'!$G52/8</f>
        <v>#REF!</v>
      </c>
      <c r="AG56" s="128" t="e">
        <f>'PROJECT TA Y TB KARINA'!$H52/8</f>
        <v>#REF!</v>
      </c>
      <c r="AH56" s="128" t="e">
        <f>'PROJECT TA Y TB KARINA'!$H52/8</f>
        <v>#REF!</v>
      </c>
      <c r="AI56" s="128" t="e">
        <f>'PROJECT TA Y TB KARINA'!$H52/8</f>
        <v>#REF!</v>
      </c>
      <c r="AJ56" s="128" t="e">
        <f>'PROJECT TA Y TB KARINA'!$H52/8</f>
        <v>#REF!</v>
      </c>
      <c r="AK56" s="128" t="e">
        <f>'PROJECT TA Y TB KARINA'!$H52/8</f>
        <v>#REF!</v>
      </c>
      <c r="AL56" s="128" t="e">
        <f>'PROJECT TA Y TB KARINA'!$H52/8</f>
        <v>#REF!</v>
      </c>
      <c r="AM56" s="128" t="e">
        <f>'PROJECT TA Y TB KARINA'!$H52/8</f>
        <v>#REF!</v>
      </c>
      <c r="AN56" s="128" t="e">
        <f>'PROJECT TA Y TB KARINA'!$H52/8</f>
        <v>#REF!</v>
      </c>
      <c r="AO56" s="128" t="e">
        <f>'PROJECT TA Y TB KARINA'!$I52/8</f>
        <v>#REF!</v>
      </c>
      <c r="AP56" s="128" t="e">
        <f>'PROJECT TA Y TB KARINA'!$I52/8</f>
        <v>#REF!</v>
      </c>
      <c r="AQ56" s="128" t="e">
        <f>'PROJECT TA Y TB KARINA'!$I52/8</f>
        <v>#REF!</v>
      </c>
      <c r="AR56" s="128" t="e">
        <f>'PROJECT TA Y TB KARINA'!$I52/8</f>
        <v>#REF!</v>
      </c>
      <c r="AS56" s="128" t="e">
        <f>'PROJECT TA Y TB KARINA'!$I52/8</f>
        <v>#REF!</v>
      </c>
      <c r="AT56" s="128" t="e">
        <f>'PROJECT TA Y TB KARINA'!$I52/8</f>
        <v>#REF!</v>
      </c>
      <c r="AU56" s="128" t="e">
        <f>'PROJECT TA Y TB KARINA'!$I52/8</f>
        <v>#REF!</v>
      </c>
      <c r="AV56" s="128" t="e">
        <f>'PROJECT TA Y TB KARINA'!$I52/8</f>
        <v>#REF!</v>
      </c>
      <c r="AW56" s="128" t="e">
        <f>'PROJECT TA Y TB KARINA'!$J52/8</f>
        <v>#REF!</v>
      </c>
      <c r="AX56" s="128" t="e">
        <f>'PROJECT TA Y TB KARINA'!$J52/8</f>
        <v>#REF!</v>
      </c>
      <c r="AY56" s="128" t="e">
        <f>'PROJECT TA Y TB KARINA'!$J52/8</f>
        <v>#REF!</v>
      </c>
      <c r="AZ56" s="128" t="e">
        <f>'PROJECT TA Y TB KARINA'!$J52/8</f>
        <v>#REF!</v>
      </c>
      <c r="BA56" s="128" t="e">
        <f>'PROJECT TA Y TB KARINA'!$J52/8</f>
        <v>#REF!</v>
      </c>
      <c r="BB56" s="128" t="e">
        <f>'PROJECT TA Y TB KARINA'!$J52/8</f>
        <v>#REF!</v>
      </c>
      <c r="BC56" s="128" t="e">
        <f>'PROJECT TA Y TB KARINA'!$J52/8</f>
        <v>#REF!</v>
      </c>
      <c r="BD56" s="128" t="e">
        <f>'PROJECT TA Y TB KARINA'!$J52/8</f>
        <v>#REF!</v>
      </c>
      <c r="BE56" s="128" t="e">
        <f>'PROJECT TA Y TB KARINA'!$K52/8</f>
        <v>#REF!</v>
      </c>
      <c r="BF56" s="128" t="e">
        <f>'PROJECT TA Y TB KARINA'!$K52/8</f>
        <v>#REF!</v>
      </c>
      <c r="BG56" s="128" t="e">
        <f>'PROJECT TA Y TB KARINA'!$K52/8</f>
        <v>#REF!</v>
      </c>
      <c r="BH56" s="128" t="e">
        <f>'PROJECT TA Y TB KARINA'!$K52/8</f>
        <v>#REF!</v>
      </c>
      <c r="BI56" s="128" t="e">
        <f>'PROJECT TA Y TB KARINA'!$K52/8</f>
        <v>#REF!</v>
      </c>
      <c r="BJ56" s="128" t="e">
        <f>'PROJECT TA Y TB KARINA'!$K52/8</f>
        <v>#REF!</v>
      </c>
      <c r="BK56" s="128" t="e">
        <f>'PROJECT TA Y TB KARINA'!$K52/8</f>
        <v>#REF!</v>
      </c>
      <c r="BL56" s="128" t="e">
        <f>'PROJECT TA Y TB KARINA'!$K52/8</f>
        <v>#REF!</v>
      </c>
      <c r="BM56" s="128" t="e">
        <f>'PROJECT TA Y TB KARINA'!$L52/8</f>
        <v>#REF!</v>
      </c>
      <c r="BN56" s="128" t="e">
        <f>'PROJECT TA Y TB KARINA'!$L52/8</f>
        <v>#REF!</v>
      </c>
      <c r="BO56" s="128" t="e">
        <f>'PROJECT TA Y TB KARINA'!$L52/8</f>
        <v>#REF!</v>
      </c>
      <c r="BP56" s="128" t="e">
        <f>'PROJECT TA Y TB KARINA'!$L52/8</f>
        <v>#REF!</v>
      </c>
      <c r="BQ56" s="128" t="e">
        <f>'PROJECT TA Y TB KARINA'!$L52/8</f>
        <v>#REF!</v>
      </c>
      <c r="BR56" s="128" t="e">
        <f>'PROJECT TA Y TB KARINA'!$L52/8</f>
        <v>#REF!</v>
      </c>
      <c r="BS56" s="128" t="e">
        <f>'PROJECT TA Y TB KARINA'!$L52/8</f>
        <v>#REF!</v>
      </c>
      <c r="BT56" s="128" t="e">
        <f>'PROJECT TA Y TB KARINA'!$L52/8</f>
        <v>#REF!</v>
      </c>
      <c r="BU56" s="128" t="e">
        <f>'PROJECT TA Y TB KARINA'!$M52/8</f>
        <v>#REF!</v>
      </c>
      <c r="BV56" s="128" t="e">
        <f>'PROJECT TA Y TB KARINA'!$M52/8</f>
        <v>#REF!</v>
      </c>
      <c r="BW56" s="128" t="e">
        <f>'PROJECT TA Y TB KARINA'!$M52/8</f>
        <v>#REF!</v>
      </c>
      <c r="BX56" s="128" t="e">
        <f>'PROJECT TA Y TB KARINA'!$M52/8</f>
        <v>#REF!</v>
      </c>
      <c r="BY56" s="128" t="e">
        <f>'PROJECT TA Y TB KARINA'!$M52/8</f>
        <v>#REF!</v>
      </c>
      <c r="BZ56" s="128" t="e">
        <f>'PROJECT TA Y TB KARINA'!$M52/8</f>
        <v>#REF!</v>
      </c>
      <c r="CA56" s="128" t="e">
        <f>'PROJECT TA Y TB KARINA'!$M52/8</f>
        <v>#REF!</v>
      </c>
      <c r="CB56" s="128" t="e">
        <f>'PROJECT TA Y TB KARINA'!$M52/8</f>
        <v>#REF!</v>
      </c>
      <c r="CC56" s="128" t="e">
        <f>'PROJECT TA Y TB KARINA'!$N52/8</f>
        <v>#REF!</v>
      </c>
      <c r="CD56" s="128" t="e">
        <f>'PROJECT TA Y TB KARINA'!$N52/8</f>
        <v>#REF!</v>
      </c>
      <c r="CE56" s="128" t="e">
        <f>'PROJECT TA Y TB KARINA'!$N52/8</f>
        <v>#REF!</v>
      </c>
      <c r="CF56" s="128" t="e">
        <f>'PROJECT TA Y TB KARINA'!$N52/8</f>
        <v>#REF!</v>
      </c>
      <c r="CG56" s="128" t="e">
        <f>'PROJECT TA Y TB KARINA'!$N52/8</f>
        <v>#REF!</v>
      </c>
      <c r="CH56" s="128" t="e">
        <f>'PROJECT TA Y TB KARINA'!$N52/8</f>
        <v>#REF!</v>
      </c>
      <c r="CI56" s="128" t="e">
        <f>'PROJECT TA Y TB KARINA'!$N52/8</f>
        <v>#REF!</v>
      </c>
      <c r="CJ56" s="128" t="e">
        <f>'PROJECT TA Y TB KARINA'!$N52/8</f>
        <v>#REF!</v>
      </c>
      <c r="CK56" s="128" t="e">
        <f>'PROJECT TA Y TB KARINA'!$O52/8</f>
        <v>#REF!</v>
      </c>
      <c r="CL56" s="128" t="e">
        <f>'PROJECT TA Y TB KARINA'!$O52/8</f>
        <v>#REF!</v>
      </c>
      <c r="CM56" s="128" t="e">
        <f>'PROJECT TA Y TB KARINA'!$O52/8</f>
        <v>#REF!</v>
      </c>
      <c r="CN56" s="128" t="e">
        <f>'PROJECT TA Y TB KARINA'!$O52/8</f>
        <v>#REF!</v>
      </c>
      <c r="CO56" s="128" t="e">
        <f>'PROJECT TA Y TB KARINA'!$O52/8</f>
        <v>#REF!</v>
      </c>
      <c r="CP56" s="128" t="e">
        <f>'PROJECT TA Y TB KARINA'!$O52/8</f>
        <v>#REF!</v>
      </c>
      <c r="CQ56" s="128" t="e">
        <f>'PROJECT TA Y TB KARINA'!$O52/8</f>
        <v>#REF!</v>
      </c>
      <c r="CR56" s="128" t="e">
        <f>'PROJECT TA Y TB KARINA'!$O52/8</f>
        <v>#REF!</v>
      </c>
      <c r="CS56" s="128" t="e">
        <f>'PROJECT TA Y TB KARINA'!$P52/8</f>
        <v>#REF!</v>
      </c>
      <c r="CT56" s="128" t="e">
        <f>'PROJECT TA Y TB KARINA'!$P52/8</f>
        <v>#REF!</v>
      </c>
      <c r="CU56" s="128" t="e">
        <f>'PROJECT TA Y TB KARINA'!$P52/8</f>
        <v>#REF!</v>
      </c>
      <c r="CV56" s="128" t="e">
        <f>'PROJECT TA Y TB KARINA'!$P52/8</f>
        <v>#REF!</v>
      </c>
      <c r="CW56" s="128" t="e">
        <f>'PROJECT TA Y TB KARINA'!$P52/8</f>
        <v>#REF!</v>
      </c>
      <c r="CX56" s="128" t="e">
        <f>'PROJECT TA Y TB KARINA'!$P52/8</f>
        <v>#REF!</v>
      </c>
      <c r="CY56" s="128" t="e">
        <f>'PROJECT TA Y TB KARINA'!$P52/8</f>
        <v>#REF!</v>
      </c>
      <c r="CZ56" s="128" t="e">
        <f>'PROJECT TA Y TB KARINA'!$P52/8</f>
        <v>#REF!</v>
      </c>
      <c r="DA56" s="128" t="e">
        <f>'PROJECT TA Y TB KARINA'!$Q52/8</f>
        <v>#REF!</v>
      </c>
      <c r="DB56" s="128" t="e">
        <f>'PROJECT TA Y TB KARINA'!$Q52/8</f>
        <v>#REF!</v>
      </c>
      <c r="DC56" s="128" t="e">
        <f>'PROJECT TA Y TB KARINA'!$Q52/8</f>
        <v>#REF!</v>
      </c>
      <c r="DD56" s="128" t="e">
        <f>'PROJECT TA Y TB KARINA'!$Q52/8</f>
        <v>#REF!</v>
      </c>
      <c r="DE56" s="128" t="e">
        <f>'PROJECT TA Y TB KARINA'!$Q52/8</f>
        <v>#REF!</v>
      </c>
      <c r="DF56" s="128" t="e">
        <f>'PROJECT TA Y TB KARINA'!$Q52/8</f>
        <v>#REF!</v>
      </c>
      <c r="DG56" s="128" t="e">
        <f>'PROJECT TA Y TB KARINA'!$Q52/8</f>
        <v>#REF!</v>
      </c>
      <c r="DH56" s="128" t="e">
        <f>'PROJECT TA Y TB KARINA'!$Q52/8</f>
        <v>#REF!</v>
      </c>
      <c r="DI56" s="128" t="e">
        <f>'PROJECT TA Y TB KARINA'!$R52/8</f>
        <v>#REF!</v>
      </c>
      <c r="DJ56" s="128" t="e">
        <f>'PROJECT TA Y TB KARINA'!$R52/8</f>
        <v>#REF!</v>
      </c>
      <c r="DK56" s="128" t="e">
        <f>'PROJECT TA Y TB KARINA'!$R52/8</f>
        <v>#REF!</v>
      </c>
      <c r="DL56" s="128" t="e">
        <f>'PROJECT TA Y TB KARINA'!$R52/8</f>
        <v>#REF!</v>
      </c>
      <c r="DM56" s="128" t="e">
        <f>'PROJECT TA Y TB KARINA'!$R52/8</f>
        <v>#REF!</v>
      </c>
      <c r="DN56" s="128" t="e">
        <f>'PROJECT TA Y TB KARINA'!$R52/8</f>
        <v>#REF!</v>
      </c>
      <c r="DO56" s="128" t="e">
        <f>'PROJECT TA Y TB KARINA'!$R52/8</f>
        <v>#REF!</v>
      </c>
      <c r="DP56" s="128" t="e">
        <f>'PROJECT TA Y TB KARINA'!$R52/8</f>
        <v>#REF!</v>
      </c>
      <c r="DQ56" s="128" t="e">
        <f>'PROJECT TA Y TB KARINA'!$S52/8</f>
        <v>#REF!</v>
      </c>
      <c r="DR56" s="128" t="e">
        <f>'PROJECT TA Y TB KARINA'!$S52/8</f>
        <v>#REF!</v>
      </c>
      <c r="DS56" s="128" t="e">
        <f>'PROJECT TA Y TB KARINA'!$S52/8</f>
        <v>#REF!</v>
      </c>
      <c r="DT56" s="128" t="e">
        <f>'PROJECT TA Y TB KARINA'!$S52/8</f>
        <v>#REF!</v>
      </c>
      <c r="DU56" s="128" t="e">
        <f>'PROJECT TA Y TB KARINA'!$S52/8</f>
        <v>#REF!</v>
      </c>
      <c r="DV56" s="128" t="e">
        <f>'PROJECT TA Y TB KARINA'!$S52/8</f>
        <v>#REF!</v>
      </c>
      <c r="DW56" s="128" t="e">
        <f>'PROJECT TA Y TB KARINA'!$S52/8</f>
        <v>#REF!</v>
      </c>
      <c r="DX56" s="128" t="e">
        <f>'PROJECT TA Y TB KARINA'!$S52/8</f>
        <v>#REF!</v>
      </c>
      <c r="DY56" s="128" t="e">
        <f>'PROJECT TA Y TB KARINA'!$T52/8</f>
        <v>#REF!</v>
      </c>
      <c r="DZ56" s="128" t="e">
        <f>'PROJECT TA Y TB KARINA'!$T52/8</f>
        <v>#REF!</v>
      </c>
      <c r="EA56" s="128" t="e">
        <f>'PROJECT TA Y TB KARINA'!$T52/8</f>
        <v>#REF!</v>
      </c>
      <c r="EB56" s="128" t="e">
        <f>'PROJECT TA Y TB KARINA'!$T52/8</f>
        <v>#REF!</v>
      </c>
      <c r="EC56" s="128" t="e">
        <f>'PROJECT TA Y TB KARINA'!$T52/8</f>
        <v>#REF!</v>
      </c>
      <c r="ED56" s="128" t="e">
        <f>'PROJECT TA Y TB KARINA'!$T52/8</f>
        <v>#REF!</v>
      </c>
      <c r="EE56" s="128" t="e">
        <f>'PROJECT TA Y TB KARINA'!$T52/8</f>
        <v>#REF!</v>
      </c>
      <c r="EF56" s="128" t="e">
        <f>'PROJECT TA Y TB KARINA'!$T52/8</f>
        <v>#REF!</v>
      </c>
      <c r="EG56" s="128" t="e">
        <f>'PROJECT TA Y TB KARINA'!#REF!/8</f>
        <v>#REF!</v>
      </c>
      <c r="EH56" s="128" t="e">
        <f>'PROJECT TA Y TB KARINA'!#REF!/8</f>
        <v>#REF!</v>
      </c>
      <c r="EI56" s="128" t="e">
        <f>'PROJECT TA Y TB KARINA'!#REF!/8</f>
        <v>#REF!</v>
      </c>
      <c r="EJ56" s="128" t="e">
        <f>'PROJECT TA Y TB KARINA'!#REF!/8</f>
        <v>#REF!</v>
      </c>
      <c r="EK56" s="128" t="e">
        <f>'PROJECT TA Y TB KARINA'!#REF!/8</f>
        <v>#REF!</v>
      </c>
      <c r="EL56" s="128" t="e">
        <f>'PROJECT TA Y TB KARINA'!#REF!/8</f>
        <v>#REF!</v>
      </c>
      <c r="EM56" s="128" t="e">
        <f>'PROJECT TA Y TB KARINA'!#REF!/8</f>
        <v>#REF!</v>
      </c>
      <c r="EN56" s="128" t="e">
        <f>'PROJECT TA Y TB KARINA'!#REF!/8</f>
        <v>#REF!</v>
      </c>
      <c r="EO56" s="128">
        <f>'PROJECT TA Y TB KARINA'!$C110/8</f>
        <v>0</v>
      </c>
      <c r="EP56" s="128">
        <f>'PROJECT TA Y TB KARINA'!$C110/8</f>
        <v>0</v>
      </c>
      <c r="EQ56" s="128">
        <f>'PROJECT TA Y TB KARINA'!$C110/8</f>
        <v>0</v>
      </c>
      <c r="ER56" s="128">
        <f>'PROJECT TA Y TB KARINA'!$C110/8</f>
        <v>0</v>
      </c>
      <c r="ES56" s="128">
        <f>'PROJECT TA Y TB KARINA'!$C110/8</f>
        <v>0</v>
      </c>
      <c r="ET56" s="128">
        <f>'PROJECT TA Y TB KARINA'!$C110/8</f>
        <v>0</v>
      </c>
      <c r="EU56" s="128">
        <f>'PROJECT TA Y TB KARINA'!$C110/8</f>
        <v>0</v>
      </c>
      <c r="EV56" s="128">
        <f>'PROJECT TA Y TB KARINA'!$E110/8</f>
        <v>0</v>
      </c>
      <c r="EW56" s="128">
        <f>'PROJECT TA Y TB KARINA'!$E110/8</f>
        <v>0</v>
      </c>
      <c r="EX56" s="128">
        <f>'PROJECT TA Y TB KARINA'!$E110/8</f>
        <v>0</v>
      </c>
      <c r="EY56" s="128">
        <f>'PROJECT TA Y TB KARINA'!$E110/8</f>
        <v>0</v>
      </c>
      <c r="EZ56" s="128">
        <f>'PROJECT TA Y TB KARINA'!$E110/8</f>
        <v>0</v>
      </c>
      <c r="FA56" s="128">
        <f>'PROJECT TA Y TB KARINA'!$E110/8</f>
        <v>0</v>
      </c>
      <c r="FB56" s="128">
        <f>'PROJECT TA Y TB KARINA'!$E110/8</f>
        <v>0</v>
      </c>
      <c r="FC56" s="128">
        <f>'PROJECT TA Y TB KARINA'!$E110/8</f>
        <v>0</v>
      </c>
      <c r="FD56" s="128">
        <f>'PROJECT TA Y TB KARINA'!$F110/8</f>
        <v>0</v>
      </c>
      <c r="FE56" s="128">
        <f>'PROJECT TA Y TB KARINA'!$F110/8</f>
        <v>0</v>
      </c>
      <c r="FF56" s="128">
        <f>'PROJECT TA Y TB KARINA'!$F110/8</f>
        <v>0</v>
      </c>
      <c r="FG56" s="128">
        <f>'PROJECT TA Y TB KARINA'!$F110/8</f>
        <v>0</v>
      </c>
      <c r="FH56" s="128">
        <f>'PROJECT TA Y TB KARINA'!$F110/8</f>
        <v>0</v>
      </c>
      <c r="FI56" s="128">
        <f>'PROJECT TA Y TB KARINA'!$F110/8</f>
        <v>0</v>
      </c>
      <c r="FJ56" s="128">
        <f>'PROJECT TA Y TB KARINA'!$F110/8</f>
        <v>0</v>
      </c>
      <c r="FK56" s="128">
        <f>'PROJECT TA Y TB KARINA'!$F110/8</f>
        <v>0</v>
      </c>
      <c r="FL56" s="128">
        <f>'PROJECT TA Y TB KARINA'!$G110/8</f>
        <v>0</v>
      </c>
      <c r="FM56" s="128">
        <f>'PROJECT TA Y TB KARINA'!$G110/8</f>
        <v>0</v>
      </c>
      <c r="FN56" s="128">
        <f>'PROJECT TA Y TB KARINA'!$G110/8</f>
        <v>0</v>
      </c>
      <c r="FO56" s="128">
        <f>'PROJECT TA Y TB KARINA'!$G110/8</f>
        <v>0</v>
      </c>
      <c r="FP56" s="128">
        <f>'PROJECT TA Y TB KARINA'!$G110/8</f>
        <v>0</v>
      </c>
      <c r="FQ56" s="128">
        <f>'PROJECT TA Y TB KARINA'!$G110/8</f>
        <v>0</v>
      </c>
      <c r="FR56" s="128">
        <f>'PROJECT TA Y TB KARINA'!$G110/8</f>
        <v>0</v>
      </c>
      <c r="FS56" s="128">
        <f>'PROJECT TA Y TB KARINA'!$G110/8</f>
        <v>0</v>
      </c>
      <c r="FT56" s="128">
        <f>'PROJECT TA Y TB KARINA'!$H110/8</f>
        <v>0</v>
      </c>
      <c r="FU56" s="128">
        <f>'PROJECT TA Y TB KARINA'!$H110/8</f>
        <v>0</v>
      </c>
      <c r="FV56" s="128">
        <f>'PROJECT TA Y TB KARINA'!$H110/8</f>
        <v>0</v>
      </c>
      <c r="FW56" s="128">
        <f>'PROJECT TA Y TB KARINA'!$H110/8</f>
        <v>0</v>
      </c>
      <c r="FX56" s="128">
        <f>'PROJECT TA Y TB KARINA'!$H110/8</f>
        <v>0</v>
      </c>
      <c r="FY56" s="128">
        <f>'PROJECT TA Y TB KARINA'!$H110/8</f>
        <v>0</v>
      </c>
      <c r="FZ56" s="128">
        <f>'PROJECT TA Y TB KARINA'!$H110/8</f>
        <v>0</v>
      </c>
      <c r="GA56" s="128">
        <f>'PROJECT TA Y TB KARINA'!$H110/8</f>
        <v>0</v>
      </c>
      <c r="GB56" s="128">
        <f>'PROJECT TA Y TB KARINA'!$I110/8</f>
        <v>0</v>
      </c>
      <c r="GC56" s="128">
        <f>'PROJECT TA Y TB KARINA'!$I110/8</f>
        <v>0</v>
      </c>
      <c r="GD56" s="128">
        <f>'PROJECT TA Y TB KARINA'!$I110/8</f>
        <v>0</v>
      </c>
      <c r="GE56" s="128">
        <f>'PROJECT TA Y TB KARINA'!$I110/8</f>
        <v>0</v>
      </c>
      <c r="GF56" s="128">
        <f>'PROJECT TA Y TB KARINA'!$I110/8</f>
        <v>0</v>
      </c>
      <c r="GG56" s="128">
        <f>'PROJECT TA Y TB KARINA'!$I110/8</f>
        <v>0</v>
      </c>
      <c r="GH56" s="128">
        <f>'PROJECT TA Y TB KARINA'!$I110/8</f>
        <v>0</v>
      </c>
      <c r="GI56" s="128">
        <f>'PROJECT TA Y TB KARINA'!$I110/8</f>
        <v>0</v>
      </c>
      <c r="GJ56" s="128">
        <f>'PROJECT TA Y TB KARINA'!$J110/8</f>
        <v>0</v>
      </c>
      <c r="GK56" s="128">
        <f>'PROJECT TA Y TB KARINA'!$J110/8</f>
        <v>0</v>
      </c>
      <c r="GL56" s="128">
        <f>'PROJECT TA Y TB KARINA'!$J110/8</f>
        <v>0</v>
      </c>
      <c r="GM56" s="128">
        <f>'PROJECT TA Y TB KARINA'!$J110/8</f>
        <v>0</v>
      </c>
      <c r="GN56" s="128">
        <f>'PROJECT TA Y TB KARINA'!$J110/8</f>
        <v>0</v>
      </c>
      <c r="GO56" s="128">
        <f>'PROJECT TA Y TB KARINA'!$J110/8</f>
        <v>0</v>
      </c>
      <c r="GP56" s="128">
        <f>'PROJECT TA Y TB KARINA'!$J110/8</f>
        <v>0</v>
      </c>
      <c r="GQ56" s="128">
        <f>'PROJECT TA Y TB KARINA'!$J110/8</f>
        <v>0</v>
      </c>
      <c r="GR56" s="128">
        <f>'PROJECT TA Y TB KARINA'!$K110/8</f>
        <v>0</v>
      </c>
      <c r="GS56" s="128">
        <f>'PROJECT TA Y TB KARINA'!$K110/8</f>
        <v>0</v>
      </c>
      <c r="GT56" s="128">
        <f>'PROJECT TA Y TB KARINA'!$K110/8</f>
        <v>0</v>
      </c>
      <c r="GU56" s="128">
        <f>'PROJECT TA Y TB KARINA'!$K110/8</f>
        <v>0</v>
      </c>
      <c r="GV56" s="128">
        <f>'PROJECT TA Y TB KARINA'!$K110/8</f>
        <v>0</v>
      </c>
      <c r="GW56" s="128">
        <f>'PROJECT TA Y TB KARINA'!$K110/8</f>
        <v>0</v>
      </c>
      <c r="GX56" s="128">
        <f>'PROJECT TA Y TB KARINA'!$K110/8</f>
        <v>0</v>
      </c>
      <c r="GY56" s="128">
        <f>'PROJECT TA Y TB KARINA'!$K110/8</f>
        <v>0</v>
      </c>
      <c r="GZ56" s="128">
        <f>'PROJECT TA Y TB KARINA'!$L110/8</f>
        <v>0</v>
      </c>
      <c r="HA56" s="128">
        <f>'PROJECT TA Y TB KARINA'!$L110/8</f>
        <v>0</v>
      </c>
      <c r="HB56" s="128">
        <f>'PROJECT TA Y TB KARINA'!$L110/8</f>
        <v>0</v>
      </c>
      <c r="HC56" s="128">
        <f>'PROJECT TA Y TB KARINA'!$L110/8</f>
        <v>0</v>
      </c>
      <c r="HD56" s="128">
        <f>'PROJECT TA Y TB KARINA'!$L110/8</f>
        <v>0</v>
      </c>
      <c r="HE56" s="128">
        <f>'PROJECT TA Y TB KARINA'!$L110/8</f>
        <v>0</v>
      </c>
      <c r="HF56" s="128">
        <f>'PROJECT TA Y TB KARINA'!$L110/8</f>
        <v>0</v>
      </c>
      <c r="HG56" s="128">
        <f>'PROJECT TA Y TB KARINA'!$L110/8</f>
        <v>0</v>
      </c>
      <c r="HH56" s="128">
        <f>'PROJECT TA Y TB KARINA'!$M110/8</f>
        <v>0</v>
      </c>
      <c r="HI56" s="128">
        <f>'PROJECT TA Y TB KARINA'!$M110/8</f>
        <v>0</v>
      </c>
      <c r="HJ56" s="128">
        <f>'PROJECT TA Y TB KARINA'!$M110/8</f>
        <v>0</v>
      </c>
      <c r="HK56" s="128">
        <f>'PROJECT TA Y TB KARINA'!$M110/8</f>
        <v>0</v>
      </c>
      <c r="HL56" s="128">
        <f>'PROJECT TA Y TB KARINA'!$M110/8</f>
        <v>0</v>
      </c>
      <c r="HM56" s="128">
        <f>'PROJECT TA Y TB KARINA'!$M110/8</f>
        <v>0</v>
      </c>
      <c r="HN56" s="128">
        <f>'PROJECT TA Y TB KARINA'!$M110/8</f>
        <v>0</v>
      </c>
      <c r="HO56" s="128">
        <f>'PROJECT TA Y TB KARINA'!$M110/8</f>
        <v>0</v>
      </c>
      <c r="HP56" s="128">
        <f>'PROJECT TA Y TB KARINA'!$N110/8</f>
        <v>0</v>
      </c>
      <c r="HQ56" s="128">
        <f>'PROJECT TA Y TB KARINA'!$N110/8</f>
        <v>0</v>
      </c>
      <c r="HR56" s="128">
        <f>'PROJECT TA Y TB KARINA'!$N110/8</f>
        <v>0</v>
      </c>
      <c r="HS56" s="128">
        <f>'PROJECT TA Y TB KARINA'!$N110/8</f>
        <v>0</v>
      </c>
      <c r="HT56" s="128">
        <f>'PROJECT TA Y TB KARINA'!$N110/8</f>
        <v>0</v>
      </c>
      <c r="HU56" s="128">
        <f>'PROJECT TA Y TB KARINA'!$N110/8</f>
        <v>0</v>
      </c>
      <c r="HV56" s="128">
        <f>'PROJECT TA Y TB KARINA'!$N110/8</f>
        <v>0</v>
      </c>
      <c r="HW56" s="128">
        <f>'PROJECT TA Y TB KARINA'!$N110/8</f>
        <v>0</v>
      </c>
      <c r="HX56" s="128">
        <f>'PROJECT TA Y TB KARINA'!$O110/8</f>
        <v>0</v>
      </c>
      <c r="HY56" s="128">
        <f>'PROJECT TA Y TB KARINA'!$O110/8</f>
        <v>0</v>
      </c>
      <c r="HZ56" s="128">
        <f>'PROJECT TA Y TB KARINA'!$O110/8</f>
        <v>0</v>
      </c>
      <c r="IA56" s="128">
        <f>'PROJECT TA Y TB KARINA'!$O110/8</f>
        <v>0</v>
      </c>
      <c r="IB56" s="128">
        <f>'PROJECT TA Y TB KARINA'!$O110/8</f>
        <v>0</v>
      </c>
      <c r="IC56" s="128">
        <f>'PROJECT TA Y TB KARINA'!$O110/8</f>
        <v>0</v>
      </c>
      <c r="ID56" s="128">
        <f>'PROJECT TA Y TB KARINA'!$O110/8</f>
        <v>0</v>
      </c>
      <c r="IE56" s="128">
        <f>'PROJECT TA Y TB KARINA'!$O110/8</f>
        <v>0</v>
      </c>
      <c r="IF56" s="128">
        <f>'PROJECT TA Y TB KARINA'!$P110/8</f>
        <v>0</v>
      </c>
      <c r="IG56" s="128">
        <f>'PROJECT TA Y TB KARINA'!$P110/8</f>
        <v>0</v>
      </c>
      <c r="IH56" s="128">
        <f>'PROJECT TA Y TB KARINA'!$P110/8</f>
        <v>0</v>
      </c>
      <c r="II56" s="128">
        <f>'PROJECT TA Y TB KARINA'!$P110/8</f>
        <v>0</v>
      </c>
      <c r="IJ56" s="128">
        <f>'PROJECT TA Y TB KARINA'!$P110/8</f>
        <v>0</v>
      </c>
      <c r="IK56" s="128">
        <f>'PROJECT TA Y TB KARINA'!$P110/8</f>
        <v>0</v>
      </c>
      <c r="IL56" s="128">
        <f>'PROJECT TA Y TB KARINA'!$P110/8</f>
        <v>0</v>
      </c>
      <c r="IM56" s="128">
        <f>'PROJECT TA Y TB KARINA'!$P110/8</f>
        <v>0</v>
      </c>
      <c r="IN56" s="128">
        <f>'PROJECT TA Y TB KARINA'!$Q110/8</f>
        <v>0</v>
      </c>
      <c r="IO56" s="128">
        <f>'PROJECT TA Y TB KARINA'!$Q110/8</f>
        <v>0</v>
      </c>
      <c r="IP56" s="128">
        <f>'PROJECT TA Y TB KARINA'!$Q110/8</f>
        <v>0</v>
      </c>
      <c r="IQ56" s="128">
        <f>'PROJECT TA Y TB KARINA'!$Q110/8</f>
        <v>0</v>
      </c>
      <c r="IR56" s="128">
        <f>'PROJECT TA Y TB KARINA'!$Q110/8</f>
        <v>0</v>
      </c>
      <c r="IS56" s="128">
        <f>'PROJECT TA Y TB KARINA'!$Q110/8</f>
        <v>0</v>
      </c>
      <c r="IT56" s="128">
        <f>'PROJECT TA Y TB KARINA'!$Q110/8</f>
        <v>0</v>
      </c>
      <c r="IU56" s="128">
        <f>'PROJECT TA Y TB KARINA'!$Q110/8</f>
        <v>0</v>
      </c>
      <c r="IV56" s="128">
        <f>'PROJECT TA Y TB KARINA'!$R110/8</f>
        <v>0</v>
      </c>
      <c r="IW56" s="128">
        <f>'PROJECT TA Y TB KARINA'!$R110/8</f>
        <v>0</v>
      </c>
      <c r="IX56" s="128">
        <f>'PROJECT TA Y TB KARINA'!$R110/8</f>
        <v>0</v>
      </c>
      <c r="IY56" s="128">
        <f>'PROJECT TA Y TB KARINA'!$R110/8</f>
        <v>0</v>
      </c>
      <c r="IZ56" s="128">
        <f>'PROJECT TA Y TB KARINA'!$R110/8</f>
        <v>0</v>
      </c>
      <c r="JA56" s="128">
        <f>'PROJECT TA Y TB KARINA'!$R110/8</f>
        <v>0</v>
      </c>
      <c r="JB56" s="128">
        <f>'PROJECT TA Y TB KARINA'!$R110/8</f>
        <v>0</v>
      </c>
      <c r="JC56" s="128">
        <f>'PROJECT TA Y TB KARINA'!$R110/8</f>
        <v>0</v>
      </c>
      <c r="JD56" s="128">
        <f>'PROJECT TA Y TB KARINA'!$S110/8</f>
        <v>0</v>
      </c>
      <c r="JE56" s="128">
        <f>'PROJECT TA Y TB KARINA'!$S110/8</f>
        <v>0</v>
      </c>
      <c r="JF56" s="128">
        <f>'PROJECT TA Y TB KARINA'!$S110/8</f>
        <v>0</v>
      </c>
      <c r="JG56" s="128">
        <f>'PROJECT TA Y TB KARINA'!$S110/8</f>
        <v>0</v>
      </c>
      <c r="JH56" s="128">
        <f>'PROJECT TA Y TB KARINA'!$S110/8</f>
        <v>0</v>
      </c>
      <c r="JI56" s="128">
        <f>'PROJECT TA Y TB KARINA'!$S110/8</f>
        <v>0</v>
      </c>
      <c r="JJ56" s="128">
        <f>'PROJECT TA Y TB KARINA'!$S110/8</f>
        <v>0</v>
      </c>
      <c r="JK56" s="128">
        <f>'PROJECT TA Y TB KARINA'!$S110/8</f>
        <v>0</v>
      </c>
      <c r="JL56" s="128">
        <f>'PROJECT TA Y TB KARINA'!$T110/8</f>
        <v>0</v>
      </c>
      <c r="JM56" s="128">
        <f>'PROJECT TA Y TB KARINA'!$T110/8</f>
        <v>0</v>
      </c>
      <c r="JN56" s="128">
        <f>'PROJECT TA Y TB KARINA'!$T110/8</f>
        <v>0</v>
      </c>
      <c r="JO56" s="128">
        <f>'PROJECT TA Y TB KARINA'!$T110/8</f>
        <v>0</v>
      </c>
      <c r="JP56" s="128">
        <f>'PROJECT TA Y TB KARINA'!$T110/8</f>
        <v>0</v>
      </c>
      <c r="JQ56" s="128">
        <f>'PROJECT TA Y TB KARINA'!$T110/8</f>
        <v>0</v>
      </c>
      <c r="JR56" s="128">
        <f>'PROJECT TA Y TB KARINA'!$T110/8</f>
        <v>0</v>
      </c>
      <c r="JS56" s="128">
        <f>'PROJECT TA Y TB KARINA'!$T110/8</f>
        <v>0</v>
      </c>
      <c r="JT56" s="128" t="e">
        <f>'PROJECT TA Y TB KARINA'!#REF!/8</f>
        <v>#REF!</v>
      </c>
      <c r="JU56" s="128" t="e">
        <f>'PROJECT TA Y TB KARINA'!#REF!/8</f>
        <v>#REF!</v>
      </c>
      <c r="JV56" s="128" t="e">
        <f>'PROJECT TA Y TB KARINA'!#REF!/8</f>
        <v>#REF!</v>
      </c>
      <c r="JW56" s="128" t="e">
        <f>'PROJECT TA Y TB KARINA'!#REF!/8</f>
        <v>#REF!</v>
      </c>
      <c r="JX56" s="128" t="e">
        <f>'PROJECT TA Y TB KARINA'!#REF!/8</f>
        <v>#REF!</v>
      </c>
      <c r="JY56" s="128" t="e">
        <f>'PROJECT TA Y TB KARINA'!#REF!/8</f>
        <v>#REF!</v>
      </c>
      <c r="JZ56" s="128" t="e">
        <f>'PROJECT TA Y TB KARINA'!#REF!/8</f>
        <v>#REF!</v>
      </c>
      <c r="KA56" s="128" t="e">
        <f>'PROJECT TA Y TB KARINA'!#REF!/8</f>
        <v>#REF!</v>
      </c>
    </row>
    <row r="57" spans="1:287" ht="21">
      <c r="A57" s="130" t="s">
        <v>510</v>
      </c>
      <c r="B57" s="128" t="e">
        <f>'PROJECT TA Y TB KARINA'!$C$53/8</f>
        <v>#REF!</v>
      </c>
      <c r="C57" s="128" t="e">
        <f>'PROJECT TA Y TB KARINA'!$C$53/8</f>
        <v>#REF!</v>
      </c>
      <c r="D57" s="128" t="e">
        <f>'PROJECT TA Y TB KARINA'!$C$53/8</f>
        <v>#REF!</v>
      </c>
      <c r="E57" s="128" t="e">
        <f>'PROJECT TA Y TB KARINA'!$C$53/8</f>
        <v>#REF!</v>
      </c>
      <c r="F57" s="128" t="e">
        <f>'PROJECT TA Y TB KARINA'!$C$53/8</f>
        <v>#REF!</v>
      </c>
      <c r="G57" s="128" t="e">
        <f>'PROJECT TA Y TB KARINA'!$C$53/8</f>
        <v>#REF!</v>
      </c>
      <c r="H57" s="128" t="e">
        <f>'PROJECT TA Y TB KARINA'!$C$53/8</f>
        <v>#REF!</v>
      </c>
      <c r="I57" s="128" t="e">
        <f>'PROJECT TA Y TB KARINA'!$E53/8</f>
        <v>#REF!</v>
      </c>
      <c r="J57" s="128" t="e">
        <f>'PROJECT TA Y TB KARINA'!$E53/8</f>
        <v>#REF!</v>
      </c>
      <c r="K57" s="128" t="e">
        <f>'PROJECT TA Y TB KARINA'!$E53/8</f>
        <v>#REF!</v>
      </c>
      <c r="L57" s="128" t="e">
        <f>'PROJECT TA Y TB KARINA'!$E53/8</f>
        <v>#REF!</v>
      </c>
      <c r="M57" s="128" t="e">
        <f>'PROJECT TA Y TB KARINA'!$E53/8</f>
        <v>#REF!</v>
      </c>
      <c r="N57" s="128" t="e">
        <f>'PROJECT TA Y TB KARINA'!$E53/8</f>
        <v>#REF!</v>
      </c>
      <c r="O57" s="128" t="e">
        <f>'PROJECT TA Y TB KARINA'!$E53/8</f>
        <v>#REF!</v>
      </c>
      <c r="P57" s="128" t="e">
        <f>'PROJECT TA Y TB KARINA'!$E53/8</f>
        <v>#REF!</v>
      </c>
      <c r="Q57" s="128" t="e">
        <f>'PROJECT TA Y TB KARINA'!$F53/8</f>
        <v>#REF!</v>
      </c>
      <c r="R57" s="128" t="e">
        <f>'PROJECT TA Y TB KARINA'!$F53/8</f>
        <v>#REF!</v>
      </c>
      <c r="S57" s="128" t="e">
        <f>'PROJECT TA Y TB KARINA'!$F53/8</f>
        <v>#REF!</v>
      </c>
      <c r="T57" s="128" t="e">
        <f>'PROJECT TA Y TB KARINA'!$F53/8</f>
        <v>#REF!</v>
      </c>
      <c r="U57" s="128" t="e">
        <f>'PROJECT TA Y TB KARINA'!$F53/8</f>
        <v>#REF!</v>
      </c>
      <c r="V57" s="128" t="e">
        <f>'PROJECT TA Y TB KARINA'!$F53/8</f>
        <v>#REF!</v>
      </c>
      <c r="W57" s="128" t="e">
        <f>'PROJECT TA Y TB KARINA'!$F53/8</f>
        <v>#REF!</v>
      </c>
      <c r="X57" s="128" t="e">
        <f>'PROJECT TA Y TB KARINA'!$F53/8</f>
        <v>#REF!</v>
      </c>
      <c r="Y57" s="128" t="e">
        <f>'PROJECT TA Y TB KARINA'!$G53/8</f>
        <v>#REF!</v>
      </c>
      <c r="Z57" s="128" t="e">
        <f>'PROJECT TA Y TB KARINA'!$G53/8</f>
        <v>#REF!</v>
      </c>
      <c r="AA57" s="128" t="e">
        <f>'PROJECT TA Y TB KARINA'!$G53/8</f>
        <v>#REF!</v>
      </c>
      <c r="AB57" s="128" t="e">
        <f>'PROJECT TA Y TB KARINA'!$G53/8</f>
        <v>#REF!</v>
      </c>
      <c r="AC57" s="128" t="e">
        <f>'PROJECT TA Y TB KARINA'!$G53/8</f>
        <v>#REF!</v>
      </c>
      <c r="AD57" s="128" t="e">
        <f>'PROJECT TA Y TB KARINA'!$G53/8</f>
        <v>#REF!</v>
      </c>
      <c r="AE57" s="128" t="e">
        <f>'PROJECT TA Y TB KARINA'!$G53/8</f>
        <v>#REF!</v>
      </c>
      <c r="AF57" s="128" t="e">
        <f>'PROJECT TA Y TB KARINA'!$G53/8</f>
        <v>#REF!</v>
      </c>
      <c r="AG57" s="128" t="e">
        <f>'PROJECT TA Y TB KARINA'!$H53/8</f>
        <v>#REF!</v>
      </c>
      <c r="AH57" s="128" t="e">
        <f>'PROJECT TA Y TB KARINA'!$H53/8</f>
        <v>#REF!</v>
      </c>
      <c r="AI57" s="128" t="e">
        <f>'PROJECT TA Y TB KARINA'!$H53/8</f>
        <v>#REF!</v>
      </c>
      <c r="AJ57" s="128" t="e">
        <f>'PROJECT TA Y TB KARINA'!$H53/8</f>
        <v>#REF!</v>
      </c>
      <c r="AK57" s="128" t="e">
        <f>'PROJECT TA Y TB KARINA'!$H53/8</f>
        <v>#REF!</v>
      </c>
      <c r="AL57" s="128" t="e">
        <f>'PROJECT TA Y TB KARINA'!$H53/8</f>
        <v>#REF!</v>
      </c>
      <c r="AM57" s="128" t="e">
        <f>'PROJECT TA Y TB KARINA'!$H53/8</f>
        <v>#REF!</v>
      </c>
      <c r="AN57" s="128" t="e">
        <f>'PROJECT TA Y TB KARINA'!$H53/8</f>
        <v>#REF!</v>
      </c>
      <c r="AO57" s="128" t="e">
        <f>'PROJECT TA Y TB KARINA'!$I53/8</f>
        <v>#REF!</v>
      </c>
      <c r="AP57" s="128" t="e">
        <f>'PROJECT TA Y TB KARINA'!$I53/8</f>
        <v>#REF!</v>
      </c>
      <c r="AQ57" s="128" t="e">
        <f>'PROJECT TA Y TB KARINA'!$I53/8</f>
        <v>#REF!</v>
      </c>
      <c r="AR57" s="128" t="e">
        <f>'PROJECT TA Y TB KARINA'!$I53/8</f>
        <v>#REF!</v>
      </c>
      <c r="AS57" s="128" t="e">
        <f>'PROJECT TA Y TB KARINA'!$I53/8</f>
        <v>#REF!</v>
      </c>
      <c r="AT57" s="128" t="e">
        <f>'PROJECT TA Y TB KARINA'!$I53/8</f>
        <v>#REF!</v>
      </c>
      <c r="AU57" s="128" t="e">
        <f>'PROJECT TA Y TB KARINA'!$I53/8</f>
        <v>#REF!</v>
      </c>
      <c r="AV57" s="128" t="e">
        <f>'PROJECT TA Y TB KARINA'!$I53/8</f>
        <v>#REF!</v>
      </c>
      <c r="AW57" s="128" t="e">
        <f>'PROJECT TA Y TB KARINA'!$J53/8</f>
        <v>#REF!</v>
      </c>
      <c r="AX57" s="128" t="e">
        <f>'PROJECT TA Y TB KARINA'!$J53/8</f>
        <v>#REF!</v>
      </c>
      <c r="AY57" s="128" t="e">
        <f>'PROJECT TA Y TB KARINA'!$J53/8</f>
        <v>#REF!</v>
      </c>
      <c r="AZ57" s="128" t="e">
        <f>'PROJECT TA Y TB KARINA'!$J53/8</f>
        <v>#REF!</v>
      </c>
      <c r="BA57" s="128" t="e">
        <f>'PROJECT TA Y TB KARINA'!$J53/8</f>
        <v>#REF!</v>
      </c>
      <c r="BB57" s="128" t="e">
        <f>'PROJECT TA Y TB KARINA'!$J53/8</f>
        <v>#REF!</v>
      </c>
      <c r="BC57" s="128" t="e">
        <f>'PROJECT TA Y TB KARINA'!$J53/8</f>
        <v>#REF!</v>
      </c>
      <c r="BD57" s="128" t="e">
        <f>'PROJECT TA Y TB KARINA'!$J53/8</f>
        <v>#REF!</v>
      </c>
      <c r="BE57" s="128" t="e">
        <f>'PROJECT TA Y TB KARINA'!$K53/8</f>
        <v>#REF!</v>
      </c>
      <c r="BF57" s="128" t="e">
        <f>'PROJECT TA Y TB KARINA'!$K53/8</f>
        <v>#REF!</v>
      </c>
      <c r="BG57" s="128" t="e">
        <f>'PROJECT TA Y TB KARINA'!$K53/8</f>
        <v>#REF!</v>
      </c>
      <c r="BH57" s="128" t="e">
        <f>'PROJECT TA Y TB KARINA'!$K53/8</f>
        <v>#REF!</v>
      </c>
      <c r="BI57" s="128" t="e">
        <f>'PROJECT TA Y TB KARINA'!$K53/8</f>
        <v>#REF!</v>
      </c>
      <c r="BJ57" s="128" t="e">
        <f>'PROJECT TA Y TB KARINA'!$K53/8</f>
        <v>#REF!</v>
      </c>
      <c r="BK57" s="128" t="e">
        <f>'PROJECT TA Y TB KARINA'!$K53/8</f>
        <v>#REF!</v>
      </c>
      <c r="BL57" s="128" t="e">
        <f>'PROJECT TA Y TB KARINA'!$K53/8</f>
        <v>#REF!</v>
      </c>
      <c r="BM57" s="128" t="e">
        <f>'PROJECT TA Y TB KARINA'!$L53/8</f>
        <v>#REF!</v>
      </c>
      <c r="BN57" s="128" t="e">
        <f>'PROJECT TA Y TB KARINA'!$L53/8</f>
        <v>#REF!</v>
      </c>
      <c r="BO57" s="128" t="e">
        <f>'PROJECT TA Y TB KARINA'!$L53/8</f>
        <v>#REF!</v>
      </c>
      <c r="BP57" s="128" t="e">
        <f>'PROJECT TA Y TB KARINA'!$L53/8</f>
        <v>#REF!</v>
      </c>
      <c r="BQ57" s="128" t="e">
        <f>'PROJECT TA Y TB KARINA'!$L53/8</f>
        <v>#REF!</v>
      </c>
      <c r="BR57" s="128" t="e">
        <f>'PROJECT TA Y TB KARINA'!$L53/8</f>
        <v>#REF!</v>
      </c>
      <c r="BS57" s="128" t="e">
        <f>'PROJECT TA Y TB KARINA'!$L53/8</f>
        <v>#REF!</v>
      </c>
      <c r="BT57" s="128" t="e">
        <f>'PROJECT TA Y TB KARINA'!$L53/8</f>
        <v>#REF!</v>
      </c>
      <c r="BU57" s="128" t="e">
        <f>'PROJECT TA Y TB KARINA'!$M53/8</f>
        <v>#REF!</v>
      </c>
      <c r="BV57" s="128" t="e">
        <f>'PROJECT TA Y TB KARINA'!$M53/8</f>
        <v>#REF!</v>
      </c>
      <c r="BW57" s="128" t="e">
        <f>'PROJECT TA Y TB KARINA'!$M53/8</f>
        <v>#REF!</v>
      </c>
      <c r="BX57" s="128" t="e">
        <f>'PROJECT TA Y TB KARINA'!$M53/8</f>
        <v>#REF!</v>
      </c>
      <c r="BY57" s="128" t="e">
        <f>'PROJECT TA Y TB KARINA'!$M53/8</f>
        <v>#REF!</v>
      </c>
      <c r="BZ57" s="128" t="e">
        <f>'PROJECT TA Y TB KARINA'!$M53/8</f>
        <v>#REF!</v>
      </c>
      <c r="CA57" s="128" t="e">
        <f>'PROJECT TA Y TB KARINA'!$M53/8</f>
        <v>#REF!</v>
      </c>
      <c r="CB57" s="128" t="e">
        <f>'PROJECT TA Y TB KARINA'!$M53/8</f>
        <v>#REF!</v>
      </c>
      <c r="CC57" s="128" t="e">
        <f>'PROJECT TA Y TB KARINA'!$N53/8</f>
        <v>#REF!</v>
      </c>
      <c r="CD57" s="128" t="e">
        <f>'PROJECT TA Y TB KARINA'!$N53/8</f>
        <v>#REF!</v>
      </c>
      <c r="CE57" s="128" t="e">
        <f>'PROJECT TA Y TB KARINA'!$N53/8</f>
        <v>#REF!</v>
      </c>
      <c r="CF57" s="128" t="e">
        <f>'PROJECT TA Y TB KARINA'!$N53/8</f>
        <v>#REF!</v>
      </c>
      <c r="CG57" s="128" t="e">
        <f>'PROJECT TA Y TB KARINA'!$N53/8</f>
        <v>#REF!</v>
      </c>
      <c r="CH57" s="128" t="e">
        <f>'PROJECT TA Y TB KARINA'!$N53/8</f>
        <v>#REF!</v>
      </c>
      <c r="CI57" s="128" t="e">
        <f>'PROJECT TA Y TB KARINA'!$N53/8</f>
        <v>#REF!</v>
      </c>
      <c r="CJ57" s="128" t="e">
        <f>'PROJECT TA Y TB KARINA'!$N53/8</f>
        <v>#REF!</v>
      </c>
      <c r="CK57" s="128" t="e">
        <f>'PROJECT TA Y TB KARINA'!$O53/8</f>
        <v>#REF!</v>
      </c>
      <c r="CL57" s="128" t="e">
        <f>'PROJECT TA Y TB KARINA'!$O53/8</f>
        <v>#REF!</v>
      </c>
      <c r="CM57" s="128" t="e">
        <f>'PROJECT TA Y TB KARINA'!$O53/8</f>
        <v>#REF!</v>
      </c>
      <c r="CN57" s="128" t="e">
        <f>'PROJECT TA Y TB KARINA'!$O53/8</f>
        <v>#REF!</v>
      </c>
      <c r="CO57" s="128" t="e">
        <f>'PROJECT TA Y TB KARINA'!$O53/8</f>
        <v>#REF!</v>
      </c>
      <c r="CP57" s="128" t="e">
        <f>'PROJECT TA Y TB KARINA'!$O53/8</f>
        <v>#REF!</v>
      </c>
      <c r="CQ57" s="128" t="e">
        <f>'PROJECT TA Y TB KARINA'!$O53/8</f>
        <v>#REF!</v>
      </c>
      <c r="CR57" s="128" t="e">
        <f>'PROJECT TA Y TB KARINA'!$O53/8</f>
        <v>#REF!</v>
      </c>
      <c r="CS57" s="128" t="e">
        <f>'PROJECT TA Y TB KARINA'!$P53/8</f>
        <v>#REF!</v>
      </c>
      <c r="CT57" s="128" t="e">
        <f>'PROJECT TA Y TB KARINA'!$P53/8</f>
        <v>#REF!</v>
      </c>
      <c r="CU57" s="128" t="e">
        <f>'PROJECT TA Y TB KARINA'!$P53/8</f>
        <v>#REF!</v>
      </c>
      <c r="CV57" s="128" t="e">
        <f>'PROJECT TA Y TB KARINA'!$P53/8</f>
        <v>#REF!</v>
      </c>
      <c r="CW57" s="128" t="e">
        <f>'PROJECT TA Y TB KARINA'!$P53/8</f>
        <v>#REF!</v>
      </c>
      <c r="CX57" s="128" t="e">
        <f>'PROJECT TA Y TB KARINA'!$P53/8</f>
        <v>#REF!</v>
      </c>
      <c r="CY57" s="128" t="e">
        <f>'PROJECT TA Y TB KARINA'!$P53/8</f>
        <v>#REF!</v>
      </c>
      <c r="CZ57" s="128" t="e">
        <f>'PROJECT TA Y TB KARINA'!$P53/8</f>
        <v>#REF!</v>
      </c>
      <c r="DA57" s="128" t="e">
        <f>'PROJECT TA Y TB KARINA'!$Q53/8</f>
        <v>#REF!</v>
      </c>
      <c r="DB57" s="128" t="e">
        <f>'PROJECT TA Y TB KARINA'!$Q53/8</f>
        <v>#REF!</v>
      </c>
      <c r="DC57" s="128" t="e">
        <f>'PROJECT TA Y TB KARINA'!$Q53/8</f>
        <v>#REF!</v>
      </c>
      <c r="DD57" s="128" t="e">
        <f>'PROJECT TA Y TB KARINA'!$Q53/8</f>
        <v>#REF!</v>
      </c>
      <c r="DE57" s="128" t="e">
        <f>'PROJECT TA Y TB KARINA'!$Q53/8</f>
        <v>#REF!</v>
      </c>
      <c r="DF57" s="128" t="e">
        <f>'PROJECT TA Y TB KARINA'!$Q53/8</f>
        <v>#REF!</v>
      </c>
      <c r="DG57" s="128" t="e">
        <f>'PROJECT TA Y TB KARINA'!$Q53/8</f>
        <v>#REF!</v>
      </c>
      <c r="DH57" s="128" t="e">
        <f>'PROJECT TA Y TB KARINA'!$Q53/8</f>
        <v>#REF!</v>
      </c>
      <c r="DI57" s="128" t="e">
        <f>'PROJECT TA Y TB KARINA'!$R53/8</f>
        <v>#REF!</v>
      </c>
      <c r="DJ57" s="128" t="e">
        <f>'PROJECT TA Y TB KARINA'!$R53/8</f>
        <v>#REF!</v>
      </c>
      <c r="DK57" s="128" t="e">
        <f>'PROJECT TA Y TB KARINA'!$R53/8</f>
        <v>#REF!</v>
      </c>
      <c r="DL57" s="128" t="e">
        <f>'PROJECT TA Y TB KARINA'!$R53/8</f>
        <v>#REF!</v>
      </c>
      <c r="DM57" s="128" t="e">
        <f>'PROJECT TA Y TB KARINA'!$R53/8</f>
        <v>#REF!</v>
      </c>
      <c r="DN57" s="128" t="e">
        <f>'PROJECT TA Y TB KARINA'!$R53/8</f>
        <v>#REF!</v>
      </c>
      <c r="DO57" s="128" t="e">
        <f>'PROJECT TA Y TB KARINA'!$R53/8</f>
        <v>#REF!</v>
      </c>
      <c r="DP57" s="128" t="e">
        <f>'PROJECT TA Y TB KARINA'!$R53/8</f>
        <v>#REF!</v>
      </c>
      <c r="DQ57" s="128" t="e">
        <f>'PROJECT TA Y TB KARINA'!$S53/8</f>
        <v>#REF!</v>
      </c>
      <c r="DR57" s="128" t="e">
        <f>'PROJECT TA Y TB KARINA'!$S53/8</f>
        <v>#REF!</v>
      </c>
      <c r="DS57" s="128" t="e">
        <f>'PROJECT TA Y TB KARINA'!$S53/8</f>
        <v>#REF!</v>
      </c>
      <c r="DT57" s="128" t="e">
        <f>'PROJECT TA Y TB KARINA'!$S53/8</f>
        <v>#REF!</v>
      </c>
      <c r="DU57" s="128" t="e">
        <f>'PROJECT TA Y TB KARINA'!$S53/8</f>
        <v>#REF!</v>
      </c>
      <c r="DV57" s="128" t="e">
        <f>'PROJECT TA Y TB KARINA'!$S53/8</f>
        <v>#REF!</v>
      </c>
      <c r="DW57" s="128" t="e">
        <f>'PROJECT TA Y TB KARINA'!$S53/8</f>
        <v>#REF!</v>
      </c>
      <c r="DX57" s="128" t="e">
        <f>'PROJECT TA Y TB KARINA'!$S53/8</f>
        <v>#REF!</v>
      </c>
      <c r="DY57" s="128" t="e">
        <f>'PROJECT TA Y TB KARINA'!$T53/8</f>
        <v>#REF!</v>
      </c>
      <c r="DZ57" s="128" t="e">
        <f>'PROJECT TA Y TB KARINA'!$T53/8</f>
        <v>#REF!</v>
      </c>
      <c r="EA57" s="128" t="e">
        <f>'PROJECT TA Y TB KARINA'!$T53/8</f>
        <v>#REF!</v>
      </c>
      <c r="EB57" s="128" t="e">
        <f>'PROJECT TA Y TB KARINA'!$T53/8</f>
        <v>#REF!</v>
      </c>
      <c r="EC57" s="128" t="e">
        <f>'PROJECT TA Y TB KARINA'!$T53/8</f>
        <v>#REF!</v>
      </c>
      <c r="ED57" s="128" t="e">
        <f>'PROJECT TA Y TB KARINA'!$T53/8</f>
        <v>#REF!</v>
      </c>
      <c r="EE57" s="128" t="e">
        <f>'PROJECT TA Y TB KARINA'!$T53/8</f>
        <v>#REF!</v>
      </c>
      <c r="EF57" s="128" t="e">
        <f>'PROJECT TA Y TB KARINA'!$T53/8</f>
        <v>#REF!</v>
      </c>
      <c r="EG57" s="128" t="e">
        <f>'PROJECT TA Y TB KARINA'!#REF!/8</f>
        <v>#REF!</v>
      </c>
      <c r="EH57" s="128" t="e">
        <f>'PROJECT TA Y TB KARINA'!#REF!/8</f>
        <v>#REF!</v>
      </c>
      <c r="EI57" s="128" t="e">
        <f>'PROJECT TA Y TB KARINA'!#REF!/8</f>
        <v>#REF!</v>
      </c>
      <c r="EJ57" s="128" t="e">
        <f>'PROJECT TA Y TB KARINA'!#REF!/8</f>
        <v>#REF!</v>
      </c>
      <c r="EK57" s="128" t="e">
        <f>'PROJECT TA Y TB KARINA'!#REF!/8</f>
        <v>#REF!</v>
      </c>
      <c r="EL57" s="128" t="e">
        <f>'PROJECT TA Y TB KARINA'!#REF!/8</f>
        <v>#REF!</v>
      </c>
      <c r="EM57" s="128" t="e">
        <f>'PROJECT TA Y TB KARINA'!#REF!/8</f>
        <v>#REF!</v>
      </c>
      <c r="EN57" s="128" t="e">
        <f>'PROJECT TA Y TB KARINA'!#REF!/8</f>
        <v>#REF!</v>
      </c>
      <c r="EO57" s="128">
        <f>'PROJECT TA Y TB KARINA'!$C111/8</f>
        <v>0</v>
      </c>
      <c r="EP57" s="128">
        <f>'PROJECT TA Y TB KARINA'!$C111/8</f>
        <v>0</v>
      </c>
      <c r="EQ57" s="128">
        <f>'PROJECT TA Y TB KARINA'!$C111/8</f>
        <v>0</v>
      </c>
      <c r="ER57" s="128">
        <f>'PROJECT TA Y TB KARINA'!$C111/8</f>
        <v>0</v>
      </c>
      <c r="ES57" s="128">
        <f>'PROJECT TA Y TB KARINA'!$C111/8</f>
        <v>0</v>
      </c>
      <c r="ET57" s="128">
        <f>'PROJECT TA Y TB KARINA'!$C111/8</f>
        <v>0</v>
      </c>
      <c r="EU57" s="128">
        <f>'PROJECT TA Y TB KARINA'!$C111/8</f>
        <v>0</v>
      </c>
      <c r="EV57" s="128">
        <f>'PROJECT TA Y TB KARINA'!$E111/8</f>
        <v>0</v>
      </c>
      <c r="EW57" s="128">
        <f>'PROJECT TA Y TB KARINA'!$E111/8</f>
        <v>0</v>
      </c>
      <c r="EX57" s="128">
        <f>'PROJECT TA Y TB KARINA'!$E111/8</f>
        <v>0</v>
      </c>
      <c r="EY57" s="128">
        <f>'PROJECT TA Y TB KARINA'!$E111/8</f>
        <v>0</v>
      </c>
      <c r="EZ57" s="128">
        <f>'PROJECT TA Y TB KARINA'!$E111/8</f>
        <v>0</v>
      </c>
      <c r="FA57" s="128">
        <f>'PROJECT TA Y TB KARINA'!$E111/8</f>
        <v>0</v>
      </c>
      <c r="FB57" s="128">
        <f>'PROJECT TA Y TB KARINA'!$E111/8</f>
        <v>0</v>
      </c>
      <c r="FC57" s="128">
        <f>'PROJECT TA Y TB KARINA'!$E111/8</f>
        <v>0</v>
      </c>
      <c r="FD57" s="128">
        <f>'PROJECT TA Y TB KARINA'!$F111/8</f>
        <v>0</v>
      </c>
      <c r="FE57" s="128">
        <f>'PROJECT TA Y TB KARINA'!$F111/8</f>
        <v>0</v>
      </c>
      <c r="FF57" s="128">
        <f>'PROJECT TA Y TB KARINA'!$F111/8</f>
        <v>0</v>
      </c>
      <c r="FG57" s="128">
        <f>'PROJECT TA Y TB KARINA'!$F111/8</f>
        <v>0</v>
      </c>
      <c r="FH57" s="128">
        <f>'PROJECT TA Y TB KARINA'!$F111/8</f>
        <v>0</v>
      </c>
      <c r="FI57" s="128">
        <f>'PROJECT TA Y TB KARINA'!$F111/8</f>
        <v>0</v>
      </c>
      <c r="FJ57" s="128">
        <f>'PROJECT TA Y TB KARINA'!$F111/8</f>
        <v>0</v>
      </c>
      <c r="FK57" s="128">
        <f>'PROJECT TA Y TB KARINA'!$F111/8</f>
        <v>0</v>
      </c>
      <c r="FL57" s="128">
        <f>'PROJECT TA Y TB KARINA'!$G111/8</f>
        <v>0</v>
      </c>
      <c r="FM57" s="128">
        <f>'PROJECT TA Y TB KARINA'!$G111/8</f>
        <v>0</v>
      </c>
      <c r="FN57" s="128">
        <f>'PROJECT TA Y TB KARINA'!$G111/8</f>
        <v>0</v>
      </c>
      <c r="FO57" s="128">
        <f>'PROJECT TA Y TB KARINA'!$G111/8</f>
        <v>0</v>
      </c>
      <c r="FP57" s="128">
        <f>'PROJECT TA Y TB KARINA'!$G111/8</f>
        <v>0</v>
      </c>
      <c r="FQ57" s="128">
        <f>'PROJECT TA Y TB KARINA'!$G111/8</f>
        <v>0</v>
      </c>
      <c r="FR57" s="128">
        <f>'PROJECT TA Y TB KARINA'!$G111/8</f>
        <v>0</v>
      </c>
      <c r="FS57" s="128">
        <f>'PROJECT TA Y TB KARINA'!$G111/8</f>
        <v>0</v>
      </c>
      <c r="FT57" s="128">
        <f>'PROJECT TA Y TB KARINA'!$H111/8</f>
        <v>0</v>
      </c>
      <c r="FU57" s="128">
        <f>'PROJECT TA Y TB KARINA'!$H111/8</f>
        <v>0</v>
      </c>
      <c r="FV57" s="128">
        <f>'PROJECT TA Y TB KARINA'!$H111/8</f>
        <v>0</v>
      </c>
      <c r="FW57" s="128">
        <f>'PROJECT TA Y TB KARINA'!$H111/8</f>
        <v>0</v>
      </c>
      <c r="FX57" s="128">
        <f>'PROJECT TA Y TB KARINA'!$H111/8</f>
        <v>0</v>
      </c>
      <c r="FY57" s="128">
        <f>'PROJECT TA Y TB KARINA'!$H111/8</f>
        <v>0</v>
      </c>
      <c r="FZ57" s="128">
        <f>'PROJECT TA Y TB KARINA'!$H111/8</f>
        <v>0</v>
      </c>
      <c r="GA57" s="128">
        <f>'PROJECT TA Y TB KARINA'!$H111/8</f>
        <v>0</v>
      </c>
      <c r="GB57" s="128">
        <f>'PROJECT TA Y TB KARINA'!$I111/8</f>
        <v>0</v>
      </c>
      <c r="GC57" s="128">
        <f>'PROJECT TA Y TB KARINA'!$I111/8</f>
        <v>0</v>
      </c>
      <c r="GD57" s="128">
        <f>'PROJECT TA Y TB KARINA'!$I111/8</f>
        <v>0</v>
      </c>
      <c r="GE57" s="128">
        <f>'PROJECT TA Y TB KARINA'!$I111/8</f>
        <v>0</v>
      </c>
      <c r="GF57" s="128">
        <f>'PROJECT TA Y TB KARINA'!$I111/8</f>
        <v>0</v>
      </c>
      <c r="GG57" s="128">
        <f>'PROJECT TA Y TB KARINA'!$I111/8</f>
        <v>0</v>
      </c>
      <c r="GH57" s="128">
        <f>'PROJECT TA Y TB KARINA'!$I111/8</f>
        <v>0</v>
      </c>
      <c r="GI57" s="128">
        <f>'PROJECT TA Y TB KARINA'!$I111/8</f>
        <v>0</v>
      </c>
      <c r="GJ57" s="128">
        <f>'PROJECT TA Y TB KARINA'!$J111/8</f>
        <v>0</v>
      </c>
      <c r="GK57" s="128">
        <f>'PROJECT TA Y TB KARINA'!$J111/8</f>
        <v>0</v>
      </c>
      <c r="GL57" s="128">
        <f>'PROJECT TA Y TB KARINA'!$J111/8</f>
        <v>0</v>
      </c>
      <c r="GM57" s="128">
        <f>'PROJECT TA Y TB KARINA'!$J111/8</f>
        <v>0</v>
      </c>
      <c r="GN57" s="128">
        <f>'PROJECT TA Y TB KARINA'!$J111/8</f>
        <v>0</v>
      </c>
      <c r="GO57" s="128">
        <f>'PROJECT TA Y TB KARINA'!$J111/8</f>
        <v>0</v>
      </c>
      <c r="GP57" s="128">
        <f>'PROJECT TA Y TB KARINA'!$J111/8</f>
        <v>0</v>
      </c>
      <c r="GQ57" s="128">
        <f>'PROJECT TA Y TB KARINA'!$J111/8</f>
        <v>0</v>
      </c>
      <c r="GR57" s="128">
        <f>'PROJECT TA Y TB KARINA'!$K111/8</f>
        <v>0</v>
      </c>
      <c r="GS57" s="128">
        <f>'PROJECT TA Y TB KARINA'!$K111/8</f>
        <v>0</v>
      </c>
      <c r="GT57" s="128">
        <f>'PROJECT TA Y TB KARINA'!$K111/8</f>
        <v>0</v>
      </c>
      <c r="GU57" s="128">
        <f>'PROJECT TA Y TB KARINA'!$K111/8</f>
        <v>0</v>
      </c>
      <c r="GV57" s="128">
        <f>'PROJECT TA Y TB KARINA'!$K111/8</f>
        <v>0</v>
      </c>
      <c r="GW57" s="128">
        <f>'PROJECT TA Y TB KARINA'!$K111/8</f>
        <v>0</v>
      </c>
      <c r="GX57" s="128">
        <f>'PROJECT TA Y TB KARINA'!$K111/8</f>
        <v>0</v>
      </c>
      <c r="GY57" s="128">
        <f>'PROJECT TA Y TB KARINA'!$K111/8</f>
        <v>0</v>
      </c>
      <c r="GZ57" s="128">
        <f>'PROJECT TA Y TB KARINA'!$L111/8</f>
        <v>0</v>
      </c>
      <c r="HA57" s="128">
        <f>'PROJECT TA Y TB KARINA'!$L111/8</f>
        <v>0</v>
      </c>
      <c r="HB57" s="128">
        <f>'PROJECT TA Y TB KARINA'!$L111/8</f>
        <v>0</v>
      </c>
      <c r="HC57" s="128">
        <f>'PROJECT TA Y TB KARINA'!$L111/8</f>
        <v>0</v>
      </c>
      <c r="HD57" s="128">
        <f>'PROJECT TA Y TB KARINA'!$L111/8</f>
        <v>0</v>
      </c>
      <c r="HE57" s="128">
        <f>'PROJECT TA Y TB KARINA'!$L111/8</f>
        <v>0</v>
      </c>
      <c r="HF57" s="128">
        <f>'PROJECT TA Y TB KARINA'!$L111/8</f>
        <v>0</v>
      </c>
      <c r="HG57" s="128">
        <f>'PROJECT TA Y TB KARINA'!$L111/8</f>
        <v>0</v>
      </c>
      <c r="HH57" s="128">
        <f>'PROJECT TA Y TB KARINA'!$M111/8</f>
        <v>0</v>
      </c>
      <c r="HI57" s="128">
        <f>'PROJECT TA Y TB KARINA'!$M111/8</f>
        <v>0</v>
      </c>
      <c r="HJ57" s="128">
        <f>'PROJECT TA Y TB KARINA'!$M111/8</f>
        <v>0</v>
      </c>
      <c r="HK57" s="128">
        <f>'PROJECT TA Y TB KARINA'!$M111/8</f>
        <v>0</v>
      </c>
      <c r="HL57" s="128">
        <f>'PROJECT TA Y TB KARINA'!$M111/8</f>
        <v>0</v>
      </c>
      <c r="HM57" s="128">
        <f>'PROJECT TA Y TB KARINA'!$M111/8</f>
        <v>0</v>
      </c>
      <c r="HN57" s="128">
        <f>'PROJECT TA Y TB KARINA'!$M111/8</f>
        <v>0</v>
      </c>
      <c r="HO57" s="128">
        <f>'PROJECT TA Y TB KARINA'!$M111/8</f>
        <v>0</v>
      </c>
      <c r="HP57" s="128">
        <f>'PROJECT TA Y TB KARINA'!$N111/8</f>
        <v>0</v>
      </c>
      <c r="HQ57" s="128">
        <f>'PROJECT TA Y TB KARINA'!$N111/8</f>
        <v>0</v>
      </c>
      <c r="HR57" s="128">
        <f>'PROJECT TA Y TB KARINA'!$N111/8</f>
        <v>0</v>
      </c>
      <c r="HS57" s="128">
        <f>'PROJECT TA Y TB KARINA'!$N111/8</f>
        <v>0</v>
      </c>
      <c r="HT57" s="128">
        <f>'PROJECT TA Y TB KARINA'!$N111/8</f>
        <v>0</v>
      </c>
      <c r="HU57" s="128">
        <f>'PROJECT TA Y TB KARINA'!$N111/8</f>
        <v>0</v>
      </c>
      <c r="HV57" s="128">
        <f>'PROJECT TA Y TB KARINA'!$N111/8</f>
        <v>0</v>
      </c>
      <c r="HW57" s="128">
        <f>'PROJECT TA Y TB KARINA'!$N111/8</f>
        <v>0</v>
      </c>
      <c r="HX57" s="128">
        <f>'PROJECT TA Y TB KARINA'!$O111/8</f>
        <v>0</v>
      </c>
      <c r="HY57" s="128">
        <f>'PROJECT TA Y TB KARINA'!$O111/8</f>
        <v>0</v>
      </c>
      <c r="HZ57" s="128">
        <f>'PROJECT TA Y TB KARINA'!$O111/8</f>
        <v>0</v>
      </c>
      <c r="IA57" s="128">
        <f>'PROJECT TA Y TB KARINA'!$O111/8</f>
        <v>0</v>
      </c>
      <c r="IB57" s="128">
        <f>'PROJECT TA Y TB KARINA'!$O111/8</f>
        <v>0</v>
      </c>
      <c r="IC57" s="128">
        <f>'PROJECT TA Y TB KARINA'!$O111/8</f>
        <v>0</v>
      </c>
      <c r="ID57" s="128">
        <f>'PROJECT TA Y TB KARINA'!$O111/8</f>
        <v>0</v>
      </c>
      <c r="IE57" s="128">
        <f>'PROJECT TA Y TB KARINA'!$O111/8</f>
        <v>0</v>
      </c>
      <c r="IF57" s="128">
        <f>'PROJECT TA Y TB KARINA'!$P111/8</f>
        <v>0</v>
      </c>
      <c r="IG57" s="128">
        <f>'PROJECT TA Y TB KARINA'!$P111/8</f>
        <v>0</v>
      </c>
      <c r="IH57" s="128">
        <f>'PROJECT TA Y TB KARINA'!$P111/8</f>
        <v>0</v>
      </c>
      <c r="II57" s="128">
        <f>'PROJECT TA Y TB KARINA'!$P111/8</f>
        <v>0</v>
      </c>
      <c r="IJ57" s="128">
        <f>'PROJECT TA Y TB KARINA'!$P111/8</f>
        <v>0</v>
      </c>
      <c r="IK57" s="128">
        <f>'PROJECT TA Y TB KARINA'!$P111/8</f>
        <v>0</v>
      </c>
      <c r="IL57" s="128">
        <f>'PROJECT TA Y TB KARINA'!$P111/8</f>
        <v>0</v>
      </c>
      <c r="IM57" s="128">
        <f>'PROJECT TA Y TB KARINA'!$P111/8</f>
        <v>0</v>
      </c>
      <c r="IN57" s="128">
        <f>'PROJECT TA Y TB KARINA'!$Q111/8</f>
        <v>0</v>
      </c>
      <c r="IO57" s="128">
        <f>'PROJECT TA Y TB KARINA'!$Q111/8</f>
        <v>0</v>
      </c>
      <c r="IP57" s="128">
        <f>'PROJECT TA Y TB KARINA'!$Q111/8</f>
        <v>0</v>
      </c>
      <c r="IQ57" s="128">
        <f>'PROJECT TA Y TB KARINA'!$Q111/8</f>
        <v>0</v>
      </c>
      <c r="IR57" s="128">
        <f>'PROJECT TA Y TB KARINA'!$Q111/8</f>
        <v>0</v>
      </c>
      <c r="IS57" s="128">
        <f>'PROJECT TA Y TB KARINA'!$Q111/8</f>
        <v>0</v>
      </c>
      <c r="IT57" s="128">
        <f>'PROJECT TA Y TB KARINA'!$Q111/8</f>
        <v>0</v>
      </c>
      <c r="IU57" s="128">
        <f>'PROJECT TA Y TB KARINA'!$Q111/8</f>
        <v>0</v>
      </c>
      <c r="IV57" s="128">
        <f>'PROJECT TA Y TB KARINA'!$R111/8</f>
        <v>0</v>
      </c>
      <c r="IW57" s="128">
        <f>'PROJECT TA Y TB KARINA'!$R111/8</f>
        <v>0</v>
      </c>
      <c r="IX57" s="128">
        <f>'PROJECT TA Y TB KARINA'!$R111/8</f>
        <v>0</v>
      </c>
      <c r="IY57" s="128">
        <f>'PROJECT TA Y TB KARINA'!$R111/8</f>
        <v>0</v>
      </c>
      <c r="IZ57" s="128">
        <f>'PROJECT TA Y TB KARINA'!$R111/8</f>
        <v>0</v>
      </c>
      <c r="JA57" s="128">
        <f>'PROJECT TA Y TB KARINA'!$R111/8</f>
        <v>0</v>
      </c>
      <c r="JB57" s="128">
        <f>'PROJECT TA Y TB KARINA'!$R111/8</f>
        <v>0</v>
      </c>
      <c r="JC57" s="128">
        <f>'PROJECT TA Y TB KARINA'!$R111/8</f>
        <v>0</v>
      </c>
      <c r="JD57" s="128">
        <f>'PROJECT TA Y TB KARINA'!$S111/8</f>
        <v>0</v>
      </c>
      <c r="JE57" s="128">
        <f>'PROJECT TA Y TB KARINA'!$S111/8</f>
        <v>0</v>
      </c>
      <c r="JF57" s="128">
        <f>'PROJECT TA Y TB KARINA'!$S111/8</f>
        <v>0</v>
      </c>
      <c r="JG57" s="128">
        <f>'PROJECT TA Y TB KARINA'!$S111/8</f>
        <v>0</v>
      </c>
      <c r="JH57" s="128">
        <f>'PROJECT TA Y TB KARINA'!$S111/8</f>
        <v>0</v>
      </c>
      <c r="JI57" s="128">
        <f>'PROJECT TA Y TB KARINA'!$S111/8</f>
        <v>0</v>
      </c>
      <c r="JJ57" s="128">
        <f>'PROJECT TA Y TB KARINA'!$S111/8</f>
        <v>0</v>
      </c>
      <c r="JK57" s="128">
        <f>'PROJECT TA Y TB KARINA'!$S111/8</f>
        <v>0</v>
      </c>
      <c r="JL57" s="128">
        <f>'PROJECT TA Y TB KARINA'!$T111/8</f>
        <v>0</v>
      </c>
      <c r="JM57" s="128">
        <f>'PROJECT TA Y TB KARINA'!$T111/8</f>
        <v>0</v>
      </c>
      <c r="JN57" s="128">
        <f>'PROJECT TA Y TB KARINA'!$T111/8</f>
        <v>0</v>
      </c>
      <c r="JO57" s="128">
        <f>'PROJECT TA Y TB KARINA'!$T111/8</f>
        <v>0</v>
      </c>
      <c r="JP57" s="128">
        <f>'PROJECT TA Y TB KARINA'!$T111/8</f>
        <v>0</v>
      </c>
      <c r="JQ57" s="128">
        <f>'PROJECT TA Y TB KARINA'!$T111/8</f>
        <v>0</v>
      </c>
      <c r="JR57" s="128">
        <f>'PROJECT TA Y TB KARINA'!$T111/8</f>
        <v>0</v>
      </c>
      <c r="JS57" s="128">
        <f>'PROJECT TA Y TB KARINA'!$T111/8</f>
        <v>0</v>
      </c>
      <c r="JT57" s="128" t="e">
        <f>'PROJECT TA Y TB KARINA'!#REF!/8</f>
        <v>#REF!</v>
      </c>
      <c r="JU57" s="128" t="e">
        <f>'PROJECT TA Y TB KARINA'!#REF!/8</f>
        <v>#REF!</v>
      </c>
      <c r="JV57" s="128" t="e">
        <f>'PROJECT TA Y TB KARINA'!#REF!/8</f>
        <v>#REF!</v>
      </c>
      <c r="JW57" s="128" t="e">
        <f>'PROJECT TA Y TB KARINA'!#REF!/8</f>
        <v>#REF!</v>
      </c>
      <c r="JX57" s="128" t="e">
        <f>'PROJECT TA Y TB KARINA'!#REF!/8</f>
        <v>#REF!</v>
      </c>
      <c r="JY57" s="128" t="e">
        <f>'PROJECT TA Y TB KARINA'!#REF!/8</f>
        <v>#REF!</v>
      </c>
      <c r="JZ57" s="128" t="e">
        <f>'PROJECT TA Y TB KARINA'!#REF!/8</f>
        <v>#REF!</v>
      </c>
      <c r="KA57" s="128" t="e">
        <f>'PROJECT TA Y TB KARINA'!#REF!/8</f>
        <v>#REF!</v>
      </c>
    </row>
    <row r="58" spans="1:287" ht="21">
      <c r="A58" s="130" t="s">
        <v>511</v>
      </c>
      <c r="B58" s="128" t="e">
        <f>'PROJECT TA Y TB KARINA'!$C$54/8</f>
        <v>#REF!</v>
      </c>
      <c r="C58" s="128" t="e">
        <f>'PROJECT TA Y TB KARINA'!$C$54/8</f>
        <v>#REF!</v>
      </c>
      <c r="D58" s="128" t="e">
        <f>'PROJECT TA Y TB KARINA'!$C$54/8</f>
        <v>#REF!</v>
      </c>
      <c r="E58" s="128" t="e">
        <f>'PROJECT TA Y TB KARINA'!$C$54/8</f>
        <v>#REF!</v>
      </c>
      <c r="F58" s="128" t="e">
        <f>'PROJECT TA Y TB KARINA'!$C$54/8</f>
        <v>#REF!</v>
      </c>
      <c r="G58" s="128" t="e">
        <f>'PROJECT TA Y TB KARINA'!$C$54/8</f>
        <v>#REF!</v>
      </c>
      <c r="H58" s="128" t="e">
        <f>'PROJECT TA Y TB KARINA'!$C$54/8</f>
        <v>#REF!</v>
      </c>
      <c r="I58" s="128" t="e">
        <f>'PROJECT TA Y TB KARINA'!$E54/8</f>
        <v>#REF!</v>
      </c>
      <c r="J58" s="128" t="e">
        <f>'PROJECT TA Y TB KARINA'!$E54/8</f>
        <v>#REF!</v>
      </c>
      <c r="K58" s="128" t="e">
        <f>'PROJECT TA Y TB KARINA'!$E54/8</f>
        <v>#REF!</v>
      </c>
      <c r="L58" s="128" t="e">
        <f>'PROJECT TA Y TB KARINA'!$E54/8</f>
        <v>#REF!</v>
      </c>
      <c r="M58" s="128" t="e">
        <f>'PROJECT TA Y TB KARINA'!$E54/8</f>
        <v>#REF!</v>
      </c>
      <c r="N58" s="128" t="e">
        <f>'PROJECT TA Y TB KARINA'!$E54/8</f>
        <v>#REF!</v>
      </c>
      <c r="O58" s="128" t="e">
        <f>'PROJECT TA Y TB KARINA'!$E54/8</f>
        <v>#REF!</v>
      </c>
      <c r="P58" s="128" t="e">
        <f>'PROJECT TA Y TB KARINA'!$E54/8</f>
        <v>#REF!</v>
      </c>
      <c r="Q58" s="128" t="e">
        <f>'PROJECT TA Y TB KARINA'!$F54/8</f>
        <v>#REF!</v>
      </c>
      <c r="R58" s="128" t="e">
        <f>'PROJECT TA Y TB KARINA'!$F54/8</f>
        <v>#REF!</v>
      </c>
      <c r="S58" s="128" t="e">
        <f>'PROJECT TA Y TB KARINA'!$F54/8</f>
        <v>#REF!</v>
      </c>
      <c r="T58" s="128" t="e">
        <f>'PROJECT TA Y TB KARINA'!$F54/8</f>
        <v>#REF!</v>
      </c>
      <c r="U58" s="128" t="e">
        <f>'PROJECT TA Y TB KARINA'!$F54/8</f>
        <v>#REF!</v>
      </c>
      <c r="V58" s="128" t="e">
        <f>'PROJECT TA Y TB KARINA'!$F54/8</f>
        <v>#REF!</v>
      </c>
      <c r="W58" s="128" t="e">
        <f>'PROJECT TA Y TB KARINA'!$F54/8</f>
        <v>#REF!</v>
      </c>
      <c r="X58" s="128" t="e">
        <f>'PROJECT TA Y TB KARINA'!$F54/8</f>
        <v>#REF!</v>
      </c>
      <c r="Y58" s="128" t="e">
        <f>'PROJECT TA Y TB KARINA'!$G54/8</f>
        <v>#REF!</v>
      </c>
      <c r="Z58" s="128" t="e">
        <f>'PROJECT TA Y TB KARINA'!$G54/8</f>
        <v>#REF!</v>
      </c>
      <c r="AA58" s="128" t="e">
        <f>'PROJECT TA Y TB KARINA'!$G54/8</f>
        <v>#REF!</v>
      </c>
      <c r="AB58" s="128" t="e">
        <f>'PROJECT TA Y TB KARINA'!$G54/8</f>
        <v>#REF!</v>
      </c>
      <c r="AC58" s="128" t="e">
        <f>'PROJECT TA Y TB KARINA'!$G54/8</f>
        <v>#REF!</v>
      </c>
      <c r="AD58" s="128" t="e">
        <f>'PROJECT TA Y TB KARINA'!$G54/8</f>
        <v>#REF!</v>
      </c>
      <c r="AE58" s="128" t="e">
        <f>'PROJECT TA Y TB KARINA'!$G54/8</f>
        <v>#REF!</v>
      </c>
      <c r="AF58" s="128" t="e">
        <f>'PROJECT TA Y TB KARINA'!$G54/8</f>
        <v>#REF!</v>
      </c>
      <c r="AG58" s="128" t="e">
        <f>'PROJECT TA Y TB KARINA'!$H54/8</f>
        <v>#REF!</v>
      </c>
      <c r="AH58" s="128" t="e">
        <f>'PROJECT TA Y TB KARINA'!$H54/8</f>
        <v>#REF!</v>
      </c>
      <c r="AI58" s="128" t="e">
        <f>'PROJECT TA Y TB KARINA'!$H54/8</f>
        <v>#REF!</v>
      </c>
      <c r="AJ58" s="128" t="e">
        <f>'PROJECT TA Y TB KARINA'!$H54/8</f>
        <v>#REF!</v>
      </c>
      <c r="AK58" s="128" t="e">
        <f>'PROJECT TA Y TB KARINA'!$H54/8</f>
        <v>#REF!</v>
      </c>
      <c r="AL58" s="128" t="e">
        <f>'PROJECT TA Y TB KARINA'!$H54/8</f>
        <v>#REF!</v>
      </c>
      <c r="AM58" s="128" t="e">
        <f>'PROJECT TA Y TB KARINA'!$H54/8</f>
        <v>#REF!</v>
      </c>
      <c r="AN58" s="128" t="e">
        <f>'PROJECT TA Y TB KARINA'!$H54/8</f>
        <v>#REF!</v>
      </c>
      <c r="AO58" s="128" t="e">
        <f>'PROJECT TA Y TB KARINA'!$I54/8</f>
        <v>#REF!</v>
      </c>
      <c r="AP58" s="128" t="e">
        <f>'PROJECT TA Y TB KARINA'!$I54/8</f>
        <v>#REF!</v>
      </c>
      <c r="AQ58" s="128" t="e">
        <f>'PROJECT TA Y TB KARINA'!$I54/8</f>
        <v>#REF!</v>
      </c>
      <c r="AR58" s="128" t="e">
        <f>'PROJECT TA Y TB KARINA'!$I54/8</f>
        <v>#REF!</v>
      </c>
      <c r="AS58" s="128" t="e">
        <f>'PROJECT TA Y TB KARINA'!$I54/8</f>
        <v>#REF!</v>
      </c>
      <c r="AT58" s="128" t="e">
        <f>'PROJECT TA Y TB KARINA'!$I54/8</f>
        <v>#REF!</v>
      </c>
      <c r="AU58" s="128" t="e">
        <f>'PROJECT TA Y TB KARINA'!$I54/8</f>
        <v>#REF!</v>
      </c>
      <c r="AV58" s="128" t="e">
        <f>'PROJECT TA Y TB KARINA'!$I54/8</f>
        <v>#REF!</v>
      </c>
      <c r="AW58" s="128" t="e">
        <f>'PROJECT TA Y TB KARINA'!$J54/8</f>
        <v>#REF!</v>
      </c>
      <c r="AX58" s="128" t="e">
        <f>'PROJECT TA Y TB KARINA'!$J54/8</f>
        <v>#REF!</v>
      </c>
      <c r="AY58" s="128" t="e">
        <f>'PROJECT TA Y TB KARINA'!$J54/8</f>
        <v>#REF!</v>
      </c>
      <c r="AZ58" s="128" t="e">
        <f>'PROJECT TA Y TB KARINA'!$J54/8</f>
        <v>#REF!</v>
      </c>
      <c r="BA58" s="128" t="e">
        <f>'PROJECT TA Y TB KARINA'!$J54/8</f>
        <v>#REF!</v>
      </c>
      <c r="BB58" s="128" t="e">
        <f>'PROJECT TA Y TB KARINA'!$J54/8</f>
        <v>#REF!</v>
      </c>
      <c r="BC58" s="128" t="e">
        <f>'PROJECT TA Y TB KARINA'!$J54/8</f>
        <v>#REF!</v>
      </c>
      <c r="BD58" s="128" t="e">
        <f>'PROJECT TA Y TB KARINA'!$J54/8</f>
        <v>#REF!</v>
      </c>
      <c r="BE58" s="128" t="e">
        <f>'PROJECT TA Y TB KARINA'!$K54/8</f>
        <v>#REF!</v>
      </c>
      <c r="BF58" s="128" t="e">
        <f>'PROJECT TA Y TB KARINA'!$K54/8</f>
        <v>#REF!</v>
      </c>
      <c r="BG58" s="128" t="e">
        <f>'PROJECT TA Y TB KARINA'!$K54/8</f>
        <v>#REF!</v>
      </c>
      <c r="BH58" s="128" t="e">
        <f>'PROJECT TA Y TB KARINA'!$K54/8</f>
        <v>#REF!</v>
      </c>
      <c r="BI58" s="128" t="e">
        <f>'PROJECT TA Y TB KARINA'!$K54/8</f>
        <v>#REF!</v>
      </c>
      <c r="BJ58" s="128" t="e">
        <f>'PROJECT TA Y TB KARINA'!$K54/8</f>
        <v>#REF!</v>
      </c>
      <c r="BK58" s="128" t="e">
        <f>'PROJECT TA Y TB KARINA'!$K54/8</f>
        <v>#REF!</v>
      </c>
      <c r="BL58" s="128" t="e">
        <f>'PROJECT TA Y TB KARINA'!$K54/8</f>
        <v>#REF!</v>
      </c>
      <c r="BM58" s="128" t="e">
        <f>'PROJECT TA Y TB KARINA'!$L54/8</f>
        <v>#REF!</v>
      </c>
      <c r="BN58" s="128" t="e">
        <f>'PROJECT TA Y TB KARINA'!$L54/8</f>
        <v>#REF!</v>
      </c>
      <c r="BO58" s="128" t="e">
        <f>'PROJECT TA Y TB KARINA'!$L54/8</f>
        <v>#REF!</v>
      </c>
      <c r="BP58" s="128" t="e">
        <f>'PROJECT TA Y TB KARINA'!$L54/8</f>
        <v>#REF!</v>
      </c>
      <c r="BQ58" s="128" t="e">
        <f>'PROJECT TA Y TB KARINA'!$L54/8</f>
        <v>#REF!</v>
      </c>
      <c r="BR58" s="128" t="e">
        <f>'PROJECT TA Y TB KARINA'!$L54/8</f>
        <v>#REF!</v>
      </c>
      <c r="BS58" s="128" t="e">
        <f>'PROJECT TA Y TB KARINA'!$L54/8</f>
        <v>#REF!</v>
      </c>
      <c r="BT58" s="128" t="e">
        <f>'PROJECT TA Y TB KARINA'!$L54/8</f>
        <v>#REF!</v>
      </c>
      <c r="BU58" s="128" t="e">
        <f>'PROJECT TA Y TB KARINA'!$M54/8</f>
        <v>#REF!</v>
      </c>
      <c r="BV58" s="128" t="e">
        <f>'PROJECT TA Y TB KARINA'!$M54/8</f>
        <v>#REF!</v>
      </c>
      <c r="BW58" s="128" t="e">
        <f>'PROJECT TA Y TB KARINA'!$M54/8</f>
        <v>#REF!</v>
      </c>
      <c r="BX58" s="128" t="e">
        <f>'PROJECT TA Y TB KARINA'!$M54/8</f>
        <v>#REF!</v>
      </c>
      <c r="BY58" s="128" t="e">
        <f>'PROJECT TA Y TB KARINA'!$M54/8</f>
        <v>#REF!</v>
      </c>
      <c r="BZ58" s="128" t="e">
        <f>'PROJECT TA Y TB KARINA'!$M54/8</f>
        <v>#REF!</v>
      </c>
      <c r="CA58" s="128" t="e">
        <f>'PROJECT TA Y TB KARINA'!$M54/8</f>
        <v>#REF!</v>
      </c>
      <c r="CB58" s="128" t="e">
        <f>'PROJECT TA Y TB KARINA'!$M54/8</f>
        <v>#REF!</v>
      </c>
      <c r="CC58" s="128" t="e">
        <f>'PROJECT TA Y TB KARINA'!$N54/8</f>
        <v>#REF!</v>
      </c>
      <c r="CD58" s="128" t="e">
        <f>'PROJECT TA Y TB KARINA'!$N54/8</f>
        <v>#REF!</v>
      </c>
      <c r="CE58" s="128" t="e">
        <f>'PROJECT TA Y TB KARINA'!$N54/8</f>
        <v>#REF!</v>
      </c>
      <c r="CF58" s="128" t="e">
        <f>'PROJECT TA Y TB KARINA'!$N54/8</f>
        <v>#REF!</v>
      </c>
      <c r="CG58" s="128" t="e">
        <f>'PROJECT TA Y TB KARINA'!$N54/8</f>
        <v>#REF!</v>
      </c>
      <c r="CH58" s="128" t="e">
        <f>'PROJECT TA Y TB KARINA'!$N54/8</f>
        <v>#REF!</v>
      </c>
      <c r="CI58" s="128" t="e">
        <f>'PROJECT TA Y TB KARINA'!$N54/8</f>
        <v>#REF!</v>
      </c>
      <c r="CJ58" s="128" t="e">
        <f>'PROJECT TA Y TB KARINA'!$N54/8</f>
        <v>#REF!</v>
      </c>
      <c r="CK58" s="128" t="e">
        <f>'PROJECT TA Y TB KARINA'!$O54/8</f>
        <v>#REF!</v>
      </c>
      <c r="CL58" s="128" t="e">
        <f>'PROJECT TA Y TB KARINA'!$O54/8</f>
        <v>#REF!</v>
      </c>
      <c r="CM58" s="128" t="e">
        <f>'PROJECT TA Y TB KARINA'!$O54/8</f>
        <v>#REF!</v>
      </c>
      <c r="CN58" s="128" t="e">
        <f>'PROJECT TA Y TB KARINA'!$O54/8</f>
        <v>#REF!</v>
      </c>
      <c r="CO58" s="128" t="e">
        <f>'PROJECT TA Y TB KARINA'!$O54/8</f>
        <v>#REF!</v>
      </c>
      <c r="CP58" s="128" t="e">
        <f>'PROJECT TA Y TB KARINA'!$O54/8</f>
        <v>#REF!</v>
      </c>
      <c r="CQ58" s="128" t="e">
        <f>'PROJECT TA Y TB KARINA'!$O54/8</f>
        <v>#REF!</v>
      </c>
      <c r="CR58" s="128" t="e">
        <f>'PROJECT TA Y TB KARINA'!$O54/8</f>
        <v>#REF!</v>
      </c>
      <c r="CS58" s="128" t="e">
        <f>'PROJECT TA Y TB KARINA'!$P54/8</f>
        <v>#REF!</v>
      </c>
      <c r="CT58" s="128" t="e">
        <f>'PROJECT TA Y TB KARINA'!$P54/8</f>
        <v>#REF!</v>
      </c>
      <c r="CU58" s="128" t="e">
        <f>'PROJECT TA Y TB KARINA'!$P54/8</f>
        <v>#REF!</v>
      </c>
      <c r="CV58" s="128" t="e">
        <f>'PROJECT TA Y TB KARINA'!$P54/8</f>
        <v>#REF!</v>
      </c>
      <c r="CW58" s="128" t="e">
        <f>'PROJECT TA Y TB KARINA'!$P54/8</f>
        <v>#REF!</v>
      </c>
      <c r="CX58" s="128" t="e">
        <f>'PROJECT TA Y TB KARINA'!$P54/8</f>
        <v>#REF!</v>
      </c>
      <c r="CY58" s="128" t="e">
        <f>'PROJECT TA Y TB KARINA'!$P54/8</f>
        <v>#REF!</v>
      </c>
      <c r="CZ58" s="128" t="e">
        <f>'PROJECT TA Y TB KARINA'!$P54/8</f>
        <v>#REF!</v>
      </c>
      <c r="DA58" s="128" t="e">
        <f>'PROJECT TA Y TB KARINA'!$Q54/8</f>
        <v>#REF!</v>
      </c>
      <c r="DB58" s="128" t="e">
        <f>'PROJECT TA Y TB KARINA'!$Q54/8</f>
        <v>#REF!</v>
      </c>
      <c r="DC58" s="128" t="e">
        <f>'PROJECT TA Y TB KARINA'!$Q54/8</f>
        <v>#REF!</v>
      </c>
      <c r="DD58" s="128" t="e">
        <f>'PROJECT TA Y TB KARINA'!$Q54/8</f>
        <v>#REF!</v>
      </c>
      <c r="DE58" s="128" t="e">
        <f>'PROJECT TA Y TB KARINA'!$Q54/8</f>
        <v>#REF!</v>
      </c>
      <c r="DF58" s="128" t="e">
        <f>'PROJECT TA Y TB KARINA'!$Q54/8</f>
        <v>#REF!</v>
      </c>
      <c r="DG58" s="128" t="e">
        <f>'PROJECT TA Y TB KARINA'!$Q54/8</f>
        <v>#REF!</v>
      </c>
      <c r="DH58" s="128" t="e">
        <f>'PROJECT TA Y TB KARINA'!$Q54/8</f>
        <v>#REF!</v>
      </c>
      <c r="DI58" s="128" t="e">
        <f>'PROJECT TA Y TB KARINA'!$R54/8</f>
        <v>#REF!</v>
      </c>
      <c r="DJ58" s="128" t="e">
        <f>'PROJECT TA Y TB KARINA'!$R54/8</f>
        <v>#REF!</v>
      </c>
      <c r="DK58" s="128" t="e">
        <f>'PROJECT TA Y TB KARINA'!$R54/8</f>
        <v>#REF!</v>
      </c>
      <c r="DL58" s="128" t="e">
        <f>'PROJECT TA Y TB KARINA'!$R54/8</f>
        <v>#REF!</v>
      </c>
      <c r="DM58" s="128" t="e">
        <f>'PROJECT TA Y TB KARINA'!$R54/8</f>
        <v>#REF!</v>
      </c>
      <c r="DN58" s="128" t="e">
        <f>'PROJECT TA Y TB KARINA'!$R54/8</f>
        <v>#REF!</v>
      </c>
      <c r="DO58" s="128" t="e">
        <f>'PROJECT TA Y TB KARINA'!$R54/8</f>
        <v>#REF!</v>
      </c>
      <c r="DP58" s="128" t="e">
        <f>'PROJECT TA Y TB KARINA'!$R54/8</f>
        <v>#REF!</v>
      </c>
      <c r="DQ58" s="128" t="e">
        <f>'PROJECT TA Y TB KARINA'!$S54/8</f>
        <v>#REF!</v>
      </c>
      <c r="DR58" s="128" t="e">
        <f>'PROJECT TA Y TB KARINA'!$S54/8</f>
        <v>#REF!</v>
      </c>
      <c r="DS58" s="128" t="e">
        <f>'PROJECT TA Y TB KARINA'!$S54/8</f>
        <v>#REF!</v>
      </c>
      <c r="DT58" s="128" t="e">
        <f>'PROJECT TA Y TB KARINA'!$S54/8</f>
        <v>#REF!</v>
      </c>
      <c r="DU58" s="128" t="e">
        <f>'PROJECT TA Y TB KARINA'!$S54/8</f>
        <v>#REF!</v>
      </c>
      <c r="DV58" s="128" t="e">
        <f>'PROJECT TA Y TB KARINA'!$S54/8</f>
        <v>#REF!</v>
      </c>
      <c r="DW58" s="128" t="e">
        <f>'PROJECT TA Y TB KARINA'!$S54/8</f>
        <v>#REF!</v>
      </c>
      <c r="DX58" s="128" t="e">
        <f>'PROJECT TA Y TB KARINA'!$S54/8</f>
        <v>#REF!</v>
      </c>
      <c r="DY58" s="128" t="e">
        <f>'PROJECT TA Y TB KARINA'!$T54/8</f>
        <v>#REF!</v>
      </c>
      <c r="DZ58" s="128" t="e">
        <f>'PROJECT TA Y TB KARINA'!$T54/8</f>
        <v>#REF!</v>
      </c>
      <c r="EA58" s="128" t="e">
        <f>'PROJECT TA Y TB KARINA'!$T54/8</f>
        <v>#REF!</v>
      </c>
      <c r="EB58" s="128" t="e">
        <f>'PROJECT TA Y TB KARINA'!$T54/8</f>
        <v>#REF!</v>
      </c>
      <c r="EC58" s="128" t="e">
        <f>'PROJECT TA Y TB KARINA'!$T54/8</f>
        <v>#REF!</v>
      </c>
      <c r="ED58" s="128" t="e">
        <f>'PROJECT TA Y TB KARINA'!$T54/8</f>
        <v>#REF!</v>
      </c>
      <c r="EE58" s="128" t="e">
        <f>'PROJECT TA Y TB KARINA'!$T54/8</f>
        <v>#REF!</v>
      </c>
      <c r="EF58" s="128" t="e">
        <f>'PROJECT TA Y TB KARINA'!$T54/8</f>
        <v>#REF!</v>
      </c>
      <c r="EG58" s="128" t="e">
        <f>'PROJECT TA Y TB KARINA'!#REF!/8</f>
        <v>#REF!</v>
      </c>
      <c r="EH58" s="128" t="e">
        <f>'PROJECT TA Y TB KARINA'!#REF!/8</f>
        <v>#REF!</v>
      </c>
      <c r="EI58" s="128" t="e">
        <f>'PROJECT TA Y TB KARINA'!#REF!/8</f>
        <v>#REF!</v>
      </c>
      <c r="EJ58" s="128" t="e">
        <f>'PROJECT TA Y TB KARINA'!#REF!/8</f>
        <v>#REF!</v>
      </c>
      <c r="EK58" s="128" t="e">
        <f>'PROJECT TA Y TB KARINA'!#REF!/8</f>
        <v>#REF!</v>
      </c>
      <c r="EL58" s="128" t="e">
        <f>'PROJECT TA Y TB KARINA'!#REF!/8</f>
        <v>#REF!</v>
      </c>
      <c r="EM58" s="128" t="e">
        <f>'PROJECT TA Y TB KARINA'!#REF!/8</f>
        <v>#REF!</v>
      </c>
      <c r="EN58" s="128" t="e">
        <f>'PROJECT TA Y TB KARINA'!#REF!/8</f>
        <v>#REF!</v>
      </c>
      <c r="EO58" s="128">
        <f>'PROJECT TA Y TB KARINA'!$C112/8</f>
        <v>0</v>
      </c>
      <c r="EP58" s="128">
        <f>'PROJECT TA Y TB KARINA'!$C112/8</f>
        <v>0</v>
      </c>
      <c r="EQ58" s="128">
        <f>'PROJECT TA Y TB KARINA'!$C112/8</f>
        <v>0</v>
      </c>
      <c r="ER58" s="128">
        <f>'PROJECT TA Y TB KARINA'!$C112/8</f>
        <v>0</v>
      </c>
      <c r="ES58" s="128">
        <f>'PROJECT TA Y TB KARINA'!$C112/8</f>
        <v>0</v>
      </c>
      <c r="ET58" s="128">
        <f>'PROJECT TA Y TB KARINA'!$C112/8</f>
        <v>0</v>
      </c>
      <c r="EU58" s="128">
        <f>'PROJECT TA Y TB KARINA'!$C112/8</f>
        <v>0</v>
      </c>
      <c r="EV58" s="128">
        <f>'PROJECT TA Y TB KARINA'!$E112/8</f>
        <v>0</v>
      </c>
      <c r="EW58" s="128">
        <f>'PROJECT TA Y TB KARINA'!$E112/8</f>
        <v>0</v>
      </c>
      <c r="EX58" s="128">
        <f>'PROJECT TA Y TB KARINA'!$E112/8</f>
        <v>0</v>
      </c>
      <c r="EY58" s="128">
        <f>'PROJECT TA Y TB KARINA'!$E112/8</f>
        <v>0</v>
      </c>
      <c r="EZ58" s="128">
        <f>'PROJECT TA Y TB KARINA'!$E112/8</f>
        <v>0</v>
      </c>
      <c r="FA58" s="128">
        <f>'PROJECT TA Y TB KARINA'!$E112/8</f>
        <v>0</v>
      </c>
      <c r="FB58" s="128">
        <f>'PROJECT TA Y TB KARINA'!$E112/8</f>
        <v>0</v>
      </c>
      <c r="FC58" s="128">
        <f>'PROJECT TA Y TB KARINA'!$E112/8</f>
        <v>0</v>
      </c>
      <c r="FD58" s="128">
        <f>'PROJECT TA Y TB KARINA'!$F112/8</f>
        <v>0</v>
      </c>
      <c r="FE58" s="128">
        <f>'PROJECT TA Y TB KARINA'!$F112/8</f>
        <v>0</v>
      </c>
      <c r="FF58" s="128">
        <f>'PROJECT TA Y TB KARINA'!$F112/8</f>
        <v>0</v>
      </c>
      <c r="FG58" s="128">
        <f>'PROJECT TA Y TB KARINA'!$F112/8</f>
        <v>0</v>
      </c>
      <c r="FH58" s="128">
        <f>'PROJECT TA Y TB KARINA'!$F112/8</f>
        <v>0</v>
      </c>
      <c r="FI58" s="128">
        <f>'PROJECT TA Y TB KARINA'!$F112/8</f>
        <v>0</v>
      </c>
      <c r="FJ58" s="128">
        <f>'PROJECT TA Y TB KARINA'!$F112/8</f>
        <v>0</v>
      </c>
      <c r="FK58" s="128">
        <f>'PROJECT TA Y TB KARINA'!$F112/8</f>
        <v>0</v>
      </c>
      <c r="FL58" s="128">
        <f>'PROJECT TA Y TB KARINA'!$G112/8</f>
        <v>0</v>
      </c>
      <c r="FM58" s="128">
        <f>'PROJECT TA Y TB KARINA'!$G112/8</f>
        <v>0</v>
      </c>
      <c r="FN58" s="128">
        <f>'PROJECT TA Y TB KARINA'!$G112/8</f>
        <v>0</v>
      </c>
      <c r="FO58" s="128">
        <f>'PROJECT TA Y TB KARINA'!$G112/8</f>
        <v>0</v>
      </c>
      <c r="FP58" s="128">
        <f>'PROJECT TA Y TB KARINA'!$G112/8</f>
        <v>0</v>
      </c>
      <c r="FQ58" s="128">
        <f>'PROJECT TA Y TB KARINA'!$G112/8</f>
        <v>0</v>
      </c>
      <c r="FR58" s="128">
        <f>'PROJECT TA Y TB KARINA'!$G112/8</f>
        <v>0</v>
      </c>
      <c r="FS58" s="128">
        <f>'PROJECT TA Y TB KARINA'!$G112/8</f>
        <v>0</v>
      </c>
      <c r="FT58" s="128">
        <f>'PROJECT TA Y TB KARINA'!$H112/8</f>
        <v>0</v>
      </c>
      <c r="FU58" s="128">
        <f>'PROJECT TA Y TB KARINA'!$H112/8</f>
        <v>0</v>
      </c>
      <c r="FV58" s="128">
        <f>'PROJECT TA Y TB KARINA'!$H112/8</f>
        <v>0</v>
      </c>
      <c r="FW58" s="128">
        <f>'PROJECT TA Y TB KARINA'!$H112/8</f>
        <v>0</v>
      </c>
      <c r="FX58" s="128">
        <f>'PROJECT TA Y TB KARINA'!$H112/8</f>
        <v>0</v>
      </c>
      <c r="FY58" s="128">
        <f>'PROJECT TA Y TB KARINA'!$H112/8</f>
        <v>0</v>
      </c>
      <c r="FZ58" s="128">
        <f>'PROJECT TA Y TB KARINA'!$H112/8</f>
        <v>0</v>
      </c>
      <c r="GA58" s="128">
        <f>'PROJECT TA Y TB KARINA'!$H112/8</f>
        <v>0</v>
      </c>
      <c r="GB58" s="128">
        <f>'PROJECT TA Y TB KARINA'!$I112/8</f>
        <v>0</v>
      </c>
      <c r="GC58" s="128">
        <f>'PROJECT TA Y TB KARINA'!$I112/8</f>
        <v>0</v>
      </c>
      <c r="GD58" s="128">
        <f>'PROJECT TA Y TB KARINA'!$I112/8</f>
        <v>0</v>
      </c>
      <c r="GE58" s="128">
        <f>'PROJECT TA Y TB KARINA'!$I112/8</f>
        <v>0</v>
      </c>
      <c r="GF58" s="128">
        <f>'PROJECT TA Y TB KARINA'!$I112/8</f>
        <v>0</v>
      </c>
      <c r="GG58" s="128">
        <f>'PROJECT TA Y TB KARINA'!$I112/8</f>
        <v>0</v>
      </c>
      <c r="GH58" s="128">
        <f>'PROJECT TA Y TB KARINA'!$I112/8</f>
        <v>0</v>
      </c>
      <c r="GI58" s="128">
        <f>'PROJECT TA Y TB KARINA'!$I112/8</f>
        <v>0</v>
      </c>
      <c r="GJ58" s="128">
        <f>'PROJECT TA Y TB KARINA'!$J112/8</f>
        <v>0</v>
      </c>
      <c r="GK58" s="128">
        <f>'PROJECT TA Y TB KARINA'!$J112/8</f>
        <v>0</v>
      </c>
      <c r="GL58" s="128">
        <f>'PROJECT TA Y TB KARINA'!$J112/8</f>
        <v>0</v>
      </c>
      <c r="GM58" s="128">
        <f>'PROJECT TA Y TB KARINA'!$J112/8</f>
        <v>0</v>
      </c>
      <c r="GN58" s="128">
        <f>'PROJECT TA Y TB KARINA'!$J112/8</f>
        <v>0</v>
      </c>
      <c r="GO58" s="128">
        <f>'PROJECT TA Y TB KARINA'!$J112/8</f>
        <v>0</v>
      </c>
      <c r="GP58" s="128">
        <f>'PROJECT TA Y TB KARINA'!$J112/8</f>
        <v>0</v>
      </c>
      <c r="GQ58" s="128">
        <f>'PROJECT TA Y TB KARINA'!$J112/8</f>
        <v>0</v>
      </c>
      <c r="GR58" s="128">
        <f>'PROJECT TA Y TB KARINA'!$K112/8</f>
        <v>0</v>
      </c>
      <c r="GS58" s="128">
        <f>'PROJECT TA Y TB KARINA'!$K112/8</f>
        <v>0</v>
      </c>
      <c r="GT58" s="128">
        <f>'PROJECT TA Y TB KARINA'!$K112/8</f>
        <v>0</v>
      </c>
      <c r="GU58" s="128">
        <f>'PROJECT TA Y TB KARINA'!$K112/8</f>
        <v>0</v>
      </c>
      <c r="GV58" s="128">
        <f>'PROJECT TA Y TB KARINA'!$K112/8</f>
        <v>0</v>
      </c>
      <c r="GW58" s="128">
        <f>'PROJECT TA Y TB KARINA'!$K112/8</f>
        <v>0</v>
      </c>
      <c r="GX58" s="128">
        <f>'PROJECT TA Y TB KARINA'!$K112/8</f>
        <v>0</v>
      </c>
      <c r="GY58" s="128">
        <f>'PROJECT TA Y TB KARINA'!$K112/8</f>
        <v>0</v>
      </c>
      <c r="GZ58" s="128">
        <f>'PROJECT TA Y TB KARINA'!$L112/8</f>
        <v>0</v>
      </c>
      <c r="HA58" s="128">
        <f>'PROJECT TA Y TB KARINA'!$L112/8</f>
        <v>0</v>
      </c>
      <c r="HB58" s="128">
        <f>'PROJECT TA Y TB KARINA'!$L112/8</f>
        <v>0</v>
      </c>
      <c r="HC58" s="128">
        <f>'PROJECT TA Y TB KARINA'!$L112/8</f>
        <v>0</v>
      </c>
      <c r="HD58" s="128">
        <f>'PROJECT TA Y TB KARINA'!$L112/8</f>
        <v>0</v>
      </c>
      <c r="HE58" s="128">
        <f>'PROJECT TA Y TB KARINA'!$L112/8</f>
        <v>0</v>
      </c>
      <c r="HF58" s="128">
        <f>'PROJECT TA Y TB KARINA'!$L112/8</f>
        <v>0</v>
      </c>
      <c r="HG58" s="128">
        <f>'PROJECT TA Y TB KARINA'!$L112/8</f>
        <v>0</v>
      </c>
      <c r="HH58" s="128">
        <f>'PROJECT TA Y TB KARINA'!$M112/8</f>
        <v>0</v>
      </c>
      <c r="HI58" s="128">
        <f>'PROJECT TA Y TB KARINA'!$M112/8</f>
        <v>0</v>
      </c>
      <c r="HJ58" s="128">
        <f>'PROJECT TA Y TB KARINA'!$M112/8</f>
        <v>0</v>
      </c>
      <c r="HK58" s="128">
        <f>'PROJECT TA Y TB KARINA'!$M112/8</f>
        <v>0</v>
      </c>
      <c r="HL58" s="128">
        <f>'PROJECT TA Y TB KARINA'!$M112/8</f>
        <v>0</v>
      </c>
      <c r="HM58" s="128">
        <f>'PROJECT TA Y TB KARINA'!$M112/8</f>
        <v>0</v>
      </c>
      <c r="HN58" s="128">
        <f>'PROJECT TA Y TB KARINA'!$M112/8</f>
        <v>0</v>
      </c>
      <c r="HO58" s="128">
        <f>'PROJECT TA Y TB KARINA'!$M112/8</f>
        <v>0</v>
      </c>
      <c r="HP58" s="128">
        <f>'PROJECT TA Y TB KARINA'!$N112/8</f>
        <v>0</v>
      </c>
      <c r="HQ58" s="128">
        <f>'PROJECT TA Y TB KARINA'!$N112/8</f>
        <v>0</v>
      </c>
      <c r="HR58" s="128">
        <f>'PROJECT TA Y TB KARINA'!$N112/8</f>
        <v>0</v>
      </c>
      <c r="HS58" s="128">
        <f>'PROJECT TA Y TB KARINA'!$N112/8</f>
        <v>0</v>
      </c>
      <c r="HT58" s="128">
        <f>'PROJECT TA Y TB KARINA'!$N112/8</f>
        <v>0</v>
      </c>
      <c r="HU58" s="128">
        <f>'PROJECT TA Y TB KARINA'!$N112/8</f>
        <v>0</v>
      </c>
      <c r="HV58" s="128">
        <f>'PROJECT TA Y TB KARINA'!$N112/8</f>
        <v>0</v>
      </c>
      <c r="HW58" s="128">
        <f>'PROJECT TA Y TB KARINA'!$N112/8</f>
        <v>0</v>
      </c>
      <c r="HX58" s="128">
        <f>'PROJECT TA Y TB KARINA'!$O112/8</f>
        <v>0</v>
      </c>
      <c r="HY58" s="128">
        <f>'PROJECT TA Y TB KARINA'!$O112/8</f>
        <v>0</v>
      </c>
      <c r="HZ58" s="128">
        <f>'PROJECT TA Y TB KARINA'!$O112/8</f>
        <v>0</v>
      </c>
      <c r="IA58" s="128">
        <f>'PROJECT TA Y TB KARINA'!$O112/8</f>
        <v>0</v>
      </c>
      <c r="IB58" s="128">
        <f>'PROJECT TA Y TB KARINA'!$O112/8</f>
        <v>0</v>
      </c>
      <c r="IC58" s="128">
        <f>'PROJECT TA Y TB KARINA'!$O112/8</f>
        <v>0</v>
      </c>
      <c r="ID58" s="128">
        <f>'PROJECT TA Y TB KARINA'!$O112/8</f>
        <v>0</v>
      </c>
      <c r="IE58" s="128">
        <f>'PROJECT TA Y TB KARINA'!$O112/8</f>
        <v>0</v>
      </c>
      <c r="IF58" s="128">
        <f>'PROJECT TA Y TB KARINA'!$P112/8</f>
        <v>0</v>
      </c>
      <c r="IG58" s="128">
        <f>'PROJECT TA Y TB KARINA'!$P112/8</f>
        <v>0</v>
      </c>
      <c r="IH58" s="128">
        <f>'PROJECT TA Y TB KARINA'!$P112/8</f>
        <v>0</v>
      </c>
      <c r="II58" s="128">
        <f>'PROJECT TA Y TB KARINA'!$P112/8</f>
        <v>0</v>
      </c>
      <c r="IJ58" s="128">
        <f>'PROJECT TA Y TB KARINA'!$P112/8</f>
        <v>0</v>
      </c>
      <c r="IK58" s="128">
        <f>'PROJECT TA Y TB KARINA'!$P112/8</f>
        <v>0</v>
      </c>
      <c r="IL58" s="128">
        <f>'PROJECT TA Y TB KARINA'!$P112/8</f>
        <v>0</v>
      </c>
      <c r="IM58" s="128">
        <f>'PROJECT TA Y TB KARINA'!$P112/8</f>
        <v>0</v>
      </c>
      <c r="IN58" s="128">
        <f>'PROJECT TA Y TB KARINA'!$Q112/8</f>
        <v>0</v>
      </c>
      <c r="IO58" s="128">
        <f>'PROJECT TA Y TB KARINA'!$Q112/8</f>
        <v>0</v>
      </c>
      <c r="IP58" s="128">
        <f>'PROJECT TA Y TB KARINA'!$Q112/8</f>
        <v>0</v>
      </c>
      <c r="IQ58" s="128">
        <f>'PROJECT TA Y TB KARINA'!$Q112/8</f>
        <v>0</v>
      </c>
      <c r="IR58" s="128">
        <f>'PROJECT TA Y TB KARINA'!$Q112/8</f>
        <v>0</v>
      </c>
      <c r="IS58" s="128">
        <f>'PROJECT TA Y TB KARINA'!$Q112/8</f>
        <v>0</v>
      </c>
      <c r="IT58" s="128">
        <f>'PROJECT TA Y TB KARINA'!$Q112/8</f>
        <v>0</v>
      </c>
      <c r="IU58" s="128">
        <f>'PROJECT TA Y TB KARINA'!$Q112/8</f>
        <v>0</v>
      </c>
      <c r="IV58" s="128">
        <f>'PROJECT TA Y TB KARINA'!$R112/8</f>
        <v>0</v>
      </c>
      <c r="IW58" s="128">
        <f>'PROJECT TA Y TB KARINA'!$R112/8</f>
        <v>0</v>
      </c>
      <c r="IX58" s="128">
        <f>'PROJECT TA Y TB KARINA'!$R112/8</f>
        <v>0</v>
      </c>
      <c r="IY58" s="128">
        <f>'PROJECT TA Y TB KARINA'!$R112/8</f>
        <v>0</v>
      </c>
      <c r="IZ58" s="128">
        <f>'PROJECT TA Y TB KARINA'!$R112/8</f>
        <v>0</v>
      </c>
      <c r="JA58" s="128">
        <f>'PROJECT TA Y TB KARINA'!$R112/8</f>
        <v>0</v>
      </c>
      <c r="JB58" s="128">
        <f>'PROJECT TA Y TB KARINA'!$R112/8</f>
        <v>0</v>
      </c>
      <c r="JC58" s="128">
        <f>'PROJECT TA Y TB KARINA'!$R112/8</f>
        <v>0</v>
      </c>
      <c r="JD58" s="128">
        <f>'PROJECT TA Y TB KARINA'!$S112/8</f>
        <v>0</v>
      </c>
      <c r="JE58" s="128">
        <f>'PROJECT TA Y TB KARINA'!$S112/8</f>
        <v>0</v>
      </c>
      <c r="JF58" s="128">
        <f>'PROJECT TA Y TB KARINA'!$S112/8</f>
        <v>0</v>
      </c>
      <c r="JG58" s="128">
        <f>'PROJECT TA Y TB KARINA'!$S112/8</f>
        <v>0</v>
      </c>
      <c r="JH58" s="128">
        <f>'PROJECT TA Y TB KARINA'!$S112/8</f>
        <v>0</v>
      </c>
      <c r="JI58" s="128">
        <f>'PROJECT TA Y TB KARINA'!$S112/8</f>
        <v>0</v>
      </c>
      <c r="JJ58" s="128">
        <f>'PROJECT TA Y TB KARINA'!$S112/8</f>
        <v>0</v>
      </c>
      <c r="JK58" s="128">
        <f>'PROJECT TA Y TB KARINA'!$S112/8</f>
        <v>0</v>
      </c>
      <c r="JL58" s="128">
        <f>'PROJECT TA Y TB KARINA'!$T112/8</f>
        <v>0</v>
      </c>
      <c r="JM58" s="128">
        <f>'PROJECT TA Y TB KARINA'!$T112/8</f>
        <v>0</v>
      </c>
      <c r="JN58" s="128">
        <f>'PROJECT TA Y TB KARINA'!$T112/8</f>
        <v>0</v>
      </c>
      <c r="JO58" s="128">
        <f>'PROJECT TA Y TB KARINA'!$T112/8</f>
        <v>0</v>
      </c>
      <c r="JP58" s="128">
        <f>'PROJECT TA Y TB KARINA'!$T112/8</f>
        <v>0</v>
      </c>
      <c r="JQ58" s="128">
        <f>'PROJECT TA Y TB KARINA'!$T112/8</f>
        <v>0</v>
      </c>
      <c r="JR58" s="128">
        <f>'PROJECT TA Y TB KARINA'!$T112/8</f>
        <v>0</v>
      </c>
      <c r="JS58" s="128">
        <f>'PROJECT TA Y TB KARINA'!$T112/8</f>
        <v>0</v>
      </c>
      <c r="JT58" s="128" t="e">
        <f>'PROJECT TA Y TB KARINA'!#REF!/8</f>
        <v>#REF!</v>
      </c>
      <c r="JU58" s="128" t="e">
        <f>'PROJECT TA Y TB KARINA'!#REF!/8</f>
        <v>#REF!</v>
      </c>
      <c r="JV58" s="128" t="e">
        <f>'PROJECT TA Y TB KARINA'!#REF!/8</f>
        <v>#REF!</v>
      </c>
      <c r="JW58" s="128" t="e">
        <f>'PROJECT TA Y TB KARINA'!#REF!/8</f>
        <v>#REF!</v>
      </c>
      <c r="JX58" s="128" t="e">
        <f>'PROJECT TA Y TB KARINA'!#REF!/8</f>
        <v>#REF!</v>
      </c>
      <c r="JY58" s="128" t="e">
        <f>'PROJECT TA Y TB KARINA'!#REF!/8</f>
        <v>#REF!</v>
      </c>
      <c r="JZ58" s="128" t="e">
        <f>'PROJECT TA Y TB KARINA'!#REF!/8</f>
        <v>#REF!</v>
      </c>
      <c r="KA58" s="128" t="e">
        <f>'PROJECT TA Y TB KARINA'!#REF!/8</f>
        <v>#REF!</v>
      </c>
    </row>
    <row r="59" spans="1:287" ht="21">
      <c r="A59" s="130" t="s">
        <v>120</v>
      </c>
      <c r="B59" s="128" t="e">
        <f>'PROJECT TA Y TB KARINA'!$C$55/8</f>
        <v>#REF!</v>
      </c>
      <c r="C59" s="128" t="e">
        <f>'PROJECT TA Y TB KARINA'!$C$55/8</f>
        <v>#REF!</v>
      </c>
      <c r="D59" s="128" t="e">
        <f>'PROJECT TA Y TB KARINA'!$C$55/8</f>
        <v>#REF!</v>
      </c>
      <c r="E59" s="128" t="e">
        <f>'PROJECT TA Y TB KARINA'!$C$55/8</f>
        <v>#REF!</v>
      </c>
      <c r="F59" s="128" t="e">
        <f>'PROJECT TA Y TB KARINA'!$C$55/8</f>
        <v>#REF!</v>
      </c>
      <c r="G59" s="128" t="e">
        <f>'PROJECT TA Y TB KARINA'!$C$55/8</f>
        <v>#REF!</v>
      </c>
      <c r="H59" s="128" t="e">
        <f>'PROJECT TA Y TB KARINA'!$C$55/8</f>
        <v>#REF!</v>
      </c>
      <c r="I59" s="128" t="e">
        <f>'PROJECT TA Y TB KARINA'!$E55/8</f>
        <v>#REF!</v>
      </c>
      <c r="J59" s="128" t="e">
        <f>'PROJECT TA Y TB KARINA'!$E55/8</f>
        <v>#REF!</v>
      </c>
      <c r="K59" s="128" t="e">
        <f>'PROJECT TA Y TB KARINA'!$E55/8</f>
        <v>#REF!</v>
      </c>
      <c r="L59" s="128" t="e">
        <f>'PROJECT TA Y TB KARINA'!$E55/8</f>
        <v>#REF!</v>
      </c>
      <c r="M59" s="128" t="e">
        <f>'PROJECT TA Y TB KARINA'!$E55/8</f>
        <v>#REF!</v>
      </c>
      <c r="N59" s="128" t="e">
        <f>'PROJECT TA Y TB KARINA'!$E55/8</f>
        <v>#REF!</v>
      </c>
      <c r="O59" s="128" t="e">
        <f>'PROJECT TA Y TB KARINA'!$E55/8</f>
        <v>#REF!</v>
      </c>
      <c r="P59" s="128" t="e">
        <f>'PROJECT TA Y TB KARINA'!$E55/8</f>
        <v>#REF!</v>
      </c>
      <c r="Q59" s="128" t="e">
        <f>'PROJECT TA Y TB KARINA'!$F55/8</f>
        <v>#REF!</v>
      </c>
      <c r="R59" s="128" t="e">
        <f>'PROJECT TA Y TB KARINA'!$F55/8</f>
        <v>#REF!</v>
      </c>
      <c r="S59" s="128" t="e">
        <f>'PROJECT TA Y TB KARINA'!$F55/8</f>
        <v>#REF!</v>
      </c>
      <c r="T59" s="128" t="e">
        <f>'PROJECT TA Y TB KARINA'!$F55/8</f>
        <v>#REF!</v>
      </c>
      <c r="U59" s="128" t="e">
        <f>'PROJECT TA Y TB KARINA'!$F55/8</f>
        <v>#REF!</v>
      </c>
      <c r="V59" s="128" t="e">
        <f>'PROJECT TA Y TB KARINA'!$F55/8</f>
        <v>#REF!</v>
      </c>
      <c r="W59" s="128" t="e">
        <f>'PROJECT TA Y TB KARINA'!$F55/8</f>
        <v>#REF!</v>
      </c>
      <c r="X59" s="128" t="e">
        <f>'PROJECT TA Y TB KARINA'!$F55/8</f>
        <v>#REF!</v>
      </c>
      <c r="Y59" s="128" t="e">
        <f>'PROJECT TA Y TB KARINA'!$G55/8</f>
        <v>#REF!</v>
      </c>
      <c r="Z59" s="128" t="e">
        <f>'PROJECT TA Y TB KARINA'!$G55/8</f>
        <v>#REF!</v>
      </c>
      <c r="AA59" s="128" t="e">
        <f>'PROJECT TA Y TB KARINA'!$G55/8</f>
        <v>#REF!</v>
      </c>
      <c r="AB59" s="128" t="e">
        <f>'PROJECT TA Y TB KARINA'!$G55/8</f>
        <v>#REF!</v>
      </c>
      <c r="AC59" s="128" t="e">
        <f>'PROJECT TA Y TB KARINA'!$G55/8</f>
        <v>#REF!</v>
      </c>
      <c r="AD59" s="128" t="e">
        <f>'PROJECT TA Y TB KARINA'!$G55/8</f>
        <v>#REF!</v>
      </c>
      <c r="AE59" s="128" t="e">
        <f>'PROJECT TA Y TB KARINA'!$G55/8</f>
        <v>#REF!</v>
      </c>
      <c r="AF59" s="128" t="e">
        <f>'PROJECT TA Y TB KARINA'!$G55/8</f>
        <v>#REF!</v>
      </c>
      <c r="AG59" s="128" t="e">
        <f>'PROJECT TA Y TB KARINA'!$H55/8</f>
        <v>#REF!</v>
      </c>
      <c r="AH59" s="128" t="e">
        <f>'PROJECT TA Y TB KARINA'!$H55/8</f>
        <v>#REF!</v>
      </c>
      <c r="AI59" s="128" t="e">
        <f>'PROJECT TA Y TB KARINA'!$H55/8</f>
        <v>#REF!</v>
      </c>
      <c r="AJ59" s="128" t="e">
        <f>'PROJECT TA Y TB KARINA'!$H55/8</f>
        <v>#REF!</v>
      </c>
      <c r="AK59" s="128" t="e">
        <f>'PROJECT TA Y TB KARINA'!$H55/8</f>
        <v>#REF!</v>
      </c>
      <c r="AL59" s="128" t="e">
        <f>'PROJECT TA Y TB KARINA'!$H55/8</f>
        <v>#REF!</v>
      </c>
      <c r="AM59" s="128" t="e">
        <f>'PROJECT TA Y TB KARINA'!$H55/8</f>
        <v>#REF!</v>
      </c>
      <c r="AN59" s="128" t="e">
        <f>'PROJECT TA Y TB KARINA'!$H55/8</f>
        <v>#REF!</v>
      </c>
      <c r="AO59" s="128" t="e">
        <f>'PROJECT TA Y TB KARINA'!$I55/8</f>
        <v>#REF!</v>
      </c>
      <c r="AP59" s="128" t="e">
        <f>'PROJECT TA Y TB KARINA'!$I55/8</f>
        <v>#REF!</v>
      </c>
      <c r="AQ59" s="128" t="e">
        <f>'PROJECT TA Y TB KARINA'!$I55/8</f>
        <v>#REF!</v>
      </c>
      <c r="AR59" s="128" t="e">
        <f>'PROJECT TA Y TB KARINA'!$I55/8</f>
        <v>#REF!</v>
      </c>
      <c r="AS59" s="128" t="e">
        <f>'PROJECT TA Y TB KARINA'!$I55/8</f>
        <v>#REF!</v>
      </c>
      <c r="AT59" s="128" t="e">
        <f>'PROJECT TA Y TB KARINA'!$I55/8</f>
        <v>#REF!</v>
      </c>
      <c r="AU59" s="128" t="e">
        <f>'PROJECT TA Y TB KARINA'!$I55/8</f>
        <v>#REF!</v>
      </c>
      <c r="AV59" s="128" t="e">
        <f>'PROJECT TA Y TB KARINA'!$I55/8</f>
        <v>#REF!</v>
      </c>
      <c r="AW59" s="128" t="e">
        <f>'PROJECT TA Y TB KARINA'!$J55/8</f>
        <v>#REF!</v>
      </c>
      <c r="AX59" s="128" t="e">
        <f>'PROJECT TA Y TB KARINA'!$J55/8</f>
        <v>#REF!</v>
      </c>
      <c r="AY59" s="128" t="e">
        <f>'PROJECT TA Y TB KARINA'!$J55/8</f>
        <v>#REF!</v>
      </c>
      <c r="AZ59" s="128" t="e">
        <f>'PROJECT TA Y TB KARINA'!$J55/8</f>
        <v>#REF!</v>
      </c>
      <c r="BA59" s="128" t="e">
        <f>'PROJECT TA Y TB KARINA'!$J55/8</f>
        <v>#REF!</v>
      </c>
      <c r="BB59" s="128" t="e">
        <f>'PROJECT TA Y TB KARINA'!$J55/8</f>
        <v>#REF!</v>
      </c>
      <c r="BC59" s="128" t="e">
        <f>'PROJECT TA Y TB KARINA'!$J55/8</f>
        <v>#REF!</v>
      </c>
      <c r="BD59" s="128" t="e">
        <f>'PROJECT TA Y TB KARINA'!$J55/8</f>
        <v>#REF!</v>
      </c>
      <c r="BE59" s="128" t="e">
        <f>'PROJECT TA Y TB KARINA'!$K55/8</f>
        <v>#REF!</v>
      </c>
      <c r="BF59" s="128" t="e">
        <f>'PROJECT TA Y TB KARINA'!$K55/8</f>
        <v>#REF!</v>
      </c>
      <c r="BG59" s="128" t="e">
        <f>'PROJECT TA Y TB KARINA'!$K55/8</f>
        <v>#REF!</v>
      </c>
      <c r="BH59" s="128" t="e">
        <f>'PROJECT TA Y TB KARINA'!$K55/8</f>
        <v>#REF!</v>
      </c>
      <c r="BI59" s="128" t="e">
        <f>'PROJECT TA Y TB KARINA'!$K55/8</f>
        <v>#REF!</v>
      </c>
      <c r="BJ59" s="128" t="e">
        <f>'PROJECT TA Y TB KARINA'!$K55/8</f>
        <v>#REF!</v>
      </c>
      <c r="BK59" s="128" t="e">
        <f>'PROJECT TA Y TB KARINA'!$K55/8</f>
        <v>#REF!</v>
      </c>
      <c r="BL59" s="128" t="e">
        <f>'PROJECT TA Y TB KARINA'!$K55/8</f>
        <v>#REF!</v>
      </c>
      <c r="BM59" s="128" t="e">
        <f>'PROJECT TA Y TB KARINA'!$L55/8</f>
        <v>#REF!</v>
      </c>
      <c r="BN59" s="128" t="e">
        <f>'PROJECT TA Y TB KARINA'!$L55/8</f>
        <v>#REF!</v>
      </c>
      <c r="BO59" s="128" t="e">
        <f>'PROJECT TA Y TB KARINA'!$L55/8</f>
        <v>#REF!</v>
      </c>
      <c r="BP59" s="128" t="e">
        <f>'PROJECT TA Y TB KARINA'!$L55/8</f>
        <v>#REF!</v>
      </c>
      <c r="BQ59" s="128" t="e">
        <f>'PROJECT TA Y TB KARINA'!$L55/8</f>
        <v>#REF!</v>
      </c>
      <c r="BR59" s="128" t="e">
        <f>'PROJECT TA Y TB KARINA'!$L55/8</f>
        <v>#REF!</v>
      </c>
      <c r="BS59" s="128" t="e">
        <f>'PROJECT TA Y TB KARINA'!$L55/8</f>
        <v>#REF!</v>
      </c>
      <c r="BT59" s="128" t="e">
        <f>'PROJECT TA Y TB KARINA'!$L55/8</f>
        <v>#REF!</v>
      </c>
      <c r="BU59" s="128" t="e">
        <f>'PROJECT TA Y TB KARINA'!$M55/8</f>
        <v>#REF!</v>
      </c>
      <c r="BV59" s="128" t="e">
        <f>'PROJECT TA Y TB KARINA'!$M55/8</f>
        <v>#REF!</v>
      </c>
      <c r="BW59" s="128" t="e">
        <f>'PROJECT TA Y TB KARINA'!$M55/8</f>
        <v>#REF!</v>
      </c>
      <c r="BX59" s="128" t="e">
        <f>'PROJECT TA Y TB KARINA'!$M55/8</f>
        <v>#REF!</v>
      </c>
      <c r="BY59" s="128" t="e">
        <f>'PROJECT TA Y TB KARINA'!$M55/8</f>
        <v>#REF!</v>
      </c>
      <c r="BZ59" s="128" t="e">
        <f>'PROJECT TA Y TB KARINA'!$M55/8</f>
        <v>#REF!</v>
      </c>
      <c r="CA59" s="128" t="e">
        <f>'PROJECT TA Y TB KARINA'!$M55/8</f>
        <v>#REF!</v>
      </c>
      <c r="CB59" s="128" t="e">
        <f>'PROJECT TA Y TB KARINA'!$M55/8</f>
        <v>#REF!</v>
      </c>
      <c r="CC59" s="128" t="e">
        <f>'PROJECT TA Y TB KARINA'!$N55/8</f>
        <v>#REF!</v>
      </c>
      <c r="CD59" s="128" t="e">
        <f>'PROJECT TA Y TB KARINA'!$N55/8</f>
        <v>#REF!</v>
      </c>
      <c r="CE59" s="128" t="e">
        <f>'PROJECT TA Y TB KARINA'!$N55/8</f>
        <v>#REF!</v>
      </c>
      <c r="CF59" s="128" t="e">
        <f>'PROJECT TA Y TB KARINA'!$N55/8</f>
        <v>#REF!</v>
      </c>
      <c r="CG59" s="128" t="e">
        <f>'PROJECT TA Y TB KARINA'!$N55/8</f>
        <v>#REF!</v>
      </c>
      <c r="CH59" s="128" t="e">
        <f>'PROJECT TA Y TB KARINA'!$N55/8</f>
        <v>#REF!</v>
      </c>
      <c r="CI59" s="128" t="e">
        <f>'PROJECT TA Y TB KARINA'!$N55/8</f>
        <v>#REF!</v>
      </c>
      <c r="CJ59" s="128" t="e">
        <f>'PROJECT TA Y TB KARINA'!$N55/8</f>
        <v>#REF!</v>
      </c>
      <c r="CK59" s="128" t="e">
        <f>'PROJECT TA Y TB KARINA'!$O55/8</f>
        <v>#REF!</v>
      </c>
      <c r="CL59" s="128" t="e">
        <f>'PROJECT TA Y TB KARINA'!$O55/8</f>
        <v>#REF!</v>
      </c>
      <c r="CM59" s="128" t="e">
        <f>'PROJECT TA Y TB KARINA'!$O55/8</f>
        <v>#REF!</v>
      </c>
      <c r="CN59" s="128" t="e">
        <f>'PROJECT TA Y TB KARINA'!$O55/8</f>
        <v>#REF!</v>
      </c>
      <c r="CO59" s="128" t="e">
        <f>'PROJECT TA Y TB KARINA'!$O55/8</f>
        <v>#REF!</v>
      </c>
      <c r="CP59" s="128" t="e">
        <f>'PROJECT TA Y TB KARINA'!$O55/8</f>
        <v>#REF!</v>
      </c>
      <c r="CQ59" s="128" t="e">
        <f>'PROJECT TA Y TB KARINA'!$O55/8</f>
        <v>#REF!</v>
      </c>
      <c r="CR59" s="128" t="e">
        <f>'PROJECT TA Y TB KARINA'!$O55/8</f>
        <v>#REF!</v>
      </c>
      <c r="CS59" s="128" t="e">
        <f>'PROJECT TA Y TB KARINA'!$P55/8</f>
        <v>#REF!</v>
      </c>
      <c r="CT59" s="128" t="e">
        <f>'PROJECT TA Y TB KARINA'!$P55/8</f>
        <v>#REF!</v>
      </c>
      <c r="CU59" s="128" t="e">
        <f>'PROJECT TA Y TB KARINA'!$P55/8</f>
        <v>#REF!</v>
      </c>
      <c r="CV59" s="128" t="e">
        <f>'PROJECT TA Y TB KARINA'!$P55/8</f>
        <v>#REF!</v>
      </c>
      <c r="CW59" s="128" t="e">
        <f>'PROJECT TA Y TB KARINA'!$P55/8</f>
        <v>#REF!</v>
      </c>
      <c r="CX59" s="128" t="e">
        <f>'PROJECT TA Y TB KARINA'!$P55/8</f>
        <v>#REF!</v>
      </c>
      <c r="CY59" s="128" t="e">
        <f>'PROJECT TA Y TB KARINA'!$P55/8</f>
        <v>#REF!</v>
      </c>
      <c r="CZ59" s="128" t="e">
        <f>'PROJECT TA Y TB KARINA'!$P55/8</f>
        <v>#REF!</v>
      </c>
      <c r="DA59" s="128" t="e">
        <f>'PROJECT TA Y TB KARINA'!$Q55/8</f>
        <v>#REF!</v>
      </c>
      <c r="DB59" s="128" t="e">
        <f>'PROJECT TA Y TB KARINA'!$Q55/8</f>
        <v>#REF!</v>
      </c>
      <c r="DC59" s="128" t="e">
        <f>'PROJECT TA Y TB KARINA'!$Q55/8</f>
        <v>#REF!</v>
      </c>
      <c r="DD59" s="128" t="e">
        <f>'PROJECT TA Y TB KARINA'!$Q55/8</f>
        <v>#REF!</v>
      </c>
      <c r="DE59" s="128" t="e">
        <f>'PROJECT TA Y TB KARINA'!$Q55/8</f>
        <v>#REF!</v>
      </c>
      <c r="DF59" s="128" t="e">
        <f>'PROJECT TA Y TB KARINA'!$Q55/8</f>
        <v>#REF!</v>
      </c>
      <c r="DG59" s="128" t="e">
        <f>'PROJECT TA Y TB KARINA'!$Q55/8</f>
        <v>#REF!</v>
      </c>
      <c r="DH59" s="128" t="e">
        <f>'PROJECT TA Y TB KARINA'!$Q55/8</f>
        <v>#REF!</v>
      </c>
      <c r="DI59" s="128" t="e">
        <f>'PROJECT TA Y TB KARINA'!$R55/8</f>
        <v>#REF!</v>
      </c>
      <c r="DJ59" s="128" t="e">
        <f>'PROJECT TA Y TB KARINA'!$R55/8</f>
        <v>#REF!</v>
      </c>
      <c r="DK59" s="128" t="e">
        <f>'PROJECT TA Y TB KARINA'!$R55/8</f>
        <v>#REF!</v>
      </c>
      <c r="DL59" s="128" t="e">
        <f>'PROJECT TA Y TB KARINA'!$R55/8</f>
        <v>#REF!</v>
      </c>
      <c r="DM59" s="128" t="e">
        <f>'PROJECT TA Y TB KARINA'!$R55/8</f>
        <v>#REF!</v>
      </c>
      <c r="DN59" s="128" t="e">
        <f>'PROJECT TA Y TB KARINA'!$R55/8</f>
        <v>#REF!</v>
      </c>
      <c r="DO59" s="128" t="e">
        <f>'PROJECT TA Y TB KARINA'!$R55/8</f>
        <v>#REF!</v>
      </c>
      <c r="DP59" s="128" t="e">
        <f>'PROJECT TA Y TB KARINA'!$R55/8</f>
        <v>#REF!</v>
      </c>
      <c r="DQ59" s="128" t="e">
        <f>'PROJECT TA Y TB KARINA'!$S55/8</f>
        <v>#REF!</v>
      </c>
      <c r="DR59" s="128" t="e">
        <f>'PROJECT TA Y TB KARINA'!$S55/8</f>
        <v>#REF!</v>
      </c>
      <c r="DS59" s="128" t="e">
        <f>'PROJECT TA Y TB KARINA'!$S55/8</f>
        <v>#REF!</v>
      </c>
      <c r="DT59" s="128" t="e">
        <f>'PROJECT TA Y TB KARINA'!$S55/8</f>
        <v>#REF!</v>
      </c>
      <c r="DU59" s="128" t="e">
        <f>'PROJECT TA Y TB KARINA'!$S55/8</f>
        <v>#REF!</v>
      </c>
      <c r="DV59" s="128" t="e">
        <f>'PROJECT TA Y TB KARINA'!$S55/8</f>
        <v>#REF!</v>
      </c>
      <c r="DW59" s="128" t="e">
        <f>'PROJECT TA Y TB KARINA'!$S55/8</f>
        <v>#REF!</v>
      </c>
      <c r="DX59" s="128" t="e">
        <f>'PROJECT TA Y TB KARINA'!$S55/8</f>
        <v>#REF!</v>
      </c>
      <c r="DY59" s="128" t="e">
        <f>'PROJECT TA Y TB KARINA'!$T55/8</f>
        <v>#REF!</v>
      </c>
      <c r="DZ59" s="128" t="e">
        <f>'PROJECT TA Y TB KARINA'!$T55/8</f>
        <v>#REF!</v>
      </c>
      <c r="EA59" s="128" t="e">
        <f>'PROJECT TA Y TB KARINA'!$T55/8</f>
        <v>#REF!</v>
      </c>
      <c r="EB59" s="128" t="e">
        <f>'PROJECT TA Y TB KARINA'!$T55/8</f>
        <v>#REF!</v>
      </c>
      <c r="EC59" s="128" t="e">
        <f>'PROJECT TA Y TB KARINA'!$T55/8</f>
        <v>#REF!</v>
      </c>
      <c r="ED59" s="128" t="e">
        <f>'PROJECT TA Y TB KARINA'!$T55/8</f>
        <v>#REF!</v>
      </c>
      <c r="EE59" s="128" t="e">
        <f>'PROJECT TA Y TB KARINA'!$T55/8</f>
        <v>#REF!</v>
      </c>
      <c r="EF59" s="128" t="e">
        <f>'PROJECT TA Y TB KARINA'!$T55/8</f>
        <v>#REF!</v>
      </c>
      <c r="EG59" s="128" t="e">
        <f>'PROJECT TA Y TB KARINA'!#REF!/8</f>
        <v>#REF!</v>
      </c>
      <c r="EH59" s="128" t="e">
        <f>'PROJECT TA Y TB KARINA'!#REF!/8</f>
        <v>#REF!</v>
      </c>
      <c r="EI59" s="128" t="e">
        <f>'PROJECT TA Y TB KARINA'!#REF!/8</f>
        <v>#REF!</v>
      </c>
      <c r="EJ59" s="128" t="e">
        <f>'PROJECT TA Y TB KARINA'!#REF!/8</f>
        <v>#REF!</v>
      </c>
      <c r="EK59" s="128" t="e">
        <f>'PROJECT TA Y TB KARINA'!#REF!/8</f>
        <v>#REF!</v>
      </c>
      <c r="EL59" s="128" t="e">
        <f>'PROJECT TA Y TB KARINA'!#REF!/8</f>
        <v>#REF!</v>
      </c>
      <c r="EM59" s="128" t="e">
        <f>'PROJECT TA Y TB KARINA'!#REF!/8</f>
        <v>#REF!</v>
      </c>
      <c r="EN59" s="128" t="e">
        <f>'PROJECT TA Y TB KARINA'!#REF!/8</f>
        <v>#REF!</v>
      </c>
      <c r="EO59" s="128">
        <f>'PROJECT TA Y TB KARINA'!$C113/8</f>
        <v>0</v>
      </c>
      <c r="EP59" s="128">
        <f>'PROJECT TA Y TB KARINA'!$C113/8</f>
        <v>0</v>
      </c>
      <c r="EQ59" s="128">
        <f>'PROJECT TA Y TB KARINA'!$C113/8</f>
        <v>0</v>
      </c>
      <c r="ER59" s="128">
        <f>'PROJECT TA Y TB KARINA'!$C113/8</f>
        <v>0</v>
      </c>
      <c r="ES59" s="128">
        <f>'PROJECT TA Y TB KARINA'!$C113/8</f>
        <v>0</v>
      </c>
      <c r="ET59" s="128">
        <f>'PROJECT TA Y TB KARINA'!$C113/8</f>
        <v>0</v>
      </c>
      <c r="EU59" s="128">
        <f>'PROJECT TA Y TB KARINA'!$C113/8</f>
        <v>0</v>
      </c>
      <c r="EV59" s="128">
        <f>'PROJECT TA Y TB KARINA'!$E113/8</f>
        <v>0</v>
      </c>
      <c r="EW59" s="128">
        <f>'PROJECT TA Y TB KARINA'!$E113/8</f>
        <v>0</v>
      </c>
      <c r="EX59" s="128">
        <f>'PROJECT TA Y TB KARINA'!$E113/8</f>
        <v>0</v>
      </c>
      <c r="EY59" s="128">
        <f>'PROJECT TA Y TB KARINA'!$E113/8</f>
        <v>0</v>
      </c>
      <c r="EZ59" s="128">
        <f>'PROJECT TA Y TB KARINA'!$E113/8</f>
        <v>0</v>
      </c>
      <c r="FA59" s="128">
        <f>'PROJECT TA Y TB KARINA'!$E113/8</f>
        <v>0</v>
      </c>
      <c r="FB59" s="128">
        <f>'PROJECT TA Y TB KARINA'!$E113/8</f>
        <v>0</v>
      </c>
      <c r="FC59" s="128">
        <f>'PROJECT TA Y TB KARINA'!$E113/8</f>
        <v>0</v>
      </c>
      <c r="FD59" s="128">
        <f>'PROJECT TA Y TB KARINA'!$F113/8</f>
        <v>0</v>
      </c>
      <c r="FE59" s="128">
        <f>'PROJECT TA Y TB KARINA'!$F113/8</f>
        <v>0</v>
      </c>
      <c r="FF59" s="128">
        <f>'PROJECT TA Y TB KARINA'!$F113/8</f>
        <v>0</v>
      </c>
      <c r="FG59" s="128">
        <f>'PROJECT TA Y TB KARINA'!$F113/8</f>
        <v>0</v>
      </c>
      <c r="FH59" s="128">
        <f>'PROJECT TA Y TB KARINA'!$F113/8</f>
        <v>0</v>
      </c>
      <c r="FI59" s="128">
        <f>'PROJECT TA Y TB KARINA'!$F113/8</f>
        <v>0</v>
      </c>
      <c r="FJ59" s="128">
        <f>'PROJECT TA Y TB KARINA'!$F113/8</f>
        <v>0</v>
      </c>
      <c r="FK59" s="128">
        <f>'PROJECT TA Y TB KARINA'!$F113/8</f>
        <v>0</v>
      </c>
      <c r="FL59" s="128">
        <f>'PROJECT TA Y TB KARINA'!$G113/8</f>
        <v>0</v>
      </c>
      <c r="FM59" s="128">
        <f>'PROJECT TA Y TB KARINA'!$G113/8</f>
        <v>0</v>
      </c>
      <c r="FN59" s="128">
        <f>'PROJECT TA Y TB KARINA'!$G113/8</f>
        <v>0</v>
      </c>
      <c r="FO59" s="128">
        <f>'PROJECT TA Y TB KARINA'!$G113/8</f>
        <v>0</v>
      </c>
      <c r="FP59" s="128">
        <f>'PROJECT TA Y TB KARINA'!$G113/8</f>
        <v>0</v>
      </c>
      <c r="FQ59" s="128">
        <f>'PROJECT TA Y TB KARINA'!$G113/8</f>
        <v>0</v>
      </c>
      <c r="FR59" s="128">
        <f>'PROJECT TA Y TB KARINA'!$G113/8</f>
        <v>0</v>
      </c>
      <c r="FS59" s="128">
        <f>'PROJECT TA Y TB KARINA'!$G113/8</f>
        <v>0</v>
      </c>
      <c r="FT59" s="128">
        <f>'PROJECT TA Y TB KARINA'!$H113/8</f>
        <v>0</v>
      </c>
      <c r="FU59" s="128">
        <f>'PROJECT TA Y TB KARINA'!$H113/8</f>
        <v>0</v>
      </c>
      <c r="FV59" s="128">
        <f>'PROJECT TA Y TB KARINA'!$H113/8</f>
        <v>0</v>
      </c>
      <c r="FW59" s="128">
        <f>'PROJECT TA Y TB KARINA'!$H113/8</f>
        <v>0</v>
      </c>
      <c r="FX59" s="128">
        <f>'PROJECT TA Y TB KARINA'!$H113/8</f>
        <v>0</v>
      </c>
      <c r="FY59" s="128">
        <f>'PROJECT TA Y TB KARINA'!$H113/8</f>
        <v>0</v>
      </c>
      <c r="FZ59" s="128">
        <f>'PROJECT TA Y TB KARINA'!$H113/8</f>
        <v>0</v>
      </c>
      <c r="GA59" s="128">
        <f>'PROJECT TA Y TB KARINA'!$H113/8</f>
        <v>0</v>
      </c>
      <c r="GB59" s="128">
        <f>'PROJECT TA Y TB KARINA'!$I113/8</f>
        <v>0</v>
      </c>
      <c r="GC59" s="128">
        <f>'PROJECT TA Y TB KARINA'!$I113/8</f>
        <v>0</v>
      </c>
      <c r="GD59" s="128">
        <f>'PROJECT TA Y TB KARINA'!$I113/8</f>
        <v>0</v>
      </c>
      <c r="GE59" s="128">
        <f>'PROJECT TA Y TB KARINA'!$I113/8</f>
        <v>0</v>
      </c>
      <c r="GF59" s="128">
        <f>'PROJECT TA Y TB KARINA'!$I113/8</f>
        <v>0</v>
      </c>
      <c r="GG59" s="128">
        <f>'PROJECT TA Y TB KARINA'!$I113/8</f>
        <v>0</v>
      </c>
      <c r="GH59" s="128">
        <f>'PROJECT TA Y TB KARINA'!$I113/8</f>
        <v>0</v>
      </c>
      <c r="GI59" s="128">
        <f>'PROJECT TA Y TB KARINA'!$I113/8</f>
        <v>0</v>
      </c>
      <c r="GJ59" s="128">
        <f>'PROJECT TA Y TB KARINA'!$J113/8</f>
        <v>0</v>
      </c>
      <c r="GK59" s="128">
        <f>'PROJECT TA Y TB KARINA'!$J113/8</f>
        <v>0</v>
      </c>
      <c r="GL59" s="128">
        <f>'PROJECT TA Y TB KARINA'!$J113/8</f>
        <v>0</v>
      </c>
      <c r="GM59" s="128">
        <f>'PROJECT TA Y TB KARINA'!$J113/8</f>
        <v>0</v>
      </c>
      <c r="GN59" s="128">
        <f>'PROJECT TA Y TB KARINA'!$J113/8</f>
        <v>0</v>
      </c>
      <c r="GO59" s="128">
        <f>'PROJECT TA Y TB KARINA'!$J113/8</f>
        <v>0</v>
      </c>
      <c r="GP59" s="128">
        <f>'PROJECT TA Y TB KARINA'!$J113/8</f>
        <v>0</v>
      </c>
      <c r="GQ59" s="128">
        <f>'PROJECT TA Y TB KARINA'!$J113/8</f>
        <v>0</v>
      </c>
      <c r="GR59" s="128">
        <f>'PROJECT TA Y TB KARINA'!$K113/8</f>
        <v>0</v>
      </c>
      <c r="GS59" s="128">
        <f>'PROJECT TA Y TB KARINA'!$K113/8</f>
        <v>0</v>
      </c>
      <c r="GT59" s="128">
        <f>'PROJECT TA Y TB KARINA'!$K113/8</f>
        <v>0</v>
      </c>
      <c r="GU59" s="128">
        <f>'PROJECT TA Y TB KARINA'!$K113/8</f>
        <v>0</v>
      </c>
      <c r="GV59" s="128">
        <f>'PROJECT TA Y TB KARINA'!$K113/8</f>
        <v>0</v>
      </c>
      <c r="GW59" s="128">
        <f>'PROJECT TA Y TB KARINA'!$K113/8</f>
        <v>0</v>
      </c>
      <c r="GX59" s="128">
        <f>'PROJECT TA Y TB KARINA'!$K113/8</f>
        <v>0</v>
      </c>
      <c r="GY59" s="128">
        <f>'PROJECT TA Y TB KARINA'!$K113/8</f>
        <v>0</v>
      </c>
      <c r="GZ59" s="128">
        <f>'PROJECT TA Y TB KARINA'!$L113/8</f>
        <v>0</v>
      </c>
      <c r="HA59" s="128">
        <f>'PROJECT TA Y TB KARINA'!$L113/8</f>
        <v>0</v>
      </c>
      <c r="HB59" s="128">
        <f>'PROJECT TA Y TB KARINA'!$L113/8</f>
        <v>0</v>
      </c>
      <c r="HC59" s="128">
        <f>'PROJECT TA Y TB KARINA'!$L113/8</f>
        <v>0</v>
      </c>
      <c r="HD59" s="128">
        <f>'PROJECT TA Y TB KARINA'!$L113/8</f>
        <v>0</v>
      </c>
      <c r="HE59" s="128">
        <f>'PROJECT TA Y TB KARINA'!$L113/8</f>
        <v>0</v>
      </c>
      <c r="HF59" s="128">
        <f>'PROJECT TA Y TB KARINA'!$L113/8</f>
        <v>0</v>
      </c>
      <c r="HG59" s="128">
        <f>'PROJECT TA Y TB KARINA'!$L113/8</f>
        <v>0</v>
      </c>
      <c r="HH59" s="128">
        <f>'PROJECT TA Y TB KARINA'!$M113/8</f>
        <v>0</v>
      </c>
      <c r="HI59" s="128">
        <f>'PROJECT TA Y TB KARINA'!$M113/8</f>
        <v>0</v>
      </c>
      <c r="HJ59" s="128">
        <f>'PROJECT TA Y TB KARINA'!$M113/8</f>
        <v>0</v>
      </c>
      <c r="HK59" s="128">
        <f>'PROJECT TA Y TB KARINA'!$M113/8</f>
        <v>0</v>
      </c>
      <c r="HL59" s="128">
        <f>'PROJECT TA Y TB KARINA'!$M113/8</f>
        <v>0</v>
      </c>
      <c r="HM59" s="128">
        <f>'PROJECT TA Y TB KARINA'!$M113/8</f>
        <v>0</v>
      </c>
      <c r="HN59" s="128">
        <f>'PROJECT TA Y TB KARINA'!$M113/8</f>
        <v>0</v>
      </c>
      <c r="HO59" s="128">
        <f>'PROJECT TA Y TB KARINA'!$M113/8</f>
        <v>0</v>
      </c>
      <c r="HP59" s="128">
        <f>'PROJECT TA Y TB KARINA'!$N113/8</f>
        <v>0</v>
      </c>
      <c r="HQ59" s="128">
        <f>'PROJECT TA Y TB KARINA'!$N113/8</f>
        <v>0</v>
      </c>
      <c r="HR59" s="128">
        <f>'PROJECT TA Y TB KARINA'!$N113/8</f>
        <v>0</v>
      </c>
      <c r="HS59" s="128">
        <f>'PROJECT TA Y TB KARINA'!$N113/8</f>
        <v>0</v>
      </c>
      <c r="HT59" s="128">
        <f>'PROJECT TA Y TB KARINA'!$N113/8</f>
        <v>0</v>
      </c>
      <c r="HU59" s="128">
        <f>'PROJECT TA Y TB KARINA'!$N113/8</f>
        <v>0</v>
      </c>
      <c r="HV59" s="128">
        <f>'PROJECT TA Y TB KARINA'!$N113/8</f>
        <v>0</v>
      </c>
      <c r="HW59" s="128">
        <f>'PROJECT TA Y TB KARINA'!$N113/8</f>
        <v>0</v>
      </c>
      <c r="HX59" s="128">
        <f>'PROJECT TA Y TB KARINA'!$O113/8</f>
        <v>0</v>
      </c>
      <c r="HY59" s="128">
        <f>'PROJECT TA Y TB KARINA'!$O113/8</f>
        <v>0</v>
      </c>
      <c r="HZ59" s="128">
        <f>'PROJECT TA Y TB KARINA'!$O113/8</f>
        <v>0</v>
      </c>
      <c r="IA59" s="128">
        <f>'PROJECT TA Y TB KARINA'!$O113/8</f>
        <v>0</v>
      </c>
      <c r="IB59" s="128">
        <f>'PROJECT TA Y TB KARINA'!$O113/8</f>
        <v>0</v>
      </c>
      <c r="IC59" s="128">
        <f>'PROJECT TA Y TB KARINA'!$O113/8</f>
        <v>0</v>
      </c>
      <c r="ID59" s="128">
        <f>'PROJECT TA Y TB KARINA'!$O113/8</f>
        <v>0</v>
      </c>
      <c r="IE59" s="128">
        <f>'PROJECT TA Y TB KARINA'!$O113/8</f>
        <v>0</v>
      </c>
      <c r="IF59" s="128">
        <f>'PROJECT TA Y TB KARINA'!$P113/8</f>
        <v>0</v>
      </c>
      <c r="IG59" s="128">
        <f>'PROJECT TA Y TB KARINA'!$P113/8</f>
        <v>0</v>
      </c>
      <c r="IH59" s="128">
        <f>'PROJECT TA Y TB KARINA'!$P113/8</f>
        <v>0</v>
      </c>
      <c r="II59" s="128">
        <f>'PROJECT TA Y TB KARINA'!$P113/8</f>
        <v>0</v>
      </c>
      <c r="IJ59" s="128">
        <f>'PROJECT TA Y TB KARINA'!$P113/8</f>
        <v>0</v>
      </c>
      <c r="IK59" s="128">
        <f>'PROJECT TA Y TB KARINA'!$P113/8</f>
        <v>0</v>
      </c>
      <c r="IL59" s="128">
        <f>'PROJECT TA Y TB KARINA'!$P113/8</f>
        <v>0</v>
      </c>
      <c r="IM59" s="128">
        <f>'PROJECT TA Y TB KARINA'!$P113/8</f>
        <v>0</v>
      </c>
      <c r="IN59" s="128">
        <f>'PROJECT TA Y TB KARINA'!$Q113/8</f>
        <v>0</v>
      </c>
      <c r="IO59" s="128">
        <f>'PROJECT TA Y TB KARINA'!$Q113/8</f>
        <v>0</v>
      </c>
      <c r="IP59" s="128">
        <f>'PROJECT TA Y TB KARINA'!$Q113/8</f>
        <v>0</v>
      </c>
      <c r="IQ59" s="128">
        <f>'PROJECT TA Y TB KARINA'!$Q113/8</f>
        <v>0</v>
      </c>
      <c r="IR59" s="128">
        <f>'PROJECT TA Y TB KARINA'!$Q113/8</f>
        <v>0</v>
      </c>
      <c r="IS59" s="128">
        <f>'PROJECT TA Y TB KARINA'!$Q113/8</f>
        <v>0</v>
      </c>
      <c r="IT59" s="128">
        <f>'PROJECT TA Y TB KARINA'!$Q113/8</f>
        <v>0</v>
      </c>
      <c r="IU59" s="128">
        <f>'PROJECT TA Y TB KARINA'!$Q113/8</f>
        <v>0</v>
      </c>
      <c r="IV59" s="128">
        <f>'PROJECT TA Y TB KARINA'!$R113/8</f>
        <v>0</v>
      </c>
      <c r="IW59" s="128">
        <f>'PROJECT TA Y TB KARINA'!$R113/8</f>
        <v>0</v>
      </c>
      <c r="IX59" s="128">
        <f>'PROJECT TA Y TB KARINA'!$R113/8</f>
        <v>0</v>
      </c>
      <c r="IY59" s="128">
        <f>'PROJECT TA Y TB KARINA'!$R113/8</f>
        <v>0</v>
      </c>
      <c r="IZ59" s="128">
        <f>'PROJECT TA Y TB KARINA'!$R113/8</f>
        <v>0</v>
      </c>
      <c r="JA59" s="128">
        <f>'PROJECT TA Y TB KARINA'!$R113/8</f>
        <v>0</v>
      </c>
      <c r="JB59" s="128">
        <f>'PROJECT TA Y TB KARINA'!$R113/8</f>
        <v>0</v>
      </c>
      <c r="JC59" s="128">
        <f>'PROJECT TA Y TB KARINA'!$R113/8</f>
        <v>0</v>
      </c>
      <c r="JD59" s="128">
        <f>'PROJECT TA Y TB KARINA'!$S113/8</f>
        <v>0</v>
      </c>
      <c r="JE59" s="128">
        <f>'PROJECT TA Y TB KARINA'!$S113/8</f>
        <v>0</v>
      </c>
      <c r="JF59" s="128">
        <f>'PROJECT TA Y TB KARINA'!$S113/8</f>
        <v>0</v>
      </c>
      <c r="JG59" s="128">
        <f>'PROJECT TA Y TB KARINA'!$S113/8</f>
        <v>0</v>
      </c>
      <c r="JH59" s="128">
        <f>'PROJECT TA Y TB KARINA'!$S113/8</f>
        <v>0</v>
      </c>
      <c r="JI59" s="128">
        <f>'PROJECT TA Y TB KARINA'!$S113/8</f>
        <v>0</v>
      </c>
      <c r="JJ59" s="128">
        <f>'PROJECT TA Y TB KARINA'!$S113/8</f>
        <v>0</v>
      </c>
      <c r="JK59" s="128">
        <f>'PROJECT TA Y TB KARINA'!$S113/8</f>
        <v>0</v>
      </c>
      <c r="JL59" s="128">
        <f>'PROJECT TA Y TB KARINA'!$T113/8</f>
        <v>0</v>
      </c>
      <c r="JM59" s="128">
        <f>'PROJECT TA Y TB KARINA'!$T113/8</f>
        <v>0</v>
      </c>
      <c r="JN59" s="128">
        <f>'PROJECT TA Y TB KARINA'!$T113/8</f>
        <v>0</v>
      </c>
      <c r="JO59" s="128">
        <f>'PROJECT TA Y TB KARINA'!$T113/8</f>
        <v>0</v>
      </c>
      <c r="JP59" s="128">
        <f>'PROJECT TA Y TB KARINA'!$T113/8</f>
        <v>0</v>
      </c>
      <c r="JQ59" s="128">
        <f>'PROJECT TA Y TB KARINA'!$T113/8</f>
        <v>0</v>
      </c>
      <c r="JR59" s="128">
        <f>'PROJECT TA Y TB KARINA'!$T113/8</f>
        <v>0</v>
      </c>
      <c r="JS59" s="128">
        <f>'PROJECT TA Y TB KARINA'!$T113/8</f>
        <v>0</v>
      </c>
      <c r="JT59" s="128" t="e">
        <f>'PROJECT TA Y TB KARINA'!#REF!/8</f>
        <v>#REF!</v>
      </c>
      <c r="JU59" s="128" t="e">
        <f>'PROJECT TA Y TB KARINA'!#REF!/8</f>
        <v>#REF!</v>
      </c>
      <c r="JV59" s="128" t="e">
        <f>'PROJECT TA Y TB KARINA'!#REF!/8</f>
        <v>#REF!</v>
      </c>
      <c r="JW59" s="128" t="e">
        <f>'PROJECT TA Y TB KARINA'!#REF!/8</f>
        <v>#REF!</v>
      </c>
      <c r="JX59" s="128" t="e">
        <f>'PROJECT TA Y TB KARINA'!#REF!/8</f>
        <v>#REF!</v>
      </c>
      <c r="JY59" s="128" t="e">
        <f>'PROJECT TA Y TB KARINA'!#REF!/8</f>
        <v>#REF!</v>
      </c>
      <c r="JZ59" s="128" t="e">
        <f>'PROJECT TA Y TB KARINA'!#REF!/8</f>
        <v>#REF!</v>
      </c>
      <c r="KA59" s="128" t="e">
        <f>'PROJECT TA Y TB KARINA'!#REF!/8</f>
        <v>#REF!</v>
      </c>
    </row>
    <row r="60" spans="1:287" ht="21">
      <c r="A60" s="130" t="s">
        <v>512</v>
      </c>
      <c r="B60" s="128" t="e">
        <f>'PROJECT TA Y TB KARINA'!$C$56/8</f>
        <v>#REF!</v>
      </c>
      <c r="C60" s="128" t="e">
        <f>'PROJECT TA Y TB KARINA'!$C$56/8</f>
        <v>#REF!</v>
      </c>
      <c r="D60" s="128" t="e">
        <f>'PROJECT TA Y TB KARINA'!$C$56/8</f>
        <v>#REF!</v>
      </c>
      <c r="E60" s="128" t="e">
        <f>'PROJECT TA Y TB KARINA'!$C$56/8</f>
        <v>#REF!</v>
      </c>
      <c r="F60" s="128" t="e">
        <f>'PROJECT TA Y TB KARINA'!$C$56/8</f>
        <v>#REF!</v>
      </c>
      <c r="G60" s="128" t="e">
        <f>'PROJECT TA Y TB KARINA'!$C$56/8</f>
        <v>#REF!</v>
      </c>
      <c r="H60" s="128" t="e">
        <f>'PROJECT TA Y TB KARINA'!$C$56/8</f>
        <v>#REF!</v>
      </c>
      <c r="I60" s="128" t="e">
        <f>'PROJECT TA Y TB KARINA'!$E56/8</f>
        <v>#REF!</v>
      </c>
      <c r="J60" s="128" t="e">
        <f>'PROJECT TA Y TB KARINA'!$E56/8</f>
        <v>#REF!</v>
      </c>
      <c r="K60" s="128" t="e">
        <f>'PROJECT TA Y TB KARINA'!$E56/8</f>
        <v>#REF!</v>
      </c>
      <c r="L60" s="128" t="e">
        <f>'PROJECT TA Y TB KARINA'!$E56/8</f>
        <v>#REF!</v>
      </c>
      <c r="M60" s="128" t="e">
        <f>'PROJECT TA Y TB KARINA'!$E56/8</f>
        <v>#REF!</v>
      </c>
      <c r="N60" s="128" t="e">
        <f>'PROJECT TA Y TB KARINA'!$E56/8</f>
        <v>#REF!</v>
      </c>
      <c r="O60" s="128" t="e">
        <f>'PROJECT TA Y TB KARINA'!$E56/8</f>
        <v>#REF!</v>
      </c>
      <c r="P60" s="128" t="e">
        <f>'PROJECT TA Y TB KARINA'!$E56/8</f>
        <v>#REF!</v>
      </c>
      <c r="Q60" s="128" t="e">
        <f>'PROJECT TA Y TB KARINA'!$F56/8</f>
        <v>#REF!</v>
      </c>
      <c r="R60" s="128" t="e">
        <f>'PROJECT TA Y TB KARINA'!$F56/8</f>
        <v>#REF!</v>
      </c>
      <c r="S60" s="128" t="e">
        <f>'PROJECT TA Y TB KARINA'!$F56/8</f>
        <v>#REF!</v>
      </c>
      <c r="T60" s="128" t="e">
        <f>'PROJECT TA Y TB KARINA'!$F56/8</f>
        <v>#REF!</v>
      </c>
      <c r="U60" s="128" t="e">
        <f>'PROJECT TA Y TB KARINA'!$F56/8</f>
        <v>#REF!</v>
      </c>
      <c r="V60" s="128" t="e">
        <f>'PROJECT TA Y TB KARINA'!$F56/8</f>
        <v>#REF!</v>
      </c>
      <c r="W60" s="128" t="e">
        <f>'PROJECT TA Y TB KARINA'!$F56/8</f>
        <v>#REF!</v>
      </c>
      <c r="X60" s="128" t="e">
        <f>'PROJECT TA Y TB KARINA'!$F56/8</f>
        <v>#REF!</v>
      </c>
      <c r="Y60" s="128" t="e">
        <f>'PROJECT TA Y TB KARINA'!$G56/8</f>
        <v>#REF!</v>
      </c>
      <c r="Z60" s="128" t="e">
        <f>'PROJECT TA Y TB KARINA'!$G56/8</f>
        <v>#REF!</v>
      </c>
      <c r="AA60" s="128" t="e">
        <f>'PROJECT TA Y TB KARINA'!$G56/8</f>
        <v>#REF!</v>
      </c>
      <c r="AB60" s="128" t="e">
        <f>'PROJECT TA Y TB KARINA'!$G56/8</f>
        <v>#REF!</v>
      </c>
      <c r="AC60" s="128" t="e">
        <f>'PROJECT TA Y TB KARINA'!$G56/8</f>
        <v>#REF!</v>
      </c>
      <c r="AD60" s="128" t="e">
        <f>'PROJECT TA Y TB KARINA'!$G56/8</f>
        <v>#REF!</v>
      </c>
      <c r="AE60" s="128" t="e">
        <f>'PROJECT TA Y TB KARINA'!$G56/8</f>
        <v>#REF!</v>
      </c>
      <c r="AF60" s="128" t="e">
        <f>'PROJECT TA Y TB KARINA'!$G56/8</f>
        <v>#REF!</v>
      </c>
      <c r="AG60" s="128" t="e">
        <f>'PROJECT TA Y TB KARINA'!$H56/8</f>
        <v>#REF!</v>
      </c>
      <c r="AH60" s="128" t="e">
        <f>'PROJECT TA Y TB KARINA'!$H56/8</f>
        <v>#REF!</v>
      </c>
      <c r="AI60" s="128" t="e">
        <f>'PROJECT TA Y TB KARINA'!$H56/8</f>
        <v>#REF!</v>
      </c>
      <c r="AJ60" s="128" t="e">
        <f>'PROJECT TA Y TB KARINA'!$H56/8</f>
        <v>#REF!</v>
      </c>
      <c r="AK60" s="128" t="e">
        <f>'PROJECT TA Y TB KARINA'!$H56/8</f>
        <v>#REF!</v>
      </c>
      <c r="AL60" s="128" t="e">
        <f>'PROJECT TA Y TB KARINA'!$H56/8</f>
        <v>#REF!</v>
      </c>
      <c r="AM60" s="128" t="e">
        <f>'PROJECT TA Y TB KARINA'!$H56/8</f>
        <v>#REF!</v>
      </c>
      <c r="AN60" s="128" t="e">
        <f>'PROJECT TA Y TB KARINA'!$H56/8</f>
        <v>#REF!</v>
      </c>
      <c r="AO60" s="128" t="e">
        <f>'PROJECT TA Y TB KARINA'!$I56/8</f>
        <v>#REF!</v>
      </c>
      <c r="AP60" s="128" t="e">
        <f>'PROJECT TA Y TB KARINA'!$I56/8</f>
        <v>#REF!</v>
      </c>
      <c r="AQ60" s="128" t="e">
        <f>'PROJECT TA Y TB KARINA'!$I56/8</f>
        <v>#REF!</v>
      </c>
      <c r="AR60" s="128" t="e">
        <f>'PROJECT TA Y TB KARINA'!$I56/8</f>
        <v>#REF!</v>
      </c>
      <c r="AS60" s="128" t="e">
        <f>'PROJECT TA Y TB KARINA'!$I56/8</f>
        <v>#REF!</v>
      </c>
      <c r="AT60" s="128" t="e">
        <f>'PROJECT TA Y TB KARINA'!$I56/8</f>
        <v>#REF!</v>
      </c>
      <c r="AU60" s="128" t="e">
        <f>'PROJECT TA Y TB KARINA'!$I56/8</f>
        <v>#REF!</v>
      </c>
      <c r="AV60" s="128" t="e">
        <f>'PROJECT TA Y TB KARINA'!$I56/8</f>
        <v>#REF!</v>
      </c>
      <c r="AW60" s="128" t="e">
        <f>'PROJECT TA Y TB KARINA'!$J56/8</f>
        <v>#REF!</v>
      </c>
      <c r="AX60" s="128" t="e">
        <f>'PROJECT TA Y TB KARINA'!$J56/8</f>
        <v>#REF!</v>
      </c>
      <c r="AY60" s="128" t="e">
        <f>'PROJECT TA Y TB KARINA'!$J56/8</f>
        <v>#REF!</v>
      </c>
      <c r="AZ60" s="128" t="e">
        <f>'PROJECT TA Y TB KARINA'!$J56/8</f>
        <v>#REF!</v>
      </c>
      <c r="BA60" s="128" t="e">
        <f>'PROJECT TA Y TB KARINA'!$J56/8</f>
        <v>#REF!</v>
      </c>
      <c r="BB60" s="128" t="e">
        <f>'PROJECT TA Y TB KARINA'!$J56/8</f>
        <v>#REF!</v>
      </c>
      <c r="BC60" s="128" t="e">
        <f>'PROJECT TA Y TB KARINA'!$J56/8</f>
        <v>#REF!</v>
      </c>
      <c r="BD60" s="128" t="e">
        <f>'PROJECT TA Y TB KARINA'!$J56/8</f>
        <v>#REF!</v>
      </c>
      <c r="BE60" s="128" t="e">
        <f>'PROJECT TA Y TB KARINA'!$K56/8</f>
        <v>#REF!</v>
      </c>
      <c r="BF60" s="128" t="e">
        <f>'PROJECT TA Y TB KARINA'!$K56/8</f>
        <v>#REF!</v>
      </c>
      <c r="BG60" s="128" t="e">
        <f>'PROJECT TA Y TB KARINA'!$K56/8</f>
        <v>#REF!</v>
      </c>
      <c r="BH60" s="128" t="e">
        <f>'PROJECT TA Y TB KARINA'!$K56/8</f>
        <v>#REF!</v>
      </c>
      <c r="BI60" s="128" t="e">
        <f>'PROJECT TA Y TB KARINA'!$K56/8</f>
        <v>#REF!</v>
      </c>
      <c r="BJ60" s="128" t="e">
        <f>'PROJECT TA Y TB KARINA'!$K56/8</f>
        <v>#REF!</v>
      </c>
      <c r="BK60" s="128" t="e">
        <f>'PROJECT TA Y TB KARINA'!$K56/8</f>
        <v>#REF!</v>
      </c>
      <c r="BL60" s="128" t="e">
        <f>'PROJECT TA Y TB KARINA'!$K56/8</f>
        <v>#REF!</v>
      </c>
      <c r="BM60" s="128" t="e">
        <f>'PROJECT TA Y TB KARINA'!$L56/8</f>
        <v>#REF!</v>
      </c>
      <c r="BN60" s="128" t="e">
        <f>'PROJECT TA Y TB KARINA'!$L56/8</f>
        <v>#REF!</v>
      </c>
      <c r="BO60" s="128" t="e">
        <f>'PROJECT TA Y TB KARINA'!$L56/8</f>
        <v>#REF!</v>
      </c>
      <c r="BP60" s="128" t="e">
        <f>'PROJECT TA Y TB KARINA'!$L56/8</f>
        <v>#REF!</v>
      </c>
      <c r="BQ60" s="128" t="e">
        <f>'PROJECT TA Y TB KARINA'!$L56/8</f>
        <v>#REF!</v>
      </c>
      <c r="BR60" s="128" t="e">
        <f>'PROJECT TA Y TB KARINA'!$L56/8</f>
        <v>#REF!</v>
      </c>
      <c r="BS60" s="128" t="e">
        <f>'PROJECT TA Y TB KARINA'!$L56/8</f>
        <v>#REF!</v>
      </c>
      <c r="BT60" s="128" t="e">
        <f>'PROJECT TA Y TB KARINA'!$L56/8</f>
        <v>#REF!</v>
      </c>
      <c r="BU60" s="128" t="e">
        <f>'PROJECT TA Y TB KARINA'!$M56/8</f>
        <v>#REF!</v>
      </c>
      <c r="BV60" s="128" t="e">
        <f>'PROJECT TA Y TB KARINA'!$M56/8</f>
        <v>#REF!</v>
      </c>
      <c r="BW60" s="128" t="e">
        <f>'PROJECT TA Y TB KARINA'!$M56/8</f>
        <v>#REF!</v>
      </c>
      <c r="BX60" s="128" t="e">
        <f>'PROJECT TA Y TB KARINA'!$M56/8</f>
        <v>#REF!</v>
      </c>
      <c r="BY60" s="128" t="e">
        <f>'PROJECT TA Y TB KARINA'!$M56/8</f>
        <v>#REF!</v>
      </c>
      <c r="BZ60" s="128" t="e">
        <f>'PROJECT TA Y TB KARINA'!$M56/8</f>
        <v>#REF!</v>
      </c>
      <c r="CA60" s="128" t="e">
        <f>'PROJECT TA Y TB KARINA'!$M56/8</f>
        <v>#REF!</v>
      </c>
      <c r="CB60" s="128" t="e">
        <f>'PROJECT TA Y TB KARINA'!$M56/8</f>
        <v>#REF!</v>
      </c>
      <c r="CC60" s="128" t="e">
        <f>'PROJECT TA Y TB KARINA'!$N56/8</f>
        <v>#REF!</v>
      </c>
      <c r="CD60" s="128" t="e">
        <f>'PROJECT TA Y TB KARINA'!$N56/8</f>
        <v>#REF!</v>
      </c>
      <c r="CE60" s="128" t="e">
        <f>'PROJECT TA Y TB KARINA'!$N56/8</f>
        <v>#REF!</v>
      </c>
      <c r="CF60" s="128" t="e">
        <f>'PROJECT TA Y TB KARINA'!$N56/8</f>
        <v>#REF!</v>
      </c>
      <c r="CG60" s="128" t="e">
        <f>'PROJECT TA Y TB KARINA'!$N56/8</f>
        <v>#REF!</v>
      </c>
      <c r="CH60" s="128" t="e">
        <f>'PROJECT TA Y TB KARINA'!$N56/8</f>
        <v>#REF!</v>
      </c>
      <c r="CI60" s="128" t="e">
        <f>'PROJECT TA Y TB KARINA'!$N56/8</f>
        <v>#REF!</v>
      </c>
      <c r="CJ60" s="128" t="e">
        <f>'PROJECT TA Y TB KARINA'!$N56/8</f>
        <v>#REF!</v>
      </c>
      <c r="CK60" s="128" t="e">
        <f>'PROJECT TA Y TB KARINA'!$O56/8</f>
        <v>#REF!</v>
      </c>
      <c r="CL60" s="128" t="e">
        <f>'PROJECT TA Y TB KARINA'!$O56/8</f>
        <v>#REF!</v>
      </c>
      <c r="CM60" s="128" t="e">
        <f>'PROJECT TA Y TB KARINA'!$O56/8</f>
        <v>#REF!</v>
      </c>
      <c r="CN60" s="128" t="e">
        <f>'PROJECT TA Y TB KARINA'!$O56/8</f>
        <v>#REF!</v>
      </c>
      <c r="CO60" s="128" t="e">
        <f>'PROJECT TA Y TB KARINA'!$O56/8</f>
        <v>#REF!</v>
      </c>
      <c r="CP60" s="128" t="e">
        <f>'PROJECT TA Y TB KARINA'!$O56/8</f>
        <v>#REF!</v>
      </c>
      <c r="CQ60" s="128" t="e">
        <f>'PROJECT TA Y TB KARINA'!$O56/8</f>
        <v>#REF!</v>
      </c>
      <c r="CR60" s="128" t="e">
        <f>'PROJECT TA Y TB KARINA'!$O56/8</f>
        <v>#REF!</v>
      </c>
      <c r="CS60" s="128" t="e">
        <f>'PROJECT TA Y TB KARINA'!$P56/8</f>
        <v>#REF!</v>
      </c>
      <c r="CT60" s="128" t="e">
        <f>'PROJECT TA Y TB KARINA'!$P56/8</f>
        <v>#REF!</v>
      </c>
      <c r="CU60" s="128" t="e">
        <f>'PROJECT TA Y TB KARINA'!$P56/8</f>
        <v>#REF!</v>
      </c>
      <c r="CV60" s="128" t="e">
        <f>'PROJECT TA Y TB KARINA'!$P56/8</f>
        <v>#REF!</v>
      </c>
      <c r="CW60" s="128" t="e">
        <f>'PROJECT TA Y TB KARINA'!$P56/8</f>
        <v>#REF!</v>
      </c>
      <c r="CX60" s="128" t="e">
        <f>'PROJECT TA Y TB KARINA'!$P56/8</f>
        <v>#REF!</v>
      </c>
      <c r="CY60" s="128" t="e">
        <f>'PROJECT TA Y TB KARINA'!$P56/8</f>
        <v>#REF!</v>
      </c>
      <c r="CZ60" s="128" t="e">
        <f>'PROJECT TA Y TB KARINA'!$P56/8</f>
        <v>#REF!</v>
      </c>
      <c r="DA60" s="128" t="e">
        <f>'PROJECT TA Y TB KARINA'!$Q56/8</f>
        <v>#REF!</v>
      </c>
      <c r="DB60" s="128" t="e">
        <f>'PROJECT TA Y TB KARINA'!$Q56/8</f>
        <v>#REF!</v>
      </c>
      <c r="DC60" s="128" t="e">
        <f>'PROJECT TA Y TB KARINA'!$Q56/8</f>
        <v>#REF!</v>
      </c>
      <c r="DD60" s="128" t="e">
        <f>'PROJECT TA Y TB KARINA'!$Q56/8</f>
        <v>#REF!</v>
      </c>
      <c r="DE60" s="128" t="e">
        <f>'PROJECT TA Y TB KARINA'!$Q56/8</f>
        <v>#REF!</v>
      </c>
      <c r="DF60" s="128" t="e">
        <f>'PROJECT TA Y TB KARINA'!$Q56/8</f>
        <v>#REF!</v>
      </c>
      <c r="DG60" s="128" t="e">
        <f>'PROJECT TA Y TB KARINA'!$Q56/8</f>
        <v>#REF!</v>
      </c>
      <c r="DH60" s="128" t="e">
        <f>'PROJECT TA Y TB KARINA'!$Q56/8</f>
        <v>#REF!</v>
      </c>
      <c r="DI60" s="128" t="e">
        <f>'PROJECT TA Y TB KARINA'!$R56/8</f>
        <v>#REF!</v>
      </c>
      <c r="DJ60" s="128" t="e">
        <f>'PROJECT TA Y TB KARINA'!$R56/8</f>
        <v>#REF!</v>
      </c>
      <c r="DK60" s="128" t="e">
        <f>'PROJECT TA Y TB KARINA'!$R56/8</f>
        <v>#REF!</v>
      </c>
      <c r="DL60" s="128" t="e">
        <f>'PROJECT TA Y TB KARINA'!$R56/8</f>
        <v>#REF!</v>
      </c>
      <c r="DM60" s="128" t="e">
        <f>'PROJECT TA Y TB KARINA'!$R56/8</f>
        <v>#REF!</v>
      </c>
      <c r="DN60" s="128" t="e">
        <f>'PROJECT TA Y TB KARINA'!$R56/8</f>
        <v>#REF!</v>
      </c>
      <c r="DO60" s="128" t="e">
        <f>'PROJECT TA Y TB KARINA'!$R56/8</f>
        <v>#REF!</v>
      </c>
      <c r="DP60" s="128" t="e">
        <f>'PROJECT TA Y TB KARINA'!$R56/8</f>
        <v>#REF!</v>
      </c>
      <c r="DQ60" s="128" t="e">
        <f>'PROJECT TA Y TB KARINA'!$S56/8</f>
        <v>#REF!</v>
      </c>
      <c r="DR60" s="128" t="e">
        <f>'PROJECT TA Y TB KARINA'!$S56/8</f>
        <v>#REF!</v>
      </c>
      <c r="DS60" s="128" t="e">
        <f>'PROJECT TA Y TB KARINA'!$S56/8</f>
        <v>#REF!</v>
      </c>
      <c r="DT60" s="128" t="e">
        <f>'PROJECT TA Y TB KARINA'!$S56/8</f>
        <v>#REF!</v>
      </c>
      <c r="DU60" s="128" t="e">
        <f>'PROJECT TA Y TB KARINA'!$S56/8</f>
        <v>#REF!</v>
      </c>
      <c r="DV60" s="128" t="e">
        <f>'PROJECT TA Y TB KARINA'!$S56/8</f>
        <v>#REF!</v>
      </c>
      <c r="DW60" s="128" t="e">
        <f>'PROJECT TA Y TB KARINA'!$S56/8</f>
        <v>#REF!</v>
      </c>
      <c r="DX60" s="128" t="e">
        <f>'PROJECT TA Y TB KARINA'!$S56/8</f>
        <v>#REF!</v>
      </c>
      <c r="DY60" s="128" t="e">
        <f>'PROJECT TA Y TB KARINA'!$T56/8</f>
        <v>#REF!</v>
      </c>
      <c r="DZ60" s="128" t="e">
        <f>'PROJECT TA Y TB KARINA'!$T56/8</f>
        <v>#REF!</v>
      </c>
      <c r="EA60" s="128" t="e">
        <f>'PROJECT TA Y TB KARINA'!$T56/8</f>
        <v>#REF!</v>
      </c>
      <c r="EB60" s="128" t="e">
        <f>'PROJECT TA Y TB KARINA'!$T56/8</f>
        <v>#REF!</v>
      </c>
      <c r="EC60" s="128" t="e">
        <f>'PROJECT TA Y TB KARINA'!$T56/8</f>
        <v>#REF!</v>
      </c>
      <c r="ED60" s="128" t="e">
        <f>'PROJECT TA Y TB KARINA'!$T56/8</f>
        <v>#REF!</v>
      </c>
      <c r="EE60" s="128" t="e">
        <f>'PROJECT TA Y TB KARINA'!$T56/8</f>
        <v>#REF!</v>
      </c>
      <c r="EF60" s="128" t="e">
        <f>'PROJECT TA Y TB KARINA'!$T56/8</f>
        <v>#REF!</v>
      </c>
      <c r="EG60" s="128" t="e">
        <f>'PROJECT TA Y TB KARINA'!#REF!/8</f>
        <v>#REF!</v>
      </c>
      <c r="EH60" s="128" t="e">
        <f>'PROJECT TA Y TB KARINA'!#REF!/8</f>
        <v>#REF!</v>
      </c>
      <c r="EI60" s="128" t="e">
        <f>'PROJECT TA Y TB KARINA'!#REF!/8</f>
        <v>#REF!</v>
      </c>
      <c r="EJ60" s="128" t="e">
        <f>'PROJECT TA Y TB KARINA'!#REF!/8</f>
        <v>#REF!</v>
      </c>
      <c r="EK60" s="128" t="e">
        <f>'PROJECT TA Y TB KARINA'!#REF!/8</f>
        <v>#REF!</v>
      </c>
      <c r="EL60" s="128" t="e">
        <f>'PROJECT TA Y TB KARINA'!#REF!/8</f>
        <v>#REF!</v>
      </c>
      <c r="EM60" s="128" t="e">
        <f>'PROJECT TA Y TB KARINA'!#REF!/8</f>
        <v>#REF!</v>
      </c>
      <c r="EN60" s="128" t="e">
        <f>'PROJECT TA Y TB KARINA'!#REF!/8</f>
        <v>#REF!</v>
      </c>
      <c r="EO60" s="128">
        <f>'PROJECT TA Y TB KARINA'!$C114/8</f>
        <v>0</v>
      </c>
      <c r="EP60" s="128">
        <f>'PROJECT TA Y TB KARINA'!$C114/8</f>
        <v>0</v>
      </c>
      <c r="EQ60" s="128">
        <f>'PROJECT TA Y TB KARINA'!$C114/8</f>
        <v>0</v>
      </c>
      <c r="ER60" s="128">
        <f>'PROJECT TA Y TB KARINA'!$C114/8</f>
        <v>0</v>
      </c>
      <c r="ES60" s="128">
        <f>'PROJECT TA Y TB KARINA'!$C114/8</f>
        <v>0</v>
      </c>
      <c r="ET60" s="128">
        <f>'PROJECT TA Y TB KARINA'!$C114/8</f>
        <v>0</v>
      </c>
      <c r="EU60" s="128">
        <f>'PROJECT TA Y TB KARINA'!$C114/8</f>
        <v>0</v>
      </c>
      <c r="EV60" s="128">
        <f>'PROJECT TA Y TB KARINA'!$E114/8</f>
        <v>0</v>
      </c>
      <c r="EW60" s="128">
        <f>'PROJECT TA Y TB KARINA'!$E114/8</f>
        <v>0</v>
      </c>
      <c r="EX60" s="128">
        <f>'PROJECT TA Y TB KARINA'!$E114/8</f>
        <v>0</v>
      </c>
      <c r="EY60" s="128">
        <f>'PROJECT TA Y TB KARINA'!$E114/8</f>
        <v>0</v>
      </c>
      <c r="EZ60" s="128">
        <f>'PROJECT TA Y TB KARINA'!$E114/8</f>
        <v>0</v>
      </c>
      <c r="FA60" s="128">
        <f>'PROJECT TA Y TB KARINA'!$E114/8</f>
        <v>0</v>
      </c>
      <c r="FB60" s="128">
        <f>'PROJECT TA Y TB KARINA'!$E114/8</f>
        <v>0</v>
      </c>
      <c r="FC60" s="128">
        <f>'PROJECT TA Y TB KARINA'!$E114/8</f>
        <v>0</v>
      </c>
      <c r="FD60" s="128">
        <f>'PROJECT TA Y TB KARINA'!$F114/8</f>
        <v>0</v>
      </c>
      <c r="FE60" s="128">
        <f>'PROJECT TA Y TB KARINA'!$F114/8</f>
        <v>0</v>
      </c>
      <c r="FF60" s="128">
        <f>'PROJECT TA Y TB KARINA'!$F114/8</f>
        <v>0</v>
      </c>
      <c r="FG60" s="128">
        <f>'PROJECT TA Y TB KARINA'!$F114/8</f>
        <v>0</v>
      </c>
      <c r="FH60" s="128">
        <f>'PROJECT TA Y TB KARINA'!$F114/8</f>
        <v>0</v>
      </c>
      <c r="FI60" s="128">
        <f>'PROJECT TA Y TB KARINA'!$F114/8</f>
        <v>0</v>
      </c>
      <c r="FJ60" s="128">
        <f>'PROJECT TA Y TB KARINA'!$F114/8</f>
        <v>0</v>
      </c>
      <c r="FK60" s="128">
        <f>'PROJECT TA Y TB KARINA'!$F114/8</f>
        <v>0</v>
      </c>
      <c r="FL60" s="128">
        <f>'PROJECT TA Y TB KARINA'!$G114/8</f>
        <v>0</v>
      </c>
      <c r="FM60" s="128">
        <f>'PROJECT TA Y TB KARINA'!$G114/8</f>
        <v>0</v>
      </c>
      <c r="FN60" s="128">
        <f>'PROJECT TA Y TB KARINA'!$G114/8</f>
        <v>0</v>
      </c>
      <c r="FO60" s="128">
        <f>'PROJECT TA Y TB KARINA'!$G114/8</f>
        <v>0</v>
      </c>
      <c r="FP60" s="128">
        <f>'PROJECT TA Y TB KARINA'!$G114/8</f>
        <v>0</v>
      </c>
      <c r="FQ60" s="128">
        <f>'PROJECT TA Y TB KARINA'!$G114/8</f>
        <v>0</v>
      </c>
      <c r="FR60" s="128">
        <f>'PROJECT TA Y TB KARINA'!$G114/8</f>
        <v>0</v>
      </c>
      <c r="FS60" s="128">
        <f>'PROJECT TA Y TB KARINA'!$G114/8</f>
        <v>0</v>
      </c>
      <c r="FT60" s="128">
        <f>'PROJECT TA Y TB KARINA'!$H114/8</f>
        <v>0</v>
      </c>
      <c r="FU60" s="128">
        <f>'PROJECT TA Y TB KARINA'!$H114/8</f>
        <v>0</v>
      </c>
      <c r="FV60" s="128">
        <f>'PROJECT TA Y TB KARINA'!$H114/8</f>
        <v>0</v>
      </c>
      <c r="FW60" s="128">
        <f>'PROJECT TA Y TB KARINA'!$H114/8</f>
        <v>0</v>
      </c>
      <c r="FX60" s="128">
        <f>'PROJECT TA Y TB KARINA'!$H114/8</f>
        <v>0</v>
      </c>
      <c r="FY60" s="128">
        <f>'PROJECT TA Y TB KARINA'!$H114/8</f>
        <v>0</v>
      </c>
      <c r="FZ60" s="128">
        <f>'PROJECT TA Y TB KARINA'!$H114/8</f>
        <v>0</v>
      </c>
      <c r="GA60" s="128">
        <f>'PROJECT TA Y TB KARINA'!$H114/8</f>
        <v>0</v>
      </c>
      <c r="GB60" s="128">
        <f>'PROJECT TA Y TB KARINA'!$I114/8</f>
        <v>0</v>
      </c>
      <c r="GC60" s="128">
        <f>'PROJECT TA Y TB KARINA'!$I114/8</f>
        <v>0</v>
      </c>
      <c r="GD60" s="128">
        <f>'PROJECT TA Y TB KARINA'!$I114/8</f>
        <v>0</v>
      </c>
      <c r="GE60" s="128">
        <f>'PROJECT TA Y TB KARINA'!$I114/8</f>
        <v>0</v>
      </c>
      <c r="GF60" s="128">
        <f>'PROJECT TA Y TB KARINA'!$I114/8</f>
        <v>0</v>
      </c>
      <c r="GG60" s="128">
        <f>'PROJECT TA Y TB KARINA'!$I114/8</f>
        <v>0</v>
      </c>
      <c r="GH60" s="128">
        <f>'PROJECT TA Y TB KARINA'!$I114/8</f>
        <v>0</v>
      </c>
      <c r="GI60" s="128">
        <f>'PROJECT TA Y TB KARINA'!$I114/8</f>
        <v>0</v>
      </c>
      <c r="GJ60" s="128">
        <f>'PROJECT TA Y TB KARINA'!$J114/8</f>
        <v>0</v>
      </c>
      <c r="GK60" s="128">
        <f>'PROJECT TA Y TB KARINA'!$J114/8</f>
        <v>0</v>
      </c>
      <c r="GL60" s="128">
        <f>'PROJECT TA Y TB KARINA'!$J114/8</f>
        <v>0</v>
      </c>
      <c r="GM60" s="128">
        <f>'PROJECT TA Y TB KARINA'!$J114/8</f>
        <v>0</v>
      </c>
      <c r="GN60" s="128">
        <f>'PROJECT TA Y TB KARINA'!$J114/8</f>
        <v>0</v>
      </c>
      <c r="GO60" s="128">
        <f>'PROJECT TA Y TB KARINA'!$J114/8</f>
        <v>0</v>
      </c>
      <c r="GP60" s="128">
        <f>'PROJECT TA Y TB KARINA'!$J114/8</f>
        <v>0</v>
      </c>
      <c r="GQ60" s="128">
        <f>'PROJECT TA Y TB KARINA'!$J114/8</f>
        <v>0</v>
      </c>
      <c r="GR60" s="128">
        <f>'PROJECT TA Y TB KARINA'!$K114/8</f>
        <v>0</v>
      </c>
      <c r="GS60" s="128">
        <f>'PROJECT TA Y TB KARINA'!$K114/8</f>
        <v>0</v>
      </c>
      <c r="GT60" s="128">
        <f>'PROJECT TA Y TB KARINA'!$K114/8</f>
        <v>0</v>
      </c>
      <c r="GU60" s="128">
        <f>'PROJECT TA Y TB KARINA'!$K114/8</f>
        <v>0</v>
      </c>
      <c r="GV60" s="128">
        <f>'PROJECT TA Y TB KARINA'!$K114/8</f>
        <v>0</v>
      </c>
      <c r="GW60" s="128">
        <f>'PROJECT TA Y TB KARINA'!$K114/8</f>
        <v>0</v>
      </c>
      <c r="GX60" s="128">
        <f>'PROJECT TA Y TB KARINA'!$K114/8</f>
        <v>0</v>
      </c>
      <c r="GY60" s="128">
        <f>'PROJECT TA Y TB KARINA'!$K114/8</f>
        <v>0</v>
      </c>
      <c r="GZ60" s="128">
        <f>'PROJECT TA Y TB KARINA'!$L114/8</f>
        <v>0</v>
      </c>
      <c r="HA60" s="128">
        <f>'PROJECT TA Y TB KARINA'!$L114/8</f>
        <v>0</v>
      </c>
      <c r="HB60" s="128">
        <f>'PROJECT TA Y TB KARINA'!$L114/8</f>
        <v>0</v>
      </c>
      <c r="HC60" s="128">
        <f>'PROJECT TA Y TB KARINA'!$L114/8</f>
        <v>0</v>
      </c>
      <c r="HD60" s="128">
        <f>'PROJECT TA Y TB KARINA'!$L114/8</f>
        <v>0</v>
      </c>
      <c r="HE60" s="128">
        <f>'PROJECT TA Y TB KARINA'!$L114/8</f>
        <v>0</v>
      </c>
      <c r="HF60" s="128">
        <f>'PROJECT TA Y TB KARINA'!$L114/8</f>
        <v>0</v>
      </c>
      <c r="HG60" s="128">
        <f>'PROJECT TA Y TB KARINA'!$L114/8</f>
        <v>0</v>
      </c>
      <c r="HH60" s="128">
        <f>'PROJECT TA Y TB KARINA'!$M114/8</f>
        <v>0</v>
      </c>
      <c r="HI60" s="128">
        <f>'PROJECT TA Y TB KARINA'!$M114/8</f>
        <v>0</v>
      </c>
      <c r="HJ60" s="128">
        <f>'PROJECT TA Y TB KARINA'!$M114/8</f>
        <v>0</v>
      </c>
      <c r="HK60" s="128">
        <f>'PROJECT TA Y TB KARINA'!$M114/8</f>
        <v>0</v>
      </c>
      <c r="HL60" s="128">
        <f>'PROJECT TA Y TB KARINA'!$M114/8</f>
        <v>0</v>
      </c>
      <c r="HM60" s="128">
        <f>'PROJECT TA Y TB KARINA'!$M114/8</f>
        <v>0</v>
      </c>
      <c r="HN60" s="128">
        <f>'PROJECT TA Y TB KARINA'!$M114/8</f>
        <v>0</v>
      </c>
      <c r="HO60" s="128">
        <f>'PROJECT TA Y TB KARINA'!$M114/8</f>
        <v>0</v>
      </c>
      <c r="HP60" s="128">
        <f>'PROJECT TA Y TB KARINA'!$N114/8</f>
        <v>0</v>
      </c>
      <c r="HQ60" s="128">
        <f>'PROJECT TA Y TB KARINA'!$N114/8</f>
        <v>0</v>
      </c>
      <c r="HR60" s="128">
        <f>'PROJECT TA Y TB KARINA'!$N114/8</f>
        <v>0</v>
      </c>
      <c r="HS60" s="128">
        <f>'PROJECT TA Y TB KARINA'!$N114/8</f>
        <v>0</v>
      </c>
      <c r="HT60" s="128">
        <f>'PROJECT TA Y TB KARINA'!$N114/8</f>
        <v>0</v>
      </c>
      <c r="HU60" s="128">
        <f>'PROJECT TA Y TB KARINA'!$N114/8</f>
        <v>0</v>
      </c>
      <c r="HV60" s="128">
        <f>'PROJECT TA Y TB KARINA'!$N114/8</f>
        <v>0</v>
      </c>
      <c r="HW60" s="128">
        <f>'PROJECT TA Y TB KARINA'!$N114/8</f>
        <v>0</v>
      </c>
      <c r="HX60" s="128">
        <f>'PROJECT TA Y TB KARINA'!$O114/8</f>
        <v>0</v>
      </c>
      <c r="HY60" s="128">
        <f>'PROJECT TA Y TB KARINA'!$O114/8</f>
        <v>0</v>
      </c>
      <c r="HZ60" s="128">
        <f>'PROJECT TA Y TB KARINA'!$O114/8</f>
        <v>0</v>
      </c>
      <c r="IA60" s="128">
        <f>'PROJECT TA Y TB KARINA'!$O114/8</f>
        <v>0</v>
      </c>
      <c r="IB60" s="128">
        <f>'PROJECT TA Y TB KARINA'!$O114/8</f>
        <v>0</v>
      </c>
      <c r="IC60" s="128">
        <f>'PROJECT TA Y TB KARINA'!$O114/8</f>
        <v>0</v>
      </c>
      <c r="ID60" s="128">
        <f>'PROJECT TA Y TB KARINA'!$O114/8</f>
        <v>0</v>
      </c>
      <c r="IE60" s="128">
        <f>'PROJECT TA Y TB KARINA'!$O114/8</f>
        <v>0</v>
      </c>
      <c r="IF60" s="128">
        <f>'PROJECT TA Y TB KARINA'!$P114/8</f>
        <v>0</v>
      </c>
      <c r="IG60" s="128">
        <f>'PROJECT TA Y TB KARINA'!$P114/8</f>
        <v>0</v>
      </c>
      <c r="IH60" s="128">
        <f>'PROJECT TA Y TB KARINA'!$P114/8</f>
        <v>0</v>
      </c>
      <c r="II60" s="128">
        <f>'PROJECT TA Y TB KARINA'!$P114/8</f>
        <v>0</v>
      </c>
      <c r="IJ60" s="128">
        <f>'PROJECT TA Y TB KARINA'!$P114/8</f>
        <v>0</v>
      </c>
      <c r="IK60" s="128">
        <f>'PROJECT TA Y TB KARINA'!$P114/8</f>
        <v>0</v>
      </c>
      <c r="IL60" s="128">
        <f>'PROJECT TA Y TB KARINA'!$P114/8</f>
        <v>0</v>
      </c>
      <c r="IM60" s="128">
        <f>'PROJECT TA Y TB KARINA'!$P114/8</f>
        <v>0</v>
      </c>
      <c r="IN60" s="128">
        <f>'PROJECT TA Y TB KARINA'!$Q114/8</f>
        <v>0</v>
      </c>
      <c r="IO60" s="128">
        <f>'PROJECT TA Y TB KARINA'!$Q114/8</f>
        <v>0</v>
      </c>
      <c r="IP60" s="128">
        <f>'PROJECT TA Y TB KARINA'!$Q114/8</f>
        <v>0</v>
      </c>
      <c r="IQ60" s="128">
        <f>'PROJECT TA Y TB KARINA'!$Q114/8</f>
        <v>0</v>
      </c>
      <c r="IR60" s="128">
        <f>'PROJECT TA Y TB KARINA'!$Q114/8</f>
        <v>0</v>
      </c>
      <c r="IS60" s="128">
        <f>'PROJECT TA Y TB KARINA'!$Q114/8</f>
        <v>0</v>
      </c>
      <c r="IT60" s="128">
        <f>'PROJECT TA Y TB KARINA'!$Q114/8</f>
        <v>0</v>
      </c>
      <c r="IU60" s="128">
        <f>'PROJECT TA Y TB KARINA'!$Q114/8</f>
        <v>0</v>
      </c>
      <c r="IV60" s="128">
        <f>'PROJECT TA Y TB KARINA'!$R114/8</f>
        <v>0</v>
      </c>
      <c r="IW60" s="128">
        <f>'PROJECT TA Y TB KARINA'!$R114/8</f>
        <v>0</v>
      </c>
      <c r="IX60" s="128">
        <f>'PROJECT TA Y TB KARINA'!$R114/8</f>
        <v>0</v>
      </c>
      <c r="IY60" s="128">
        <f>'PROJECT TA Y TB KARINA'!$R114/8</f>
        <v>0</v>
      </c>
      <c r="IZ60" s="128">
        <f>'PROJECT TA Y TB KARINA'!$R114/8</f>
        <v>0</v>
      </c>
      <c r="JA60" s="128">
        <f>'PROJECT TA Y TB KARINA'!$R114/8</f>
        <v>0</v>
      </c>
      <c r="JB60" s="128">
        <f>'PROJECT TA Y TB KARINA'!$R114/8</f>
        <v>0</v>
      </c>
      <c r="JC60" s="128">
        <f>'PROJECT TA Y TB KARINA'!$R114/8</f>
        <v>0</v>
      </c>
      <c r="JD60" s="128">
        <f>'PROJECT TA Y TB KARINA'!$S114/8</f>
        <v>0</v>
      </c>
      <c r="JE60" s="128">
        <f>'PROJECT TA Y TB KARINA'!$S114/8</f>
        <v>0</v>
      </c>
      <c r="JF60" s="128">
        <f>'PROJECT TA Y TB KARINA'!$S114/8</f>
        <v>0</v>
      </c>
      <c r="JG60" s="128">
        <f>'PROJECT TA Y TB KARINA'!$S114/8</f>
        <v>0</v>
      </c>
      <c r="JH60" s="128">
        <f>'PROJECT TA Y TB KARINA'!$S114/8</f>
        <v>0</v>
      </c>
      <c r="JI60" s="128">
        <f>'PROJECT TA Y TB KARINA'!$S114/8</f>
        <v>0</v>
      </c>
      <c r="JJ60" s="128">
        <f>'PROJECT TA Y TB KARINA'!$S114/8</f>
        <v>0</v>
      </c>
      <c r="JK60" s="128">
        <f>'PROJECT TA Y TB KARINA'!$S114/8</f>
        <v>0</v>
      </c>
      <c r="JL60" s="128">
        <f>'PROJECT TA Y TB KARINA'!$T114/8</f>
        <v>0</v>
      </c>
      <c r="JM60" s="128">
        <f>'PROJECT TA Y TB KARINA'!$T114/8</f>
        <v>0</v>
      </c>
      <c r="JN60" s="128">
        <f>'PROJECT TA Y TB KARINA'!$T114/8</f>
        <v>0</v>
      </c>
      <c r="JO60" s="128">
        <f>'PROJECT TA Y TB KARINA'!$T114/8</f>
        <v>0</v>
      </c>
      <c r="JP60" s="128">
        <f>'PROJECT TA Y TB KARINA'!$T114/8</f>
        <v>0</v>
      </c>
      <c r="JQ60" s="128">
        <f>'PROJECT TA Y TB KARINA'!$T114/8</f>
        <v>0</v>
      </c>
      <c r="JR60" s="128">
        <f>'PROJECT TA Y TB KARINA'!$T114/8</f>
        <v>0</v>
      </c>
      <c r="JS60" s="128">
        <f>'PROJECT TA Y TB KARINA'!$T114/8</f>
        <v>0</v>
      </c>
      <c r="JT60" s="128" t="e">
        <f>'PROJECT TA Y TB KARINA'!#REF!/8</f>
        <v>#REF!</v>
      </c>
      <c r="JU60" s="128" t="e">
        <f>'PROJECT TA Y TB KARINA'!#REF!/8</f>
        <v>#REF!</v>
      </c>
      <c r="JV60" s="128" t="e">
        <f>'PROJECT TA Y TB KARINA'!#REF!/8</f>
        <v>#REF!</v>
      </c>
      <c r="JW60" s="128" t="e">
        <f>'PROJECT TA Y TB KARINA'!#REF!/8</f>
        <v>#REF!</v>
      </c>
      <c r="JX60" s="128" t="e">
        <f>'PROJECT TA Y TB KARINA'!#REF!/8</f>
        <v>#REF!</v>
      </c>
      <c r="JY60" s="128" t="e">
        <f>'PROJECT TA Y TB KARINA'!#REF!/8</f>
        <v>#REF!</v>
      </c>
      <c r="JZ60" s="128" t="e">
        <f>'PROJECT TA Y TB KARINA'!#REF!/8</f>
        <v>#REF!</v>
      </c>
      <c r="KA60" s="128" t="e">
        <f>'PROJECT TA Y TB KARINA'!#REF!/8</f>
        <v>#REF!</v>
      </c>
    </row>
    <row r="61" spans="1:287" ht="21">
      <c r="A61" s="130" t="s">
        <v>513</v>
      </c>
      <c r="B61" s="128"/>
      <c r="C61" s="129"/>
      <c r="D61" s="129"/>
      <c r="E61" s="129"/>
      <c r="F61" s="129"/>
      <c r="G61" s="129"/>
      <c r="H61" s="129"/>
      <c r="I61" s="129"/>
      <c r="J61" s="129"/>
      <c r="K61" s="129"/>
      <c r="L61" s="129"/>
      <c r="M61" s="129"/>
      <c r="N61" s="129"/>
      <c r="O61" s="129"/>
      <c r="P61" s="129"/>
      <c r="Q61" s="129"/>
      <c r="R61" s="129"/>
      <c r="S61" s="129"/>
      <c r="T61" s="129"/>
      <c r="U61" s="129"/>
      <c r="V61" s="129"/>
      <c r="W61" s="129"/>
      <c r="X61" s="129"/>
      <c r="Y61" s="129"/>
      <c r="Z61" s="129"/>
      <c r="AA61" s="129"/>
      <c r="AB61" s="129"/>
      <c r="AC61" s="129"/>
      <c r="AD61" s="129"/>
      <c r="AE61" s="129"/>
      <c r="AF61" s="129"/>
      <c r="AG61" s="129"/>
      <c r="AH61" s="129"/>
      <c r="AI61" s="129"/>
      <c r="AJ61" s="129"/>
      <c r="AK61" s="129"/>
      <c r="AL61" s="129"/>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29"/>
      <c r="BQ61" s="129"/>
      <c r="BR61" s="129"/>
      <c r="BS61" s="129"/>
      <c r="BT61" s="129"/>
      <c r="BU61" s="129"/>
      <c r="BV61" s="129"/>
      <c r="BW61" s="129"/>
      <c r="BX61" s="129"/>
      <c r="BY61" s="129"/>
      <c r="BZ61" s="129"/>
      <c r="CA61" s="129"/>
      <c r="CB61" s="129"/>
      <c r="CC61" s="129"/>
      <c r="CD61" s="129"/>
      <c r="CE61" s="129"/>
      <c r="CF61" s="129"/>
      <c r="CG61" s="129"/>
      <c r="CH61" s="129"/>
      <c r="CI61" s="129"/>
      <c r="CJ61" s="129"/>
      <c r="CK61" s="129"/>
      <c r="CL61" s="129"/>
      <c r="CM61" s="129"/>
      <c r="CN61" s="129"/>
      <c r="CO61" s="129"/>
      <c r="CP61" s="129"/>
      <c r="CQ61" s="129"/>
      <c r="CR61" s="129"/>
      <c r="CS61" s="129"/>
      <c r="CT61" s="129"/>
      <c r="CU61" s="129"/>
      <c r="CV61" s="129"/>
      <c r="CW61" s="129"/>
      <c r="CX61" s="129"/>
      <c r="CY61" s="129"/>
      <c r="CZ61" s="129"/>
      <c r="DA61" s="129"/>
      <c r="DB61" s="129"/>
      <c r="DC61" s="129"/>
      <c r="DD61" s="129"/>
      <c r="DE61" s="129"/>
      <c r="DF61" s="129"/>
      <c r="DG61" s="129"/>
      <c r="DH61" s="129"/>
      <c r="DI61" s="129"/>
      <c r="DJ61" s="129"/>
      <c r="DK61" s="129"/>
      <c r="DL61" s="129"/>
      <c r="DM61" s="129"/>
      <c r="DN61" s="129"/>
      <c r="DO61" s="129"/>
      <c r="DP61" s="129"/>
      <c r="DQ61" s="129"/>
      <c r="DR61" s="129"/>
      <c r="DS61" s="129"/>
      <c r="DT61" s="129"/>
      <c r="DU61" s="129"/>
      <c r="DV61" s="129"/>
      <c r="DW61" s="129"/>
      <c r="DX61" s="129"/>
      <c r="DY61" s="129"/>
      <c r="DZ61" s="129"/>
      <c r="EA61" s="129"/>
      <c r="EB61" s="129"/>
      <c r="EC61" s="129"/>
      <c r="ED61" s="129"/>
      <c r="EE61" s="129"/>
      <c r="EF61" s="129"/>
      <c r="EG61" s="129"/>
      <c r="EH61" s="129"/>
      <c r="EI61" s="129"/>
      <c r="EJ61" s="129"/>
      <c r="EK61" s="129"/>
      <c r="EL61" s="129"/>
      <c r="EM61" s="129"/>
      <c r="EN61" s="129"/>
      <c r="EO61" s="120"/>
      <c r="EP61" s="120"/>
      <c r="EQ61" s="120"/>
      <c r="ER61" s="120"/>
      <c r="ES61" s="120"/>
      <c r="ET61" s="120"/>
      <c r="EU61" s="120"/>
      <c r="EV61" s="129"/>
      <c r="EW61" s="129"/>
      <c r="EX61" s="129"/>
      <c r="EY61" s="129"/>
      <c r="EZ61" s="129"/>
      <c r="FA61" s="129"/>
      <c r="FB61" s="129"/>
      <c r="FC61" s="129"/>
      <c r="FD61" s="129"/>
      <c r="FE61" s="129"/>
      <c r="FF61" s="129"/>
      <c r="FG61" s="129"/>
      <c r="FH61" s="129"/>
      <c r="FI61" s="129"/>
      <c r="FJ61" s="129"/>
      <c r="FK61" s="129"/>
      <c r="FL61" s="129"/>
      <c r="FM61" s="129"/>
      <c r="FN61" s="129"/>
      <c r="FO61" s="129"/>
      <c r="FP61" s="129"/>
      <c r="FQ61" s="129"/>
      <c r="FR61" s="129"/>
      <c r="FS61" s="129"/>
      <c r="FT61" s="129"/>
      <c r="FU61" s="129"/>
      <c r="FV61" s="129"/>
      <c r="FW61" s="129"/>
      <c r="FX61" s="129"/>
      <c r="FY61" s="129"/>
      <c r="FZ61" s="129"/>
      <c r="GA61" s="129"/>
      <c r="GB61" s="129"/>
      <c r="GC61" s="129"/>
      <c r="GD61" s="129"/>
      <c r="GE61" s="129"/>
      <c r="GF61" s="129"/>
      <c r="GG61" s="129"/>
      <c r="GH61" s="129"/>
      <c r="GI61" s="129"/>
      <c r="GJ61" s="129"/>
      <c r="GK61" s="129"/>
      <c r="GL61" s="129"/>
      <c r="GM61" s="129"/>
      <c r="GN61" s="129"/>
      <c r="GO61" s="129"/>
      <c r="GP61" s="129"/>
      <c r="GQ61" s="129"/>
      <c r="GR61" s="129"/>
      <c r="GS61" s="129"/>
      <c r="GT61" s="129"/>
      <c r="GU61" s="129"/>
      <c r="GV61" s="129"/>
      <c r="GW61" s="129"/>
      <c r="GX61" s="129"/>
      <c r="GY61" s="129"/>
      <c r="GZ61" s="129"/>
      <c r="HA61" s="129"/>
      <c r="HB61" s="129"/>
      <c r="HC61" s="129"/>
      <c r="HD61" s="129"/>
      <c r="HE61" s="129"/>
      <c r="HF61" s="129"/>
      <c r="HG61" s="129"/>
      <c r="HH61" s="129"/>
      <c r="HI61" s="129"/>
      <c r="HJ61" s="129"/>
      <c r="HK61" s="129"/>
      <c r="HL61" s="129"/>
      <c r="HM61" s="129"/>
      <c r="HN61" s="129"/>
      <c r="HO61" s="129"/>
      <c r="HP61" s="129"/>
      <c r="HQ61" s="129"/>
      <c r="HR61" s="129"/>
      <c r="HS61" s="129"/>
      <c r="HT61" s="129"/>
      <c r="HU61" s="129"/>
      <c r="HV61" s="129"/>
      <c r="HW61" s="129"/>
      <c r="HX61" s="129"/>
      <c r="HY61" s="129"/>
      <c r="HZ61" s="129"/>
      <c r="IA61" s="129"/>
      <c r="IB61" s="129"/>
      <c r="IC61" s="129"/>
      <c r="ID61" s="129"/>
      <c r="IE61" s="129"/>
      <c r="IF61" s="129"/>
      <c r="IG61" s="129"/>
      <c r="IH61" s="129"/>
      <c r="II61" s="129"/>
      <c r="IJ61" s="129"/>
      <c r="IK61" s="129"/>
      <c r="IL61" s="129"/>
      <c r="IM61" s="129"/>
      <c r="IN61" s="129"/>
      <c r="IO61" s="129"/>
      <c r="IP61" s="129"/>
      <c r="IQ61" s="129"/>
      <c r="IR61" s="129"/>
      <c r="IS61" s="129"/>
      <c r="IT61" s="129"/>
      <c r="IU61" s="129"/>
      <c r="IV61" s="129"/>
      <c r="IW61" s="129"/>
      <c r="IX61" s="129"/>
      <c r="IY61" s="129"/>
      <c r="IZ61" s="129"/>
      <c r="JA61" s="129"/>
      <c r="JB61" s="129"/>
      <c r="JC61" s="129"/>
      <c r="JD61" s="129"/>
      <c r="JE61" s="129"/>
      <c r="JF61" s="129"/>
      <c r="JG61" s="129"/>
      <c r="JH61" s="129"/>
      <c r="JI61" s="129"/>
      <c r="JJ61" s="129"/>
      <c r="JK61" s="129"/>
      <c r="JL61" s="129"/>
      <c r="JM61" s="129"/>
      <c r="JN61" s="129"/>
      <c r="JO61" s="129"/>
      <c r="JP61" s="129"/>
      <c r="JQ61" s="129"/>
      <c r="JR61" s="129"/>
      <c r="JS61" s="129"/>
      <c r="JT61" s="129"/>
      <c r="JU61" s="129"/>
      <c r="JV61" s="129"/>
      <c r="JW61" s="129"/>
      <c r="JX61" s="129"/>
      <c r="JY61" s="129"/>
      <c r="JZ61" s="129"/>
      <c r="KA61" s="129"/>
    </row>
    <row r="62" spans="1:287" ht="21">
      <c r="A62" s="130" t="s">
        <v>514</v>
      </c>
      <c r="B62" s="128"/>
      <c r="C62" s="129"/>
      <c r="D62" s="129"/>
      <c r="E62" s="129"/>
      <c r="F62" s="129"/>
      <c r="G62" s="129"/>
      <c r="H62" s="129"/>
      <c r="I62" s="129"/>
      <c r="J62" s="129"/>
      <c r="K62" s="129"/>
      <c r="L62" s="129"/>
      <c r="M62" s="129"/>
      <c r="N62" s="129"/>
      <c r="O62" s="129"/>
      <c r="P62" s="129"/>
      <c r="Q62" s="129"/>
      <c r="R62" s="129"/>
      <c r="S62" s="129"/>
      <c r="T62" s="129"/>
      <c r="U62" s="129"/>
      <c r="V62" s="129"/>
      <c r="W62" s="129"/>
      <c r="X62" s="129"/>
      <c r="Y62" s="129"/>
      <c r="Z62" s="129"/>
      <c r="AA62" s="129"/>
      <c r="AB62" s="129"/>
      <c r="AC62" s="129"/>
      <c r="AD62" s="129"/>
      <c r="AE62" s="129"/>
      <c r="AF62" s="129"/>
      <c r="AG62" s="129"/>
      <c r="AH62" s="129"/>
      <c r="AI62" s="129"/>
      <c r="AJ62" s="129"/>
      <c r="AK62" s="129"/>
      <c r="AL62" s="129"/>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29"/>
      <c r="BQ62" s="129"/>
      <c r="BR62" s="129"/>
      <c r="BS62" s="129"/>
      <c r="BT62" s="129"/>
      <c r="BU62" s="129"/>
      <c r="BV62" s="129"/>
      <c r="BW62" s="129"/>
      <c r="BX62" s="129"/>
      <c r="BY62" s="129"/>
      <c r="BZ62" s="129"/>
      <c r="CA62" s="129"/>
      <c r="CB62" s="129"/>
      <c r="CC62" s="129"/>
      <c r="CD62" s="129"/>
      <c r="CE62" s="129"/>
      <c r="CF62" s="129"/>
      <c r="CG62" s="129"/>
      <c r="CH62" s="129"/>
      <c r="CI62" s="129"/>
      <c r="CJ62" s="129"/>
      <c r="CK62" s="129"/>
      <c r="CL62" s="129"/>
      <c r="CM62" s="129"/>
      <c r="CN62" s="129"/>
      <c r="CO62" s="129"/>
      <c r="CP62" s="129"/>
      <c r="CQ62" s="129"/>
      <c r="CR62" s="129"/>
      <c r="CS62" s="129"/>
      <c r="CT62" s="129"/>
      <c r="CU62" s="129"/>
      <c r="CV62" s="129"/>
      <c r="CW62" s="129"/>
      <c r="CX62" s="129"/>
      <c r="CY62" s="129"/>
      <c r="CZ62" s="129"/>
      <c r="DA62" s="129"/>
      <c r="DB62" s="129"/>
      <c r="DC62" s="129"/>
      <c r="DD62" s="129"/>
      <c r="DE62" s="129"/>
      <c r="DF62" s="129"/>
      <c r="DG62" s="129"/>
      <c r="DH62" s="129"/>
      <c r="DI62" s="129"/>
      <c r="DJ62" s="129"/>
      <c r="DK62" s="129"/>
      <c r="DL62" s="129"/>
      <c r="DM62" s="129"/>
      <c r="DN62" s="129"/>
      <c r="DO62" s="129"/>
      <c r="DP62" s="129"/>
      <c r="DQ62" s="129"/>
      <c r="DR62" s="129"/>
      <c r="DS62" s="129"/>
      <c r="DT62" s="129"/>
      <c r="DU62" s="129"/>
      <c r="DV62" s="129"/>
      <c r="DW62" s="129"/>
      <c r="DX62" s="129"/>
      <c r="DY62" s="129"/>
      <c r="DZ62" s="129"/>
      <c r="EA62" s="129"/>
      <c r="EB62" s="129"/>
      <c r="EC62" s="129"/>
      <c r="ED62" s="129"/>
      <c r="EE62" s="129"/>
      <c r="EF62" s="129"/>
      <c r="EG62" s="129"/>
      <c r="EH62" s="129"/>
      <c r="EI62" s="129"/>
      <c r="EJ62" s="129"/>
      <c r="EK62" s="129"/>
      <c r="EL62" s="129"/>
      <c r="EM62" s="129"/>
      <c r="EN62" s="129"/>
      <c r="EO62" s="120"/>
      <c r="EP62" s="120"/>
      <c r="EQ62" s="120"/>
      <c r="ER62" s="120"/>
      <c r="ES62" s="120"/>
      <c r="ET62" s="120"/>
      <c r="EU62" s="120"/>
      <c r="EV62" s="129"/>
      <c r="EW62" s="129"/>
      <c r="EX62" s="129"/>
      <c r="EY62" s="129"/>
      <c r="EZ62" s="129"/>
      <c r="FA62" s="129"/>
      <c r="FB62" s="129"/>
      <c r="FC62" s="129"/>
      <c r="FD62" s="129"/>
      <c r="FE62" s="129"/>
      <c r="FF62" s="129"/>
      <c r="FG62" s="129"/>
      <c r="FH62" s="129"/>
      <c r="FI62" s="129"/>
      <c r="FJ62" s="129"/>
      <c r="FK62" s="129"/>
      <c r="FL62" s="129"/>
      <c r="FM62" s="129"/>
      <c r="FN62" s="129"/>
      <c r="FO62" s="129"/>
      <c r="FP62" s="129"/>
      <c r="FQ62" s="129"/>
      <c r="FR62" s="129"/>
      <c r="FS62" s="129"/>
      <c r="FT62" s="129"/>
      <c r="FU62" s="129"/>
      <c r="FV62" s="129"/>
      <c r="FW62" s="129"/>
      <c r="FX62" s="129"/>
      <c r="FY62" s="129"/>
      <c r="FZ62" s="129"/>
      <c r="GA62" s="129"/>
      <c r="GB62" s="129"/>
      <c r="GC62" s="129"/>
      <c r="GD62" s="129"/>
      <c r="GE62" s="129"/>
      <c r="GF62" s="129"/>
      <c r="GG62" s="129"/>
      <c r="GH62" s="129"/>
      <c r="GI62" s="129"/>
      <c r="GJ62" s="129"/>
      <c r="GK62" s="129"/>
      <c r="GL62" s="129"/>
      <c r="GM62" s="129"/>
      <c r="GN62" s="129"/>
      <c r="GO62" s="129"/>
      <c r="GP62" s="129"/>
      <c r="GQ62" s="129"/>
      <c r="GR62" s="129"/>
      <c r="GS62" s="129"/>
      <c r="GT62" s="129"/>
      <c r="GU62" s="129"/>
      <c r="GV62" s="129"/>
      <c r="GW62" s="129"/>
      <c r="GX62" s="129"/>
      <c r="GY62" s="129"/>
      <c r="GZ62" s="129"/>
      <c r="HA62" s="129"/>
      <c r="HB62" s="129"/>
      <c r="HC62" s="129"/>
      <c r="HD62" s="129"/>
      <c r="HE62" s="129"/>
      <c r="HF62" s="129"/>
      <c r="HG62" s="129"/>
      <c r="HH62" s="129"/>
      <c r="HI62" s="129"/>
      <c r="HJ62" s="129"/>
      <c r="HK62" s="129"/>
      <c r="HL62" s="129"/>
      <c r="HM62" s="129"/>
      <c r="HN62" s="129"/>
      <c r="HO62" s="129"/>
      <c r="HP62" s="129"/>
      <c r="HQ62" s="129"/>
      <c r="HR62" s="129"/>
      <c r="HS62" s="129"/>
      <c r="HT62" s="129"/>
      <c r="HU62" s="129"/>
      <c r="HV62" s="129"/>
      <c r="HW62" s="129"/>
      <c r="HX62" s="129"/>
      <c r="HY62" s="129"/>
      <c r="HZ62" s="129"/>
      <c r="IA62" s="129"/>
      <c r="IB62" s="129"/>
      <c r="IC62" s="129"/>
      <c r="ID62" s="129"/>
      <c r="IE62" s="129"/>
      <c r="IF62" s="129"/>
      <c r="IG62" s="129"/>
      <c r="IH62" s="129"/>
      <c r="II62" s="129"/>
      <c r="IJ62" s="129"/>
      <c r="IK62" s="129"/>
      <c r="IL62" s="129"/>
      <c r="IM62" s="129"/>
      <c r="IN62" s="129"/>
      <c r="IO62" s="129"/>
      <c r="IP62" s="129"/>
      <c r="IQ62" s="129"/>
      <c r="IR62" s="129"/>
      <c r="IS62" s="129"/>
      <c r="IT62" s="129"/>
      <c r="IU62" s="129"/>
      <c r="IV62" s="129"/>
      <c r="IW62" s="129"/>
      <c r="IX62" s="129"/>
      <c r="IY62" s="129"/>
      <c r="IZ62" s="129"/>
      <c r="JA62" s="129"/>
      <c r="JB62" s="129"/>
      <c r="JC62" s="129"/>
      <c r="JD62" s="129"/>
      <c r="JE62" s="129"/>
      <c r="JF62" s="129"/>
      <c r="JG62" s="129"/>
      <c r="JH62" s="129"/>
      <c r="JI62" s="129"/>
      <c r="JJ62" s="129"/>
      <c r="JK62" s="129"/>
      <c r="JL62" s="129"/>
      <c r="JM62" s="129"/>
      <c r="JN62" s="129"/>
      <c r="JO62" s="129"/>
      <c r="JP62" s="129"/>
      <c r="JQ62" s="129"/>
      <c r="JR62" s="129"/>
      <c r="JS62" s="129"/>
      <c r="JT62" s="129"/>
      <c r="JU62" s="129"/>
      <c r="JV62" s="129"/>
      <c r="JW62" s="129"/>
      <c r="JX62" s="129"/>
      <c r="JY62" s="129"/>
      <c r="JZ62" s="129"/>
      <c r="KA62" s="129"/>
    </row>
    <row r="66" spans="1:148">
      <c r="B66" s="651" t="s">
        <v>124</v>
      </c>
      <c r="C66" s="651"/>
      <c r="D66" s="651"/>
      <c r="E66" s="651"/>
      <c r="F66" s="651"/>
      <c r="G66" s="651"/>
      <c r="H66" s="651"/>
      <c r="I66" s="651"/>
      <c r="J66" s="651"/>
      <c r="K66" s="651"/>
      <c r="L66" s="651"/>
      <c r="M66" s="651"/>
      <c r="N66" s="651"/>
      <c r="O66" s="651"/>
      <c r="P66" s="651"/>
      <c r="Q66" s="651"/>
      <c r="R66" s="651"/>
      <c r="S66" s="651"/>
      <c r="T66" s="651"/>
      <c r="U66" s="651" t="s">
        <v>125</v>
      </c>
      <c r="V66" s="651"/>
      <c r="W66" s="651"/>
      <c r="X66" s="651"/>
      <c r="Y66" s="651"/>
      <c r="Z66" s="651"/>
      <c r="AA66" s="651"/>
      <c r="AB66" s="651"/>
      <c r="AC66" s="651"/>
      <c r="AD66" s="651"/>
      <c r="AE66" s="651"/>
      <c r="AF66" s="651"/>
      <c r="AG66" s="651"/>
      <c r="AH66" s="651"/>
      <c r="AI66" s="651"/>
      <c r="AJ66" s="651"/>
      <c r="AK66" s="651"/>
      <c r="AL66" s="651"/>
      <c r="AM66" s="651"/>
    </row>
    <row r="67" spans="1:148">
      <c r="A67" s="121" t="s">
        <v>515</v>
      </c>
      <c r="B67" s="122" t="s">
        <v>516</v>
      </c>
      <c r="C67" s="122" t="s">
        <v>517</v>
      </c>
      <c r="D67" s="122" t="s">
        <v>518</v>
      </c>
      <c r="E67" s="122" t="s">
        <v>519</v>
      </c>
      <c r="F67" s="122" t="s">
        <v>520</v>
      </c>
      <c r="G67" s="122" t="s">
        <v>521</v>
      </c>
      <c r="H67" s="122" t="s">
        <v>522</v>
      </c>
      <c r="I67" s="122" t="s">
        <v>523</v>
      </c>
      <c r="J67" s="122" t="s">
        <v>524</v>
      </c>
      <c r="K67" s="122" t="s">
        <v>525</v>
      </c>
      <c r="L67" s="122" t="s">
        <v>526</v>
      </c>
      <c r="M67" s="122" t="s">
        <v>527</v>
      </c>
      <c r="N67" s="122" t="s">
        <v>528</v>
      </c>
      <c r="O67" s="122" t="s">
        <v>529</v>
      </c>
      <c r="P67" s="122" t="s">
        <v>530</v>
      </c>
      <c r="Q67" s="122" t="s">
        <v>531</v>
      </c>
      <c r="R67" s="122" t="s">
        <v>532</v>
      </c>
      <c r="S67" s="122" t="s">
        <v>533</v>
      </c>
      <c r="T67" s="122" t="s">
        <v>534</v>
      </c>
      <c r="U67" s="122" t="s">
        <v>516</v>
      </c>
      <c r="V67" s="122" t="s">
        <v>517</v>
      </c>
      <c r="W67" s="122" t="s">
        <v>518</v>
      </c>
      <c r="X67" s="122" t="s">
        <v>519</v>
      </c>
      <c r="Y67" s="122" t="s">
        <v>520</v>
      </c>
      <c r="Z67" s="122" t="s">
        <v>521</v>
      </c>
      <c r="AA67" s="122" t="s">
        <v>522</v>
      </c>
      <c r="AB67" s="122" t="s">
        <v>523</v>
      </c>
      <c r="AC67" s="122" t="s">
        <v>524</v>
      </c>
      <c r="AD67" s="122" t="s">
        <v>525</v>
      </c>
      <c r="AE67" s="122" t="s">
        <v>526</v>
      </c>
      <c r="AF67" s="122" t="s">
        <v>527</v>
      </c>
      <c r="AG67" s="122" t="s">
        <v>528</v>
      </c>
      <c r="AH67" s="122" t="s">
        <v>529</v>
      </c>
      <c r="AI67" s="122" t="s">
        <v>530</v>
      </c>
      <c r="AJ67" s="122" t="s">
        <v>531</v>
      </c>
      <c r="AK67" s="122" t="s">
        <v>532</v>
      </c>
      <c r="AL67" s="122" t="s">
        <v>533</v>
      </c>
      <c r="AM67" s="122" t="s">
        <v>534</v>
      </c>
      <c r="EO67" s="122" t="s">
        <v>535</v>
      </c>
      <c r="EP67" s="122" t="s">
        <v>536</v>
      </c>
      <c r="EQ67" s="122" t="s">
        <v>537</v>
      </c>
      <c r="ER67" s="122" t="s">
        <v>538</v>
      </c>
    </row>
    <row r="68" spans="1:148">
      <c r="A68" s="123" t="s">
        <v>539</v>
      </c>
      <c r="B68" s="124">
        <v>50</v>
      </c>
      <c r="C68" s="124">
        <v>100</v>
      </c>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125"/>
      <c r="AD68" s="125"/>
      <c r="AE68" s="125"/>
      <c r="AF68" s="125"/>
      <c r="AG68" s="125"/>
      <c r="AH68" s="125"/>
      <c r="AI68" s="125"/>
      <c r="AJ68" s="125"/>
      <c r="AK68" s="125"/>
      <c r="AL68" s="125"/>
      <c r="AM68" s="125"/>
      <c r="EO68" s="126">
        <v>1</v>
      </c>
      <c r="EP68" s="126">
        <v>1</v>
      </c>
      <c r="EQ68" s="126">
        <v>1</v>
      </c>
      <c r="ER68" s="126">
        <v>1</v>
      </c>
    </row>
    <row r="69" spans="1:148">
      <c r="A69" s="123" t="s">
        <v>540</v>
      </c>
      <c r="B69" s="127"/>
      <c r="C69" s="127"/>
      <c r="D69" s="127"/>
      <c r="E69" s="127"/>
      <c r="F69" s="127"/>
      <c r="G69" s="127"/>
      <c r="H69" s="127"/>
      <c r="I69" s="127"/>
      <c r="J69" s="127"/>
      <c r="K69" s="127"/>
      <c r="L69" s="127"/>
      <c r="M69" s="127"/>
      <c r="N69" s="127"/>
      <c r="O69" s="127"/>
      <c r="P69" s="127"/>
      <c r="Q69" s="127"/>
      <c r="R69" s="127"/>
      <c r="S69" s="127"/>
      <c r="T69" s="127"/>
      <c r="U69" s="125"/>
      <c r="V69" s="125"/>
      <c r="W69" s="125"/>
      <c r="X69" s="125"/>
      <c r="Y69" s="125"/>
      <c r="Z69" s="125"/>
      <c r="AA69" s="125"/>
      <c r="AB69" s="125"/>
      <c r="AC69" s="125"/>
      <c r="AD69" s="125"/>
      <c r="AE69" s="125"/>
      <c r="AF69" s="125"/>
      <c r="AG69" s="125"/>
      <c r="AH69" s="125"/>
      <c r="AI69" s="125"/>
      <c r="AJ69" s="125"/>
      <c r="AK69" s="125"/>
      <c r="AL69" s="125"/>
      <c r="AM69" s="125"/>
      <c r="EO69" s="122"/>
      <c r="EP69" s="122"/>
      <c r="EQ69" s="122"/>
      <c r="ER69" s="122"/>
    </row>
    <row r="70" spans="1:148">
      <c r="A70" s="123" t="s">
        <v>541</v>
      </c>
      <c r="B70" s="127"/>
      <c r="C70" s="127"/>
      <c r="D70" s="127"/>
      <c r="E70" s="127"/>
      <c r="F70" s="127"/>
      <c r="G70" s="127"/>
      <c r="H70" s="127"/>
      <c r="I70" s="127"/>
      <c r="J70" s="127"/>
      <c r="K70" s="127"/>
      <c r="L70" s="127"/>
      <c r="M70" s="127"/>
      <c r="N70" s="127"/>
      <c r="O70" s="127"/>
      <c r="P70" s="127"/>
      <c r="Q70" s="127"/>
      <c r="R70" s="127"/>
      <c r="S70" s="127"/>
      <c r="T70" s="127"/>
      <c r="U70" s="125"/>
      <c r="V70" s="125"/>
      <c r="W70" s="125"/>
      <c r="X70" s="125"/>
      <c r="Y70" s="125"/>
      <c r="Z70" s="125"/>
      <c r="AA70" s="125"/>
      <c r="AB70" s="125"/>
      <c r="AC70" s="125"/>
      <c r="AD70" s="125"/>
      <c r="AE70" s="125"/>
      <c r="AF70" s="125"/>
      <c r="AG70" s="125"/>
      <c r="AH70" s="125"/>
      <c r="AI70" s="125"/>
      <c r="AJ70" s="125"/>
      <c r="AK70" s="125"/>
      <c r="AL70" s="125"/>
      <c r="AM70" s="125"/>
      <c r="EO70" s="122"/>
      <c r="EP70" s="126">
        <v>0.3</v>
      </c>
      <c r="EQ70" s="122"/>
      <c r="ER70" s="122"/>
    </row>
    <row r="71" spans="1:148">
      <c r="A71" s="123" t="s">
        <v>542</v>
      </c>
      <c r="B71" s="127"/>
      <c r="C71" s="127"/>
      <c r="D71" s="127"/>
      <c r="E71" s="127"/>
      <c r="F71" s="127"/>
      <c r="G71" s="127"/>
      <c r="H71" s="127"/>
      <c r="I71" s="127"/>
      <c r="J71" s="127"/>
      <c r="K71" s="127"/>
      <c r="L71" s="127"/>
      <c r="M71" s="127"/>
      <c r="N71" s="127"/>
      <c r="O71" s="127"/>
      <c r="P71" s="127"/>
      <c r="Q71" s="127"/>
      <c r="R71" s="127"/>
      <c r="S71" s="127"/>
      <c r="T71" s="127"/>
      <c r="U71" s="125"/>
      <c r="V71" s="125"/>
      <c r="W71" s="125"/>
      <c r="X71" s="125"/>
      <c r="Y71" s="125"/>
      <c r="Z71" s="125"/>
      <c r="AA71" s="125"/>
      <c r="AB71" s="125"/>
      <c r="AC71" s="125"/>
      <c r="AD71" s="125"/>
      <c r="AE71" s="125"/>
      <c r="AF71" s="125"/>
      <c r="AG71" s="125"/>
      <c r="AH71" s="125"/>
      <c r="AI71" s="125"/>
      <c r="AJ71" s="125"/>
      <c r="AK71" s="125"/>
      <c r="AL71" s="125"/>
      <c r="AM71" s="125"/>
      <c r="EO71" s="122"/>
      <c r="EP71" s="122"/>
      <c r="EQ71" s="122"/>
      <c r="ER71" s="122"/>
    </row>
    <row r="72" spans="1:148">
      <c r="A72" s="123" t="s">
        <v>543</v>
      </c>
      <c r="B72" s="127"/>
      <c r="C72" s="127"/>
      <c r="D72" s="127"/>
      <c r="E72" s="127"/>
      <c r="F72" s="127"/>
      <c r="G72" s="127"/>
      <c r="H72" s="127"/>
      <c r="I72" s="127"/>
      <c r="J72" s="127"/>
      <c r="K72" s="127"/>
      <c r="L72" s="127"/>
      <c r="M72" s="127"/>
      <c r="N72" s="127"/>
      <c r="O72" s="127"/>
      <c r="P72" s="127"/>
      <c r="Q72" s="127"/>
      <c r="R72" s="127"/>
      <c r="S72" s="127"/>
      <c r="T72" s="127"/>
      <c r="U72" s="125"/>
      <c r="V72" s="125"/>
      <c r="W72" s="125"/>
      <c r="X72" s="125"/>
      <c r="Y72" s="125"/>
      <c r="Z72" s="125"/>
      <c r="AA72" s="125"/>
      <c r="AB72" s="125"/>
      <c r="AC72" s="125"/>
      <c r="AD72" s="125"/>
      <c r="AE72" s="125"/>
      <c r="AF72" s="125"/>
      <c r="AG72" s="125"/>
      <c r="AH72" s="125"/>
      <c r="AI72" s="125"/>
      <c r="AJ72" s="125"/>
      <c r="AK72" s="125"/>
      <c r="AL72" s="125"/>
      <c r="AM72" s="125"/>
      <c r="EO72" s="122"/>
      <c r="EP72" s="126">
        <v>0.7</v>
      </c>
      <c r="EQ72" s="126">
        <v>0.5</v>
      </c>
      <c r="ER72" s="126">
        <v>0.3</v>
      </c>
    </row>
    <row r="73" spans="1:148">
      <c r="A73" s="123" t="s">
        <v>544</v>
      </c>
      <c r="B73" s="127"/>
      <c r="C73" s="127"/>
      <c r="D73" s="127"/>
      <c r="E73" s="127"/>
      <c r="F73" s="127"/>
      <c r="G73" s="127"/>
      <c r="H73" s="127"/>
      <c r="I73" s="127"/>
      <c r="J73" s="127"/>
      <c r="K73" s="127"/>
      <c r="L73" s="127"/>
      <c r="M73" s="127"/>
      <c r="N73" s="127"/>
      <c r="O73" s="127"/>
      <c r="P73" s="127"/>
      <c r="Q73" s="127"/>
      <c r="R73" s="127"/>
      <c r="S73" s="127"/>
      <c r="T73" s="127"/>
      <c r="U73" s="125"/>
      <c r="V73" s="125"/>
      <c r="W73" s="125"/>
      <c r="X73" s="125"/>
      <c r="Y73" s="125"/>
      <c r="Z73" s="125"/>
      <c r="AA73" s="125"/>
      <c r="AB73" s="125"/>
      <c r="AC73" s="125"/>
      <c r="AD73" s="125"/>
      <c r="AE73" s="125"/>
      <c r="AF73" s="125"/>
      <c r="AG73" s="125"/>
      <c r="AH73" s="125"/>
      <c r="AI73" s="125"/>
      <c r="AJ73" s="125"/>
      <c r="AK73" s="125"/>
      <c r="AL73" s="125"/>
      <c r="AM73" s="125"/>
      <c r="EO73" s="122"/>
      <c r="EP73" s="126">
        <v>0.5</v>
      </c>
      <c r="EQ73" s="126">
        <v>0.5</v>
      </c>
      <c r="ER73" s="126">
        <v>0.5</v>
      </c>
    </row>
    <row r="74" spans="1:148">
      <c r="A74" s="123" t="s">
        <v>545</v>
      </c>
      <c r="B74" s="127"/>
      <c r="C74" s="127"/>
      <c r="D74" s="127"/>
      <c r="E74" s="127"/>
      <c r="F74" s="127"/>
      <c r="G74" s="127"/>
      <c r="H74" s="127"/>
      <c r="I74" s="127"/>
      <c r="J74" s="127"/>
      <c r="K74" s="127"/>
      <c r="L74" s="127"/>
      <c r="M74" s="127"/>
      <c r="N74" s="127"/>
      <c r="O74" s="127"/>
      <c r="P74" s="127"/>
      <c r="Q74" s="127"/>
      <c r="R74" s="127"/>
      <c r="S74" s="127"/>
      <c r="T74" s="127"/>
      <c r="U74" s="125"/>
      <c r="V74" s="125"/>
      <c r="W74" s="125"/>
      <c r="X74" s="125"/>
      <c r="Y74" s="125"/>
      <c r="Z74" s="125"/>
      <c r="AA74" s="125"/>
      <c r="AB74" s="125"/>
      <c r="AC74" s="125"/>
      <c r="AD74" s="125"/>
      <c r="AE74" s="125"/>
      <c r="AF74" s="125"/>
      <c r="AG74" s="125"/>
      <c r="AH74" s="125"/>
      <c r="AI74" s="125"/>
      <c r="AJ74" s="125"/>
      <c r="AK74" s="125"/>
      <c r="AL74" s="125"/>
      <c r="AM74" s="125"/>
      <c r="EO74" s="122"/>
      <c r="EP74" s="122"/>
      <c r="EQ74" s="122"/>
      <c r="ER74" s="122"/>
    </row>
    <row r="75" spans="1:148">
      <c r="A75" s="123" t="s">
        <v>546</v>
      </c>
      <c r="B75" s="127"/>
      <c r="C75" s="127"/>
      <c r="D75" s="127"/>
      <c r="E75" s="127"/>
      <c r="F75" s="127"/>
      <c r="G75" s="127"/>
      <c r="H75" s="127"/>
      <c r="I75" s="127"/>
      <c r="J75" s="127"/>
      <c r="K75" s="127"/>
      <c r="L75" s="127"/>
      <c r="M75" s="127"/>
      <c r="N75" s="127"/>
      <c r="O75" s="127"/>
      <c r="P75" s="127"/>
      <c r="Q75" s="127"/>
      <c r="R75" s="127"/>
      <c r="S75" s="127"/>
      <c r="T75" s="127"/>
      <c r="U75" s="125"/>
      <c r="V75" s="125"/>
      <c r="W75" s="125"/>
      <c r="X75" s="125"/>
      <c r="Y75" s="125"/>
      <c r="Z75" s="125"/>
      <c r="AA75" s="125"/>
      <c r="AB75" s="125"/>
      <c r="AC75" s="125"/>
      <c r="AD75" s="125"/>
      <c r="AE75" s="125"/>
      <c r="AF75" s="125"/>
      <c r="AG75" s="125"/>
      <c r="AH75" s="125"/>
      <c r="AI75" s="125"/>
      <c r="AJ75" s="125"/>
      <c r="AK75" s="125"/>
      <c r="AL75" s="125"/>
      <c r="AM75" s="125"/>
      <c r="EO75" s="122"/>
      <c r="EP75" s="122"/>
      <c r="EQ75" s="122"/>
      <c r="ER75" s="122"/>
    </row>
  </sheetData>
  <mergeCells count="2">
    <mergeCell ref="B66:T66"/>
    <mergeCell ref="U66:AM66"/>
  </mergeCells>
  <conditionalFormatting sqref="B12:KA60">
    <cfRule type="cellIs" dxfId="16" priority="1" operator="equal">
      <formula>100%</formula>
    </cfRule>
    <cfRule type="cellIs" dxfId="15" priority="2" operator="between">
      <formula>50%</formula>
      <formula>99%</formula>
    </cfRule>
    <cfRule type="cellIs" dxfId="14" priority="3" operator="between">
      <formula>1%</formula>
      <formula>49%</formula>
    </cfRule>
  </conditionalFormatting>
  <pageMargins left="0.70866141732283472" right="0.70866141732283472" top="0.74803149606299213" bottom="0.74803149606299213" header="0.31496062992125984" footer="0.31496062992125984"/>
  <pageSetup scale="47" fitToWidth="0"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2">
    <tabColor rgb="FFFF9900"/>
    <pageSetUpPr fitToPage="1"/>
  </sheetPr>
  <dimension ref="A1:Z144"/>
  <sheetViews>
    <sheetView zoomScale="55" zoomScaleNormal="55" workbookViewId="0">
      <selection activeCell="O4" sqref="O4"/>
    </sheetView>
  </sheetViews>
  <sheetFormatPr baseColWidth="10" defaultColWidth="9.140625" defaultRowHeight="28.5"/>
  <cols>
    <col min="1" max="1" width="17.5703125" style="6" customWidth="1"/>
    <col min="2" max="2" width="105.140625" style="37" customWidth="1"/>
    <col min="3" max="5" width="11.28515625" style="1" customWidth="1"/>
    <col min="6" max="6" width="11.5703125" style="1" customWidth="1"/>
    <col min="7" max="8" width="11.28515625" style="1" customWidth="1"/>
    <col min="9" max="9" width="12.28515625" style="1" bestFit="1" customWidth="1"/>
    <col min="10" max="20" width="12.28515625" style="1" customWidth="1"/>
    <col min="21" max="21" width="14.42578125" style="1" customWidth="1"/>
    <col min="22" max="22" width="8.42578125" style="1" bestFit="1" customWidth="1"/>
    <col min="23" max="23" width="15.5703125" style="1" customWidth="1"/>
    <col min="24" max="24" width="20" style="1" bestFit="1" customWidth="1"/>
    <col min="25" max="25" width="17" style="1" customWidth="1"/>
    <col min="26" max="26" width="22.85546875" style="1" customWidth="1"/>
  </cols>
  <sheetData>
    <row r="1" spans="1:26" ht="90.75" customHeight="1">
      <c r="A1" s="652" t="s">
        <v>547</v>
      </c>
      <c r="B1" s="652"/>
      <c r="C1" s="652"/>
      <c r="D1" s="652"/>
      <c r="E1" s="652"/>
      <c r="F1" s="652"/>
      <c r="G1" s="652"/>
      <c r="H1" s="652"/>
      <c r="I1" s="652"/>
      <c r="J1" s="652"/>
      <c r="K1" s="652"/>
      <c r="L1" s="652"/>
      <c r="M1" s="652"/>
      <c r="N1" s="652"/>
      <c r="O1" s="652"/>
      <c r="P1" s="652"/>
      <c r="Q1" s="652"/>
      <c r="R1" s="652"/>
      <c r="S1" s="652"/>
      <c r="T1" s="652"/>
      <c r="U1" s="652"/>
      <c r="V1" s="652"/>
      <c r="W1" s="652"/>
      <c r="X1" s="652"/>
      <c r="Y1" s="652"/>
      <c r="Z1" s="652"/>
    </row>
    <row r="2" spans="1:26" ht="31.5">
      <c r="B2" s="7"/>
      <c r="C2" s="4"/>
      <c r="D2" s="4"/>
      <c r="E2" s="4"/>
      <c r="F2" s="4"/>
      <c r="G2" s="4"/>
      <c r="H2" s="4"/>
      <c r="I2" s="4"/>
      <c r="J2" s="4"/>
      <c r="K2" s="4"/>
      <c r="L2" s="4"/>
      <c r="M2" s="4"/>
      <c r="N2" s="8"/>
      <c r="O2" s="8"/>
      <c r="P2" s="8"/>
      <c r="Q2" s="8"/>
      <c r="R2" s="8"/>
      <c r="S2" s="8"/>
      <c r="T2" s="8"/>
      <c r="U2" s="8"/>
      <c r="V2" s="8"/>
      <c r="W2" s="8"/>
      <c r="X2" s="5"/>
      <c r="Y2" s="4"/>
      <c r="Z2" s="5"/>
    </row>
    <row r="3" spans="1:26" s="1" customFormat="1" ht="29.25" thickBot="1">
      <c r="A3" s="6"/>
      <c r="B3" s="7"/>
      <c r="C3" s="5"/>
      <c r="D3" s="5"/>
      <c r="E3" s="5"/>
      <c r="F3" s="5"/>
      <c r="G3" s="5"/>
      <c r="H3" s="5"/>
      <c r="I3" s="5"/>
      <c r="J3" s="5"/>
      <c r="K3" s="5"/>
      <c r="L3" s="5"/>
      <c r="M3" s="5"/>
      <c r="N3" s="5"/>
      <c r="O3" s="5"/>
      <c r="P3" s="5"/>
      <c r="Q3" s="5"/>
      <c r="R3" s="5"/>
      <c r="S3" s="5"/>
      <c r="T3" s="5"/>
      <c r="U3" s="5"/>
      <c r="V3" s="5"/>
      <c r="W3" s="5"/>
      <c r="X3" s="5"/>
      <c r="Y3" s="5"/>
      <c r="Z3" s="5"/>
    </row>
    <row r="4" spans="1:26">
      <c r="B4" s="589" t="s">
        <v>38</v>
      </c>
      <c r="C4" s="9" t="s">
        <v>39</v>
      </c>
      <c r="D4" s="9" t="s">
        <v>39</v>
      </c>
      <c r="E4" s="9" t="s">
        <v>39</v>
      </c>
      <c r="F4" s="9" t="s">
        <v>39</v>
      </c>
      <c r="G4" s="9" t="s">
        <v>39</v>
      </c>
      <c r="H4" s="9" t="s">
        <v>39</v>
      </c>
      <c r="I4" s="9" t="s">
        <v>39</v>
      </c>
      <c r="J4" s="9" t="s">
        <v>39</v>
      </c>
      <c r="K4" s="9" t="s">
        <v>39</v>
      </c>
      <c r="L4" s="9" t="s">
        <v>39</v>
      </c>
      <c r="M4" s="9" t="s">
        <v>39</v>
      </c>
      <c r="N4" s="9" t="s">
        <v>39</v>
      </c>
      <c r="O4" s="9" t="s">
        <v>39</v>
      </c>
      <c r="P4" s="9" t="s">
        <v>39</v>
      </c>
      <c r="Q4" s="9" t="s">
        <v>39</v>
      </c>
      <c r="R4" s="9" t="s">
        <v>39</v>
      </c>
      <c r="S4" s="9" t="s">
        <v>39</v>
      </c>
      <c r="T4" s="9" t="s">
        <v>39</v>
      </c>
      <c r="U4" s="9" t="s">
        <v>39</v>
      </c>
      <c r="V4" s="647">
        <v>1900</v>
      </c>
      <c r="W4" s="576" t="s">
        <v>40</v>
      </c>
      <c r="X4" s="649" t="s">
        <v>41</v>
      </c>
      <c r="Y4" s="576" t="s">
        <v>42</v>
      </c>
      <c r="Z4" s="574" t="s">
        <v>43</v>
      </c>
    </row>
    <row r="5" spans="1:26" ht="29.25" thickBot="1">
      <c r="B5" s="590"/>
      <c r="C5" s="10">
        <v>1</v>
      </c>
      <c r="D5" s="11">
        <v>2</v>
      </c>
      <c r="E5" s="11">
        <v>3</v>
      </c>
      <c r="F5" s="11">
        <v>4</v>
      </c>
      <c r="G5" s="11">
        <v>5</v>
      </c>
      <c r="H5" s="11">
        <v>6</v>
      </c>
      <c r="I5" s="11">
        <v>7</v>
      </c>
      <c r="J5" s="11">
        <v>8</v>
      </c>
      <c r="K5" s="11">
        <v>9</v>
      </c>
      <c r="L5" s="11">
        <v>10</v>
      </c>
      <c r="M5" s="11">
        <v>11</v>
      </c>
      <c r="N5" s="11">
        <v>12</v>
      </c>
      <c r="O5" s="11">
        <v>13</v>
      </c>
      <c r="P5" s="11">
        <v>14</v>
      </c>
      <c r="Q5" s="11">
        <v>15</v>
      </c>
      <c r="R5" s="11">
        <v>16</v>
      </c>
      <c r="S5" s="11">
        <v>17</v>
      </c>
      <c r="T5" s="11">
        <v>18</v>
      </c>
      <c r="U5" s="11">
        <v>19</v>
      </c>
      <c r="V5" s="648"/>
      <c r="W5" s="577"/>
      <c r="X5" s="650"/>
      <c r="Y5" s="577"/>
      <c r="Z5" s="575"/>
    </row>
    <row r="6" spans="1:26" ht="29.25" thickBot="1">
      <c r="B6" s="12">
        <f>0%/100</f>
        <v>0</v>
      </c>
      <c r="C6" s="79">
        <f>526.31%/100</f>
        <v>5.2630999999999997E-2</v>
      </c>
      <c r="D6" s="79">
        <f>(526.31%/100)*2</f>
        <v>0.10526199999999999</v>
      </c>
      <c r="E6" s="79">
        <f>(526.31%/100)*3</f>
        <v>0.15789300000000001</v>
      </c>
      <c r="F6" s="79">
        <f>(526.31%/100)*4</f>
        <v>0.21052399999999999</v>
      </c>
      <c r="G6" s="79">
        <f>(526.31%/100)*5</f>
        <v>0.26315499999999997</v>
      </c>
      <c r="H6" s="79">
        <f>(526.31%/100)*6</f>
        <v>0.31578600000000001</v>
      </c>
      <c r="I6" s="79">
        <f>(526.31%/100)*7</f>
        <v>0.36841699999999999</v>
      </c>
      <c r="J6" s="79">
        <f>(526.31%/100)*8</f>
        <v>0.42104799999999998</v>
      </c>
      <c r="K6" s="79">
        <f>(526.31%/100)*9</f>
        <v>0.47367899999999996</v>
      </c>
      <c r="L6" s="79">
        <f>(526.31%/100)*10</f>
        <v>0.52630999999999994</v>
      </c>
      <c r="M6" s="79">
        <f>(526.31%/100)*11</f>
        <v>0.57894099999999993</v>
      </c>
      <c r="N6" s="79">
        <f>(526.31%/100)*12</f>
        <v>0.63157200000000002</v>
      </c>
      <c r="O6" s="79">
        <f>(526.31%/100)*13</f>
        <v>0.68420300000000001</v>
      </c>
      <c r="P6" s="79">
        <f>(526.31%/100)*14</f>
        <v>0.73683399999999999</v>
      </c>
      <c r="Q6" s="79">
        <f>(526.31%/100)*15</f>
        <v>0.78946499999999997</v>
      </c>
      <c r="R6" s="79">
        <f>(526.31%/100)*16</f>
        <v>0.84209599999999996</v>
      </c>
      <c r="S6" s="79">
        <f>(526.31%/100)*17</f>
        <v>0.89472699999999994</v>
      </c>
      <c r="T6" s="79">
        <f>(526.31%/100)*18</f>
        <v>0.94735799999999992</v>
      </c>
      <c r="U6" s="79">
        <f>(526.32%/100)*19</f>
        <v>1.000008</v>
      </c>
      <c r="V6" s="13"/>
      <c r="W6" s="14"/>
      <c r="X6" s="14"/>
      <c r="Y6" s="14"/>
      <c r="Z6" s="15"/>
    </row>
    <row r="7" spans="1:26" ht="29.25" thickBot="1">
      <c r="A7" s="53">
        <v>1</v>
      </c>
      <c r="B7" s="136" t="s">
        <v>73</v>
      </c>
      <c r="C7" s="81"/>
      <c r="D7" s="81" t="e">
        <f>#REF!</f>
        <v>#REF!</v>
      </c>
      <c r="E7" s="81" t="e">
        <f>#REF!</f>
        <v>#REF!</v>
      </c>
      <c r="F7" s="81" t="e">
        <f>#REF!</f>
        <v>#REF!</v>
      </c>
      <c r="G7" s="81" t="e">
        <f>#REF!</f>
        <v>#REF!</v>
      </c>
      <c r="H7" s="81" t="e">
        <f>#REF!</f>
        <v>#REF!</v>
      </c>
      <c r="I7" s="81" t="e">
        <f>#REF!</f>
        <v>#REF!</v>
      </c>
      <c r="J7" s="81" t="e">
        <f>#REF!</f>
        <v>#REF!</v>
      </c>
      <c r="K7" s="81" t="e">
        <f>#REF!</f>
        <v>#REF!</v>
      </c>
      <c r="L7" s="81" t="e">
        <f>#REF!</f>
        <v>#REF!</v>
      </c>
      <c r="M7" s="81" t="e">
        <f>#REF!</f>
        <v>#REF!</v>
      </c>
      <c r="N7" s="81" t="e">
        <f>#REF!</f>
        <v>#REF!</v>
      </c>
      <c r="O7" s="81" t="e">
        <f>#REF!</f>
        <v>#REF!</v>
      </c>
      <c r="P7" s="81" t="e">
        <f>#REF!</f>
        <v>#REF!</v>
      </c>
      <c r="Q7" s="81" t="e">
        <f>#REF!</f>
        <v>#REF!</v>
      </c>
      <c r="R7" s="81" t="e">
        <f>#REF!</f>
        <v>#REF!</v>
      </c>
      <c r="S7" s="81" t="e">
        <f>#REF!</f>
        <v>#REF!</v>
      </c>
      <c r="T7" s="81" t="e">
        <f>#REF!</f>
        <v>#REF!</v>
      </c>
      <c r="U7" s="81" t="e">
        <f>#REF!</f>
        <v>#REF!</v>
      </c>
      <c r="V7" s="80" t="e">
        <f>D7+E7+F7+G7+H7+I7+L7+M7+N7+O7+P7+Q7+R7+S7+T7+U7+J7+K7+C7</f>
        <v>#REF!</v>
      </c>
      <c r="W7" s="18" t="e">
        <f>IF($V$4&gt;0,V7/$V$4,0)</f>
        <v>#REF!</v>
      </c>
      <c r="X7" s="19">
        <f>$U$6</f>
        <v>1.000008</v>
      </c>
      <c r="Y7" s="20"/>
      <c r="Z7" s="21"/>
    </row>
    <row r="8" spans="1:26" ht="29.25" thickBot="1">
      <c r="A8" s="53">
        <v>2</v>
      </c>
      <c r="B8" s="108" t="s">
        <v>172</v>
      </c>
      <c r="C8" s="81"/>
      <c r="D8" s="81" t="e">
        <f>#REF!</f>
        <v>#REF!</v>
      </c>
      <c r="E8" s="81" t="e">
        <f>#REF!</f>
        <v>#REF!</v>
      </c>
      <c r="F8" s="81" t="e">
        <f>#REF!</f>
        <v>#REF!</v>
      </c>
      <c r="G8" s="81" t="e">
        <f>#REF!</f>
        <v>#REF!</v>
      </c>
      <c r="H8" s="81" t="e">
        <f>#REF!</f>
        <v>#REF!</v>
      </c>
      <c r="I8" s="81" t="e">
        <f>#REF!</f>
        <v>#REF!</v>
      </c>
      <c r="J8" s="81" t="e">
        <f>#REF!</f>
        <v>#REF!</v>
      </c>
      <c r="K8" s="81" t="e">
        <f>#REF!</f>
        <v>#REF!</v>
      </c>
      <c r="L8" s="81" t="e">
        <f>#REF!</f>
        <v>#REF!</v>
      </c>
      <c r="M8" s="81" t="e">
        <f>#REF!</f>
        <v>#REF!</v>
      </c>
      <c r="N8" s="81" t="e">
        <f>#REF!</f>
        <v>#REF!</v>
      </c>
      <c r="O8" s="81" t="e">
        <f>#REF!</f>
        <v>#REF!</v>
      </c>
      <c r="P8" s="81" t="e">
        <f>#REF!</f>
        <v>#REF!</v>
      </c>
      <c r="Q8" s="81" t="e">
        <f>#REF!</f>
        <v>#REF!</v>
      </c>
      <c r="R8" s="81" t="e">
        <f>#REF!</f>
        <v>#REF!</v>
      </c>
      <c r="S8" s="81" t="e">
        <f>#REF!</f>
        <v>#REF!</v>
      </c>
      <c r="T8" s="81" t="e">
        <f>#REF!</f>
        <v>#REF!</v>
      </c>
      <c r="U8" s="81" t="e">
        <f>#REF!</f>
        <v>#REF!</v>
      </c>
      <c r="V8" s="80"/>
      <c r="W8" s="18"/>
      <c r="X8" s="19"/>
      <c r="Y8" s="30"/>
      <c r="Z8" s="23"/>
    </row>
    <row r="9" spans="1:26" s="1" customFormat="1" ht="29.25" thickBot="1">
      <c r="A9" s="53">
        <v>3</v>
      </c>
      <c r="B9" s="108" t="s">
        <v>113</v>
      </c>
      <c r="C9" s="81"/>
      <c r="D9" s="81" t="e">
        <f>#REF!</f>
        <v>#REF!</v>
      </c>
      <c r="E9" s="81" t="e">
        <f>#REF!</f>
        <v>#REF!</v>
      </c>
      <c r="F9" s="81" t="e">
        <f>#REF!</f>
        <v>#REF!</v>
      </c>
      <c r="G9" s="81" t="e">
        <f>#REF!</f>
        <v>#REF!</v>
      </c>
      <c r="H9" s="81" t="e">
        <f>#REF!</f>
        <v>#REF!</v>
      </c>
      <c r="I9" s="81" t="e">
        <f>#REF!</f>
        <v>#REF!</v>
      </c>
      <c r="J9" s="81" t="e">
        <f>#REF!</f>
        <v>#REF!</v>
      </c>
      <c r="K9" s="81" t="e">
        <f>#REF!</f>
        <v>#REF!</v>
      </c>
      <c r="L9" s="81" t="e">
        <f>#REF!</f>
        <v>#REF!</v>
      </c>
      <c r="M9" s="81" t="e">
        <f>#REF!</f>
        <v>#REF!</v>
      </c>
      <c r="N9" s="81" t="e">
        <f>#REF!</f>
        <v>#REF!</v>
      </c>
      <c r="O9" s="81" t="e">
        <f>#REF!</f>
        <v>#REF!</v>
      </c>
      <c r="P9" s="81" t="e">
        <f>#REF!</f>
        <v>#REF!</v>
      </c>
      <c r="Q9" s="81" t="e">
        <f>#REF!</f>
        <v>#REF!</v>
      </c>
      <c r="R9" s="81" t="e">
        <f>#REF!</f>
        <v>#REF!</v>
      </c>
      <c r="S9" s="81" t="e">
        <f>#REF!</f>
        <v>#REF!</v>
      </c>
      <c r="T9" s="81" t="e">
        <f>#REF!</f>
        <v>#REF!</v>
      </c>
      <c r="U9" s="81" t="e">
        <f>#REF!</f>
        <v>#REF!</v>
      </c>
      <c r="V9" s="80" t="e">
        <f t="shared" ref="V9:V14" si="0">D9+E9+F9+G9+H9+I9+L9+M9+N9+O9+P9+Q9+R9+S9+T9+U9+J9+K9+C9</f>
        <v>#REF!</v>
      </c>
      <c r="W9" s="18" t="e">
        <f t="shared" ref="W9:W17" si="1">IF($V$4&gt;0,V9/$V$4,0)</f>
        <v>#REF!</v>
      </c>
      <c r="X9" s="19">
        <f t="shared" ref="X9:X20" si="2">$U$6</f>
        <v>1.000008</v>
      </c>
      <c r="Y9" s="30"/>
      <c r="Z9" s="23"/>
    </row>
    <row r="10" spans="1:26" s="1" customFormat="1" ht="29.25" thickBot="1">
      <c r="A10" s="53">
        <v>4</v>
      </c>
      <c r="B10" s="136" t="s">
        <v>74</v>
      </c>
      <c r="C10" s="81"/>
      <c r="D10" s="81" t="e">
        <f>#REF!</f>
        <v>#REF!</v>
      </c>
      <c r="E10" s="81" t="e">
        <f>#REF!</f>
        <v>#REF!</v>
      </c>
      <c r="F10" s="81" t="e">
        <f>#REF!</f>
        <v>#REF!</v>
      </c>
      <c r="G10" s="81" t="e">
        <f>#REF!</f>
        <v>#REF!</v>
      </c>
      <c r="H10" s="81" t="e">
        <f>#REF!</f>
        <v>#REF!</v>
      </c>
      <c r="I10" s="81" t="e">
        <f>#REF!</f>
        <v>#REF!</v>
      </c>
      <c r="J10" s="81" t="e">
        <f>#REF!</f>
        <v>#REF!</v>
      </c>
      <c r="K10" s="81" t="e">
        <f>#REF!</f>
        <v>#REF!</v>
      </c>
      <c r="L10" s="81" t="e">
        <f>#REF!</f>
        <v>#REF!</v>
      </c>
      <c r="M10" s="81" t="e">
        <f>#REF!</f>
        <v>#REF!</v>
      </c>
      <c r="N10" s="81" t="e">
        <f>#REF!</f>
        <v>#REF!</v>
      </c>
      <c r="O10" s="81" t="e">
        <f>#REF!</f>
        <v>#REF!</v>
      </c>
      <c r="P10" s="81" t="e">
        <f>#REF!</f>
        <v>#REF!</v>
      </c>
      <c r="Q10" s="81" t="e">
        <f>#REF!</f>
        <v>#REF!</v>
      </c>
      <c r="R10" s="81" t="e">
        <f>#REF!</f>
        <v>#REF!</v>
      </c>
      <c r="S10" s="81" t="e">
        <f>#REF!</f>
        <v>#REF!</v>
      </c>
      <c r="T10" s="81" t="e">
        <f>#REF!</f>
        <v>#REF!</v>
      </c>
      <c r="U10" s="81" t="e">
        <f>#REF!</f>
        <v>#REF!</v>
      </c>
      <c r="V10" s="80" t="e">
        <f t="shared" si="0"/>
        <v>#REF!</v>
      </c>
      <c r="W10" s="18" t="e">
        <f t="shared" si="1"/>
        <v>#REF!</v>
      </c>
      <c r="X10" s="19">
        <f t="shared" si="2"/>
        <v>1.000008</v>
      </c>
      <c r="Y10" s="20"/>
      <c r="Z10" s="21"/>
    </row>
    <row r="11" spans="1:26" ht="29.25" thickBot="1">
      <c r="A11" s="53">
        <v>5</v>
      </c>
      <c r="B11" s="109" t="s">
        <v>173</v>
      </c>
      <c r="C11" s="81"/>
      <c r="D11" s="81" t="e">
        <f>AVERAGE(#REF!,#REF!)</f>
        <v>#REF!</v>
      </c>
      <c r="E11" s="81" t="e">
        <f>AVERAGE(#REF!,#REF!)</f>
        <v>#REF!</v>
      </c>
      <c r="F11" s="81" t="e">
        <f>AVERAGE(#REF!,#REF!)</f>
        <v>#REF!</v>
      </c>
      <c r="G11" s="81" t="e">
        <f>AVERAGE(#REF!,#REF!)</f>
        <v>#REF!</v>
      </c>
      <c r="H11" s="81" t="e">
        <f>AVERAGE(#REF!,#REF!)</f>
        <v>#REF!</v>
      </c>
      <c r="I11" s="81" t="e">
        <f>AVERAGE(#REF!,#REF!)</f>
        <v>#REF!</v>
      </c>
      <c r="J11" s="81" t="e">
        <f>AVERAGE(#REF!,#REF!)</f>
        <v>#REF!</v>
      </c>
      <c r="K11" s="81" t="e">
        <f>AVERAGE(#REF!,#REF!)</f>
        <v>#REF!</v>
      </c>
      <c r="L11" s="81" t="e">
        <f>AVERAGE(#REF!,#REF!)</f>
        <v>#REF!</v>
      </c>
      <c r="M11" s="81" t="e">
        <f>AVERAGE(#REF!,#REF!)</f>
        <v>#REF!</v>
      </c>
      <c r="N11" s="81" t="e">
        <f>AVERAGE(#REF!,#REF!)</f>
        <v>#REF!</v>
      </c>
      <c r="O11" s="81" t="e">
        <f>AVERAGE(#REF!,#REF!)</f>
        <v>#REF!</v>
      </c>
      <c r="P11" s="81" t="e">
        <f>AVERAGE(#REF!,#REF!)</f>
        <v>#REF!</v>
      </c>
      <c r="Q11" s="81" t="e">
        <f>AVERAGE(#REF!,#REF!)</f>
        <v>#REF!</v>
      </c>
      <c r="R11" s="81" t="e">
        <f>AVERAGE(#REF!,#REF!)</f>
        <v>#REF!</v>
      </c>
      <c r="S11" s="81" t="e">
        <f>AVERAGE(#REF!,#REF!)</f>
        <v>#REF!</v>
      </c>
      <c r="T11" s="81" t="e">
        <f>AVERAGE(#REF!,#REF!)</f>
        <v>#REF!</v>
      </c>
      <c r="U11" s="81" t="e">
        <f>AVERAGE(#REF!,#REF!)</f>
        <v>#REF!</v>
      </c>
      <c r="V11" s="80"/>
      <c r="W11" s="18"/>
      <c r="X11" s="19"/>
      <c r="Y11" s="30"/>
      <c r="Z11" s="23"/>
    </row>
    <row r="12" spans="1:26" ht="28.5" customHeight="1" thickBot="1">
      <c r="A12" s="82">
        <v>6</v>
      </c>
      <c r="B12" s="109" t="s">
        <v>95</v>
      </c>
      <c r="C12" s="81"/>
      <c r="D12" s="81" t="e">
        <f>AVERAGE(#REF!)</f>
        <v>#REF!</v>
      </c>
      <c r="E12" s="81" t="e">
        <f>AVERAGE(#REF!)</f>
        <v>#REF!</v>
      </c>
      <c r="F12" s="81" t="e">
        <f>AVERAGE(#REF!)</f>
        <v>#REF!</v>
      </c>
      <c r="G12" s="81" t="e">
        <f>AVERAGE(#REF!)</f>
        <v>#REF!</v>
      </c>
      <c r="H12" s="81" t="e">
        <f>AVERAGE(#REF!)</f>
        <v>#REF!</v>
      </c>
      <c r="I12" s="81" t="e">
        <f>AVERAGE(#REF!)</f>
        <v>#REF!</v>
      </c>
      <c r="J12" s="81" t="e">
        <f>AVERAGE(#REF!)</f>
        <v>#REF!</v>
      </c>
      <c r="K12" s="81" t="e">
        <f>AVERAGE(#REF!)</f>
        <v>#REF!</v>
      </c>
      <c r="L12" s="81" t="e">
        <f>AVERAGE(#REF!)</f>
        <v>#REF!</v>
      </c>
      <c r="M12" s="81" t="e">
        <f>AVERAGE(#REF!)</f>
        <v>#REF!</v>
      </c>
      <c r="N12" s="81" t="e">
        <f>AVERAGE(#REF!)</f>
        <v>#REF!</v>
      </c>
      <c r="O12" s="81" t="e">
        <f>AVERAGE(#REF!)</f>
        <v>#REF!</v>
      </c>
      <c r="P12" s="81" t="e">
        <f>AVERAGE(#REF!)</f>
        <v>#REF!</v>
      </c>
      <c r="Q12" s="81" t="e">
        <f>AVERAGE(#REF!)</f>
        <v>#REF!</v>
      </c>
      <c r="R12" s="81" t="e">
        <f>AVERAGE(#REF!)</f>
        <v>#REF!</v>
      </c>
      <c r="S12" s="81" t="e">
        <f>AVERAGE(#REF!)</f>
        <v>#REF!</v>
      </c>
      <c r="T12" s="81" t="e">
        <f>AVERAGE(#REF!)</f>
        <v>#REF!</v>
      </c>
      <c r="U12" s="81" t="e">
        <f>AVERAGE(#REF!)</f>
        <v>#REF!</v>
      </c>
      <c r="V12" s="80" t="e">
        <f t="shared" si="0"/>
        <v>#REF!</v>
      </c>
      <c r="W12" s="18" t="e">
        <f t="shared" si="1"/>
        <v>#REF!</v>
      </c>
      <c r="X12" s="19">
        <f t="shared" si="2"/>
        <v>1.000008</v>
      </c>
      <c r="Y12" s="83"/>
      <c r="Z12" s="84"/>
    </row>
    <row r="13" spans="1:26" ht="29.25" thickBot="1">
      <c r="A13" s="53">
        <v>7</v>
      </c>
      <c r="B13" s="137" t="s">
        <v>87</v>
      </c>
      <c r="C13" s="81"/>
      <c r="D13" s="81" t="e">
        <f>#REF!</f>
        <v>#REF!</v>
      </c>
      <c r="E13" s="81" t="e">
        <f>#REF!</f>
        <v>#REF!</v>
      </c>
      <c r="F13" s="81" t="e">
        <f>#REF!</f>
        <v>#REF!</v>
      </c>
      <c r="G13" s="81" t="e">
        <f>#REF!</f>
        <v>#REF!</v>
      </c>
      <c r="H13" s="81" t="e">
        <f>#REF!</f>
        <v>#REF!</v>
      </c>
      <c r="I13" s="81" t="e">
        <f>#REF!</f>
        <v>#REF!</v>
      </c>
      <c r="J13" s="81" t="e">
        <f>#REF!</f>
        <v>#REF!</v>
      </c>
      <c r="K13" s="81" t="e">
        <f>#REF!</f>
        <v>#REF!</v>
      </c>
      <c r="L13" s="81" t="e">
        <f>#REF!</f>
        <v>#REF!</v>
      </c>
      <c r="M13" s="81" t="e">
        <f>#REF!</f>
        <v>#REF!</v>
      </c>
      <c r="N13" s="81" t="e">
        <f>#REF!</f>
        <v>#REF!</v>
      </c>
      <c r="O13" s="81" t="e">
        <f>#REF!</f>
        <v>#REF!</v>
      </c>
      <c r="P13" s="81" t="e">
        <f>#REF!</f>
        <v>#REF!</v>
      </c>
      <c r="Q13" s="81" t="e">
        <f>#REF!</f>
        <v>#REF!</v>
      </c>
      <c r="R13" s="81" t="e">
        <f>#REF!</f>
        <v>#REF!</v>
      </c>
      <c r="S13" s="81" t="e">
        <f>#REF!</f>
        <v>#REF!</v>
      </c>
      <c r="T13" s="81" t="e">
        <f>#REF!</f>
        <v>#REF!</v>
      </c>
      <c r="U13" s="81" t="e">
        <f>#REF!</f>
        <v>#REF!</v>
      </c>
      <c r="V13" s="80" t="e">
        <f t="shared" si="0"/>
        <v>#REF!</v>
      </c>
      <c r="W13" s="18" t="e">
        <f t="shared" si="1"/>
        <v>#REF!</v>
      </c>
      <c r="X13" s="19">
        <f t="shared" si="2"/>
        <v>1.000008</v>
      </c>
      <c r="Y13" s="30"/>
      <c r="Z13" s="23"/>
    </row>
    <row r="14" spans="1:26" ht="29.25" thickBot="1">
      <c r="A14" s="53">
        <v>8</v>
      </c>
      <c r="B14" s="138" t="s">
        <v>175</v>
      </c>
      <c r="C14" s="81"/>
      <c r="D14" s="81" t="e">
        <f>#REF!</f>
        <v>#REF!</v>
      </c>
      <c r="E14" s="81" t="e">
        <f>#REF!</f>
        <v>#REF!</v>
      </c>
      <c r="F14" s="81" t="e">
        <f>#REF!</f>
        <v>#REF!</v>
      </c>
      <c r="G14" s="81" t="e">
        <f>#REF!</f>
        <v>#REF!</v>
      </c>
      <c r="H14" s="81" t="e">
        <f>#REF!</f>
        <v>#REF!</v>
      </c>
      <c r="I14" s="81" t="e">
        <f>#REF!</f>
        <v>#REF!</v>
      </c>
      <c r="J14" s="81" t="e">
        <f>#REF!</f>
        <v>#REF!</v>
      </c>
      <c r="K14" s="81" t="e">
        <f>#REF!</f>
        <v>#REF!</v>
      </c>
      <c r="L14" s="81" t="e">
        <f>#REF!</f>
        <v>#REF!</v>
      </c>
      <c r="M14" s="81" t="e">
        <f>#REF!</f>
        <v>#REF!</v>
      </c>
      <c r="N14" s="81" t="e">
        <f>#REF!</f>
        <v>#REF!</v>
      </c>
      <c r="O14" s="81" t="e">
        <f>#REF!</f>
        <v>#REF!</v>
      </c>
      <c r="P14" s="81" t="e">
        <f>#REF!</f>
        <v>#REF!</v>
      </c>
      <c r="Q14" s="81" t="e">
        <f>#REF!</f>
        <v>#REF!</v>
      </c>
      <c r="R14" s="81" t="e">
        <f>#REF!</f>
        <v>#REF!</v>
      </c>
      <c r="S14" s="81" t="e">
        <f>#REF!</f>
        <v>#REF!</v>
      </c>
      <c r="T14" s="81" t="e">
        <f>#REF!</f>
        <v>#REF!</v>
      </c>
      <c r="U14" s="81" t="e">
        <f>#REF!</f>
        <v>#REF!</v>
      </c>
      <c r="V14" s="80" t="e">
        <f t="shared" si="0"/>
        <v>#REF!</v>
      </c>
      <c r="W14" s="18" t="e">
        <f t="shared" si="1"/>
        <v>#REF!</v>
      </c>
      <c r="X14" s="19">
        <f t="shared" si="2"/>
        <v>1.000008</v>
      </c>
      <c r="Y14" s="30"/>
      <c r="Z14" s="23"/>
    </row>
    <row r="15" spans="1:26" ht="29.25" thickBot="1">
      <c r="A15" s="53">
        <v>9</v>
      </c>
      <c r="B15" s="138" t="s">
        <v>174</v>
      </c>
      <c r="C15" s="81"/>
      <c r="D15" s="81" t="e">
        <f>#REF!</f>
        <v>#REF!</v>
      </c>
      <c r="E15" s="81" t="e">
        <f>#REF!</f>
        <v>#REF!</v>
      </c>
      <c r="F15" s="81" t="e">
        <f>#REF!</f>
        <v>#REF!</v>
      </c>
      <c r="G15" s="81" t="e">
        <f>#REF!</f>
        <v>#REF!</v>
      </c>
      <c r="H15" s="81" t="e">
        <f>#REF!</f>
        <v>#REF!</v>
      </c>
      <c r="I15" s="81" t="e">
        <f>#REF!</f>
        <v>#REF!</v>
      </c>
      <c r="J15" s="81" t="e">
        <f>#REF!</f>
        <v>#REF!</v>
      </c>
      <c r="K15" s="81" t="e">
        <f>#REF!</f>
        <v>#REF!</v>
      </c>
      <c r="L15" s="81" t="e">
        <f>#REF!</f>
        <v>#REF!</v>
      </c>
      <c r="M15" s="81" t="e">
        <f>#REF!</f>
        <v>#REF!</v>
      </c>
      <c r="N15" s="81" t="e">
        <f>#REF!</f>
        <v>#REF!</v>
      </c>
      <c r="O15" s="81" t="e">
        <f>#REF!</f>
        <v>#REF!</v>
      </c>
      <c r="P15" s="81" t="e">
        <f>#REF!</f>
        <v>#REF!</v>
      </c>
      <c r="Q15" s="81" t="e">
        <f>#REF!</f>
        <v>#REF!</v>
      </c>
      <c r="R15" s="81" t="e">
        <f>#REF!</f>
        <v>#REF!</v>
      </c>
      <c r="S15" s="81" t="e">
        <f>#REF!</f>
        <v>#REF!</v>
      </c>
      <c r="T15" s="81" t="e">
        <f>#REF!</f>
        <v>#REF!</v>
      </c>
      <c r="U15" s="81" t="e">
        <f>#REF!</f>
        <v>#REF!</v>
      </c>
      <c r="V15" s="80"/>
      <c r="W15" s="18"/>
      <c r="X15" s="19"/>
      <c r="Y15" s="30"/>
      <c r="Z15" s="23"/>
    </row>
    <row r="16" spans="1:26" ht="29.25" thickBot="1">
      <c r="A16" s="53">
        <v>10</v>
      </c>
      <c r="B16" s="138" t="s">
        <v>176</v>
      </c>
      <c r="C16" s="81"/>
      <c r="D16" s="81"/>
      <c r="E16" s="81"/>
      <c r="F16" s="81"/>
      <c r="G16" s="81"/>
      <c r="H16" s="81"/>
      <c r="I16" s="81"/>
      <c r="J16" s="81"/>
      <c r="K16" s="81"/>
      <c r="L16" s="81"/>
      <c r="M16" s="81"/>
      <c r="N16" s="81"/>
      <c r="O16" s="81"/>
      <c r="P16" s="81"/>
      <c r="Q16" s="81"/>
      <c r="R16" s="81"/>
      <c r="S16" s="81"/>
      <c r="T16" s="81"/>
      <c r="U16" s="81"/>
      <c r="V16" s="80"/>
      <c r="W16" s="18"/>
      <c r="X16" s="19"/>
      <c r="Y16" s="30"/>
      <c r="Z16" s="23"/>
    </row>
    <row r="17" spans="1:26" s="1" customFormat="1" ht="29.25" thickBot="1">
      <c r="A17" s="53">
        <v>11</v>
      </c>
      <c r="B17" s="139" t="s">
        <v>109</v>
      </c>
      <c r="C17" s="81"/>
      <c r="D17" s="81" t="e">
        <f>#REF!</f>
        <v>#REF!</v>
      </c>
      <c r="E17" s="81" t="e">
        <f>#REF!</f>
        <v>#REF!</v>
      </c>
      <c r="F17" s="81" t="e">
        <f>#REF!</f>
        <v>#REF!</v>
      </c>
      <c r="G17" s="81" t="e">
        <f>#REF!</f>
        <v>#REF!</v>
      </c>
      <c r="H17" s="81" t="e">
        <f>#REF!</f>
        <v>#REF!</v>
      </c>
      <c r="I17" s="81" t="e">
        <f>#REF!</f>
        <v>#REF!</v>
      </c>
      <c r="J17" s="81" t="e">
        <f>#REF!</f>
        <v>#REF!</v>
      </c>
      <c r="K17" s="81" t="e">
        <f>#REF!</f>
        <v>#REF!</v>
      </c>
      <c r="L17" s="81" t="e">
        <f>#REF!</f>
        <v>#REF!</v>
      </c>
      <c r="M17" s="81" t="e">
        <f>#REF!</f>
        <v>#REF!</v>
      </c>
      <c r="N17" s="81" t="e">
        <f>#REF!</f>
        <v>#REF!</v>
      </c>
      <c r="O17" s="81" t="e">
        <f>#REF!</f>
        <v>#REF!</v>
      </c>
      <c r="P17" s="81" t="e">
        <f>#REF!</f>
        <v>#REF!</v>
      </c>
      <c r="Q17" s="81" t="e">
        <f>#REF!</f>
        <v>#REF!</v>
      </c>
      <c r="R17" s="81" t="e">
        <f>#REF!</f>
        <v>#REF!</v>
      </c>
      <c r="S17" s="81" t="e">
        <f>#REF!</f>
        <v>#REF!</v>
      </c>
      <c r="T17" s="81" t="e">
        <f>#REF!</f>
        <v>#REF!</v>
      </c>
      <c r="U17" s="81" t="e">
        <f>#REF!</f>
        <v>#REF!</v>
      </c>
      <c r="V17" s="80" t="e">
        <f>D17+E17+F17+G17+H17+I17+L17+M17+N17+O17+P17+Q17+R17+S17+T17+U17+J17+K17+C17</f>
        <v>#REF!</v>
      </c>
      <c r="W17" s="18" t="e">
        <f t="shared" si="1"/>
        <v>#REF!</v>
      </c>
      <c r="X17" s="19">
        <f t="shared" si="2"/>
        <v>1.000008</v>
      </c>
      <c r="Y17" s="30"/>
      <c r="Z17" s="23"/>
    </row>
    <row r="18" spans="1:26" s="1" customFormat="1" ht="29.25" thickBot="1">
      <c r="A18" s="53">
        <v>12</v>
      </c>
      <c r="B18" s="135" t="s">
        <v>171</v>
      </c>
      <c r="C18" s="81"/>
      <c r="D18" s="81" t="e">
        <f>AVERAGE(#REF!,#REF!)</f>
        <v>#REF!</v>
      </c>
      <c r="E18" s="81" t="e">
        <f>AVERAGE(#REF!,#REF!)</f>
        <v>#REF!</v>
      </c>
      <c r="F18" s="81" t="e">
        <f>AVERAGE(#REF!,#REF!)</f>
        <v>#REF!</v>
      </c>
      <c r="G18" s="81" t="e">
        <f>AVERAGE(#REF!,#REF!)</f>
        <v>#REF!</v>
      </c>
      <c r="H18" s="81" t="e">
        <f>AVERAGE(#REF!,#REF!)</f>
        <v>#REF!</v>
      </c>
      <c r="I18" s="81" t="e">
        <f>AVERAGE(#REF!,#REF!)</f>
        <v>#REF!</v>
      </c>
      <c r="J18" s="81" t="e">
        <f>AVERAGE(#REF!,#REF!)</f>
        <v>#REF!</v>
      </c>
      <c r="K18" s="81" t="e">
        <f>AVERAGE(#REF!,#REF!)</f>
        <v>#REF!</v>
      </c>
      <c r="L18" s="81" t="e">
        <f>AVERAGE(#REF!,#REF!)</f>
        <v>#REF!</v>
      </c>
      <c r="M18" s="81" t="e">
        <f>AVERAGE(#REF!,#REF!)</f>
        <v>#REF!</v>
      </c>
      <c r="N18" s="81" t="e">
        <f>AVERAGE(#REF!,#REF!)</f>
        <v>#REF!</v>
      </c>
      <c r="O18" s="81" t="e">
        <f>AVERAGE(#REF!,#REF!)</f>
        <v>#REF!</v>
      </c>
      <c r="P18" s="81" t="e">
        <f>AVERAGE(#REF!,#REF!)</f>
        <v>#REF!</v>
      </c>
      <c r="Q18" s="81" t="e">
        <f>AVERAGE(#REF!,#REF!)</f>
        <v>#REF!</v>
      </c>
      <c r="R18" s="81" t="e">
        <f>AVERAGE(#REF!,#REF!)</f>
        <v>#REF!</v>
      </c>
      <c r="S18" s="81" t="e">
        <f>AVERAGE(#REF!,#REF!)</f>
        <v>#REF!</v>
      </c>
      <c r="T18" s="81" t="e">
        <f>AVERAGE(#REF!,#REF!)</f>
        <v>#REF!</v>
      </c>
      <c r="U18" s="81" t="e">
        <f>AVERAGE(#REF!,#REF!)</f>
        <v>#REF!</v>
      </c>
      <c r="V18" s="80"/>
      <c r="W18" s="18"/>
      <c r="X18" s="19"/>
      <c r="Y18" s="30"/>
      <c r="Z18" s="35"/>
    </row>
    <row r="19" spans="1:26" s="1" customFormat="1" ht="29.25" thickBot="1">
      <c r="A19" s="53">
        <v>13</v>
      </c>
      <c r="B19" s="138" t="s">
        <v>105</v>
      </c>
      <c r="C19" s="81"/>
      <c r="D19" s="81" t="e">
        <f>#REF!</f>
        <v>#REF!</v>
      </c>
      <c r="E19" s="81" t="e">
        <f>#REF!</f>
        <v>#REF!</v>
      </c>
      <c r="F19" s="81" t="e">
        <f>#REF!</f>
        <v>#REF!</v>
      </c>
      <c r="G19" s="81" t="e">
        <f>#REF!</f>
        <v>#REF!</v>
      </c>
      <c r="H19" s="81" t="e">
        <f>#REF!</f>
        <v>#REF!</v>
      </c>
      <c r="I19" s="81" t="e">
        <f>#REF!</f>
        <v>#REF!</v>
      </c>
      <c r="J19" s="81" t="e">
        <f>#REF!</f>
        <v>#REF!</v>
      </c>
      <c r="K19" s="81" t="e">
        <f>#REF!</f>
        <v>#REF!</v>
      </c>
      <c r="L19" s="81" t="e">
        <f>#REF!</f>
        <v>#REF!</v>
      </c>
      <c r="M19" s="81" t="e">
        <f>#REF!</f>
        <v>#REF!</v>
      </c>
      <c r="N19" s="81" t="e">
        <f>#REF!</f>
        <v>#REF!</v>
      </c>
      <c r="O19" s="81" t="e">
        <f>#REF!</f>
        <v>#REF!</v>
      </c>
      <c r="P19" s="81" t="e">
        <f>#REF!</f>
        <v>#REF!</v>
      </c>
      <c r="Q19" s="81" t="e">
        <f>#REF!</f>
        <v>#REF!</v>
      </c>
      <c r="R19" s="81" t="e">
        <f>#REF!</f>
        <v>#REF!</v>
      </c>
      <c r="S19" s="81" t="e">
        <f>#REF!</f>
        <v>#REF!</v>
      </c>
      <c r="T19" s="81" t="e">
        <f>#REF!</f>
        <v>#REF!</v>
      </c>
      <c r="U19" s="81" t="e">
        <f>#REF!</f>
        <v>#REF!</v>
      </c>
      <c r="V19" s="80" t="e">
        <f>D19+E19+F19+G19+H19+I19+L19+M19+N19+O19+P19+Q19+R19+S19+T19+U19+J19+K19+C19</f>
        <v>#REF!</v>
      </c>
      <c r="W19" s="18" t="e">
        <f>IF($V$4&gt;0,V19/$V$4,0)</f>
        <v>#REF!</v>
      </c>
      <c r="X19" s="19">
        <f t="shared" si="2"/>
        <v>1.000008</v>
      </c>
      <c r="Y19" s="30"/>
      <c r="Z19" s="35"/>
    </row>
    <row r="20" spans="1:26">
      <c r="A20" s="53">
        <v>14</v>
      </c>
      <c r="B20" s="139" t="s">
        <v>118</v>
      </c>
      <c r="C20" s="81"/>
      <c r="D20" s="81" t="e">
        <f>#REF!</f>
        <v>#REF!</v>
      </c>
      <c r="E20" s="81" t="e">
        <f>#REF!</f>
        <v>#REF!</v>
      </c>
      <c r="F20" s="81" t="e">
        <f>#REF!</f>
        <v>#REF!</v>
      </c>
      <c r="G20" s="81" t="e">
        <f>#REF!</f>
        <v>#REF!</v>
      </c>
      <c r="H20" s="81" t="e">
        <f>#REF!</f>
        <v>#REF!</v>
      </c>
      <c r="I20" s="81" t="e">
        <f>#REF!</f>
        <v>#REF!</v>
      </c>
      <c r="J20" s="81" t="e">
        <f>#REF!</f>
        <v>#REF!</v>
      </c>
      <c r="K20" s="81" t="e">
        <f>#REF!</f>
        <v>#REF!</v>
      </c>
      <c r="L20" s="81" t="e">
        <f>#REF!</f>
        <v>#REF!</v>
      </c>
      <c r="M20" s="81" t="e">
        <f>#REF!</f>
        <v>#REF!</v>
      </c>
      <c r="N20" s="81" t="e">
        <f>#REF!</f>
        <v>#REF!</v>
      </c>
      <c r="O20" s="81" t="e">
        <f>#REF!</f>
        <v>#REF!</v>
      </c>
      <c r="P20" s="81" t="e">
        <f>#REF!</f>
        <v>#REF!</v>
      </c>
      <c r="Q20" s="81" t="e">
        <f>#REF!</f>
        <v>#REF!</v>
      </c>
      <c r="R20" s="81" t="e">
        <f>#REF!</f>
        <v>#REF!</v>
      </c>
      <c r="S20" s="81" t="e">
        <f>#REF!</f>
        <v>#REF!</v>
      </c>
      <c r="T20" s="81" t="e">
        <f>#REF!</f>
        <v>#REF!</v>
      </c>
      <c r="U20" s="81" t="e">
        <f>#REF!</f>
        <v>#REF!</v>
      </c>
      <c r="V20" s="80" t="e">
        <f>D20+E20+F20+G20+H20+I20+L20+M20+N20+O20+P20+Q20+R20+S20+T20+U20+J20+K20+C20</f>
        <v>#REF!</v>
      </c>
      <c r="W20" s="18" t="e">
        <f>IF($V$4&gt;0,V20/$V$4,0)</f>
        <v>#REF!</v>
      </c>
      <c r="X20" s="19">
        <f t="shared" si="2"/>
        <v>1.000008</v>
      </c>
      <c r="Y20" s="30"/>
      <c r="Z20" s="23"/>
    </row>
    <row r="23" spans="1:26" s="4" customFormat="1" ht="31.5" hidden="1">
      <c r="A23" s="6"/>
      <c r="B23" s="7"/>
      <c r="C23" s="5"/>
      <c r="D23" s="5"/>
      <c r="E23" s="5"/>
      <c r="F23" s="8" t="s">
        <v>37</v>
      </c>
      <c r="G23" s="8"/>
      <c r="H23" s="8"/>
      <c r="I23" s="8"/>
      <c r="J23" s="8"/>
      <c r="K23" s="8"/>
      <c r="L23" s="8"/>
      <c r="M23" s="8"/>
      <c r="N23" s="8"/>
      <c r="O23" s="8"/>
      <c r="P23" s="8"/>
      <c r="Q23" s="5"/>
      <c r="R23" s="5"/>
      <c r="S23" s="5"/>
      <c r="T23" s="5"/>
      <c r="U23" s="5"/>
      <c r="V23" s="5"/>
      <c r="W23" s="5"/>
      <c r="X23" s="5"/>
      <c r="Y23" s="5"/>
      <c r="Z23" s="5"/>
    </row>
    <row r="24" spans="1:26" s="4" customFormat="1" ht="31.5" hidden="1">
      <c r="A24" s="6"/>
      <c r="B24" s="7"/>
      <c r="N24" s="8"/>
      <c r="O24" s="8"/>
      <c r="P24" s="8"/>
      <c r="Q24" s="8"/>
      <c r="R24" s="8"/>
      <c r="S24" s="8"/>
      <c r="T24" s="8"/>
      <c r="U24" s="8"/>
      <c r="V24" s="8"/>
      <c r="W24" s="8"/>
      <c r="X24" s="5"/>
      <c r="Z24" s="5"/>
    </row>
    <row r="25" spans="1:26" s="4" customFormat="1" hidden="1">
      <c r="A25" s="6"/>
      <c r="B25" s="7"/>
      <c r="C25" s="5"/>
      <c r="D25" s="5"/>
      <c r="E25" s="5"/>
      <c r="F25" s="5"/>
      <c r="G25" s="5"/>
      <c r="H25" s="5"/>
      <c r="I25" s="5"/>
      <c r="J25" s="5"/>
      <c r="K25" s="5"/>
      <c r="L25" s="5"/>
      <c r="M25" s="5"/>
      <c r="N25" s="5"/>
      <c r="O25" s="5"/>
      <c r="P25" s="5"/>
      <c r="Q25" s="5"/>
      <c r="R25" s="5"/>
      <c r="S25" s="5"/>
      <c r="T25" s="5"/>
      <c r="U25" s="5"/>
      <c r="V25" s="5"/>
      <c r="W25" s="5"/>
      <c r="X25" s="5"/>
      <c r="Y25" s="5"/>
      <c r="Z25" s="5"/>
    </row>
    <row r="26" spans="1:26" hidden="1">
      <c r="B26" s="589" t="s">
        <v>38</v>
      </c>
      <c r="C26" s="9" t="s">
        <v>39</v>
      </c>
      <c r="D26" s="9" t="s">
        <v>39</v>
      </c>
      <c r="E26" s="9" t="s">
        <v>39</v>
      </c>
      <c r="F26" s="9" t="s">
        <v>39</v>
      </c>
      <c r="G26" s="9" t="s">
        <v>39</v>
      </c>
      <c r="H26" s="9" t="s">
        <v>39</v>
      </c>
      <c r="I26" s="9" t="s">
        <v>39</v>
      </c>
      <c r="J26" s="9" t="s">
        <v>39</v>
      </c>
      <c r="K26" s="9" t="s">
        <v>39</v>
      </c>
      <c r="L26" s="9" t="s">
        <v>39</v>
      </c>
      <c r="M26" s="9" t="s">
        <v>39</v>
      </c>
      <c r="N26" s="9" t="s">
        <v>39</v>
      </c>
      <c r="O26" s="9" t="s">
        <v>39</v>
      </c>
      <c r="P26" s="9" t="s">
        <v>39</v>
      </c>
      <c r="Q26" s="9" t="s">
        <v>39</v>
      </c>
      <c r="R26" s="9" t="s">
        <v>39</v>
      </c>
      <c r="S26" s="9" t="s">
        <v>39</v>
      </c>
      <c r="T26" s="9" t="s">
        <v>39</v>
      </c>
      <c r="U26" s="9" t="s">
        <v>39</v>
      </c>
      <c r="V26" s="647">
        <v>1900</v>
      </c>
      <c r="W26" s="576" t="s">
        <v>40</v>
      </c>
      <c r="X26" s="649" t="s">
        <v>41</v>
      </c>
      <c r="Y26" s="576" t="s">
        <v>42</v>
      </c>
      <c r="Z26" s="574" t="s">
        <v>43</v>
      </c>
    </row>
    <row r="27" spans="1:26" ht="75" hidden="1" customHeight="1" thickBot="1">
      <c r="B27" s="590"/>
      <c r="C27" s="10">
        <v>1</v>
      </c>
      <c r="D27" s="11">
        <v>2</v>
      </c>
      <c r="E27" s="11">
        <v>3</v>
      </c>
      <c r="F27" s="11">
        <v>4</v>
      </c>
      <c r="G27" s="11">
        <v>5</v>
      </c>
      <c r="H27" s="11">
        <v>6</v>
      </c>
      <c r="I27" s="11">
        <v>7</v>
      </c>
      <c r="J27" s="11">
        <v>8</v>
      </c>
      <c r="K27" s="11">
        <v>9</v>
      </c>
      <c r="L27" s="11">
        <v>10</v>
      </c>
      <c r="M27" s="11">
        <v>11</v>
      </c>
      <c r="N27" s="11">
        <v>12</v>
      </c>
      <c r="O27" s="11">
        <v>13</v>
      </c>
      <c r="P27" s="11">
        <v>14</v>
      </c>
      <c r="Q27" s="11">
        <v>15</v>
      </c>
      <c r="R27" s="11">
        <v>16</v>
      </c>
      <c r="S27" s="11">
        <v>17</v>
      </c>
      <c r="T27" s="11">
        <v>18</v>
      </c>
      <c r="U27" s="11">
        <v>19</v>
      </c>
      <c r="V27" s="648"/>
      <c r="W27" s="577"/>
      <c r="X27" s="650"/>
      <c r="Y27" s="577"/>
      <c r="Z27" s="575"/>
    </row>
    <row r="28" spans="1:26" ht="29.25" hidden="1" thickBot="1">
      <c r="B28" s="12">
        <f>0%/100</f>
        <v>0</v>
      </c>
      <c r="C28" s="12">
        <f>526.31%/100</f>
        <v>5.2630999999999997E-2</v>
      </c>
      <c r="D28" s="12">
        <f>(526.31%/100)*2</f>
        <v>0.10526199999999999</v>
      </c>
      <c r="E28" s="12">
        <f>(526.31%/100)*3</f>
        <v>0.15789300000000001</v>
      </c>
      <c r="F28" s="12">
        <f>(526.31%/100)*4</f>
        <v>0.21052399999999999</v>
      </c>
      <c r="G28" s="12">
        <f>(526.31%/100)*5</f>
        <v>0.26315499999999997</v>
      </c>
      <c r="H28" s="12">
        <f>(526.31%/100)*6</f>
        <v>0.31578600000000001</v>
      </c>
      <c r="I28" s="12">
        <f>(526.31%/100)*7</f>
        <v>0.36841699999999999</v>
      </c>
      <c r="J28" s="12">
        <f>(526.31%/100)*8</f>
        <v>0.42104799999999998</v>
      </c>
      <c r="K28" s="12">
        <f>(526.31%/100)*9</f>
        <v>0.47367899999999996</v>
      </c>
      <c r="L28" s="12">
        <f>(526.31%/100)*10</f>
        <v>0.52630999999999994</v>
      </c>
      <c r="M28" s="12">
        <f>(526.31%/100)*11</f>
        <v>0.57894099999999993</v>
      </c>
      <c r="N28" s="12">
        <f>(526.31%/100)*12</f>
        <v>0.63157200000000002</v>
      </c>
      <c r="O28" s="12">
        <f>(526.31%/100)*13</f>
        <v>0.68420300000000001</v>
      </c>
      <c r="P28" s="12">
        <f>(526.31%/100)*14</f>
        <v>0.73683399999999999</v>
      </c>
      <c r="Q28" s="12">
        <f>(526.31%/100)*15</f>
        <v>0.78946499999999997</v>
      </c>
      <c r="R28" s="12">
        <f>(526.31%/100)*16</f>
        <v>0.84209599999999996</v>
      </c>
      <c r="S28" s="12">
        <f>(526.31%/100)*17</f>
        <v>0.89472699999999994</v>
      </c>
      <c r="T28" s="12">
        <f>(526.31%/100)*18</f>
        <v>0.94735799999999992</v>
      </c>
      <c r="U28" s="12">
        <f>(526.32%/100)*19</f>
        <v>1.000008</v>
      </c>
      <c r="V28" s="13"/>
      <c r="W28" s="14"/>
      <c r="X28" s="14"/>
      <c r="Y28" s="14"/>
      <c r="Z28" s="15"/>
    </row>
    <row r="29" spans="1:26" ht="29.25" hidden="1" customHeight="1" thickBot="1">
      <c r="A29" s="53">
        <v>1</v>
      </c>
      <c r="B29" s="73" t="s">
        <v>73</v>
      </c>
      <c r="D29" s="16" t="e">
        <f>#REF!</f>
        <v>#REF!</v>
      </c>
      <c r="E29" s="16" t="e">
        <f>#REF!</f>
        <v>#REF!</v>
      </c>
      <c r="F29" s="16" t="e">
        <f>#REF!</f>
        <v>#REF!</v>
      </c>
      <c r="G29" s="16" t="e">
        <f>#REF!</f>
        <v>#REF!</v>
      </c>
      <c r="H29" s="16" t="e">
        <f>#REF!</f>
        <v>#REF!</v>
      </c>
      <c r="I29" s="16" t="e">
        <f>#REF!</f>
        <v>#REF!</v>
      </c>
      <c r="J29" s="16" t="e">
        <f>#REF!</f>
        <v>#REF!</v>
      </c>
      <c r="K29" s="16" t="e">
        <f>#REF!</f>
        <v>#REF!</v>
      </c>
      <c r="L29" s="16" t="e">
        <f>#REF!</f>
        <v>#REF!</v>
      </c>
      <c r="M29" s="16" t="e">
        <f>#REF!</f>
        <v>#REF!</v>
      </c>
      <c r="N29" s="16" t="e">
        <f>#REF!</f>
        <v>#REF!</v>
      </c>
      <c r="O29" s="16" t="e">
        <f>#REF!</f>
        <v>#REF!</v>
      </c>
      <c r="P29" s="16" t="e">
        <f>#REF!</f>
        <v>#REF!</v>
      </c>
      <c r="Q29" s="16" t="e">
        <f>#REF!</f>
        <v>#REF!</v>
      </c>
      <c r="R29" s="16" t="e">
        <f>#REF!</f>
        <v>#REF!</v>
      </c>
      <c r="S29" s="16" t="e">
        <f>#REF!</f>
        <v>#REF!</v>
      </c>
      <c r="T29" s="16" t="e">
        <f>#REF!</f>
        <v>#REF!</v>
      </c>
      <c r="U29" s="16" t="e">
        <f>#REF!</f>
        <v>#REF!</v>
      </c>
      <c r="V29" s="17" t="e">
        <f t="shared" ref="V29:V77" si="3">D29+E29+F29+G29+H29+I29+L29+M29+N29+O29+P29+Q29+R29+S29+T29+U29+J29+K29+C29</f>
        <v>#REF!</v>
      </c>
      <c r="W29" s="18" t="e">
        <f>IF($V$26&gt;0,V29/$V$26,0)</f>
        <v>#REF!</v>
      </c>
      <c r="X29" s="19">
        <f t="shared" ref="X29:X77" si="4">C28</f>
        <v>5.2630999999999997E-2</v>
      </c>
      <c r="Y29" s="20"/>
      <c r="Z29" s="21"/>
    </row>
    <row r="30" spans="1:26" s="1" customFormat="1" hidden="1">
      <c r="A30" s="53">
        <v>2</v>
      </c>
      <c r="B30" s="73" t="s">
        <v>74</v>
      </c>
      <c r="D30" s="16" t="e">
        <f>#REF!</f>
        <v>#REF!</v>
      </c>
      <c r="E30" s="16" t="e">
        <f>#REF!</f>
        <v>#REF!</v>
      </c>
      <c r="F30" s="16" t="e">
        <f>#REF!</f>
        <v>#REF!</v>
      </c>
      <c r="G30" s="16" t="e">
        <f>#REF!</f>
        <v>#REF!</v>
      </c>
      <c r="H30" s="16" t="e">
        <f>#REF!</f>
        <v>#REF!</v>
      </c>
      <c r="I30" s="16" t="e">
        <f>#REF!</f>
        <v>#REF!</v>
      </c>
      <c r="J30" s="16" t="e">
        <f>#REF!</f>
        <v>#REF!</v>
      </c>
      <c r="K30" s="16" t="e">
        <f>#REF!</f>
        <v>#REF!</v>
      </c>
      <c r="L30" s="16" t="e">
        <f>#REF!</f>
        <v>#REF!</v>
      </c>
      <c r="M30" s="16" t="e">
        <f>#REF!</f>
        <v>#REF!</v>
      </c>
      <c r="N30" s="16" t="e">
        <f>#REF!</f>
        <v>#REF!</v>
      </c>
      <c r="O30" s="16" t="e">
        <f>#REF!</f>
        <v>#REF!</v>
      </c>
      <c r="P30" s="16" t="e">
        <f>#REF!</f>
        <v>#REF!</v>
      </c>
      <c r="Q30" s="16" t="e">
        <f>#REF!</f>
        <v>#REF!</v>
      </c>
      <c r="R30" s="16" t="e">
        <f>#REF!</f>
        <v>#REF!</v>
      </c>
      <c r="S30" s="16" t="e">
        <f>#REF!</f>
        <v>#REF!</v>
      </c>
      <c r="T30" s="16" t="e">
        <f>#REF!</f>
        <v>#REF!</v>
      </c>
      <c r="U30" s="16" t="e">
        <f>#REF!</f>
        <v>#REF!</v>
      </c>
      <c r="V30" s="17" t="e">
        <f t="shared" si="3"/>
        <v>#REF!</v>
      </c>
      <c r="W30" s="18" t="e">
        <f>IF($V$26&gt;0,V30/$V$26,0)</f>
        <v>#REF!</v>
      </c>
      <c r="X30" s="19">
        <f t="shared" si="4"/>
        <v>0</v>
      </c>
      <c r="Y30" s="20"/>
      <c r="Z30" s="21"/>
    </row>
    <row r="31" spans="1:26" s="1" customFormat="1" hidden="1">
      <c r="A31" s="53">
        <v>3</v>
      </c>
      <c r="B31" s="73" t="s">
        <v>75</v>
      </c>
      <c r="C31" s="16"/>
      <c r="D31" s="16" t="e">
        <f>#REF!</f>
        <v>#REF!</v>
      </c>
      <c r="E31" s="16" t="e">
        <f>#REF!</f>
        <v>#REF!</v>
      </c>
      <c r="F31" s="16" t="e">
        <f>#REF!</f>
        <v>#REF!</v>
      </c>
      <c r="G31" s="16" t="e">
        <f>#REF!</f>
        <v>#REF!</v>
      </c>
      <c r="H31" s="16" t="e">
        <f>#REF!</f>
        <v>#REF!</v>
      </c>
      <c r="I31" s="16" t="e">
        <f>#REF!</f>
        <v>#REF!</v>
      </c>
      <c r="J31" s="16" t="e">
        <f>#REF!</f>
        <v>#REF!</v>
      </c>
      <c r="K31" s="16" t="e">
        <f>#REF!</f>
        <v>#REF!</v>
      </c>
      <c r="L31" s="16" t="e">
        <f>#REF!</f>
        <v>#REF!</v>
      </c>
      <c r="M31" s="16" t="e">
        <f>#REF!</f>
        <v>#REF!</v>
      </c>
      <c r="N31" s="16" t="e">
        <f>#REF!</f>
        <v>#REF!</v>
      </c>
      <c r="O31" s="16" t="e">
        <f>#REF!</f>
        <v>#REF!</v>
      </c>
      <c r="P31" s="16" t="e">
        <f>#REF!</f>
        <v>#REF!</v>
      </c>
      <c r="Q31" s="16" t="e">
        <f>#REF!</f>
        <v>#REF!</v>
      </c>
      <c r="R31" s="16" t="e">
        <f>#REF!</f>
        <v>#REF!</v>
      </c>
      <c r="S31" s="16" t="e">
        <f>#REF!</f>
        <v>#REF!</v>
      </c>
      <c r="T31" s="16" t="e">
        <f>#REF!</f>
        <v>#REF!</v>
      </c>
      <c r="U31" s="16" t="e">
        <f>#REF!</f>
        <v>#REF!</v>
      </c>
      <c r="V31" s="17" t="e">
        <f t="shared" si="3"/>
        <v>#REF!</v>
      </c>
      <c r="W31" s="18" t="e">
        <f>IF($V$26&gt;0,V31/$V$26,0)</f>
        <v>#REF!</v>
      </c>
      <c r="X31" s="19">
        <f t="shared" si="4"/>
        <v>0</v>
      </c>
      <c r="Y31" s="20"/>
      <c r="Z31" s="21"/>
    </row>
    <row r="32" spans="1:26" s="1" customFormat="1" hidden="1">
      <c r="A32" s="53">
        <v>4</v>
      </c>
      <c r="B32" s="73" t="s">
        <v>76</v>
      </c>
      <c r="C32" s="16"/>
      <c r="D32" s="16" t="e">
        <f>#REF!</f>
        <v>#REF!</v>
      </c>
      <c r="E32" s="16" t="e">
        <f>#REF!</f>
        <v>#REF!</v>
      </c>
      <c r="F32" s="16" t="e">
        <f>#REF!</f>
        <v>#REF!</v>
      </c>
      <c r="G32" s="16" t="e">
        <f>#REF!</f>
        <v>#REF!</v>
      </c>
      <c r="H32" s="16" t="e">
        <f>#REF!</f>
        <v>#REF!</v>
      </c>
      <c r="I32" s="16" t="e">
        <f>#REF!</f>
        <v>#REF!</v>
      </c>
      <c r="J32" s="16" t="e">
        <f>#REF!</f>
        <v>#REF!</v>
      </c>
      <c r="K32" s="16" t="e">
        <f>#REF!</f>
        <v>#REF!</v>
      </c>
      <c r="L32" s="16" t="e">
        <f>#REF!</f>
        <v>#REF!</v>
      </c>
      <c r="M32" s="16" t="e">
        <f>#REF!</f>
        <v>#REF!</v>
      </c>
      <c r="N32" s="16" t="e">
        <f>#REF!</f>
        <v>#REF!</v>
      </c>
      <c r="O32" s="16" t="e">
        <f>#REF!</f>
        <v>#REF!</v>
      </c>
      <c r="P32" s="16" t="e">
        <f>#REF!</f>
        <v>#REF!</v>
      </c>
      <c r="Q32" s="16" t="e">
        <f>#REF!</f>
        <v>#REF!</v>
      </c>
      <c r="R32" s="16" t="e">
        <f>#REF!</f>
        <v>#REF!</v>
      </c>
      <c r="S32" s="16" t="e">
        <f>#REF!</f>
        <v>#REF!</v>
      </c>
      <c r="T32" s="16" t="e">
        <f>#REF!</f>
        <v>#REF!</v>
      </c>
      <c r="U32" s="16" t="e">
        <f>#REF!</f>
        <v>#REF!</v>
      </c>
      <c r="V32" s="17" t="e">
        <f t="shared" si="3"/>
        <v>#REF!</v>
      </c>
      <c r="W32" s="18" t="e">
        <f>IF($V$26&gt;0,V32/$V$26,0)</f>
        <v>#REF!</v>
      </c>
      <c r="X32" s="19">
        <f t="shared" si="4"/>
        <v>0</v>
      </c>
      <c r="Y32" s="20"/>
      <c r="Z32" s="21"/>
    </row>
    <row r="33" spans="1:26" s="1" customFormat="1" ht="29.25" hidden="1" customHeight="1" thickBot="1">
      <c r="A33" s="53">
        <v>5</v>
      </c>
      <c r="B33" s="71" t="s">
        <v>77</v>
      </c>
      <c r="C33" s="16"/>
      <c r="D33" s="16" t="e">
        <f>#REF!</f>
        <v>#REF!</v>
      </c>
      <c r="E33" s="16" t="e">
        <f>#REF!</f>
        <v>#REF!</v>
      </c>
      <c r="F33" s="16" t="e">
        <f>#REF!</f>
        <v>#REF!</v>
      </c>
      <c r="G33" s="16" t="e">
        <f>#REF!</f>
        <v>#REF!</v>
      </c>
      <c r="H33" s="16" t="e">
        <f>#REF!</f>
        <v>#REF!</v>
      </c>
      <c r="I33" s="16" t="e">
        <f>#REF!</f>
        <v>#REF!</v>
      </c>
      <c r="J33" s="16" t="e">
        <f>#REF!</f>
        <v>#REF!</v>
      </c>
      <c r="K33" s="16" t="e">
        <f>#REF!</f>
        <v>#REF!</v>
      </c>
      <c r="L33" s="16" t="e">
        <f>#REF!</f>
        <v>#REF!</v>
      </c>
      <c r="M33" s="16" t="e">
        <f>#REF!</f>
        <v>#REF!</v>
      </c>
      <c r="N33" s="16" t="e">
        <f>#REF!</f>
        <v>#REF!</v>
      </c>
      <c r="O33" s="16" t="e">
        <f>#REF!</f>
        <v>#REF!</v>
      </c>
      <c r="P33" s="16" t="e">
        <f>#REF!</f>
        <v>#REF!</v>
      </c>
      <c r="Q33" s="16" t="e">
        <f>#REF!</f>
        <v>#REF!</v>
      </c>
      <c r="R33" s="16" t="e">
        <f>#REF!</f>
        <v>#REF!</v>
      </c>
      <c r="S33" s="16" t="e">
        <f>#REF!</f>
        <v>#REF!</v>
      </c>
      <c r="T33" s="16" t="e">
        <f>#REF!</f>
        <v>#REF!</v>
      </c>
      <c r="U33" s="16" t="e">
        <f>#REF!</f>
        <v>#REF!</v>
      </c>
      <c r="V33" s="17" t="e">
        <f t="shared" si="3"/>
        <v>#REF!</v>
      </c>
      <c r="W33" s="18" t="e">
        <f>IF($V$26&gt;0,V33/$V$26,0)</f>
        <v>#REF!</v>
      </c>
      <c r="X33" s="19">
        <f t="shared" si="4"/>
        <v>0</v>
      </c>
      <c r="Y33" s="22"/>
      <c r="Z33" s="23"/>
    </row>
    <row r="34" spans="1:26" s="1" customFormat="1" ht="29.25" hidden="1" customHeight="1" thickBot="1">
      <c r="A34" s="53">
        <v>6</v>
      </c>
      <c r="B34" s="71" t="s">
        <v>78</v>
      </c>
      <c r="C34" s="16"/>
      <c r="D34" s="16" t="e">
        <f>#REF!</f>
        <v>#REF!</v>
      </c>
      <c r="E34" s="16" t="e">
        <f>#REF!</f>
        <v>#REF!</v>
      </c>
      <c r="F34" s="16" t="e">
        <f>#REF!</f>
        <v>#REF!</v>
      </c>
      <c r="G34" s="16" t="e">
        <f>#REF!</f>
        <v>#REF!</v>
      </c>
      <c r="H34" s="16" t="e">
        <f>#REF!</f>
        <v>#REF!</v>
      </c>
      <c r="I34" s="16" t="e">
        <f>#REF!</f>
        <v>#REF!</v>
      </c>
      <c r="J34" s="16" t="e">
        <f>#REF!</f>
        <v>#REF!</v>
      </c>
      <c r="K34" s="16" t="e">
        <f>#REF!</f>
        <v>#REF!</v>
      </c>
      <c r="L34" s="16" t="e">
        <f>#REF!</f>
        <v>#REF!</v>
      </c>
      <c r="M34" s="16" t="e">
        <f>#REF!</f>
        <v>#REF!</v>
      </c>
      <c r="N34" s="16" t="e">
        <f>#REF!</f>
        <v>#REF!</v>
      </c>
      <c r="O34" s="16" t="e">
        <f>#REF!</f>
        <v>#REF!</v>
      </c>
      <c r="P34" s="16" t="e">
        <f>#REF!</f>
        <v>#REF!</v>
      </c>
      <c r="Q34" s="16" t="e">
        <f>#REF!</f>
        <v>#REF!</v>
      </c>
      <c r="R34" s="16" t="e">
        <f>#REF!</f>
        <v>#REF!</v>
      </c>
      <c r="S34" s="16" t="e">
        <f>#REF!</f>
        <v>#REF!</v>
      </c>
      <c r="T34" s="16" t="e">
        <f>#REF!</f>
        <v>#REF!</v>
      </c>
      <c r="U34" s="16" t="e">
        <f>#REF!</f>
        <v>#REF!</v>
      </c>
      <c r="V34" s="17" t="e">
        <f t="shared" si="3"/>
        <v>#REF!</v>
      </c>
      <c r="W34" s="18" t="e">
        <f t="shared" ref="W34:W77" si="5">IF($V$26&gt;0,V34/$V$26,0)</f>
        <v>#REF!</v>
      </c>
      <c r="X34" s="19">
        <f t="shared" si="4"/>
        <v>0</v>
      </c>
      <c r="Y34" s="22"/>
      <c r="Z34" s="23"/>
    </row>
    <row r="35" spans="1:26" s="1" customFormat="1" ht="29.25" hidden="1" customHeight="1" thickBot="1">
      <c r="A35" s="53">
        <v>7</v>
      </c>
      <c r="B35" s="71" t="s">
        <v>79</v>
      </c>
      <c r="C35" s="16"/>
      <c r="D35" s="16" t="e">
        <f>#REF!</f>
        <v>#REF!</v>
      </c>
      <c r="E35" s="16" t="e">
        <f>#REF!</f>
        <v>#REF!</v>
      </c>
      <c r="F35" s="16" t="e">
        <f>#REF!</f>
        <v>#REF!</v>
      </c>
      <c r="G35" s="16" t="e">
        <f>#REF!</f>
        <v>#REF!</v>
      </c>
      <c r="H35" s="16" t="e">
        <f>#REF!</f>
        <v>#REF!</v>
      </c>
      <c r="I35" s="16" t="e">
        <f>#REF!</f>
        <v>#REF!</v>
      </c>
      <c r="J35" s="16" t="e">
        <f>#REF!</f>
        <v>#REF!</v>
      </c>
      <c r="K35" s="16" t="e">
        <f>#REF!</f>
        <v>#REF!</v>
      </c>
      <c r="L35" s="16" t="e">
        <f>#REF!</f>
        <v>#REF!</v>
      </c>
      <c r="M35" s="16" t="e">
        <f>#REF!</f>
        <v>#REF!</v>
      </c>
      <c r="N35" s="16" t="e">
        <f>#REF!</f>
        <v>#REF!</v>
      </c>
      <c r="O35" s="16" t="e">
        <f>#REF!</f>
        <v>#REF!</v>
      </c>
      <c r="P35" s="16" t="e">
        <f>#REF!</f>
        <v>#REF!</v>
      </c>
      <c r="Q35" s="16" t="e">
        <f>#REF!</f>
        <v>#REF!</v>
      </c>
      <c r="R35" s="16" t="e">
        <f>#REF!</f>
        <v>#REF!</v>
      </c>
      <c r="S35" s="16" t="e">
        <f>#REF!</f>
        <v>#REF!</v>
      </c>
      <c r="T35" s="16" t="e">
        <f>#REF!</f>
        <v>#REF!</v>
      </c>
      <c r="U35" s="16" t="e">
        <f>#REF!</f>
        <v>#REF!</v>
      </c>
      <c r="V35" s="17" t="e">
        <f t="shared" si="3"/>
        <v>#REF!</v>
      </c>
      <c r="W35" s="18" t="e">
        <f t="shared" si="5"/>
        <v>#REF!</v>
      </c>
      <c r="X35" s="19">
        <f t="shared" si="4"/>
        <v>0</v>
      </c>
      <c r="Y35" s="22"/>
      <c r="Z35" s="23"/>
    </row>
    <row r="36" spans="1:26" s="1" customFormat="1" ht="29.25" hidden="1" customHeight="1" thickBot="1">
      <c r="A36" s="53">
        <v>8</v>
      </c>
      <c r="B36" s="71" t="s">
        <v>80</v>
      </c>
      <c r="C36" s="16"/>
      <c r="D36" s="16" t="e">
        <f>#REF!</f>
        <v>#REF!</v>
      </c>
      <c r="E36" s="16" t="e">
        <f>#REF!</f>
        <v>#REF!</v>
      </c>
      <c r="F36" s="16" t="e">
        <f>#REF!</f>
        <v>#REF!</v>
      </c>
      <c r="G36" s="16" t="e">
        <f>#REF!</f>
        <v>#REF!</v>
      </c>
      <c r="H36" s="16" t="e">
        <f>#REF!</f>
        <v>#REF!</v>
      </c>
      <c r="I36" s="16" t="e">
        <f>#REF!</f>
        <v>#REF!</v>
      </c>
      <c r="J36" s="16" t="e">
        <f>#REF!</f>
        <v>#REF!</v>
      </c>
      <c r="K36" s="16" t="e">
        <f>#REF!</f>
        <v>#REF!</v>
      </c>
      <c r="L36" s="16" t="e">
        <f>#REF!</f>
        <v>#REF!</v>
      </c>
      <c r="M36" s="16" t="e">
        <f>#REF!</f>
        <v>#REF!</v>
      </c>
      <c r="N36" s="16" t="e">
        <f>#REF!</f>
        <v>#REF!</v>
      </c>
      <c r="O36" s="16" t="e">
        <f>#REF!</f>
        <v>#REF!</v>
      </c>
      <c r="P36" s="16" t="e">
        <f>#REF!</f>
        <v>#REF!</v>
      </c>
      <c r="Q36" s="16" t="e">
        <f>#REF!</f>
        <v>#REF!</v>
      </c>
      <c r="R36" s="16" t="e">
        <f>#REF!</f>
        <v>#REF!</v>
      </c>
      <c r="S36" s="16" t="e">
        <f>#REF!</f>
        <v>#REF!</v>
      </c>
      <c r="T36" s="16" t="e">
        <f>#REF!</f>
        <v>#REF!</v>
      </c>
      <c r="U36" s="16" t="e">
        <f>#REF!</f>
        <v>#REF!</v>
      </c>
      <c r="V36" s="17" t="e">
        <f t="shared" si="3"/>
        <v>#REF!</v>
      </c>
      <c r="W36" s="18" t="e">
        <f t="shared" si="5"/>
        <v>#REF!</v>
      </c>
      <c r="X36" s="19">
        <f t="shared" si="4"/>
        <v>0</v>
      </c>
      <c r="Y36" s="22"/>
      <c r="Z36" s="23"/>
    </row>
    <row r="37" spans="1:26" s="1" customFormat="1" hidden="1">
      <c r="A37" s="53">
        <v>9</v>
      </c>
      <c r="B37" s="71" t="s">
        <v>81</v>
      </c>
      <c r="C37" s="16"/>
      <c r="D37" s="16" t="e">
        <f>#REF!</f>
        <v>#REF!</v>
      </c>
      <c r="E37" s="16" t="e">
        <f>#REF!</f>
        <v>#REF!</v>
      </c>
      <c r="F37" s="16" t="e">
        <f>#REF!</f>
        <v>#REF!</v>
      </c>
      <c r="G37" s="16" t="e">
        <f>#REF!</f>
        <v>#REF!</v>
      </c>
      <c r="H37" s="16" t="e">
        <f>#REF!</f>
        <v>#REF!</v>
      </c>
      <c r="I37" s="16" t="e">
        <f>#REF!</f>
        <v>#REF!</v>
      </c>
      <c r="J37" s="16" t="e">
        <f>#REF!</f>
        <v>#REF!</v>
      </c>
      <c r="K37" s="16" t="e">
        <f>#REF!</f>
        <v>#REF!</v>
      </c>
      <c r="L37" s="16" t="e">
        <f>#REF!</f>
        <v>#REF!</v>
      </c>
      <c r="M37" s="16" t="e">
        <f>#REF!</f>
        <v>#REF!</v>
      </c>
      <c r="N37" s="16" t="e">
        <f>#REF!</f>
        <v>#REF!</v>
      </c>
      <c r="O37" s="16" t="e">
        <f>#REF!</f>
        <v>#REF!</v>
      </c>
      <c r="P37" s="16" t="e">
        <f>#REF!</f>
        <v>#REF!</v>
      </c>
      <c r="Q37" s="16" t="e">
        <f>#REF!</f>
        <v>#REF!</v>
      </c>
      <c r="R37" s="16" t="e">
        <f>#REF!</f>
        <v>#REF!</v>
      </c>
      <c r="S37" s="16" t="e">
        <f>#REF!</f>
        <v>#REF!</v>
      </c>
      <c r="T37" s="16" t="e">
        <f>#REF!</f>
        <v>#REF!</v>
      </c>
      <c r="U37" s="16" t="e">
        <f>#REF!</f>
        <v>#REF!</v>
      </c>
      <c r="V37" s="17" t="e">
        <f t="shared" si="3"/>
        <v>#REF!</v>
      </c>
      <c r="W37" s="18" t="e">
        <f t="shared" si="5"/>
        <v>#REF!</v>
      </c>
      <c r="X37" s="19">
        <f t="shared" si="4"/>
        <v>0</v>
      </c>
      <c r="Y37" s="22"/>
      <c r="Z37" s="23"/>
    </row>
    <row r="38" spans="1:26" s="1" customFormat="1" hidden="1">
      <c r="A38" s="53">
        <v>10</v>
      </c>
      <c r="B38" s="71" t="s">
        <v>82</v>
      </c>
      <c r="C38" s="16"/>
      <c r="D38" s="16" t="e">
        <f>#REF!</f>
        <v>#REF!</v>
      </c>
      <c r="E38" s="16" t="e">
        <f>#REF!</f>
        <v>#REF!</v>
      </c>
      <c r="F38" s="16" t="e">
        <f>#REF!</f>
        <v>#REF!</v>
      </c>
      <c r="G38" s="16" t="e">
        <f>#REF!</f>
        <v>#REF!</v>
      </c>
      <c r="H38" s="16" t="e">
        <f>#REF!</f>
        <v>#REF!</v>
      </c>
      <c r="I38" s="16" t="e">
        <f>#REF!</f>
        <v>#REF!</v>
      </c>
      <c r="J38" s="16" t="e">
        <f>#REF!</f>
        <v>#REF!</v>
      </c>
      <c r="K38" s="16" t="e">
        <f>#REF!</f>
        <v>#REF!</v>
      </c>
      <c r="L38" s="16" t="e">
        <f>#REF!</f>
        <v>#REF!</v>
      </c>
      <c r="M38" s="16" t="e">
        <f>#REF!</f>
        <v>#REF!</v>
      </c>
      <c r="N38" s="16" t="e">
        <f>#REF!</f>
        <v>#REF!</v>
      </c>
      <c r="O38" s="16" t="e">
        <f>#REF!</f>
        <v>#REF!</v>
      </c>
      <c r="P38" s="16" t="e">
        <f>#REF!</f>
        <v>#REF!</v>
      </c>
      <c r="Q38" s="16" t="e">
        <f>#REF!</f>
        <v>#REF!</v>
      </c>
      <c r="R38" s="16" t="e">
        <f>#REF!</f>
        <v>#REF!</v>
      </c>
      <c r="S38" s="16" t="e">
        <f>#REF!</f>
        <v>#REF!</v>
      </c>
      <c r="T38" s="16" t="e">
        <f>#REF!</f>
        <v>#REF!</v>
      </c>
      <c r="U38" s="16" t="e">
        <f>#REF!</f>
        <v>#REF!</v>
      </c>
      <c r="V38" s="17" t="e">
        <f t="shared" si="3"/>
        <v>#REF!</v>
      </c>
      <c r="W38" s="18" t="e">
        <f t="shared" si="5"/>
        <v>#REF!</v>
      </c>
      <c r="X38" s="19">
        <f t="shared" si="4"/>
        <v>0</v>
      </c>
      <c r="Y38" s="22"/>
      <c r="Z38" s="23"/>
    </row>
    <row r="39" spans="1:26" s="1" customFormat="1" hidden="1">
      <c r="A39" s="53">
        <v>11</v>
      </c>
      <c r="B39" s="71" t="s">
        <v>83</v>
      </c>
      <c r="C39" s="16"/>
      <c r="D39" s="16" t="e">
        <f>#REF!</f>
        <v>#REF!</v>
      </c>
      <c r="E39" s="16" t="e">
        <f>#REF!</f>
        <v>#REF!</v>
      </c>
      <c r="F39" s="16" t="e">
        <f>#REF!</f>
        <v>#REF!</v>
      </c>
      <c r="G39" s="16" t="e">
        <f>#REF!</f>
        <v>#REF!</v>
      </c>
      <c r="H39" s="16" t="e">
        <f>#REF!</f>
        <v>#REF!</v>
      </c>
      <c r="I39" s="16" t="e">
        <f>#REF!</f>
        <v>#REF!</v>
      </c>
      <c r="J39" s="16" t="e">
        <f>#REF!</f>
        <v>#REF!</v>
      </c>
      <c r="K39" s="16" t="e">
        <f>#REF!</f>
        <v>#REF!</v>
      </c>
      <c r="L39" s="16" t="e">
        <f>#REF!</f>
        <v>#REF!</v>
      </c>
      <c r="M39" s="16" t="e">
        <f>#REF!</f>
        <v>#REF!</v>
      </c>
      <c r="N39" s="16" t="e">
        <f>#REF!</f>
        <v>#REF!</v>
      </c>
      <c r="O39" s="16" t="e">
        <f>#REF!</f>
        <v>#REF!</v>
      </c>
      <c r="P39" s="16" t="e">
        <f>#REF!</f>
        <v>#REF!</v>
      </c>
      <c r="Q39" s="16" t="e">
        <f>#REF!</f>
        <v>#REF!</v>
      </c>
      <c r="R39" s="16" t="e">
        <f>#REF!</f>
        <v>#REF!</v>
      </c>
      <c r="S39" s="16" t="e">
        <f>#REF!</f>
        <v>#REF!</v>
      </c>
      <c r="T39" s="16" t="e">
        <f>#REF!</f>
        <v>#REF!</v>
      </c>
      <c r="U39" s="16" t="e">
        <f>#REF!</f>
        <v>#REF!</v>
      </c>
      <c r="V39" s="17" t="e">
        <f t="shared" si="3"/>
        <v>#REF!</v>
      </c>
      <c r="W39" s="18" t="e">
        <f t="shared" si="5"/>
        <v>#REF!</v>
      </c>
      <c r="X39" s="19">
        <f t="shared" si="4"/>
        <v>0</v>
      </c>
      <c r="Y39" s="22"/>
      <c r="Z39" s="23"/>
    </row>
    <row r="40" spans="1:26" s="1" customFormat="1" ht="29.25" hidden="1" customHeight="1" thickBot="1">
      <c r="A40" s="53">
        <v>12</v>
      </c>
      <c r="B40" s="71" t="s">
        <v>84</v>
      </c>
      <c r="C40" s="16"/>
      <c r="D40" s="16" t="e">
        <f>#REF!</f>
        <v>#REF!</v>
      </c>
      <c r="E40" s="16" t="e">
        <f>#REF!</f>
        <v>#REF!</v>
      </c>
      <c r="F40" s="16" t="e">
        <f>#REF!</f>
        <v>#REF!</v>
      </c>
      <c r="G40" s="16" t="e">
        <f>#REF!</f>
        <v>#REF!</v>
      </c>
      <c r="H40" s="16" t="e">
        <f>#REF!</f>
        <v>#REF!</v>
      </c>
      <c r="I40" s="16" t="e">
        <f>#REF!</f>
        <v>#REF!</v>
      </c>
      <c r="J40" s="16" t="e">
        <f>#REF!</f>
        <v>#REF!</v>
      </c>
      <c r="K40" s="16" t="e">
        <f>#REF!</f>
        <v>#REF!</v>
      </c>
      <c r="L40" s="16" t="e">
        <f>#REF!</f>
        <v>#REF!</v>
      </c>
      <c r="M40" s="16" t="e">
        <f>#REF!</f>
        <v>#REF!</v>
      </c>
      <c r="N40" s="16" t="e">
        <f>#REF!</f>
        <v>#REF!</v>
      </c>
      <c r="O40" s="16" t="e">
        <f>#REF!</f>
        <v>#REF!</v>
      </c>
      <c r="P40" s="16" t="e">
        <f>#REF!</f>
        <v>#REF!</v>
      </c>
      <c r="Q40" s="16" t="e">
        <f>#REF!</f>
        <v>#REF!</v>
      </c>
      <c r="R40" s="16" t="e">
        <f>#REF!</f>
        <v>#REF!</v>
      </c>
      <c r="S40" s="16" t="e">
        <f>#REF!</f>
        <v>#REF!</v>
      </c>
      <c r="T40" s="16" t="e">
        <f>#REF!</f>
        <v>#REF!</v>
      </c>
      <c r="U40" s="16" t="e">
        <f>#REF!</f>
        <v>#REF!</v>
      </c>
      <c r="V40" s="17" t="e">
        <f t="shared" si="3"/>
        <v>#REF!</v>
      </c>
      <c r="W40" s="18" t="e">
        <f t="shared" si="5"/>
        <v>#REF!</v>
      </c>
      <c r="X40" s="19">
        <f t="shared" si="4"/>
        <v>0</v>
      </c>
      <c r="Y40" s="22"/>
      <c r="Z40" s="23"/>
    </row>
    <row r="41" spans="1:26" s="1" customFormat="1" ht="29.25" hidden="1" customHeight="1" thickBot="1">
      <c r="A41" s="53">
        <v>13</v>
      </c>
      <c r="B41" s="63" t="s">
        <v>85</v>
      </c>
      <c r="C41" s="24"/>
      <c r="D41" s="24" t="e">
        <f>#REF!</f>
        <v>#REF!</v>
      </c>
      <c r="E41" s="24" t="e">
        <f>#REF!</f>
        <v>#REF!</v>
      </c>
      <c r="F41" s="24" t="e">
        <f>#REF!</f>
        <v>#REF!</v>
      </c>
      <c r="G41" s="24" t="e">
        <f>#REF!</f>
        <v>#REF!</v>
      </c>
      <c r="H41" s="24" t="e">
        <f>#REF!</f>
        <v>#REF!</v>
      </c>
      <c r="I41" s="24" t="e">
        <f>#REF!</f>
        <v>#REF!</v>
      </c>
      <c r="J41" s="24" t="e">
        <f>#REF!</f>
        <v>#REF!</v>
      </c>
      <c r="K41" s="24" t="e">
        <f>#REF!</f>
        <v>#REF!</v>
      </c>
      <c r="L41" s="24" t="e">
        <f>#REF!</f>
        <v>#REF!</v>
      </c>
      <c r="M41" s="24" t="e">
        <f>#REF!</f>
        <v>#REF!</v>
      </c>
      <c r="N41" s="24" t="e">
        <f>#REF!</f>
        <v>#REF!</v>
      </c>
      <c r="O41" s="24" t="e">
        <f>#REF!</f>
        <v>#REF!</v>
      </c>
      <c r="P41" s="24" t="e">
        <f>#REF!</f>
        <v>#REF!</v>
      </c>
      <c r="Q41" s="24" t="e">
        <f>#REF!</f>
        <v>#REF!</v>
      </c>
      <c r="R41" s="24" t="e">
        <f>#REF!</f>
        <v>#REF!</v>
      </c>
      <c r="S41" s="24" t="e">
        <f>#REF!</f>
        <v>#REF!</v>
      </c>
      <c r="T41" s="24" t="e">
        <f>#REF!</f>
        <v>#REF!</v>
      </c>
      <c r="U41" s="24" t="e">
        <f>#REF!</f>
        <v>#REF!</v>
      </c>
      <c r="V41" s="17" t="e">
        <f t="shared" si="3"/>
        <v>#REF!</v>
      </c>
      <c r="W41" s="18" t="e">
        <f t="shared" si="5"/>
        <v>#REF!</v>
      </c>
      <c r="X41" s="19">
        <f t="shared" si="4"/>
        <v>0</v>
      </c>
      <c r="Y41" s="25"/>
      <c r="Z41" s="23"/>
    </row>
    <row r="42" spans="1:26" s="1" customFormat="1" ht="29.25" hidden="1" customHeight="1" thickBot="1">
      <c r="A42" s="53">
        <v>14</v>
      </c>
      <c r="B42" s="72" t="s">
        <v>86</v>
      </c>
      <c r="C42" s="26"/>
      <c r="D42" s="46" t="e">
        <f>#REF!</f>
        <v>#REF!</v>
      </c>
      <c r="E42" s="46" t="e">
        <f>#REF!</f>
        <v>#REF!</v>
      </c>
      <c r="F42" s="46" t="e">
        <f>#REF!</f>
        <v>#REF!</v>
      </c>
      <c r="G42" s="46" t="e">
        <f>#REF!</f>
        <v>#REF!</v>
      </c>
      <c r="H42" s="46" t="e">
        <f>#REF!</f>
        <v>#REF!</v>
      </c>
      <c r="I42" s="46" t="e">
        <f>#REF!</f>
        <v>#REF!</v>
      </c>
      <c r="J42" s="46" t="e">
        <f>#REF!</f>
        <v>#REF!</v>
      </c>
      <c r="K42" s="46" t="e">
        <f>#REF!</f>
        <v>#REF!</v>
      </c>
      <c r="L42" s="46" t="e">
        <f>#REF!</f>
        <v>#REF!</v>
      </c>
      <c r="M42" s="46" t="e">
        <f>#REF!</f>
        <v>#REF!</v>
      </c>
      <c r="N42" s="46" t="e">
        <f>#REF!</f>
        <v>#REF!</v>
      </c>
      <c r="O42" s="46" t="e">
        <f>#REF!</f>
        <v>#REF!</v>
      </c>
      <c r="P42" s="46" t="e">
        <f>#REF!</f>
        <v>#REF!</v>
      </c>
      <c r="Q42" s="46" t="e">
        <f>#REF!</f>
        <v>#REF!</v>
      </c>
      <c r="R42" s="46" t="e">
        <f>#REF!</f>
        <v>#REF!</v>
      </c>
      <c r="S42" s="46" t="e">
        <f>#REF!</f>
        <v>#REF!</v>
      </c>
      <c r="T42" s="46" t="e">
        <f>#REF!</f>
        <v>#REF!</v>
      </c>
      <c r="U42" s="46" t="e">
        <f>#REF!</f>
        <v>#REF!</v>
      </c>
      <c r="V42" s="17" t="e">
        <f t="shared" si="3"/>
        <v>#REF!</v>
      </c>
      <c r="W42" s="18" t="e">
        <f t="shared" si="5"/>
        <v>#REF!</v>
      </c>
      <c r="X42" s="19">
        <f t="shared" si="4"/>
        <v>0</v>
      </c>
      <c r="Y42" s="27"/>
      <c r="Z42" s="28"/>
    </row>
    <row r="43" spans="1:26" s="1" customFormat="1" ht="29.25" hidden="1" customHeight="1" thickBot="1">
      <c r="A43" s="53">
        <v>15</v>
      </c>
      <c r="B43" s="63" t="s">
        <v>87</v>
      </c>
      <c r="C43" s="50"/>
      <c r="D43" s="49" t="e">
        <f>#REF!</f>
        <v>#REF!</v>
      </c>
      <c r="E43" s="49" t="e">
        <f>#REF!</f>
        <v>#REF!</v>
      </c>
      <c r="F43" s="49" t="e">
        <f>#REF!</f>
        <v>#REF!</v>
      </c>
      <c r="G43" s="49" t="e">
        <f>#REF!</f>
        <v>#REF!</v>
      </c>
      <c r="H43" s="49" t="e">
        <f>#REF!</f>
        <v>#REF!</v>
      </c>
      <c r="I43" s="49" t="e">
        <f>#REF!</f>
        <v>#REF!</v>
      </c>
      <c r="J43" s="49" t="e">
        <f>#REF!</f>
        <v>#REF!</v>
      </c>
      <c r="K43" s="49" t="e">
        <f>#REF!</f>
        <v>#REF!</v>
      </c>
      <c r="L43" s="49" t="e">
        <f>#REF!</f>
        <v>#REF!</v>
      </c>
      <c r="M43" s="49" t="e">
        <f>#REF!</f>
        <v>#REF!</v>
      </c>
      <c r="N43" s="49" t="e">
        <f>#REF!</f>
        <v>#REF!</v>
      </c>
      <c r="O43" s="49" t="e">
        <f>#REF!</f>
        <v>#REF!</v>
      </c>
      <c r="P43" s="49" t="e">
        <f>#REF!</f>
        <v>#REF!</v>
      </c>
      <c r="Q43" s="49" t="e">
        <f>#REF!</f>
        <v>#REF!</v>
      </c>
      <c r="R43" s="49" t="e">
        <f>#REF!</f>
        <v>#REF!</v>
      </c>
      <c r="S43" s="49" t="e">
        <f>#REF!</f>
        <v>#REF!</v>
      </c>
      <c r="T43" s="49" t="e">
        <f>#REF!</f>
        <v>#REF!</v>
      </c>
      <c r="U43" s="49" t="e">
        <f>#REF!</f>
        <v>#REF!</v>
      </c>
      <c r="V43" s="17" t="e">
        <f t="shared" si="3"/>
        <v>#REF!</v>
      </c>
      <c r="W43" s="18" t="e">
        <f t="shared" si="5"/>
        <v>#REF!</v>
      </c>
      <c r="X43" s="19">
        <f t="shared" si="4"/>
        <v>0</v>
      </c>
      <c r="Y43" s="30"/>
      <c r="Z43" s="23"/>
    </row>
    <row r="44" spans="1:26" s="1" customFormat="1" hidden="1">
      <c r="A44" s="53">
        <v>16</v>
      </c>
      <c r="B44" s="65" t="s">
        <v>88</v>
      </c>
      <c r="C44" s="26"/>
      <c r="D44" s="46" t="e">
        <f>#REF!</f>
        <v>#REF!</v>
      </c>
      <c r="E44" s="46" t="e">
        <f>#REF!</f>
        <v>#REF!</v>
      </c>
      <c r="F44" s="46" t="e">
        <f>#REF!</f>
        <v>#REF!</v>
      </c>
      <c r="G44" s="46" t="e">
        <f>#REF!</f>
        <v>#REF!</v>
      </c>
      <c r="H44" s="46" t="e">
        <f>#REF!</f>
        <v>#REF!</v>
      </c>
      <c r="I44" s="46" t="e">
        <f>#REF!</f>
        <v>#REF!</v>
      </c>
      <c r="J44" s="46" t="e">
        <f>#REF!</f>
        <v>#REF!</v>
      </c>
      <c r="K44" s="46" t="e">
        <f>#REF!</f>
        <v>#REF!</v>
      </c>
      <c r="L44" s="46" t="e">
        <f>#REF!</f>
        <v>#REF!</v>
      </c>
      <c r="M44" s="46" t="e">
        <f>#REF!</f>
        <v>#REF!</v>
      </c>
      <c r="N44" s="46" t="e">
        <f>#REF!</f>
        <v>#REF!</v>
      </c>
      <c r="O44" s="46" t="e">
        <f>#REF!</f>
        <v>#REF!</v>
      </c>
      <c r="P44" s="46" t="e">
        <f>#REF!</f>
        <v>#REF!</v>
      </c>
      <c r="Q44" s="46" t="e">
        <f>#REF!</f>
        <v>#REF!</v>
      </c>
      <c r="R44" s="46" t="e">
        <f>#REF!</f>
        <v>#REF!</v>
      </c>
      <c r="S44" s="46" t="e">
        <f>#REF!</f>
        <v>#REF!</v>
      </c>
      <c r="T44" s="46" t="e">
        <f>#REF!</f>
        <v>#REF!</v>
      </c>
      <c r="U44" s="46" t="e">
        <f>#REF!</f>
        <v>#REF!</v>
      </c>
      <c r="V44" s="17" t="e">
        <f t="shared" si="3"/>
        <v>#REF!</v>
      </c>
      <c r="W44" s="18" t="e">
        <f t="shared" si="5"/>
        <v>#REF!</v>
      </c>
      <c r="X44" s="19">
        <f t="shared" si="4"/>
        <v>0</v>
      </c>
      <c r="Y44" s="30"/>
      <c r="Z44" s="23"/>
    </row>
    <row r="45" spans="1:26" s="1" customFormat="1" hidden="1">
      <c r="A45" s="53">
        <v>17</v>
      </c>
      <c r="B45" s="66" t="s">
        <v>89</v>
      </c>
      <c r="C45" s="29"/>
      <c r="D45" s="47" t="e">
        <f>#REF!</f>
        <v>#REF!</v>
      </c>
      <c r="E45" s="47" t="e">
        <f>#REF!</f>
        <v>#REF!</v>
      </c>
      <c r="F45" s="47" t="e">
        <f>#REF!</f>
        <v>#REF!</v>
      </c>
      <c r="G45" s="47" t="e">
        <f>#REF!</f>
        <v>#REF!</v>
      </c>
      <c r="H45" s="47" t="e">
        <f>#REF!</f>
        <v>#REF!</v>
      </c>
      <c r="I45" s="47" t="e">
        <f>#REF!</f>
        <v>#REF!</v>
      </c>
      <c r="J45" s="47" t="e">
        <f>#REF!</f>
        <v>#REF!</v>
      </c>
      <c r="K45" s="47" t="e">
        <f>#REF!</f>
        <v>#REF!</v>
      </c>
      <c r="L45" s="47" t="e">
        <f>#REF!</f>
        <v>#REF!</v>
      </c>
      <c r="M45" s="47" t="e">
        <f>#REF!</f>
        <v>#REF!</v>
      </c>
      <c r="N45" s="47" t="e">
        <f>#REF!</f>
        <v>#REF!</v>
      </c>
      <c r="O45" s="47" t="e">
        <f>#REF!</f>
        <v>#REF!</v>
      </c>
      <c r="P45" s="47" t="e">
        <f>#REF!</f>
        <v>#REF!</v>
      </c>
      <c r="Q45" s="47" t="e">
        <f>#REF!</f>
        <v>#REF!</v>
      </c>
      <c r="R45" s="47" t="e">
        <f>#REF!</f>
        <v>#REF!</v>
      </c>
      <c r="S45" s="47" t="e">
        <f>#REF!</f>
        <v>#REF!</v>
      </c>
      <c r="T45" s="47" t="e">
        <f>#REF!</f>
        <v>#REF!</v>
      </c>
      <c r="U45" s="47" t="e">
        <f>#REF!</f>
        <v>#REF!</v>
      </c>
      <c r="V45" s="17" t="e">
        <f t="shared" si="3"/>
        <v>#REF!</v>
      </c>
      <c r="W45" s="18" t="e">
        <f t="shared" si="5"/>
        <v>#REF!</v>
      </c>
      <c r="X45" s="19">
        <f t="shared" si="4"/>
        <v>0</v>
      </c>
      <c r="Y45" s="30"/>
      <c r="Z45" s="23"/>
    </row>
    <row r="46" spans="1:26" s="1" customFormat="1" hidden="1">
      <c r="A46" s="53">
        <v>18</v>
      </c>
      <c r="B46" s="71" t="s">
        <v>90</v>
      </c>
      <c r="C46" s="29"/>
      <c r="D46" s="47" t="e">
        <f>#REF!</f>
        <v>#REF!</v>
      </c>
      <c r="E46" s="47" t="e">
        <f>#REF!</f>
        <v>#REF!</v>
      </c>
      <c r="F46" s="47" t="e">
        <f>#REF!</f>
        <v>#REF!</v>
      </c>
      <c r="G46" s="47" t="e">
        <f>#REF!</f>
        <v>#REF!</v>
      </c>
      <c r="H46" s="47" t="e">
        <f>#REF!</f>
        <v>#REF!</v>
      </c>
      <c r="I46" s="47" t="e">
        <f>#REF!</f>
        <v>#REF!</v>
      </c>
      <c r="J46" s="47" t="e">
        <f>#REF!</f>
        <v>#REF!</v>
      </c>
      <c r="K46" s="47" t="e">
        <f>#REF!</f>
        <v>#REF!</v>
      </c>
      <c r="L46" s="47" t="e">
        <f>#REF!</f>
        <v>#REF!</v>
      </c>
      <c r="M46" s="47" t="e">
        <f>#REF!</f>
        <v>#REF!</v>
      </c>
      <c r="N46" s="47" t="e">
        <f>#REF!</f>
        <v>#REF!</v>
      </c>
      <c r="O46" s="47" t="e">
        <f>#REF!</f>
        <v>#REF!</v>
      </c>
      <c r="P46" s="47" t="e">
        <f>#REF!</f>
        <v>#REF!</v>
      </c>
      <c r="Q46" s="47" t="e">
        <f>#REF!</f>
        <v>#REF!</v>
      </c>
      <c r="R46" s="47" t="e">
        <f>#REF!</f>
        <v>#REF!</v>
      </c>
      <c r="S46" s="47" t="e">
        <f>#REF!</f>
        <v>#REF!</v>
      </c>
      <c r="T46" s="47" t="e">
        <f>#REF!</f>
        <v>#REF!</v>
      </c>
      <c r="U46" s="47" t="e">
        <f>#REF!</f>
        <v>#REF!</v>
      </c>
      <c r="V46" s="17" t="e">
        <f t="shared" si="3"/>
        <v>#REF!</v>
      </c>
      <c r="W46" s="18" t="e">
        <f t="shared" si="5"/>
        <v>#REF!</v>
      </c>
      <c r="X46" s="19">
        <f t="shared" si="4"/>
        <v>0</v>
      </c>
      <c r="Y46" s="30"/>
      <c r="Z46" s="23"/>
    </row>
    <row r="47" spans="1:26" s="1" customFormat="1" ht="29.25" hidden="1" customHeight="1" thickBot="1">
      <c r="A47" s="53">
        <v>19</v>
      </c>
      <c r="B47" s="67" t="s">
        <v>91</v>
      </c>
      <c r="C47" s="74"/>
      <c r="D47" s="47" t="e">
        <f>#REF!</f>
        <v>#REF!</v>
      </c>
      <c r="E47" s="47" t="e">
        <f>#REF!</f>
        <v>#REF!</v>
      </c>
      <c r="F47" s="47" t="e">
        <f>#REF!</f>
        <v>#REF!</v>
      </c>
      <c r="G47" s="47" t="e">
        <f>#REF!</f>
        <v>#REF!</v>
      </c>
      <c r="H47" s="47" t="e">
        <f>#REF!</f>
        <v>#REF!</v>
      </c>
      <c r="I47" s="47" t="e">
        <f>#REF!</f>
        <v>#REF!</v>
      </c>
      <c r="J47" s="47" t="e">
        <f>#REF!</f>
        <v>#REF!</v>
      </c>
      <c r="K47" s="47" t="e">
        <f>#REF!</f>
        <v>#REF!</v>
      </c>
      <c r="L47" s="47" t="e">
        <f>#REF!</f>
        <v>#REF!</v>
      </c>
      <c r="M47" s="47" t="e">
        <f>#REF!</f>
        <v>#REF!</v>
      </c>
      <c r="N47" s="47" t="e">
        <f>#REF!</f>
        <v>#REF!</v>
      </c>
      <c r="O47" s="47" t="e">
        <f>#REF!</f>
        <v>#REF!</v>
      </c>
      <c r="P47" s="47" t="e">
        <f>#REF!</f>
        <v>#REF!</v>
      </c>
      <c r="Q47" s="47" t="e">
        <f>#REF!</f>
        <v>#REF!</v>
      </c>
      <c r="R47" s="47" t="e">
        <f>#REF!</f>
        <v>#REF!</v>
      </c>
      <c r="S47" s="47" t="e">
        <f>#REF!</f>
        <v>#REF!</v>
      </c>
      <c r="T47" s="47" t="e">
        <f>#REF!</f>
        <v>#REF!</v>
      </c>
      <c r="U47" s="47" t="e">
        <f>#REF!</f>
        <v>#REF!</v>
      </c>
      <c r="V47" s="17" t="e">
        <f t="shared" si="3"/>
        <v>#REF!</v>
      </c>
      <c r="W47" s="18" t="e">
        <f t="shared" si="5"/>
        <v>#REF!</v>
      </c>
      <c r="X47" s="19">
        <f t="shared" si="4"/>
        <v>0</v>
      </c>
      <c r="Y47" s="30"/>
      <c r="Z47" s="23"/>
    </row>
    <row r="48" spans="1:26" s="1" customFormat="1" ht="29.25" hidden="1" customHeight="1" thickBot="1">
      <c r="A48" s="53">
        <v>20</v>
      </c>
      <c r="B48" s="67" t="s">
        <v>92</v>
      </c>
      <c r="C48" s="29"/>
      <c r="D48" s="47" t="e">
        <f>#REF!</f>
        <v>#REF!</v>
      </c>
      <c r="E48" s="47" t="e">
        <f>#REF!</f>
        <v>#REF!</v>
      </c>
      <c r="F48" s="47" t="e">
        <f>#REF!</f>
        <v>#REF!</v>
      </c>
      <c r="G48" s="47" t="e">
        <f>#REF!</f>
        <v>#REF!</v>
      </c>
      <c r="H48" s="47" t="e">
        <f>#REF!</f>
        <v>#REF!</v>
      </c>
      <c r="I48" s="47" t="e">
        <f>#REF!</f>
        <v>#REF!</v>
      </c>
      <c r="J48" s="47" t="e">
        <f>#REF!</f>
        <v>#REF!</v>
      </c>
      <c r="K48" s="47" t="e">
        <f>#REF!</f>
        <v>#REF!</v>
      </c>
      <c r="L48" s="47" t="e">
        <f>#REF!</f>
        <v>#REF!</v>
      </c>
      <c r="M48" s="47" t="e">
        <f>#REF!</f>
        <v>#REF!</v>
      </c>
      <c r="N48" s="47" t="e">
        <f>#REF!</f>
        <v>#REF!</v>
      </c>
      <c r="O48" s="47" t="e">
        <f>#REF!</f>
        <v>#REF!</v>
      </c>
      <c r="P48" s="47" t="e">
        <f>#REF!</f>
        <v>#REF!</v>
      </c>
      <c r="Q48" s="47" t="e">
        <f>#REF!</f>
        <v>#REF!</v>
      </c>
      <c r="R48" s="47" t="e">
        <f>#REF!</f>
        <v>#REF!</v>
      </c>
      <c r="S48" s="47" t="e">
        <f>#REF!</f>
        <v>#REF!</v>
      </c>
      <c r="T48" s="47" t="e">
        <f>#REF!</f>
        <v>#REF!</v>
      </c>
      <c r="U48" s="47" t="e">
        <f>#REF!</f>
        <v>#REF!</v>
      </c>
      <c r="V48" s="17" t="e">
        <f t="shared" si="3"/>
        <v>#REF!</v>
      </c>
      <c r="W48" s="18" t="e">
        <f t="shared" si="5"/>
        <v>#REF!</v>
      </c>
      <c r="X48" s="19">
        <f t="shared" si="4"/>
        <v>0</v>
      </c>
      <c r="Y48" s="30"/>
      <c r="Z48" s="23"/>
    </row>
    <row r="49" spans="1:26" s="1" customFormat="1" ht="29.25" hidden="1" customHeight="1" thickBot="1">
      <c r="A49" s="53">
        <v>21</v>
      </c>
      <c r="B49" s="67" t="s">
        <v>93</v>
      </c>
      <c r="C49" s="29"/>
      <c r="D49" s="47" t="e">
        <f>#REF!</f>
        <v>#REF!</v>
      </c>
      <c r="E49" s="47" t="e">
        <f>#REF!</f>
        <v>#REF!</v>
      </c>
      <c r="F49" s="47" t="e">
        <f>#REF!</f>
        <v>#REF!</v>
      </c>
      <c r="G49" s="47" t="e">
        <f>#REF!</f>
        <v>#REF!</v>
      </c>
      <c r="H49" s="47" t="e">
        <f>#REF!</f>
        <v>#REF!</v>
      </c>
      <c r="I49" s="47" t="e">
        <f>#REF!</f>
        <v>#REF!</v>
      </c>
      <c r="J49" s="47" t="e">
        <f>#REF!</f>
        <v>#REF!</v>
      </c>
      <c r="K49" s="47" t="e">
        <f>#REF!</f>
        <v>#REF!</v>
      </c>
      <c r="L49" s="47" t="e">
        <f>#REF!</f>
        <v>#REF!</v>
      </c>
      <c r="M49" s="47" t="e">
        <f>#REF!</f>
        <v>#REF!</v>
      </c>
      <c r="N49" s="47" t="e">
        <f>#REF!</f>
        <v>#REF!</v>
      </c>
      <c r="O49" s="47" t="e">
        <f>#REF!</f>
        <v>#REF!</v>
      </c>
      <c r="P49" s="47" t="e">
        <f>#REF!</f>
        <v>#REF!</v>
      </c>
      <c r="Q49" s="47" t="e">
        <f>#REF!</f>
        <v>#REF!</v>
      </c>
      <c r="R49" s="47" t="e">
        <f>#REF!</f>
        <v>#REF!</v>
      </c>
      <c r="S49" s="47" t="e">
        <f>#REF!</f>
        <v>#REF!</v>
      </c>
      <c r="T49" s="47" t="e">
        <f>#REF!</f>
        <v>#REF!</v>
      </c>
      <c r="U49" s="47" t="e">
        <f>#REF!</f>
        <v>#REF!</v>
      </c>
      <c r="V49" s="17" t="e">
        <f t="shared" si="3"/>
        <v>#REF!</v>
      </c>
      <c r="W49" s="18" t="e">
        <f t="shared" si="5"/>
        <v>#REF!</v>
      </c>
      <c r="X49" s="19">
        <f t="shared" si="4"/>
        <v>0</v>
      </c>
      <c r="Y49" s="30"/>
      <c r="Z49" s="23"/>
    </row>
    <row r="50" spans="1:26" s="1" customFormat="1" ht="29.25" hidden="1" customHeight="1" thickBot="1">
      <c r="A50" s="53">
        <v>22</v>
      </c>
      <c r="B50" s="67" t="s">
        <v>94</v>
      </c>
      <c r="C50" s="29"/>
      <c r="D50" s="47" t="e">
        <f>#REF!</f>
        <v>#REF!</v>
      </c>
      <c r="E50" s="47" t="e">
        <f>#REF!</f>
        <v>#REF!</v>
      </c>
      <c r="F50" s="47" t="e">
        <f>#REF!</f>
        <v>#REF!</v>
      </c>
      <c r="G50" s="47" t="e">
        <f>#REF!</f>
        <v>#REF!</v>
      </c>
      <c r="H50" s="47" t="e">
        <f>#REF!</f>
        <v>#REF!</v>
      </c>
      <c r="I50" s="47" t="e">
        <f>#REF!</f>
        <v>#REF!</v>
      </c>
      <c r="J50" s="47" t="e">
        <f>#REF!</f>
        <v>#REF!</v>
      </c>
      <c r="K50" s="47" t="e">
        <f>#REF!</f>
        <v>#REF!</v>
      </c>
      <c r="L50" s="47" t="e">
        <f>#REF!</f>
        <v>#REF!</v>
      </c>
      <c r="M50" s="47" t="e">
        <f>#REF!</f>
        <v>#REF!</v>
      </c>
      <c r="N50" s="47" t="e">
        <f>#REF!</f>
        <v>#REF!</v>
      </c>
      <c r="O50" s="47" t="e">
        <f>#REF!</f>
        <v>#REF!</v>
      </c>
      <c r="P50" s="47" t="e">
        <f>#REF!</f>
        <v>#REF!</v>
      </c>
      <c r="Q50" s="47" t="e">
        <f>#REF!</f>
        <v>#REF!</v>
      </c>
      <c r="R50" s="47" t="e">
        <f>#REF!</f>
        <v>#REF!</v>
      </c>
      <c r="S50" s="47" t="e">
        <f>#REF!</f>
        <v>#REF!</v>
      </c>
      <c r="T50" s="47" t="e">
        <f>#REF!</f>
        <v>#REF!</v>
      </c>
      <c r="U50" s="47" t="e">
        <f>#REF!</f>
        <v>#REF!</v>
      </c>
      <c r="V50" s="17" t="e">
        <f t="shared" si="3"/>
        <v>#REF!</v>
      </c>
      <c r="W50" s="18" t="e">
        <f t="shared" si="5"/>
        <v>#REF!</v>
      </c>
      <c r="X50" s="19">
        <f t="shared" si="4"/>
        <v>0</v>
      </c>
      <c r="Y50" s="30"/>
      <c r="Z50" s="23"/>
    </row>
    <row r="51" spans="1:26" s="1" customFormat="1" hidden="1">
      <c r="A51" s="75">
        <v>23</v>
      </c>
      <c r="B51" s="67" t="s">
        <v>95</v>
      </c>
      <c r="C51" s="29"/>
      <c r="D51" s="47" t="e">
        <f>AVERAGE(#REF!+#REF!+#REF!+#REF!+#REF!)/5</f>
        <v>#REF!</v>
      </c>
      <c r="E51" s="47" t="e">
        <f>AVERAGE(#REF!+#REF!+#REF!+#REF!+#REF!)/5</f>
        <v>#REF!</v>
      </c>
      <c r="F51" s="47" t="e">
        <f>AVERAGE(#REF!+#REF!+#REF!+#REF!+#REF!)/5</f>
        <v>#REF!</v>
      </c>
      <c r="G51" s="47" t="e">
        <f>AVERAGE(#REF!+#REF!+#REF!+#REF!+#REF!)/5</f>
        <v>#REF!</v>
      </c>
      <c r="H51" s="47" t="e">
        <f>AVERAGE(#REF!+#REF!+#REF!+#REF!+#REF!)/5</f>
        <v>#REF!</v>
      </c>
      <c r="I51" s="47" t="e">
        <f>AVERAGE(#REF!+#REF!+#REF!+#REF!+#REF!)/5</f>
        <v>#REF!</v>
      </c>
      <c r="J51" s="47" t="e">
        <f>AVERAGE(#REF!+#REF!+#REF!+#REF!+#REF!)/5</f>
        <v>#REF!</v>
      </c>
      <c r="K51" s="47" t="e">
        <f>AVERAGE(#REF!+#REF!+#REF!+#REF!+#REF!)</f>
        <v>#REF!</v>
      </c>
      <c r="L51" s="47" t="e">
        <f>AVERAGE(#REF!+#REF!+#REF!+#REF!+#REF!)</f>
        <v>#REF!</v>
      </c>
      <c r="M51" s="47" t="e">
        <f>AVERAGE(#REF!+#REF!+#REF!+#REF!+#REF!)</f>
        <v>#REF!</v>
      </c>
      <c r="N51" s="47" t="e">
        <f>AVERAGE(#REF!+#REF!+#REF!+#REF!+#REF!)</f>
        <v>#REF!</v>
      </c>
      <c r="O51" s="47" t="e">
        <f>AVERAGE(#REF!+#REF!+#REF!+#REF!+#REF!)</f>
        <v>#REF!</v>
      </c>
      <c r="P51" s="47" t="e">
        <f>AVERAGE(#REF!+#REF!+#REF!+#REF!+#REF!)</f>
        <v>#REF!</v>
      </c>
      <c r="Q51" s="47" t="e">
        <f>AVERAGE(#REF!+#REF!+#REF!+#REF!+#REF!)</f>
        <v>#REF!</v>
      </c>
      <c r="R51" s="47" t="e">
        <f>AVERAGE(#REF!+#REF!+#REF!+#REF!+#REF!)</f>
        <v>#REF!</v>
      </c>
      <c r="S51" s="47" t="e">
        <f>AVERAGE(#REF!+#REF!+#REF!+#REF!+#REF!)</f>
        <v>#REF!</v>
      </c>
      <c r="T51" s="47" t="e">
        <f>AVERAGE(#REF!+#REF!+#REF!+#REF!+#REF!)</f>
        <v>#REF!</v>
      </c>
      <c r="U51" s="47" t="e">
        <f>AVERAGE(#REF!+#REF!+#REF!+#REF!+#REF!)</f>
        <v>#REF!</v>
      </c>
      <c r="V51" s="17" t="e">
        <f t="shared" si="3"/>
        <v>#REF!</v>
      </c>
      <c r="W51" s="18" t="e">
        <f t="shared" si="5"/>
        <v>#REF!</v>
      </c>
      <c r="X51" s="19">
        <f t="shared" si="4"/>
        <v>0</v>
      </c>
      <c r="Y51" s="30"/>
      <c r="Z51" s="23"/>
    </row>
    <row r="52" spans="1:26" s="1" customFormat="1" hidden="1">
      <c r="A52" s="53">
        <v>24</v>
      </c>
      <c r="B52" s="66" t="s">
        <v>96</v>
      </c>
      <c r="C52" s="29"/>
      <c r="D52" s="47" t="e">
        <f>#REF!</f>
        <v>#REF!</v>
      </c>
      <c r="E52" s="47" t="e">
        <f>#REF!</f>
        <v>#REF!</v>
      </c>
      <c r="F52" s="47" t="e">
        <f>#REF!</f>
        <v>#REF!</v>
      </c>
      <c r="G52" s="47" t="e">
        <f>#REF!</f>
        <v>#REF!</v>
      </c>
      <c r="H52" s="47" t="e">
        <f>#REF!</f>
        <v>#REF!</v>
      </c>
      <c r="I52" s="47" t="e">
        <f>#REF!</f>
        <v>#REF!</v>
      </c>
      <c r="J52" s="47" t="e">
        <f>#REF!</f>
        <v>#REF!</v>
      </c>
      <c r="K52" s="47" t="e">
        <f>#REF!</f>
        <v>#REF!</v>
      </c>
      <c r="L52" s="47" t="e">
        <f>#REF!</f>
        <v>#REF!</v>
      </c>
      <c r="M52" s="47" t="e">
        <f>#REF!</f>
        <v>#REF!</v>
      </c>
      <c r="N52" s="47" t="e">
        <f>#REF!</f>
        <v>#REF!</v>
      </c>
      <c r="O52" s="47" t="e">
        <f>#REF!</f>
        <v>#REF!</v>
      </c>
      <c r="P52" s="47" t="e">
        <f>#REF!</f>
        <v>#REF!</v>
      </c>
      <c r="Q52" s="47" t="e">
        <f>#REF!</f>
        <v>#REF!</v>
      </c>
      <c r="R52" s="47" t="e">
        <f>#REF!</f>
        <v>#REF!</v>
      </c>
      <c r="S52" s="47" t="e">
        <f>#REF!</f>
        <v>#REF!</v>
      </c>
      <c r="T52" s="47" t="e">
        <f>#REF!</f>
        <v>#REF!</v>
      </c>
      <c r="U52" s="47" t="e">
        <f>#REF!</f>
        <v>#REF!</v>
      </c>
      <c r="V52" s="17" t="e">
        <f t="shared" si="3"/>
        <v>#REF!</v>
      </c>
      <c r="W52" s="18" t="e">
        <f t="shared" si="5"/>
        <v>#REF!</v>
      </c>
      <c r="X52" s="19">
        <f t="shared" si="4"/>
        <v>0</v>
      </c>
      <c r="Y52" s="30"/>
      <c r="Z52" s="23"/>
    </row>
    <row r="53" spans="1:26" s="1" customFormat="1" hidden="1">
      <c r="A53" s="53">
        <v>25</v>
      </c>
      <c r="B53" s="66" t="s">
        <v>97</v>
      </c>
      <c r="C53" s="29"/>
      <c r="D53" s="47" t="e">
        <f>#REF!</f>
        <v>#REF!</v>
      </c>
      <c r="E53" s="47" t="e">
        <f>#REF!</f>
        <v>#REF!</v>
      </c>
      <c r="F53" s="47" t="e">
        <f>#REF!</f>
        <v>#REF!</v>
      </c>
      <c r="G53" s="47" t="e">
        <f>#REF!</f>
        <v>#REF!</v>
      </c>
      <c r="H53" s="47" t="e">
        <f>#REF!</f>
        <v>#REF!</v>
      </c>
      <c r="I53" s="47" t="e">
        <f>#REF!</f>
        <v>#REF!</v>
      </c>
      <c r="J53" s="47" t="e">
        <f>#REF!</f>
        <v>#REF!</v>
      </c>
      <c r="K53" s="47" t="e">
        <f>#REF!</f>
        <v>#REF!</v>
      </c>
      <c r="L53" s="47" t="e">
        <f>#REF!</f>
        <v>#REF!</v>
      </c>
      <c r="M53" s="47" t="e">
        <f>#REF!</f>
        <v>#REF!</v>
      </c>
      <c r="N53" s="47" t="e">
        <f>#REF!</f>
        <v>#REF!</v>
      </c>
      <c r="O53" s="47" t="e">
        <f>#REF!</f>
        <v>#REF!</v>
      </c>
      <c r="P53" s="47" t="e">
        <f>#REF!</f>
        <v>#REF!</v>
      </c>
      <c r="Q53" s="47" t="e">
        <f>#REF!</f>
        <v>#REF!</v>
      </c>
      <c r="R53" s="47" t="e">
        <f>#REF!</f>
        <v>#REF!</v>
      </c>
      <c r="S53" s="47" t="e">
        <f>#REF!</f>
        <v>#REF!</v>
      </c>
      <c r="T53" s="47" t="e">
        <f>#REF!</f>
        <v>#REF!</v>
      </c>
      <c r="U53" s="47" t="e">
        <f>#REF!</f>
        <v>#REF!</v>
      </c>
      <c r="V53" s="17" t="e">
        <f t="shared" si="3"/>
        <v>#REF!</v>
      </c>
      <c r="W53" s="18" t="e">
        <f t="shared" si="5"/>
        <v>#REF!</v>
      </c>
      <c r="X53" s="19">
        <f t="shared" si="4"/>
        <v>0</v>
      </c>
      <c r="Y53" s="30"/>
      <c r="Z53" s="23"/>
    </row>
    <row r="54" spans="1:26" s="1" customFormat="1" ht="29.25" hidden="1" customHeight="1" thickBot="1">
      <c r="A54" s="53">
        <v>26</v>
      </c>
      <c r="B54" s="66" t="s">
        <v>98</v>
      </c>
      <c r="C54" s="29"/>
      <c r="D54" s="47" t="e">
        <f>#REF!</f>
        <v>#REF!</v>
      </c>
      <c r="E54" s="47" t="e">
        <f>#REF!</f>
        <v>#REF!</v>
      </c>
      <c r="F54" s="47" t="e">
        <f>#REF!</f>
        <v>#REF!</v>
      </c>
      <c r="G54" s="47" t="e">
        <f>#REF!</f>
        <v>#REF!</v>
      </c>
      <c r="H54" s="47" t="e">
        <f>#REF!</f>
        <v>#REF!</v>
      </c>
      <c r="I54" s="47" t="e">
        <f>#REF!</f>
        <v>#REF!</v>
      </c>
      <c r="J54" s="47" t="e">
        <f>#REF!</f>
        <v>#REF!</v>
      </c>
      <c r="K54" s="47" t="e">
        <f>#REF!</f>
        <v>#REF!</v>
      </c>
      <c r="L54" s="47" t="e">
        <f>#REF!</f>
        <v>#REF!</v>
      </c>
      <c r="M54" s="47" t="e">
        <f>#REF!</f>
        <v>#REF!</v>
      </c>
      <c r="N54" s="47" t="e">
        <f>#REF!</f>
        <v>#REF!</v>
      </c>
      <c r="O54" s="47" t="e">
        <f>#REF!</f>
        <v>#REF!</v>
      </c>
      <c r="P54" s="47" t="e">
        <f>#REF!</f>
        <v>#REF!</v>
      </c>
      <c r="Q54" s="47" t="e">
        <f>#REF!</f>
        <v>#REF!</v>
      </c>
      <c r="R54" s="47" t="e">
        <f>#REF!</f>
        <v>#REF!</v>
      </c>
      <c r="S54" s="47" t="e">
        <f>#REF!</f>
        <v>#REF!</v>
      </c>
      <c r="T54" s="47" t="e">
        <f>#REF!</f>
        <v>#REF!</v>
      </c>
      <c r="U54" s="47" t="e">
        <f>#REF!</f>
        <v>#REF!</v>
      </c>
      <c r="V54" s="17" t="e">
        <f t="shared" si="3"/>
        <v>#REF!</v>
      </c>
      <c r="W54" s="18" t="e">
        <f t="shared" si="5"/>
        <v>#REF!</v>
      </c>
      <c r="X54" s="19">
        <f t="shared" si="4"/>
        <v>0</v>
      </c>
      <c r="Y54" s="30"/>
      <c r="Z54" s="23"/>
    </row>
    <row r="55" spans="1:26" s="1" customFormat="1" ht="29.25" hidden="1" customHeight="1" thickBot="1">
      <c r="A55" s="75">
        <v>27</v>
      </c>
      <c r="B55" s="68" t="s">
        <v>99</v>
      </c>
      <c r="C55" s="31"/>
      <c r="D55" s="48" t="e">
        <f>AVERAGE(#REF!+#REF!)</f>
        <v>#REF!</v>
      </c>
      <c r="E55" s="48" t="e">
        <f>AVERAGE(#REF!+#REF!)</f>
        <v>#REF!</v>
      </c>
      <c r="F55" s="48" t="e">
        <f>AVERAGE(#REF!+#REF!)</f>
        <v>#REF!</v>
      </c>
      <c r="G55" s="48" t="e">
        <f>AVERAGE(#REF!+#REF!)</f>
        <v>#REF!</v>
      </c>
      <c r="H55" s="48" t="e">
        <f>AVERAGE(#REF!+#REF!)</f>
        <v>#REF!</v>
      </c>
      <c r="I55" s="48" t="e">
        <f>AVERAGE(#REF!+#REF!)</f>
        <v>#REF!</v>
      </c>
      <c r="J55" s="48" t="e">
        <f>AVERAGE(#REF!+#REF!)</f>
        <v>#REF!</v>
      </c>
      <c r="K55" s="48" t="e">
        <f>AVERAGE(#REF!+#REF!)</f>
        <v>#REF!</v>
      </c>
      <c r="L55" s="48" t="e">
        <f>AVERAGE(#REF!+#REF!)</f>
        <v>#REF!</v>
      </c>
      <c r="M55" s="48" t="e">
        <f>AVERAGE(#REF!+#REF!)</f>
        <v>#REF!</v>
      </c>
      <c r="N55" s="48" t="e">
        <f>AVERAGE(#REF!+#REF!)</f>
        <v>#REF!</v>
      </c>
      <c r="O55" s="48" t="e">
        <f>AVERAGE(#REF!+#REF!)</f>
        <v>#REF!</v>
      </c>
      <c r="P55" s="48" t="e">
        <f>AVERAGE(#REF!+#REF!)</f>
        <v>#REF!</v>
      </c>
      <c r="Q55" s="48" t="e">
        <f>AVERAGE(#REF!+#REF!)</f>
        <v>#REF!</v>
      </c>
      <c r="R55" s="48" t="e">
        <f>AVERAGE(#REF!+#REF!)</f>
        <v>#REF!</v>
      </c>
      <c r="S55" s="48" t="e">
        <f>AVERAGE(#REF!+#REF!)</f>
        <v>#REF!</v>
      </c>
      <c r="T55" s="48" t="e">
        <f>AVERAGE(#REF!+#REF!)</f>
        <v>#REF!</v>
      </c>
      <c r="U55" s="48" t="e">
        <f>AVERAGE(#REF!+#REF!)</f>
        <v>#REF!</v>
      </c>
      <c r="V55" s="17" t="e">
        <f t="shared" si="3"/>
        <v>#REF!</v>
      </c>
      <c r="W55" s="18" t="e">
        <f t="shared" si="5"/>
        <v>#REF!</v>
      </c>
      <c r="X55" s="19">
        <f t="shared" si="4"/>
        <v>0</v>
      </c>
      <c r="Y55" s="32"/>
      <c r="Z55" s="33"/>
    </row>
    <row r="56" spans="1:26" s="1" customFormat="1" ht="29.25" hidden="1" customHeight="1" thickBot="1">
      <c r="A56" s="53">
        <v>28</v>
      </c>
      <c r="B56" s="64" t="s">
        <v>100</v>
      </c>
      <c r="C56" s="34"/>
      <c r="D56" s="47" t="e">
        <f>#REF!</f>
        <v>#REF!</v>
      </c>
      <c r="E56" s="47" t="e">
        <f>#REF!</f>
        <v>#REF!</v>
      </c>
      <c r="F56" s="47" t="e">
        <f>#REF!</f>
        <v>#REF!</v>
      </c>
      <c r="G56" s="47" t="e">
        <f>#REF!</f>
        <v>#REF!</v>
      </c>
      <c r="H56" s="47" t="e">
        <f>#REF!</f>
        <v>#REF!</v>
      </c>
      <c r="I56" s="47" t="e">
        <f>#REF!</f>
        <v>#REF!</v>
      </c>
      <c r="J56" s="47" t="e">
        <f>#REF!</f>
        <v>#REF!</v>
      </c>
      <c r="K56" s="47" t="e">
        <f>#REF!</f>
        <v>#REF!</v>
      </c>
      <c r="L56" s="47" t="e">
        <f>#REF!</f>
        <v>#REF!</v>
      </c>
      <c r="M56" s="47" t="e">
        <f>#REF!</f>
        <v>#REF!</v>
      </c>
      <c r="N56" s="47" t="e">
        <f>#REF!</f>
        <v>#REF!</v>
      </c>
      <c r="O56" s="47" t="e">
        <f>#REF!</f>
        <v>#REF!</v>
      </c>
      <c r="P56" s="47" t="e">
        <f>#REF!</f>
        <v>#REF!</v>
      </c>
      <c r="Q56" s="47" t="e">
        <f>#REF!</f>
        <v>#REF!</v>
      </c>
      <c r="R56" s="47" t="e">
        <f>#REF!</f>
        <v>#REF!</v>
      </c>
      <c r="S56" s="47" t="e">
        <f>#REF!</f>
        <v>#REF!</v>
      </c>
      <c r="T56" s="47" t="e">
        <f>#REF!</f>
        <v>#REF!</v>
      </c>
      <c r="U56" s="47" t="e">
        <f>#REF!</f>
        <v>#REF!</v>
      </c>
      <c r="V56" s="17" t="e">
        <f t="shared" si="3"/>
        <v>#REF!</v>
      </c>
      <c r="W56" s="18" t="e">
        <f t="shared" si="5"/>
        <v>#REF!</v>
      </c>
      <c r="X56" s="19">
        <f t="shared" si="4"/>
        <v>0</v>
      </c>
      <c r="Y56" s="27"/>
      <c r="Z56" s="28"/>
    </row>
    <row r="57" spans="1:26" s="1" customFormat="1" ht="29.25" hidden="1" customHeight="1" thickBot="1">
      <c r="A57" s="53">
        <v>29</v>
      </c>
      <c r="B57" s="66" t="s">
        <v>101</v>
      </c>
      <c r="C57" s="34"/>
      <c r="D57" s="47" t="e">
        <f>#REF!</f>
        <v>#REF!</v>
      </c>
      <c r="E57" s="47" t="e">
        <f>#REF!</f>
        <v>#REF!</v>
      </c>
      <c r="F57" s="47" t="e">
        <f>#REF!</f>
        <v>#REF!</v>
      </c>
      <c r="G57" s="47" t="e">
        <f>#REF!</f>
        <v>#REF!</v>
      </c>
      <c r="H57" s="47" t="e">
        <f>#REF!</f>
        <v>#REF!</v>
      </c>
      <c r="I57" s="47" t="e">
        <f>#REF!</f>
        <v>#REF!</v>
      </c>
      <c r="J57" s="47" t="e">
        <f>#REF!</f>
        <v>#REF!</v>
      </c>
      <c r="K57" s="47" t="e">
        <f>#REF!</f>
        <v>#REF!</v>
      </c>
      <c r="L57" s="47" t="e">
        <f>#REF!</f>
        <v>#REF!</v>
      </c>
      <c r="M57" s="47" t="e">
        <f>#REF!</f>
        <v>#REF!</v>
      </c>
      <c r="N57" s="47" t="e">
        <f>#REF!</f>
        <v>#REF!</v>
      </c>
      <c r="O57" s="47" t="e">
        <f>#REF!</f>
        <v>#REF!</v>
      </c>
      <c r="P57" s="47" t="e">
        <f>#REF!</f>
        <v>#REF!</v>
      </c>
      <c r="Q57" s="47" t="e">
        <f>#REF!</f>
        <v>#REF!</v>
      </c>
      <c r="R57" s="47" t="e">
        <f>#REF!</f>
        <v>#REF!</v>
      </c>
      <c r="S57" s="47" t="e">
        <f>#REF!</f>
        <v>#REF!</v>
      </c>
      <c r="T57" s="47" t="e">
        <f>#REF!</f>
        <v>#REF!</v>
      </c>
      <c r="U57" s="47" t="e">
        <f>#REF!</f>
        <v>#REF!</v>
      </c>
      <c r="V57" s="17" t="e">
        <f t="shared" si="3"/>
        <v>#REF!</v>
      </c>
      <c r="W57" s="18" t="e">
        <f t="shared" si="5"/>
        <v>#REF!</v>
      </c>
      <c r="X57" s="19">
        <f t="shared" si="4"/>
        <v>0</v>
      </c>
      <c r="Y57" s="30"/>
      <c r="Z57" s="23"/>
    </row>
    <row r="58" spans="1:26" s="1" customFormat="1" ht="29.25" hidden="1" thickBot="1">
      <c r="A58" s="53">
        <v>30</v>
      </c>
      <c r="B58" s="68" t="s">
        <v>102</v>
      </c>
      <c r="C58" s="51"/>
      <c r="D58" s="48" t="e">
        <f>#REF!</f>
        <v>#REF!</v>
      </c>
      <c r="E58" s="48" t="e">
        <f>#REF!</f>
        <v>#REF!</v>
      </c>
      <c r="F58" s="48" t="e">
        <f>#REF!</f>
        <v>#REF!</v>
      </c>
      <c r="G58" s="48" t="e">
        <f>#REF!</f>
        <v>#REF!</v>
      </c>
      <c r="H58" s="48" t="e">
        <f>#REF!</f>
        <v>#REF!</v>
      </c>
      <c r="I58" s="48" t="e">
        <f>#REF!</f>
        <v>#REF!</v>
      </c>
      <c r="J58" s="48" t="e">
        <f>#REF!</f>
        <v>#REF!</v>
      </c>
      <c r="K58" s="48" t="e">
        <f>#REF!</f>
        <v>#REF!</v>
      </c>
      <c r="L58" s="48" t="e">
        <f>#REF!</f>
        <v>#REF!</v>
      </c>
      <c r="M58" s="48" t="e">
        <f>#REF!</f>
        <v>#REF!</v>
      </c>
      <c r="N58" s="48" t="e">
        <f>#REF!</f>
        <v>#REF!</v>
      </c>
      <c r="O58" s="48" t="e">
        <f>#REF!</f>
        <v>#REF!</v>
      </c>
      <c r="P58" s="48" t="e">
        <f>#REF!</f>
        <v>#REF!</v>
      </c>
      <c r="Q58" s="48" t="e">
        <f>#REF!</f>
        <v>#REF!</v>
      </c>
      <c r="R58" s="48" t="e">
        <f>#REF!</f>
        <v>#REF!</v>
      </c>
      <c r="S58" s="48" t="e">
        <f>#REF!</f>
        <v>#REF!</v>
      </c>
      <c r="T58" s="48" t="e">
        <f>#REF!</f>
        <v>#REF!</v>
      </c>
      <c r="U58" s="48" t="e">
        <f>#REF!</f>
        <v>#REF!</v>
      </c>
      <c r="V58" s="17" t="e">
        <f t="shared" si="3"/>
        <v>#REF!</v>
      </c>
      <c r="W58" s="18" t="e">
        <f t="shared" si="5"/>
        <v>#REF!</v>
      </c>
      <c r="X58" s="19">
        <f t="shared" si="4"/>
        <v>0</v>
      </c>
      <c r="Y58" s="30"/>
      <c r="Z58" s="23"/>
    </row>
    <row r="59" spans="1:26" s="1" customFormat="1" ht="29.25" hidden="1" customHeight="1" thickBot="1">
      <c r="A59" s="53">
        <v>31</v>
      </c>
      <c r="B59" s="69" t="s">
        <v>103</v>
      </c>
      <c r="C59" s="34"/>
      <c r="D59" s="47" t="e">
        <f>#REF!</f>
        <v>#REF!</v>
      </c>
      <c r="E59" s="47" t="e">
        <f>#REF!</f>
        <v>#REF!</v>
      </c>
      <c r="F59" s="47" t="e">
        <f>#REF!</f>
        <v>#REF!</v>
      </c>
      <c r="G59" s="47" t="e">
        <f>#REF!</f>
        <v>#REF!</v>
      </c>
      <c r="H59" s="47" t="e">
        <f>#REF!</f>
        <v>#REF!</v>
      </c>
      <c r="I59" s="47" t="e">
        <f>#REF!</f>
        <v>#REF!</v>
      </c>
      <c r="J59" s="47" t="e">
        <f>#REF!</f>
        <v>#REF!</v>
      </c>
      <c r="K59" s="47" t="e">
        <f>#REF!</f>
        <v>#REF!</v>
      </c>
      <c r="L59" s="47" t="e">
        <f>#REF!</f>
        <v>#REF!</v>
      </c>
      <c r="M59" s="47" t="e">
        <f>#REF!</f>
        <v>#REF!</v>
      </c>
      <c r="N59" s="47" t="e">
        <f>#REF!</f>
        <v>#REF!</v>
      </c>
      <c r="O59" s="47" t="e">
        <f>#REF!</f>
        <v>#REF!</v>
      </c>
      <c r="P59" s="47" t="e">
        <f>#REF!</f>
        <v>#REF!</v>
      </c>
      <c r="Q59" s="47" t="e">
        <f>#REF!</f>
        <v>#REF!</v>
      </c>
      <c r="R59" s="47" t="e">
        <f>#REF!</f>
        <v>#REF!</v>
      </c>
      <c r="S59" s="47" t="e">
        <f>#REF!</f>
        <v>#REF!</v>
      </c>
      <c r="T59" s="47" t="e">
        <f>#REF!</f>
        <v>#REF!</v>
      </c>
      <c r="U59" s="47" t="e">
        <f>#REF!</f>
        <v>#REF!</v>
      </c>
      <c r="V59" s="17" t="e">
        <f t="shared" si="3"/>
        <v>#REF!</v>
      </c>
      <c r="W59" s="18" t="e">
        <f t="shared" si="5"/>
        <v>#REF!</v>
      </c>
      <c r="X59" s="19">
        <f t="shared" si="4"/>
        <v>0</v>
      </c>
      <c r="Y59" s="30"/>
      <c r="Z59" s="23"/>
    </row>
    <row r="60" spans="1:26" s="1" customFormat="1" ht="29.25" hidden="1" customHeight="1" thickBot="1">
      <c r="A60" s="53">
        <v>32</v>
      </c>
      <c r="B60" s="70" t="s">
        <v>104</v>
      </c>
      <c r="C60" s="34"/>
      <c r="D60" s="47" t="e">
        <f>#REF!</f>
        <v>#REF!</v>
      </c>
      <c r="E60" s="47" t="e">
        <f>#REF!</f>
        <v>#REF!</v>
      </c>
      <c r="F60" s="47" t="e">
        <f>#REF!</f>
        <v>#REF!</v>
      </c>
      <c r="G60" s="47" t="e">
        <f>#REF!</f>
        <v>#REF!</v>
      </c>
      <c r="H60" s="47" t="e">
        <f>#REF!</f>
        <v>#REF!</v>
      </c>
      <c r="I60" s="47" t="e">
        <f>#REF!</f>
        <v>#REF!</v>
      </c>
      <c r="J60" s="47" t="e">
        <f>#REF!</f>
        <v>#REF!</v>
      </c>
      <c r="K60" s="47" t="e">
        <f>#REF!</f>
        <v>#REF!</v>
      </c>
      <c r="L60" s="47" t="e">
        <f>#REF!</f>
        <v>#REF!</v>
      </c>
      <c r="M60" s="47" t="e">
        <f>#REF!</f>
        <v>#REF!</v>
      </c>
      <c r="N60" s="47" t="e">
        <f>#REF!</f>
        <v>#REF!</v>
      </c>
      <c r="O60" s="47" t="e">
        <f>#REF!</f>
        <v>#REF!</v>
      </c>
      <c r="P60" s="47" t="e">
        <f>#REF!</f>
        <v>#REF!</v>
      </c>
      <c r="Q60" s="47" t="e">
        <f>#REF!</f>
        <v>#REF!</v>
      </c>
      <c r="R60" s="47" t="e">
        <f>#REF!</f>
        <v>#REF!</v>
      </c>
      <c r="S60" s="47" t="e">
        <f>#REF!</f>
        <v>#REF!</v>
      </c>
      <c r="T60" s="47" t="e">
        <f>#REF!</f>
        <v>#REF!</v>
      </c>
      <c r="U60" s="47" t="e">
        <f>#REF!</f>
        <v>#REF!</v>
      </c>
      <c r="V60" s="17" t="e">
        <f t="shared" si="3"/>
        <v>#REF!</v>
      </c>
      <c r="W60" s="18" t="e">
        <f t="shared" si="5"/>
        <v>#REF!</v>
      </c>
      <c r="X60" s="19">
        <f t="shared" si="4"/>
        <v>0</v>
      </c>
      <c r="Y60" s="30"/>
      <c r="Z60" s="35"/>
    </row>
    <row r="61" spans="1:26" s="1" customFormat="1" ht="29.25" hidden="1" customHeight="1" thickBot="1">
      <c r="A61" s="53">
        <v>33</v>
      </c>
      <c r="B61" s="66" t="s">
        <v>105</v>
      </c>
      <c r="C61" s="34"/>
      <c r="D61" s="47" t="e">
        <f>#REF!</f>
        <v>#REF!</v>
      </c>
      <c r="E61" s="47" t="e">
        <f>#REF!</f>
        <v>#REF!</v>
      </c>
      <c r="F61" s="47" t="e">
        <f>#REF!</f>
        <v>#REF!</v>
      </c>
      <c r="G61" s="47" t="e">
        <f>#REF!</f>
        <v>#REF!</v>
      </c>
      <c r="H61" s="47" t="e">
        <f>#REF!</f>
        <v>#REF!</v>
      </c>
      <c r="I61" s="47" t="e">
        <f>#REF!</f>
        <v>#REF!</v>
      </c>
      <c r="J61" s="47" t="e">
        <f>#REF!</f>
        <v>#REF!</v>
      </c>
      <c r="K61" s="47" t="e">
        <f>#REF!</f>
        <v>#REF!</v>
      </c>
      <c r="L61" s="47" t="e">
        <f>#REF!</f>
        <v>#REF!</v>
      </c>
      <c r="M61" s="47" t="e">
        <f>#REF!</f>
        <v>#REF!</v>
      </c>
      <c r="N61" s="47" t="e">
        <f>#REF!</f>
        <v>#REF!</v>
      </c>
      <c r="O61" s="47" t="e">
        <f>#REF!</f>
        <v>#REF!</v>
      </c>
      <c r="P61" s="47" t="e">
        <f>#REF!</f>
        <v>#REF!</v>
      </c>
      <c r="Q61" s="47" t="e">
        <f>#REF!</f>
        <v>#REF!</v>
      </c>
      <c r="R61" s="47" t="e">
        <f>#REF!</f>
        <v>#REF!</v>
      </c>
      <c r="S61" s="47" t="e">
        <f>#REF!</f>
        <v>#REF!</v>
      </c>
      <c r="T61" s="47" t="e">
        <f>#REF!</f>
        <v>#REF!</v>
      </c>
      <c r="U61" s="47" t="e">
        <f>#REF!</f>
        <v>#REF!</v>
      </c>
      <c r="V61" s="17" t="e">
        <f t="shared" si="3"/>
        <v>#REF!</v>
      </c>
      <c r="W61" s="18" t="e">
        <f t="shared" si="5"/>
        <v>#REF!</v>
      </c>
      <c r="X61" s="19">
        <f t="shared" si="4"/>
        <v>0</v>
      </c>
      <c r="Y61" s="30"/>
      <c r="Z61" s="35"/>
    </row>
    <row r="62" spans="1:26" s="1" customFormat="1" ht="29.25" hidden="1" customHeight="1" thickBot="1">
      <c r="A62" s="53">
        <v>34</v>
      </c>
      <c r="B62" s="70" t="s">
        <v>106</v>
      </c>
      <c r="C62" s="34"/>
      <c r="D62" s="47" t="e">
        <f>#REF!</f>
        <v>#REF!</v>
      </c>
      <c r="E62" s="47" t="e">
        <f>#REF!</f>
        <v>#REF!</v>
      </c>
      <c r="F62" s="47" t="e">
        <f>#REF!</f>
        <v>#REF!</v>
      </c>
      <c r="G62" s="47" t="e">
        <f>#REF!</f>
        <v>#REF!</v>
      </c>
      <c r="H62" s="47" t="e">
        <f>#REF!</f>
        <v>#REF!</v>
      </c>
      <c r="I62" s="47" t="e">
        <f>#REF!</f>
        <v>#REF!</v>
      </c>
      <c r="J62" s="47" t="e">
        <f>#REF!</f>
        <v>#REF!</v>
      </c>
      <c r="K62" s="47" t="e">
        <f>#REF!</f>
        <v>#REF!</v>
      </c>
      <c r="L62" s="47" t="e">
        <f>#REF!</f>
        <v>#REF!</v>
      </c>
      <c r="M62" s="47" t="e">
        <f>#REF!</f>
        <v>#REF!</v>
      </c>
      <c r="N62" s="47" t="e">
        <f>#REF!</f>
        <v>#REF!</v>
      </c>
      <c r="O62" s="47" t="e">
        <f>#REF!</f>
        <v>#REF!</v>
      </c>
      <c r="P62" s="47" t="e">
        <f>#REF!</f>
        <v>#REF!</v>
      </c>
      <c r="Q62" s="47" t="e">
        <f>#REF!</f>
        <v>#REF!</v>
      </c>
      <c r="R62" s="47" t="e">
        <f>#REF!</f>
        <v>#REF!</v>
      </c>
      <c r="S62" s="47" t="e">
        <f>#REF!</f>
        <v>#REF!</v>
      </c>
      <c r="T62" s="47" t="e">
        <f>#REF!</f>
        <v>#REF!</v>
      </c>
      <c r="U62" s="47" t="e">
        <f>#REF!</f>
        <v>#REF!</v>
      </c>
      <c r="V62" s="17" t="e">
        <f t="shared" si="3"/>
        <v>#REF!</v>
      </c>
      <c r="W62" s="18" t="e">
        <f t="shared" si="5"/>
        <v>#REF!</v>
      </c>
      <c r="X62" s="19">
        <f t="shared" si="4"/>
        <v>0</v>
      </c>
      <c r="Y62" s="30"/>
      <c r="Z62" s="35"/>
    </row>
    <row r="63" spans="1:26" s="1" customFormat="1" hidden="1">
      <c r="A63" s="75">
        <v>35</v>
      </c>
      <c r="B63" s="70" t="s">
        <v>107</v>
      </c>
      <c r="C63" s="34"/>
      <c r="D63" s="47" t="e">
        <f>#REF!</f>
        <v>#REF!</v>
      </c>
      <c r="E63" s="47" t="e">
        <f>#REF!</f>
        <v>#REF!</v>
      </c>
      <c r="F63" s="47" t="e">
        <f>#REF!</f>
        <v>#REF!</v>
      </c>
      <c r="G63" s="47" t="e">
        <f>#REF!</f>
        <v>#REF!</v>
      </c>
      <c r="H63" s="76" t="e">
        <f>#REF!</f>
        <v>#REF!</v>
      </c>
      <c r="I63" s="47" t="e">
        <f>#REF!</f>
        <v>#REF!</v>
      </c>
      <c r="J63" s="47" t="e">
        <f>#REF!</f>
        <v>#REF!</v>
      </c>
      <c r="K63" s="47" t="e">
        <f>#REF!</f>
        <v>#REF!</v>
      </c>
      <c r="L63" s="47" t="e">
        <f>#REF!</f>
        <v>#REF!</v>
      </c>
      <c r="M63" s="47" t="e">
        <f>#REF!</f>
        <v>#REF!</v>
      </c>
      <c r="N63" s="47" t="e">
        <f>#REF!</f>
        <v>#REF!</v>
      </c>
      <c r="O63" s="47" t="e">
        <f>#REF!</f>
        <v>#REF!</v>
      </c>
      <c r="P63" s="47" t="e">
        <f>#REF!</f>
        <v>#REF!</v>
      </c>
      <c r="Q63" s="47" t="e">
        <f>#REF!</f>
        <v>#REF!</v>
      </c>
      <c r="R63" s="47" t="e">
        <f>#REF!</f>
        <v>#REF!</v>
      </c>
      <c r="S63" s="47" t="e">
        <f>#REF!</f>
        <v>#REF!</v>
      </c>
      <c r="T63" s="47" t="e">
        <f>#REF!</f>
        <v>#REF!</v>
      </c>
      <c r="U63" s="47" t="e">
        <f>#REF!</f>
        <v>#REF!</v>
      </c>
      <c r="V63" s="17" t="e">
        <f t="shared" si="3"/>
        <v>#REF!</v>
      </c>
      <c r="W63" s="18" t="e">
        <f t="shared" si="5"/>
        <v>#REF!</v>
      </c>
      <c r="X63" s="19">
        <f t="shared" si="4"/>
        <v>0</v>
      </c>
      <c r="Y63" s="30"/>
      <c r="Z63" s="35"/>
    </row>
    <row r="64" spans="1:26" s="1" customFormat="1" hidden="1">
      <c r="A64" s="53">
        <v>36</v>
      </c>
      <c r="B64" s="70" t="s">
        <v>108</v>
      </c>
      <c r="C64" s="34"/>
      <c r="D64" s="47" t="e">
        <f>#REF!</f>
        <v>#REF!</v>
      </c>
      <c r="E64" s="47" t="e">
        <f>#REF!</f>
        <v>#REF!</v>
      </c>
      <c r="F64" s="47" t="e">
        <f>#REF!</f>
        <v>#REF!</v>
      </c>
      <c r="G64" s="47" t="e">
        <f>#REF!</f>
        <v>#REF!</v>
      </c>
      <c r="H64" s="47" t="e">
        <f>#REF!</f>
        <v>#REF!</v>
      </c>
      <c r="I64" s="47" t="e">
        <f>#REF!</f>
        <v>#REF!</v>
      </c>
      <c r="J64" s="47" t="e">
        <f>#REF!</f>
        <v>#REF!</v>
      </c>
      <c r="K64" s="47" t="e">
        <f>#REF!</f>
        <v>#REF!</v>
      </c>
      <c r="L64" s="47" t="e">
        <f>#REF!</f>
        <v>#REF!</v>
      </c>
      <c r="M64" s="47" t="e">
        <f>#REF!</f>
        <v>#REF!</v>
      </c>
      <c r="N64" s="47" t="e">
        <f>#REF!</f>
        <v>#REF!</v>
      </c>
      <c r="O64" s="47" t="e">
        <f>#REF!</f>
        <v>#REF!</v>
      </c>
      <c r="P64" s="47" t="e">
        <f>#REF!</f>
        <v>#REF!</v>
      </c>
      <c r="Q64" s="47" t="e">
        <f>#REF!</f>
        <v>#REF!</v>
      </c>
      <c r="R64" s="47" t="e">
        <f>#REF!</f>
        <v>#REF!</v>
      </c>
      <c r="S64" s="47" t="e">
        <f>#REF!</f>
        <v>#REF!</v>
      </c>
      <c r="T64" s="47" t="e">
        <f>#REF!</f>
        <v>#REF!</v>
      </c>
      <c r="U64" s="47" t="e">
        <f>#REF!</f>
        <v>#REF!</v>
      </c>
      <c r="V64" s="17" t="e">
        <f t="shared" si="3"/>
        <v>#REF!</v>
      </c>
      <c r="W64" s="18" t="e">
        <f t="shared" si="5"/>
        <v>#REF!</v>
      </c>
      <c r="X64" s="19">
        <f t="shared" si="4"/>
        <v>0</v>
      </c>
      <c r="Y64" s="30"/>
      <c r="Z64" s="35"/>
    </row>
    <row r="65" spans="1:26" s="1" customFormat="1" hidden="1">
      <c r="A65" s="53">
        <v>37</v>
      </c>
      <c r="B65" s="52" t="s">
        <v>109</v>
      </c>
      <c r="C65" s="34"/>
      <c r="D65" s="49" t="e">
        <f>#REF!</f>
        <v>#REF!</v>
      </c>
      <c r="E65" s="49" t="e">
        <f>#REF!</f>
        <v>#REF!</v>
      </c>
      <c r="F65" s="49" t="e">
        <f>#REF!</f>
        <v>#REF!</v>
      </c>
      <c r="G65" s="49" t="e">
        <f>#REF!</f>
        <v>#REF!</v>
      </c>
      <c r="H65" s="49" t="e">
        <f>#REF!</f>
        <v>#REF!</v>
      </c>
      <c r="I65" s="49" t="e">
        <f>#REF!</f>
        <v>#REF!</v>
      </c>
      <c r="J65" s="49" t="e">
        <f>#REF!</f>
        <v>#REF!</v>
      </c>
      <c r="K65" s="49" t="e">
        <f>#REF!</f>
        <v>#REF!</v>
      </c>
      <c r="L65" s="49" t="e">
        <f>#REF!</f>
        <v>#REF!</v>
      </c>
      <c r="M65" s="49" t="e">
        <f>#REF!</f>
        <v>#REF!</v>
      </c>
      <c r="N65" s="49" t="e">
        <f>#REF!</f>
        <v>#REF!</v>
      </c>
      <c r="O65" s="49" t="e">
        <f>#REF!</f>
        <v>#REF!</v>
      </c>
      <c r="P65" s="49" t="e">
        <f>#REF!</f>
        <v>#REF!</v>
      </c>
      <c r="Q65" s="49" t="e">
        <f>#REF!</f>
        <v>#REF!</v>
      </c>
      <c r="R65" s="49" t="e">
        <f>#REF!</f>
        <v>#REF!</v>
      </c>
      <c r="S65" s="49" t="e">
        <f>#REF!</f>
        <v>#REF!</v>
      </c>
      <c r="T65" s="49" t="e">
        <f>#REF!</f>
        <v>#REF!</v>
      </c>
      <c r="U65" s="49" t="e">
        <f>#REF!</f>
        <v>#REF!</v>
      </c>
      <c r="V65" s="17" t="e">
        <f t="shared" si="3"/>
        <v>#REF!</v>
      </c>
      <c r="W65" s="18" t="e">
        <f t="shared" si="5"/>
        <v>#REF!</v>
      </c>
      <c r="X65" s="19">
        <f t="shared" si="4"/>
        <v>0</v>
      </c>
      <c r="Y65" s="30"/>
      <c r="Z65" s="23"/>
    </row>
    <row r="66" spans="1:26" s="1" customFormat="1" ht="29.25" hidden="1" customHeight="1" thickBot="1">
      <c r="A66" s="53">
        <v>38</v>
      </c>
      <c r="B66" s="52" t="s">
        <v>110</v>
      </c>
      <c r="C66" s="34"/>
      <c r="D66" s="49" t="e">
        <f>#REF!</f>
        <v>#REF!</v>
      </c>
      <c r="E66" s="49" t="e">
        <f>#REF!</f>
        <v>#REF!</v>
      </c>
      <c r="F66" s="49" t="e">
        <f>#REF!</f>
        <v>#REF!</v>
      </c>
      <c r="G66" s="49" t="e">
        <f>#REF!</f>
        <v>#REF!</v>
      </c>
      <c r="H66" s="49" t="e">
        <f>#REF!</f>
        <v>#REF!</v>
      </c>
      <c r="I66" s="49" t="e">
        <f>#REF!</f>
        <v>#REF!</v>
      </c>
      <c r="J66" s="49" t="e">
        <f>#REF!</f>
        <v>#REF!</v>
      </c>
      <c r="K66" s="49" t="e">
        <f>#REF!</f>
        <v>#REF!</v>
      </c>
      <c r="L66" s="49" t="e">
        <f>#REF!</f>
        <v>#REF!</v>
      </c>
      <c r="M66" s="49" t="e">
        <f>#REF!</f>
        <v>#REF!</v>
      </c>
      <c r="N66" s="49" t="e">
        <f>#REF!</f>
        <v>#REF!</v>
      </c>
      <c r="O66" s="49" t="e">
        <f>#REF!</f>
        <v>#REF!</v>
      </c>
      <c r="P66" s="49" t="e">
        <f>#REF!</f>
        <v>#REF!</v>
      </c>
      <c r="Q66" s="49" t="e">
        <f>#REF!</f>
        <v>#REF!</v>
      </c>
      <c r="R66" s="49" t="e">
        <f>#REF!</f>
        <v>#REF!</v>
      </c>
      <c r="S66" s="49" t="e">
        <f>#REF!</f>
        <v>#REF!</v>
      </c>
      <c r="T66" s="49" t="e">
        <f>#REF!</f>
        <v>#REF!</v>
      </c>
      <c r="U66" s="49" t="e">
        <f>#REF!</f>
        <v>#REF!</v>
      </c>
      <c r="V66" s="17" t="e">
        <f t="shared" si="3"/>
        <v>#REF!</v>
      </c>
      <c r="W66" s="18" t="e">
        <f t="shared" si="5"/>
        <v>#REF!</v>
      </c>
      <c r="X66" s="19">
        <f t="shared" si="4"/>
        <v>0</v>
      </c>
      <c r="Y66" s="30"/>
      <c r="Z66" s="35"/>
    </row>
    <row r="67" spans="1:26" s="1" customFormat="1" ht="29.25" hidden="1" customHeight="1" thickBot="1">
      <c r="A67" s="53">
        <v>39</v>
      </c>
      <c r="B67" s="52" t="s">
        <v>111</v>
      </c>
      <c r="C67" s="34"/>
      <c r="D67" s="47" t="e">
        <f>#REF!</f>
        <v>#REF!</v>
      </c>
      <c r="E67" s="47" t="e">
        <f>#REF!</f>
        <v>#REF!</v>
      </c>
      <c r="F67" s="47" t="e">
        <f>#REF!</f>
        <v>#REF!</v>
      </c>
      <c r="G67" s="47" t="e">
        <f>#REF!</f>
        <v>#REF!</v>
      </c>
      <c r="H67" s="47" t="e">
        <f>#REF!</f>
        <v>#REF!</v>
      </c>
      <c r="I67" s="47" t="e">
        <f>#REF!</f>
        <v>#REF!</v>
      </c>
      <c r="J67" s="47" t="e">
        <f>#REF!</f>
        <v>#REF!</v>
      </c>
      <c r="K67" s="47" t="e">
        <f>#REF!</f>
        <v>#REF!</v>
      </c>
      <c r="L67" s="47" t="e">
        <f>#REF!</f>
        <v>#REF!</v>
      </c>
      <c r="M67" s="47" t="e">
        <f>#REF!</f>
        <v>#REF!</v>
      </c>
      <c r="N67" s="47" t="e">
        <f>#REF!</f>
        <v>#REF!</v>
      </c>
      <c r="O67" s="47" t="e">
        <f>#REF!</f>
        <v>#REF!</v>
      </c>
      <c r="P67" s="47" t="e">
        <f>#REF!</f>
        <v>#REF!</v>
      </c>
      <c r="Q67" s="47" t="e">
        <f>#REF!</f>
        <v>#REF!</v>
      </c>
      <c r="R67" s="47" t="e">
        <f>#REF!</f>
        <v>#REF!</v>
      </c>
      <c r="S67" s="47" t="e">
        <f>#REF!</f>
        <v>#REF!</v>
      </c>
      <c r="T67" s="47" t="e">
        <f>#REF!</f>
        <v>#REF!</v>
      </c>
      <c r="U67" s="47" t="e">
        <f>#REF!</f>
        <v>#REF!</v>
      </c>
      <c r="V67" s="17" t="e">
        <f t="shared" si="3"/>
        <v>#REF!</v>
      </c>
      <c r="W67" s="18" t="e">
        <f t="shared" si="5"/>
        <v>#REF!</v>
      </c>
      <c r="X67" s="19">
        <f t="shared" si="4"/>
        <v>0</v>
      </c>
      <c r="Y67" s="30"/>
      <c r="Z67" s="35"/>
    </row>
    <row r="68" spans="1:26" s="1" customFormat="1" hidden="1">
      <c r="A68" s="53">
        <v>40</v>
      </c>
      <c r="B68" s="52" t="s">
        <v>112</v>
      </c>
      <c r="C68" s="34"/>
      <c r="D68" s="47" t="e">
        <f>#REF!</f>
        <v>#REF!</v>
      </c>
      <c r="E68" s="47" t="e">
        <f>#REF!</f>
        <v>#REF!</v>
      </c>
      <c r="F68" s="47" t="e">
        <f>#REF!</f>
        <v>#REF!</v>
      </c>
      <c r="G68" s="47" t="e">
        <f>#REF!</f>
        <v>#REF!</v>
      </c>
      <c r="H68" s="47" t="e">
        <f>#REF!</f>
        <v>#REF!</v>
      </c>
      <c r="I68" s="47" t="e">
        <f>#REF!</f>
        <v>#REF!</v>
      </c>
      <c r="J68" s="47" t="e">
        <f>#REF!</f>
        <v>#REF!</v>
      </c>
      <c r="K68" s="47" t="e">
        <f>#REF!</f>
        <v>#REF!</v>
      </c>
      <c r="L68" s="47" t="e">
        <f>#REF!</f>
        <v>#REF!</v>
      </c>
      <c r="M68" s="47" t="e">
        <f>#REF!</f>
        <v>#REF!</v>
      </c>
      <c r="N68" s="47" t="e">
        <f>#REF!</f>
        <v>#REF!</v>
      </c>
      <c r="O68" s="47" t="e">
        <f>#REF!</f>
        <v>#REF!</v>
      </c>
      <c r="P68" s="47" t="e">
        <f>#REF!</f>
        <v>#REF!</v>
      </c>
      <c r="Q68" s="47" t="e">
        <f>#REF!</f>
        <v>#REF!</v>
      </c>
      <c r="R68" s="47" t="e">
        <f>#REF!</f>
        <v>#REF!</v>
      </c>
      <c r="S68" s="47" t="e">
        <f>#REF!</f>
        <v>#REF!</v>
      </c>
      <c r="T68" s="47" t="e">
        <f>#REF!</f>
        <v>#REF!</v>
      </c>
      <c r="U68" s="47" t="e">
        <f>#REF!</f>
        <v>#REF!</v>
      </c>
      <c r="V68" s="17" t="e">
        <f t="shared" si="3"/>
        <v>#REF!</v>
      </c>
      <c r="W68" s="18" t="e">
        <f t="shared" si="5"/>
        <v>#REF!</v>
      </c>
      <c r="X68" s="19">
        <f t="shared" si="4"/>
        <v>0</v>
      </c>
      <c r="Y68" s="30"/>
      <c r="Z68" s="35"/>
    </row>
    <row r="69" spans="1:26" s="1" customFormat="1" hidden="1">
      <c r="A69" s="53">
        <v>41</v>
      </c>
      <c r="B69" s="71" t="s">
        <v>113</v>
      </c>
      <c r="C69" s="34"/>
      <c r="D69" s="47" t="e">
        <f>#REF!</f>
        <v>#REF!</v>
      </c>
      <c r="E69" s="47" t="e">
        <f>#REF!</f>
        <v>#REF!</v>
      </c>
      <c r="F69" s="47" t="e">
        <f>#REF!</f>
        <v>#REF!</v>
      </c>
      <c r="G69" s="47" t="e">
        <f>#REF!</f>
        <v>#REF!</v>
      </c>
      <c r="H69" s="47" t="e">
        <f>#REF!</f>
        <v>#REF!</v>
      </c>
      <c r="I69" s="47" t="e">
        <f>#REF!</f>
        <v>#REF!</v>
      </c>
      <c r="J69" s="47" t="e">
        <f>#REF!</f>
        <v>#REF!</v>
      </c>
      <c r="K69" s="47" t="e">
        <f>#REF!</f>
        <v>#REF!</v>
      </c>
      <c r="L69" s="47" t="e">
        <f>#REF!</f>
        <v>#REF!</v>
      </c>
      <c r="M69" s="47" t="e">
        <f>#REF!</f>
        <v>#REF!</v>
      </c>
      <c r="N69" s="47" t="e">
        <f>#REF!</f>
        <v>#REF!</v>
      </c>
      <c r="O69" s="47" t="e">
        <f>#REF!</f>
        <v>#REF!</v>
      </c>
      <c r="P69" s="47" t="e">
        <f>#REF!</f>
        <v>#REF!</v>
      </c>
      <c r="Q69" s="47" t="e">
        <f>#REF!</f>
        <v>#REF!</v>
      </c>
      <c r="R69" s="47" t="e">
        <f>#REF!</f>
        <v>#REF!</v>
      </c>
      <c r="S69" s="47" t="e">
        <f>#REF!</f>
        <v>#REF!</v>
      </c>
      <c r="T69" s="47" t="e">
        <f>#REF!</f>
        <v>#REF!</v>
      </c>
      <c r="U69" s="47" t="e">
        <f>#REF!</f>
        <v>#REF!</v>
      </c>
      <c r="V69" s="17" t="e">
        <f t="shared" si="3"/>
        <v>#REF!</v>
      </c>
      <c r="W69" s="18" t="e">
        <f t="shared" si="5"/>
        <v>#REF!</v>
      </c>
      <c r="X69" s="19">
        <f t="shared" si="4"/>
        <v>0</v>
      </c>
      <c r="Y69" s="30"/>
      <c r="Z69" s="23"/>
    </row>
    <row r="70" spans="1:26" s="1" customFormat="1" hidden="1">
      <c r="A70" s="53">
        <v>42</v>
      </c>
      <c r="B70" s="52" t="s">
        <v>114</v>
      </c>
      <c r="C70" s="34"/>
      <c r="D70" s="47" t="e">
        <f>#REF!</f>
        <v>#REF!</v>
      </c>
      <c r="E70" s="47" t="e">
        <f>#REF!</f>
        <v>#REF!</v>
      </c>
      <c r="F70" s="47" t="e">
        <f>#REF!</f>
        <v>#REF!</v>
      </c>
      <c r="G70" s="47" t="e">
        <f>#REF!</f>
        <v>#REF!</v>
      </c>
      <c r="H70" s="47" t="e">
        <f>#REF!</f>
        <v>#REF!</v>
      </c>
      <c r="I70" s="47" t="e">
        <f>#REF!</f>
        <v>#REF!</v>
      </c>
      <c r="J70" s="47" t="e">
        <f>#REF!</f>
        <v>#REF!</v>
      </c>
      <c r="K70" s="47" t="e">
        <f>#REF!</f>
        <v>#REF!</v>
      </c>
      <c r="L70" s="47" t="e">
        <f>#REF!</f>
        <v>#REF!</v>
      </c>
      <c r="M70" s="47" t="e">
        <f>#REF!</f>
        <v>#REF!</v>
      </c>
      <c r="N70" s="47" t="e">
        <f>#REF!</f>
        <v>#REF!</v>
      </c>
      <c r="O70" s="47" t="e">
        <f>#REF!</f>
        <v>#REF!</v>
      </c>
      <c r="P70" s="47" t="e">
        <f>#REF!</f>
        <v>#REF!</v>
      </c>
      <c r="Q70" s="47" t="e">
        <f>#REF!</f>
        <v>#REF!</v>
      </c>
      <c r="R70" s="47" t="e">
        <f>#REF!</f>
        <v>#REF!</v>
      </c>
      <c r="S70" s="47" t="e">
        <f>#REF!</f>
        <v>#REF!</v>
      </c>
      <c r="T70" s="47" t="e">
        <f>#REF!</f>
        <v>#REF!</v>
      </c>
      <c r="U70" s="47" t="e">
        <f>#REF!</f>
        <v>#REF!</v>
      </c>
      <c r="V70" s="17" t="e">
        <f t="shared" si="3"/>
        <v>#REF!</v>
      </c>
      <c r="W70" s="18" t="e">
        <f t="shared" si="5"/>
        <v>#REF!</v>
      </c>
      <c r="X70" s="19">
        <f t="shared" si="4"/>
        <v>0</v>
      </c>
      <c r="Y70" s="30"/>
      <c r="Z70" s="35"/>
    </row>
    <row r="71" spans="1:26" s="1" customFormat="1" ht="29.25" hidden="1" customHeight="1" thickBot="1">
      <c r="A71" s="53">
        <v>43</v>
      </c>
      <c r="B71" s="62" t="s">
        <v>115</v>
      </c>
      <c r="C71" s="36"/>
      <c r="D71" s="49" t="e">
        <f>#REF!</f>
        <v>#REF!</v>
      </c>
      <c r="E71" s="49" t="e">
        <f>#REF!</f>
        <v>#REF!</v>
      </c>
      <c r="F71" s="49" t="e">
        <f>#REF!</f>
        <v>#REF!</v>
      </c>
      <c r="G71" s="49" t="e">
        <f>#REF!</f>
        <v>#REF!</v>
      </c>
      <c r="H71" s="49" t="e">
        <f>#REF!</f>
        <v>#REF!</v>
      </c>
      <c r="I71" s="49" t="e">
        <f>#REF!</f>
        <v>#REF!</v>
      </c>
      <c r="J71" s="49" t="e">
        <f>#REF!</f>
        <v>#REF!</v>
      </c>
      <c r="K71" s="49" t="e">
        <f>#REF!</f>
        <v>#REF!</v>
      </c>
      <c r="L71" s="49" t="e">
        <f>#REF!</f>
        <v>#REF!</v>
      </c>
      <c r="M71" s="49" t="e">
        <f>#REF!</f>
        <v>#REF!</v>
      </c>
      <c r="N71" s="49" t="e">
        <f>#REF!</f>
        <v>#REF!</v>
      </c>
      <c r="O71" s="49" t="e">
        <f>#REF!</f>
        <v>#REF!</v>
      </c>
      <c r="P71" s="49" t="e">
        <f>#REF!</f>
        <v>#REF!</v>
      </c>
      <c r="Q71" s="49" t="e">
        <f>#REF!</f>
        <v>#REF!</v>
      </c>
      <c r="R71" s="49" t="e">
        <f>#REF!</f>
        <v>#REF!</v>
      </c>
      <c r="S71" s="49" t="e">
        <f>#REF!</f>
        <v>#REF!</v>
      </c>
      <c r="T71" s="49" t="e">
        <f>#REF!</f>
        <v>#REF!</v>
      </c>
      <c r="U71" s="49" t="e">
        <f>#REF!</f>
        <v>#REF!</v>
      </c>
      <c r="V71" s="17" t="e">
        <f t="shared" si="3"/>
        <v>#REF!</v>
      </c>
      <c r="W71" s="18" t="e">
        <f t="shared" si="5"/>
        <v>#REF!</v>
      </c>
      <c r="X71" s="19">
        <f t="shared" si="4"/>
        <v>0</v>
      </c>
      <c r="Y71" s="32"/>
      <c r="Z71" s="33"/>
    </row>
    <row r="72" spans="1:26" s="1" customFormat="1" ht="29.25" hidden="1" customHeight="1" thickBot="1">
      <c r="A72" s="53">
        <v>44</v>
      </c>
      <c r="B72" s="61" t="s">
        <v>116</v>
      </c>
      <c r="C72" s="26"/>
      <c r="D72" s="49" t="e">
        <f>#REF!</f>
        <v>#REF!</v>
      </c>
      <c r="E72" s="49" t="e">
        <f>#REF!</f>
        <v>#REF!</v>
      </c>
      <c r="F72" s="49" t="e">
        <f>#REF!</f>
        <v>#REF!</v>
      </c>
      <c r="G72" s="49" t="e">
        <f>#REF!</f>
        <v>#REF!</v>
      </c>
      <c r="H72" s="49" t="e">
        <f>#REF!</f>
        <v>#REF!</v>
      </c>
      <c r="I72" s="49" t="e">
        <f>#REF!</f>
        <v>#REF!</v>
      </c>
      <c r="J72" s="49" t="e">
        <f>#REF!</f>
        <v>#REF!</v>
      </c>
      <c r="K72" s="49" t="e">
        <f>#REF!</f>
        <v>#REF!</v>
      </c>
      <c r="L72" s="49" t="e">
        <f>#REF!</f>
        <v>#REF!</v>
      </c>
      <c r="M72" s="49" t="e">
        <f>#REF!</f>
        <v>#REF!</v>
      </c>
      <c r="N72" s="49" t="e">
        <f>#REF!</f>
        <v>#REF!</v>
      </c>
      <c r="O72" s="49" t="e">
        <f>#REF!</f>
        <v>#REF!</v>
      </c>
      <c r="P72" s="49" t="e">
        <f>#REF!</f>
        <v>#REF!</v>
      </c>
      <c r="Q72" s="49" t="e">
        <f>#REF!</f>
        <v>#REF!</v>
      </c>
      <c r="R72" s="49" t="e">
        <f>#REF!</f>
        <v>#REF!</v>
      </c>
      <c r="S72" s="49" t="e">
        <f>#REF!</f>
        <v>#REF!</v>
      </c>
      <c r="T72" s="49" t="e">
        <f>#REF!</f>
        <v>#REF!</v>
      </c>
      <c r="U72" s="49" t="e">
        <f>#REF!</f>
        <v>#REF!</v>
      </c>
      <c r="V72" s="17" t="e">
        <f t="shared" si="3"/>
        <v>#REF!</v>
      </c>
      <c r="W72" s="18" t="e">
        <f t="shared" si="5"/>
        <v>#REF!</v>
      </c>
      <c r="X72" s="19">
        <f t="shared" si="4"/>
        <v>0</v>
      </c>
      <c r="Y72" s="27"/>
      <c r="Z72" s="28"/>
    </row>
    <row r="73" spans="1:26" s="1" customFormat="1" hidden="1">
      <c r="A73" s="53">
        <v>45</v>
      </c>
      <c r="B73" s="52" t="s">
        <v>117</v>
      </c>
      <c r="C73" s="29"/>
      <c r="D73" s="49" t="e">
        <f>#REF!</f>
        <v>#REF!</v>
      </c>
      <c r="E73" s="49" t="e">
        <f>#REF!</f>
        <v>#REF!</v>
      </c>
      <c r="F73" s="49" t="e">
        <f>#REF!</f>
        <v>#REF!</v>
      </c>
      <c r="G73" s="49" t="e">
        <f>#REF!</f>
        <v>#REF!</v>
      </c>
      <c r="H73" s="49" t="e">
        <f>#REF!</f>
        <v>#REF!</v>
      </c>
      <c r="I73" s="49" t="e">
        <f>#REF!</f>
        <v>#REF!</v>
      </c>
      <c r="J73" s="49" t="e">
        <f>#REF!</f>
        <v>#REF!</v>
      </c>
      <c r="K73" s="49" t="e">
        <f>#REF!</f>
        <v>#REF!</v>
      </c>
      <c r="L73" s="49" t="e">
        <f>#REF!</f>
        <v>#REF!</v>
      </c>
      <c r="M73" s="49" t="e">
        <f>#REF!</f>
        <v>#REF!</v>
      </c>
      <c r="N73" s="49" t="e">
        <f>#REF!</f>
        <v>#REF!</v>
      </c>
      <c r="O73" s="49" t="e">
        <f>#REF!</f>
        <v>#REF!</v>
      </c>
      <c r="P73" s="49" t="e">
        <f>#REF!</f>
        <v>#REF!</v>
      </c>
      <c r="Q73" s="49" t="e">
        <f>#REF!</f>
        <v>#REF!</v>
      </c>
      <c r="R73" s="49" t="e">
        <f>#REF!</f>
        <v>#REF!</v>
      </c>
      <c r="S73" s="49" t="e">
        <f>#REF!</f>
        <v>#REF!</v>
      </c>
      <c r="T73" s="49" t="e">
        <f>#REF!</f>
        <v>#REF!</v>
      </c>
      <c r="U73" s="49" t="e">
        <f>#REF!</f>
        <v>#REF!</v>
      </c>
      <c r="V73" s="17" t="e">
        <f t="shared" si="3"/>
        <v>#REF!</v>
      </c>
      <c r="W73" s="18" t="e">
        <f t="shared" si="5"/>
        <v>#REF!</v>
      </c>
      <c r="X73" s="19">
        <f t="shared" si="4"/>
        <v>0</v>
      </c>
      <c r="Y73" s="30"/>
      <c r="Z73" s="35"/>
    </row>
    <row r="74" spans="1:26" s="1" customFormat="1" ht="29.25" hidden="1" customHeight="1" thickBot="1">
      <c r="A74" s="53">
        <v>46</v>
      </c>
      <c r="B74" s="52" t="s">
        <v>118</v>
      </c>
      <c r="C74" s="29"/>
      <c r="D74" s="49" t="e">
        <f>#REF!</f>
        <v>#REF!</v>
      </c>
      <c r="E74" s="49" t="e">
        <f>#REF!</f>
        <v>#REF!</v>
      </c>
      <c r="F74" s="49" t="e">
        <f>#REF!</f>
        <v>#REF!</v>
      </c>
      <c r="G74" s="49" t="e">
        <f>#REF!</f>
        <v>#REF!</v>
      </c>
      <c r="H74" s="49" t="e">
        <f>#REF!</f>
        <v>#REF!</v>
      </c>
      <c r="I74" s="49" t="e">
        <f>#REF!</f>
        <v>#REF!</v>
      </c>
      <c r="J74" s="49" t="e">
        <f>#REF!</f>
        <v>#REF!</v>
      </c>
      <c r="K74" s="49" t="e">
        <f>#REF!</f>
        <v>#REF!</v>
      </c>
      <c r="L74" s="49" t="e">
        <f>#REF!</f>
        <v>#REF!</v>
      </c>
      <c r="M74" s="49" t="e">
        <f>#REF!</f>
        <v>#REF!</v>
      </c>
      <c r="N74" s="49" t="e">
        <f>#REF!</f>
        <v>#REF!</v>
      </c>
      <c r="O74" s="49" t="e">
        <f>#REF!</f>
        <v>#REF!</v>
      </c>
      <c r="P74" s="49" t="e">
        <f>#REF!</f>
        <v>#REF!</v>
      </c>
      <c r="Q74" s="49" t="e">
        <f>#REF!</f>
        <v>#REF!</v>
      </c>
      <c r="R74" s="49" t="e">
        <f>#REF!</f>
        <v>#REF!</v>
      </c>
      <c r="S74" s="49" t="e">
        <f>#REF!</f>
        <v>#REF!</v>
      </c>
      <c r="T74" s="49" t="e">
        <f>#REF!</f>
        <v>#REF!</v>
      </c>
      <c r="U74" s="49" t="e">
        <f>#REF!</f>
        <v>#REF!</v>
      </c>
      <c r="V74" s="17" t="e">
        <f t="shared" si="3"/>
        <v>#REF!</v>
      </c>
      <c r="W74" s="18" t="e">
        <f t="shared" si="5"/>
        <v>#REF!</v>
      </c>
      <c r="X74" s="19">
        <f t="shared" si="4"/>
        <v>0</v>
      </c>
      <c r="Y74" s="30"/>
      <c r="Z74" s="23"/>
    </row>
    <row r="75" spans="1:26" s="1" customFormat="1" hidden="1">
      <c r="A75" s="53">
        <v>47</v>
      </c>
      <c r="B75" s="52" t="s">
        <v>119</v>
      </c>
      <c r="C75" s="29"/>
      <c r="D75" s="49" t="e">
        <f>#REF!</f>
        <v>#REF!</v>
      </c>
      <c r="E75" s="49" t="e">
        <f>#REF!</f>
        <v>#REF!</v>
      </c>
      <c r="F75" s="49" t="e">
        <f>#REF!</f>
        <v>#REF!</v>
      </c>
      <c r="G75" s="49" t="e">
        <f>#REF!</f>
        <v>#REF!</v>
      </c>
      <c r="H75" s="49" t="e">
        <f>#REF!</f>
        <v>#REF!</v>
      </c>
      <c r="I75" s="49" t="e">
        <f>#REF!</f>
        <v>#REF!</v>
      </c>
      <c r="J75" s="49" t="e">
        <f>#REF!</f>
        <v>#REF!</v>
      </c>
      <c r="K75" s="49" t="e">
        <f>#REF!</f>
        <v>#REF!</v>
      </c>
      <c r="L75" s="49" t="e">
        <f>#REF!</f>
        <v>#REF!</v>
      </c>
      <c r="M75" s="49" t="e">
        <f>#REF!</f>
        <v>#REF!</v>
      </c>
      <c r="N75" s="49" t="e">
        <f>#REF!</f>
        <v>#REF!</v>
      </c>
      <c r="O75" s="49" t="e">
        <f>#REF!</f>
        <v>#REF!</v>
      </c>
      <c r="P75" s="49" t="e">
        <f>#REF!</f>
        <v>#REF!</v>
      </c>
      <c r="Q75" s="49" t="e">
        <f>#REF!</f>
        <v>#REF!</v>
      </c>
      <c r="R75" s="49" t="e">
        <f>#REF!</f>
        <v>#REF!</v>
      </c>
      <c r="S75" s="49" t="e">
        <f>#REF!</f>
        <v>#REF!</v>
      </c>
      <c r="T75" s="49" t="e">
        <f>#REF!</f>
        <v>#REF!</v>
      </c>
      <c r="U75" s="49" t="e">
        <f>#REF!</f>
        <v>#REF!</v>
      </c>
      <c r="V75" s="17" t="e">
        <f t="shared" si="3"/>
        <v>#REF!</v>
      </c>
      <c r="W75" s="18" t="e">
        <f t="shared" si="5"/>
        <v>#REF!</v>
      </c>
      <c r="X75" s="19">
        <f t="shared" si="4"/>
        <v>0</v>
      </c>
      <c r="Y75" s="30"/>
      <c r="Z75" s="23"/>
    </row>
    <row r="76" spans="1:26" s="1" customFormat="1" ht="29.25" hidden="1" customHeight="1" thickBot="1">
      <c r="A76" s="53">
        <v>48</v>
      </c>
      <c r="B76" s="52" t="s">
        <v>120</v>
      </c>
      <c r="C76" s="29"/>
      <c r="D76" s="49" t="e">
        <f>#REF!</f>
        <v>#REF!</v>
      </c>
      <c r="E76" s="49" t="e">
        <f>#REF!</f>
        <v>#REF!</v>
      </c>
      <c r="F76" s="49" t="e">
        <f>#REF!</f>
        <v>#REF!</v>
      </c>
      <c r="G76" s="49" t="e">
        <f>#REF!</f>
        <v>#REF!</v>
      </c>
      <c r="H76" s="49" t="e">
        <f>#REF!</f>
        <v>#REF!</v>
      </c>
      <c r="I76" s="49" t="e">
        <f>#REF!</f>
        <v>#REF!</v>
      </c>
      <c r="J76" s="49" t="e">
        <f>#REF!</f>
        <v>#REF!</v>
      </c>
      <c r="K76" s="49" t="e">
        <f>#REF!</f>
        <v>#REF!</v>
      </c>
      <c r="L76" s="49" t="e">
        <f>#REF!</f>
        <v>#REF!</v>
      </c>
      <c r="M76" s="49" t="e">
        <f>#REF!</f>
        <v>#REF!</v>
      </c>
      <c r="N76" s="49" t="e">
        <f>#REF!</f>
        <v>#REF!</v>
      </c>
      <c r="O76" s="49" t="e">
        <f>#REF!</f>
        <v>#REF!</v>
      </c>
      <c r="P76" s="49" t="e">
        <f>#REF!</f>
        <v>#REF!</v>
      </c>
      <c r="Q76" s="49" t="e">
        <f>#REF!</f>
        <v>#REF!</v>
      </c>
      <c r="R76" s="49" t="e">
        <f>#REF!</f>
        <v>#REF!</v>
      </c>
      <c r="S76" s="49" t="e">
        <f>#REF!</f>
        <v>#REF!</v>
      </c>
      <c r="T76" s="49" t="e">
        <f>#REF!</f>
        <v>#REF!</v>
      </c>
      <c r="U76" s="49" t="e">
        <f>#REF!</f>
        <v>#REF!</v>
      </c>
      <c r="V76" s="17" t="e">
        <f t="shared" si="3"/>
        <v>#REF!</v>
      </c>
      <c r="W76" s="18" t="e">
        <f t="shared" si="5"/>
        <v>#REF!</v>
      </c>
      <c r="X76" s="19">
        <f t="shared" si="4"/>
        <v>0</v>
      </c>
      <c r="Y76" s="30"/>
      <c r="Z76" s="23"/>
    </row>
    <row r="77" spans="1:26" s="1" customFormat="1" ht="29.25" hidden="1" customHeight="1">
      <c r="A77" s="53">
        <v>49</v>
      </c>
      <c r="B77" s="52" t="s">
        <v>121</v>
      </c>
      <c r="C77" s="29"/>
      <c r="D77" s="49" t="e">
        <f>#REF!</f>
        <v>#REF!</v>
      </c>
      <c r="E77" s="49" t="e">
        <f>#REF!</f>
        <v>#REF!</v>
      </c>
      <c r="F77" s="49" t="e">
        <f>#REF!</f>
        <v>#REF!</v>
      </c>
      <c r="G77" s="49" t="e">
        <f>#REF!</f>
        <v>#REF!</v>
      </c>
      <c r="H77" s="49" t="e">
        <f>#REF!</f>
        <v>#REF!</v>
      </c>
      <c r="I77" s="49" t="e">
        <f>#REF!</f>
        <v>#REF!</v>
      </c>
      <c r="J77" s="49" t="e">
        <f>#REF!</f>
        <v>#REF!</v>
      </c>
      <c r="K77" s="49" t="e">
        <f>#REF!</f>
        <v>#REF!</v>
      </c>
      <c r="L77" s="49" t="e">
        <f>#REF!</f>
        <v>#REF!</v>
      </c>
      <c r="M77" s="49" t="e">
        <f>#REF!</f>
        <v>#REF!</v>
      </c>
      <c r="N77" s="49" t="e">
        <f>#REF!</f>
        <v>#REF!</v>
      </c>
      <c r="O77" s="49" t="e">
        <f>#REF!</f>
        <v>#REF!</v>
      </c>
      <c r="P77" s="49" t="e">
        <f>#REF!</f>
        <v>#REF!</v>
      </c>
      <c r="Q77" s="49" t="e">
        <f>#REF!</f>
        <v>#REF!</v>
      </c>
      <c r="R77" s="49" t="e">
        <f>#REF!</f>
        <v>#REF!</v>
      </c>
      <c r="S77" s="49" t="e">
        <f>#REF!</f>
        <v>#REF!</v>
      </c>
      <c r="T77" s="49" t="e">
        <f>#REF!</f>
        <v>#REF!</v>
      </c>
      <c r="U77" s="49" t="e">
        <f>#REF!</f>
        <v>#REF!</v>
      </c>
      <c r="V77" s="17" t="e">
        <f t="shared" si="3"/>
        <v>#REF!</v>
      </c>
      <c r="W77" s="18" t="e">
        <f t="shared" si="5"/>
        <v>#REF!</v>
      </c>
      <c r="X77" s="19">
        <f t="shared" si="4"/>
        <v>0</v>
      </c>
      <c r="Y77" s="30"/>
      <c r="Z77" s="35"/>
    </row>
    <row r="78" spans="1:26" s="1" customFormat="1" hidden="1">
      <c r="A78" s="6"/>
      <c r="B78" s="37"/>
      <c r="D78" s="38"/>
      <c r="E78" s="38"/>
      <c r="F78" s="38"/>
      <c r="G78" s="38"/>
      <c r="H78" s="38"/>
      <c r="I78" s="38"/>
      <c r="J78" s="38"/>
      <c r="K78" s="38"/>
      <c r="L78" s="38"/>
      <c r="M78" s="38"/>
      <c r="N78" s="38"/>
      <c r="O78" s="38"/>
      <c r="P78" s="38"/>
      <c r="Q78" s="38"/>
    </row>
    <row r="79" spans="1:26" s="1" customFormat="1" hidden="1">
      <c r="A79" s="6"/>
      <c r="B79" s="37"/>
      <c r="E79" s="588"/>
      <c r="F79" s="588"/>
      <c r="G79" s="588"/>
    </row>
    <row r="80" spans="1:26" s="1" customFormat="1" hidden="1">
      <c r="A80" s="6"/>
      <c r="B80" s="7"/>
      <c r="C80" s="5"/>
      <c r="D80" s="5"/>
      <c r="E80" s="5"/>
      <c r="F80" s="5"/>
      <c r="G80" s="5"/>
      <c r="H80" s="5"/>
      <c r="I80" s="5"/>
      <c r="J80" s="5"/>
      <c r="K80" s="5"/>
      <c r="L80" s="5"/>
      <c r="M80" s="5"/>
      <c r="N80" s="5"/>
      <c r="O80" s="5"/>
      <c r="P80" s="5"/>
      <c r="Q80" s="5"/>
      <c r="R80" s="5"/>
      <c r="S80" s="5"/>
      <c r="T80" s="5"/>
      <c r="U80" s="5"/>
      <c r="V80" s="5"/>
      <c r="W80" s="5"/>
      <c r="X80" s="5"/>
      <c r="Y80" s="5"/>
      <c r="Z80" s="5"/>
    </row>
    <row r="81" spans="1:26" s="1" customFormat="1" ht="31.5" hidden="1">
      <c r="A81" s="6"/>
      <c r="B81" s="7"/>
      <c r="C81" s="5"/>
      <c r="D81" s="5"/>
      <c r="E81" s="5"/>
      <c r="F81" s="8" t="s">
        <v>122</v>
      </c>
      <c r="G81" s="8"/>
      <c r="H81" s="8"/>
      <c r="I81" s="8"/>
      <c r="J81" s="8"/>
      <c r="K81" s="8"/>
      <c r="L81" s="8"/>
      <c r="M81" s="8"/>
      <c r="N81" s="8"/>
      <c r="O81" s="8"/>
      <c r="P81" s="8"/>
      <c r="Q81" s="5"/>
      <c r="R81" s="5"/>
      <c r="S81" s="5"/>
      <c r="T81" s="5"/>
      <c r="U81" s="5"/>
      <c r="V81" s="5"/>
      <c r="W81" s="5"/>
      <c r="X81" s="5"/>
      <c r="Y81" s="5"/>
      <c r="Z81" s="5"/>
    </row>
    <row r="82" spans="1:26" s="1" customFormat="1" ht="31.5" hidden="1">
      <c r="A82" s="6"/>
      <c r="B82" s="7"/>
      <c r="C82" s="4"/>
      <c r="D82" s="4"/>
      <c r="E82" s="4"/>
      <c r="F82" s="4"/>
      <c r="G82" s="4"/>
      <c r="H82" s="4"/>
      <c r="I82" s="4"/>
      <c r="J82" s="4"/>
      <c r="K82" s="4"/>
      <c r="L82" s="4"/>
      <c r="M82" s="4"/>
      <c r="N82" s="8"/>
      <c r="O82" s="8"/>
      <c r="P82" s="8"/>
      <c r="Q82" s="8"/>
      <c r="R82" s="8"/>
      <c r="S82" s="8"/>
      <c r="T82" s="8"/>
      <c r="U82" s="8"/>
      <c r="V82" s="8"/>
      <c r="W82" s="8"/>
      <c r="X82" s="5"/>
      <c r="Y82" s="4"/>
      <c r="Z82" s="5"/>
    </row>
    <row r="83" spans="1:26" s="1" customFormat="1" hidden="1">
      <c r="A83" s="6"/>
      <c r="B83" s="7"/>
      <c r="C83" s="5"/>
      <c r="D83" s="5"/>
      <c r="E83" s="5"/>
      <c r="F83" s="5"/>
      <c r="G83" s="5"/>
      <c r="H83" s="5"/>
      <c r="I83" s="5"/>
      <c r="J83" s="5"/>
      <c r="K83" s="5"/>
      <c r="L83" s="5"/>
      <c r="M83" s="5"/>
      <c r="N83" s="5"/>
      <c r="O83" s="5"/>
      <c r="P83" s="5"/>
      <c r="Q83" s="5"/>
      <c r="R83" s="5"/>
      <c r="S83" s="5"/>
      <c r="T83" s="5"/>
      <c r="U83" s="5"/>
      <c r="V83" s="5"/>
      <c r="W83" s="5"/>
      <c r="X83" s="5"/>
      <c r="Y83" s="5"/>
      <c r="Z83" s="5"/>
    </row>
    <row r="84" spans="1:26" s="1" customFormat="1" hidden="1">
      <c r="A84" s="6"/>
      <c r="B84" s="589" t="s">
        <v>38</v>
      </c>
      <c r="C84" s="9" t="s">
        <v>39</v>
      </c>
      <c r="D84" s="9" t="s">
        <v>39</v>
      </c>
      <c r="E84" s="9" t="s">
        <v>39</v>
      </c>
      <c r="F84" s="9" t="s">
        <v>39</v>
      </c>
      <c r="G84" s="9" t="s">
        <v>39</v>
      </c>
      <c r="H84" s="9" t="s">
        <v>39</v>
      </c>
      <c r="I84" s="9" t="s">
        <v>39</v>
      </c>
      <c r="J84" s="9" t="s">
        <v>39</v>
      </c>
      <c r="K84" s="9" t="s">
        <v>39</v>
      </c>
      <c r="L84" s="9" t="s">
        <v>39</v>
      </c>
      <c r="M84" s="9" t="s">
        <v>39</v>
      </c>
      <c r="N84" s="9" t="s">
        <v>39</v>
      </c>
      <c r="O84" s="9" t="s">
        <v>39</v>
      </c>
      <c r="P84" s="9" t="s">
        <v>39</v>
      </c>
      <c r="Q84" s="9" t="s">
        <v>39</v>
      </c>
      <c r="R84" s="9" t="s">
        <v>39</v>
      </c>
      <c r="S84" s="9" t="s">
        <v>39</v>
      </c>
      <c r="T84" s="9" t="s">
        <v>39</v>
      </c>
      <c r="U84" s="9" t="s">
        <v>39</v>
      </c>
      <c r="V84" s="647">
        <v>1900</v>
      </c>
      <c r="W84" s="576" t="s">
        <v>40</v>
      </c>
      <c r="X84" s="649" t="s">
        <v>41</v>
      </c>
      <c r="Y84" s="576" t="s">
        <v>42</v>
      </c>
      <c r="Z84" s="574" t="s">
        <v>43</v>
      </c>
    </row>
    <row r="85" spans="1:26" s="1" customFormat="1" ht="29.25" hidden="1" thickBot="1">
      <c r="A85" s="6"/>
      <c r="B85" s="590"/>
      <c r="C85" s="10">
        <v>1</v>
      </c>
      <c r="D85" s="11">
        <v>2</v>
      </c>
      <c r="E85" s="11">
        <v>3</v>
      </c>
      <c r="F85" s="11">
        <v>4</v>
      </c>
      <c r="G85" s="11">
        <v>5</v>
      </c>
      <c r="H85" s="11">
        <v>6</v>
      </c>
      <c r="I85" s="11">
        <v>7</v>
      </c>
      <c r="J85" s="11">
        <v>8</v>
      </c>
      <c r="K85" s="11">
        <v>9</v>
      </c>
      <c r="L85" s="11">
        <v>10</v>
      </c>
      <c r="M85" s="11">
        <v>11</v>
      </c>
      <c r="N85" s="11">
        <v>12</v>
      </c>
      <c r="O85" s="11">
        <v>13</v>
      </c>
      <c r="P85" s="11">
        <v>14</v>
      </c>
      <c r="Q85" s="11">
        <v>15</v>
      </c>
      <c r="R85" s="11">
        <v>16</v>
      </c>
      <c r="S85" s="11">
        <v>17</v>
      </c>
      <c r="T85" s="11">
        <v>18</v>
      </c>
      <c r="U85" s="11">
        <v>19</v>
      </c>
      <c r="V85" s="648"/>
      <c r="W85" s="577"/>
      <c r="X85" s="650"/>
      <c r="Y85" s="577"/>
      <c r="Z85" s="575"/>
    </row>
    <row r="86" spans="1:26" s="1" customFormat="1" ht="29.25" hidden="1" thickBot="1">
      <c r="A86" s="6"/>
      <c r="B86" s="12">
        <f>0%/100</f>
        <v>0</v>
      </c>
      <c r="C86" s="12">
        <f>526.31%/100</f>
        <v>5.2630999999999997E-2</v>
      </c>
      <c r="D86" s="12">
        <f>(526.31%/100)*2</f>
        <v>0.10526199999999999</v>
      </c>
      <c r="E86" s="12">
        <f>(526.31%/100)*3</f>
        <v>0.15789300000000001</v>
      </c>
      <c r="F86" s="12">
        <f>(526.31%/100)*4</f>
        <v>0.21052399999999999</v>
      </c>
      <c r="G86" s="12">
        <f>(526.31%/100)*5</f>
        <v>0.26315499999999997</v>
      </c>
      <c r="H86" s="12">
        <f>(526.31%/100)*6</f>
        <v>0.31578600000000001</v>
      </c>
      <c r="I86" s="12">
        <f>(526.31%/100)*7</f>
        <v>0.36841699999999999</v>
      </c>
      <c r="J86" s="12">
        <f>(526.31%/100)*8</f>
        <v>0.42104799999999998</v>
      </c>
      <c r="K86" s="12">
        <f>(526.31%/100)*9</f>
        <v>0.47367899999999996</v>
      </c>
      <c r="L86" s="12">
        <f>(526.31%/100)*10</f>
        <v>0.52630999999999994</v>
      </c>
      <c r="M86" s="12">
        <f>(526.31%/100)*11</f>
        <v>0.57894099999999993</v>
      </c>
      <c r="N86" s="12">
        <f>(526.31%/100)*12</f>
        <v>0.63157200000000002</v>
      </c>
      <c r="O86" s="12">
        <f>(526.31%/100)*13</f>
        <v>0.68420300000000001</v>
      </c>
      <c r="P86" s="12">
        <f>(526.31%/100)*14</f>
        <v>0.73683399999999999</v>
      </c>
      <c r="Q86" s="12">
        <f>(526.31%/100)*15</f>
        <v>0.78946499999999997</v>
      </c>
      <c r="R86" s="12">
        <f>(526.31%/100)*16</f>
        <v>0.84209599999999996</v>
      </c>
      <c r="S86" s="12">
        <f>(526.31%/100)*17</f>
        <v>0.89472699999999994</v>
      </c>
      <c r="T86" s="12">
        <f>(526.31%/100)*18</f>
        <v>0.94735799999999992</v>
      </c>
      <c r="U86" s="12">
        <f>(526.32%/100)*19</f>
        <v>1.000008</v>
      </c>
      <c r="V86" s="13"/>
      <c r="W86" s="14"/>
      <c r="X86" s="14"/>
      <c r="Y86" s="14"/>
      <c r="Z86" s="15"/>
    </row>
    <row r="87" spans="1:26" s="1" customFormat="1" ht="29.25" hidden="1" customHeight="1" thickBot="1">
      <c r="A87" s="53">
        <v>1</v>
      </c>
      <c r="B87" s="73" t="s">
        <v>73</v>
      </c>
      <c r="D87" s="16" t="e">
        <f>#REF!</f>
        <v>#REF!</v>
      </c>
      <c r="E87" s="16" t="e">
        <f>#REF!</f>
        <v>#REF!</v>
      </c>
      <c r="F87" s="16" t="e">
        <f>#REF!</f>
        <v>#REF!</v>
      </c>
      <c r="G87" s="16" t="e">
        <f>#REF!</f>
        <v>#REF!</v>
      </c>
      <c r="H87" s="16" t="e">
        <f>#REF!</f>
        <v>#REF!</v>
      </c>
      <c r="I87" s="16" t="e">
        <f>#REF!</f>
        <v>#REF!</v>
      </c>
      <c r="J87" s="16" t="e">
        <f>#REF!</f>
        <v>#REF!</v>
      </c>
      <c r="K87" s="16" t="e">
        <f>#REF!</f>
        <v>#REF!</v>
      </c>
      <c r="L87" s="16" t="e">
        <f>#REF!</f>
        <v>#REF!</v>
      </c>
      <c r="M87" s="16" t="e">
        <f>#REF!</f>
        <v>#REF!</v>
      </c>
      <c r="N87" s="16" t="e">
        <f>#REF!</f>
        <v>#REF!</v>
      </c>
      <c r="O87" s="16" t="e">
        <f>#REF!</f>
        <v>#REF!</v>
      </c>
      <c r="P87" s="16" t="e">
        <f>#REF!</f>
        <v>#REF!</v>
      </c>
      <c r="Q87" s="16" t="e">
        <f>#REF!</f>
        <v>#REF!</v>
      </c>
      <c r="R87" s="16" t="e">
        <f>#REF!</f>
        <v>#REF!</v>
      </c>
      <c r="S87" s="16" t="e">
        <f>#REF!</f>
        <v>#REF!</v>
      </c>
      <c r="T87" s="16" t="e">
        <f>#REF!</f>
        <v>#REF!</v>
      </c>
      <c r="U87" s="16" t="e">
        <f>#REF!</f>
        <v>#REF!</v>
      </c>
      <c r="V87" s="17" t="e">
        <f t="shared" ref="V87:V135" si="6">D87+E87+F87+G87+H87+I87+L87+M87+N87+O87+P87+Q87+R87+S87+T87+U87+J87+K87+C87</f>
        <v>#REF!</v>
      </c>
      <c r="W87" s="18" t="e">
        <f>IF($V$26&gt;0,V87/$V$26,0)</f>
        <v>#REF!</v>
      </c>
      <c r="X87" s="19">
        <f t="shared" ref="X87:X135" si="7">C86</f>
        <v>5.2630999999999997E-2</v>
      </c>
      <c r="Y87" s="20"/>
      <c r="Z87" s="21"/>
    </row>
    <row r="88" spans="1:26" s="1" customFormat="1" hidden="1">
      <c r="A88" s="53">
        <v>2</v>
      </c>
      <c r="B88" s="73" t="s">
        <v>74</v>
      </c>
      <c r="D88" s="16" t="e">
        <f>#REF!</f>
        <v>#REF!</v>
      </c>
      <c r="E88" s="16" t="e">
        <f>#REF!</f>
        <v>#REF!</v>
      </c>
      <c r="F88" s="16" t="e">
        <f>#REF!</f>
        <v>#REF!</v>
      </c>
      <c r="G88" s="16" t="e">
        <f>#REF!</f>
        <v>#REF!</v>
      </c>
      <c r="H88" s="16" t="e">
        <f>#REF!</f>
        <v>#REF!</v>
      </c>
      <c r="I88" s="16" t="e">
        <f>#REF!</f>
        <v>#REF!</v>
      </c>
      <c r="J88" s="16" t="e">
        <f>#REF!</f>
        <v>#REF!</v>
      </c>
      <c r="K88" s="16" t="e">
        <f>#REF!</f>
        <v>#REF!</v>
      </c>
      <c r="L88" s="16" t="e">
        <f>#REF!</f>
        <v>#REF!</v>
      </c>
      <c r="M88" s="16" t="e">
        <f>#REF!</f>
        <v>#REF!</v>
      </c>
      <c r="N88" s="16" t="e">
        <f>#REF!</f>
        <v>#REF!</v>
      </c>
      <c r="O88" s="16" t="e">
        <f>#REF!</f>
        <v>#REF!</v>
      </c>
      <c r="P88" s="16" t="e">
        <f>#REF!</f>
        <v>#REF!</v>
      </c>
      <c r="Q88" s="16" t="e">
        <f>#REF!</f>
        <v>#REF!</v>
      </c>
      <c r="R88" s="16" t="e">
        <f>#REF!</f>
        <v>#REF!</v>
      </c>
      <c r="S88" s="16" t="e">
        <f>#REF!</f>
        <v>#REF!</v>
      </c>
      <c r="T88" s="16" t="e">
        <f>#REF!</f>
        <v>#REF!</v>
      </c>
      <c r="U88" s="16" t="e">
        <f>#REF!</f>
        <v>#REF!</v>
      </c>
      <c r="V88" s="17" t="e">
        <f t="shared" si="6"/>
        <v>#REF!</v>
      </c>
      <c r="W88" s="18" t="e">
        <f>IF($V$26&gt;0,V88/$V$26,0)</f>
        <v>#REF!</v>
      </c>
      <c r="X88" s="19">
        <f t="shared" si="7"/>
        <v>0</v>
      </c>
      <c r="Y88" s="20"/>
      <c r="Z88" s="21"/>
    </row>
    <row r="89" spans="1:26" s="1" customFormat="1" hidden="1">
      <c r="A89" s="53">
        <v>3</v>
      </c>
      <c r="B89" s="73" t="s">
        <v>75</v>
      </c>
      <c r="C89" s="16"/>
      <c r="D89" s="16" t="e">
        <f>#REF!</f>
        <v>#REF!</v>
      </c>
      <c r="E89" s="16" t="e">
        <f>#REF!</f>
        <v>#REF!</v>
      </c>
      <c r="F89" s="16" t="e">
        <f>#REF!</f>
        <v>#REF!</v>
      </c>
      <c r="G89" s="16" t="e">
        <f>#REF!</f>
        <v>#REF!</v>
      </c>
      <c r="H89" s="16" t="e">
        <f>#REF!</f>
        <v>#REF!</v>
      </c>
      <c r="I89" s="16" t="e">
        <f>#REF!</f>
        <v>#REF!</v>
      </c>
      <c r="J89" s="16" t="e">
        <f>#REF!</f>
        <v>#REF!</v>
      </c>
      <c r="K89" s="16" t="e">
        <f>#REF!</f>
        <v>#REF!</v>
      </c>
      <c r="L89" s="16" t="e">
        <f>#REF!</f>
        <v>#REF!</v>
      </c>
      <c r="M89" s="16" t="e">
        <f>#REF!</f>
        <v>#REF!</v>
      </c>
      <c r="N89" s="16" t="e">
        <f>#REF!</f>
        <v>#REF!</v>
      </c>
      <c r="O89" s="16" t="e">
        <f>#REF!</f>
        <v>#REF!</v>
      </c>
      <c r="P89" s="16" t="e">
        <f>#REF!</f>
        <v>#REF!</v>
      </c>
      <c r="Q89" s="16" t="e">
        <f>#REF!</f>
        <v>#REF!</v>
      </c>
      <c r="R89" s="16" t="e">
        <f>#REF!</f>
        <v>#REF!</v>
      </c>
      <c r="S89" s="16" t="e">
        <f>#REF!</f>
        <v>#REF!</v>
      </c>
      <c r="T89" s="16" t="e">
        <f>#REF!</f>
        <v>#REF!</v>
      </c>
      <c r="U89" s="16" t="e">
        <f>#REF!</f>
        <v>#REF!</v>
      </c>
      <c r="V89" s="17" t="e">
        <f t="shared" si="6"/>
        <v>#REF!</v>
      </c>
      <c r="W89" s="18" t="e">
        <f>IF($V$26&gt;0,V89/$V$26,0)</f>
        <v>#REF!</v>
      </c>
      <c r="X89" s="19">
        <f t="shared" si="7"/>
        <v>0</v>
      </c>
      <c r="Y89" s="20"/>
      <c r="Z89" s="21"/>
    </row>
    <row r="90" spans="1:26" s="1" customFormat="1" hidden="1">
      <c r="A90" s="53">
        <v>4</v>
      </c>
      <c r="B90" s="73" t="s">
        <v>76</v>
      </c>
      <c r="C90" s="16"/>
      <c r="D90" s="16" t="e">
        <f>#REF!</f>
        <v>#REF!</v>
      </c>
      <c r="E90" s="16" t="e">
        <f>#REF!</f>
        <v>#REF!</v>
      </c>
      <c r="F90" s="16" t="e">
        <f>#REF!</f>
        <v>#REF!</v>
      </c>
      <c r="G90" s="16" t="e">
        <f>#REF!</f>
        <v>#REF!</v>
      </c>
      <c r="H90" s="16" t="e">
        <f>#REF!</f>
        <v>#REF!</v>
      </c>
      <c r="I90" s="16" t="e">
        <f>#REF!</f>
        <v>#REF!</v>
      </c>
      <c r="J90" s="16" t="e">
        <f>#REF!</f>
        <v>#REF!</v>
      </c>
      <c r="K90" s="16" t="e">
        <f>#REF!</f>
        <v>#REF!</v>
      </c>
      <c r="L90" s="16" t="e">
        <f>#REF!</f>
        <v>#REF!</v>
      </c>
      <c r="M90" s="16" t="e">
        <f>#REF!</f>
        <v>#REF!</v>
      </c>
      <c r="N90" s="16" t="e">
        <f>#REF!</f>
        <v>#REF!</v>
      </c>
      <c r="O90" s="16" t="e">
        <f>#REF!</f>
        <v>#REF!</v>
      </c>
      <c r="P90" s="16" t="e">
        <f>#REF!</f>
        <v>#REF!</v>
      </c>
      <c r="Q90" s="16" t="e">
        <f>#REF!</f>
        <v>#REF!</v>
      </c>
      <c r="R90" s="16" t="e">
        <f>#REF!</f>
        <v>#REF!</v>
      </c>
      <c r="S90" s="16" t="e">
        <f>#REF!</f>
        <v>#REF!</v>
      </c>
      <c r="T90" s="16" t="e">
        <f>#REF!</f>
        <v>#REF!</v>
      </c>
      <c r="U90" s="16" t="e">
        <f>#REF!</f>
        <v>#REF!</v>
      </c>
      <c r="V90" s="17" t="e">
        <f t="shared" si="6"/>
        <v>#REF!</v>
      </c>
      <c r="W90" s="18" t="e">
        <f>IF($V$26&gt;0,V90/$V$26,0)</f>
        <v>#REF!</v>
      </c>
      <c r="X90" s="19">
        <f t="shared" si="7"/>
        <v>0</v>
      </c>
      <c r="Y90" s="20"/>
      <c r="Z90" s="21"/>
    </row>
    <row r="91" spans="1:26" s="1" customFormat="1" hidden="1">
      <c r="A91" s="53">
        <v>5</v>
      </c>
      <c r="B91" s="71" t="s">
        <v>77</v>
      </c>
      <c r="C91" s="16"/>
      <c r="D91" s="16" t="e">
        <f>#REF!</f>
        <v>#REF!</v>
      </c>
      <c r="E91" s="16" t="e">
        <f>#REF!</f>
        <v>#REF!</v>
      </c>
      <c r="F91" s="16" t="e">
        <f>#REF!</f>
        <v>#REF!</v>
      </c>
      <c r="G91" s="16" t="e">
        <f>#REF!</f>
        <v>#REF!</v>
      </c>
      <c r="H91" s="16" t="e">
        <f>#REF!</f>
        <v>#REF!</v>
      </c>
      <c r="I91" s="16" t="e">
        <f>#REF!</f>
        <v>#REF!</v>
      </c>
      <c r="J91" s="16" t="e">
        <f>#REF!</f>
        <v>#REF!</v>
      </c>
      <c r="K91" s="16" t="e">
        <f>#REF!</f>
        <v>#REF!</v>
      </c>
      <c r="L91" s="16" t="e">
        <f>#REF!</f>
        <v>#REF!</v>
      </c>
      <c r="M91" s="16" t="e">
        <f>#REF!</f>
        <v>#REF!</v>
      </c>
      <c r="N91" s="16" t="e">
        <f>#REF!</f>
        <v>#REF!</v>
      </c>
      <c r="O91" s="16" t="e">
        <f>#REF!</f>
        <v>#REF!</v>
      </c>
      <c r="P91" s="16" t="e">
        <f>#REF!</f>
        <v>#REF!</v>
      </c>
      <c r="Q91" s="16" t="e">
        <f>#REF!</f>
        <v>#REF!</v>
      </c>
      <c r="R91" s="16" t="e">
        <f>#REF!</f>
        <v>#REF!</v>
      </c>
      <c r="S91" s="16" t="e">
        <f>#REF!</f>
        <v>#REF!</v>
      </c>
      <c r="T91" s="16" t="e">
        <f>#REF!</f>
        <v>#REF!</v>
      </c>
      <c r="U91" s="16" t="e">
        <f>#REF!</f>
        <v>#REF!</v>
      </c>
      <c r="V91" s="17" t="e">
        <f t="shared" si="6"/>
        <v>#REF!</v>
      </c>
      <c r="W91" s="18" t="e">
        <f>IF($V$26&gt;0,V91/$V$26,0)</f>
        <v>#REF!</v>
      </c>
      <c r="X91" s="19">
        <f t="shared" si="7"/>
        <v>0</v>
      </c>
      <c r="Y91" s="22"/>
      <c r="Z91" s="23"/>
    </row>
    <row r="92" spans="1:26" s="1" customFormat="1" hidden="1">
      <c r="A92" s="53">
        <v>6</v>
      </c>
      <c r="B92" s="71" t="s">
        <v>78</v>
      </c>
      <c r="C92" s="16"/>
      <c r="D92" s="16" t="e">
        <f>#REF!</f>
        <v>#REF!</v>
      </c>
      <c r="E92" s="16" t="e">
        <f>#REF!</f>
        <v>#REF!</v>
      </c>
      <c r="F92" s="16" t="e">
        <f>#REF!</f>
        <v>#REF!</v>
      </c>
      <c r="G92" s="16" t="e">
        <f>#REF!</f>
        <v>#REF!</v>
      </c>
      <c r="H92" s="16" t="e">
        <f>#REF!</f>
        <v>#REF!</v>
      </c>
      <c r="I92" s="16" t="e">
        <f>#REF!</f>
        <v>#REF!</v>
      </c>
      <c r="J92" s="16" t="e">
        <f>#REF!</f>
        <v>#REF!</v>
      </c>
      <c r="K92" s="16" t="e">
        <f>#REF!</f>
        <v>#REF!</v>
      </c>
      <c r="L92" s="16" t="e">
        <f>#REF!</f>
        <v>#REF!</v>
      </c>
      <c r="M92" s="16" t="e">
        <f>#REF!</f>
        <v>#REF!</v>
      </c>
      <c r="N92" s="16" t="e">
        <f>#REF!</f>
        <v>#REF!</v>
      </c>
      <c r="O92" s="16" t="e">
        <f>#REF!</f>
        <v>#REF!</v>
      </c>
      <c r="P92" s="16" t="e">
        <f>#REF!</f>
        <v>#REF!</v>
      </c>
      <c r="Q92" s="16" t="e">
        <f>#REF!</f>
        <v>#REF!</v>
      </c>
      <c r="R92" s="16" t="e">
        <f>#REF!</f>
        <v>#REF!</v>
      </c>
      <c r="S92" s="16" t="e">
        <f>#REF!</f>
        <v>#REF!</v>
      </c>
      <c r="T92" s="16" t="e">
        <f>#REF!</f>
        <v>#REF!</v>
      </c>
      <c r="U92" s="16" t="e">
        <f>#REF!</f>
        <v>#REF!</v>
      </c>
      <c r="V92" s="17" t="e">
        <f t="shared" si="6"/>
        <v>#REF!</v>
      </c>
      <c r="W92" s="18" t="e">
        <f t="shared" ref="W92:W135" si="8">IF($V$26&gt;0,V92/$V$26,0)</f>
        <v>#REF!</v>
      </c>
      <c r="X92" s="19">
        <f t="shared" si="7"/>
        <v>0</v>
      </c>
      <c r="Y92" s="22"/>
      <c r="Z92" s="23"/>
    </row>
    <row r="93" spans="1:26" s="1" customFormat="1" hidden="1">
      <c r="A93" s="53">
        <v>7</v>
      </c>
      <c r="B93" s="71" t="s">
        <v>79</v>
      </c>
      <c r="C93" s="16"/>
      <c r="D93" s="16" t="e">
        <f>#REF!</f>
        <v>#REF!</v>
      </c>
      <c r="E93" s="16" t="e">
        <f>#REF!</f>
        <v>#REF!</v>
      </c>
      <c r="F93" s="16" t="e">
        <f>#REF!</f>
        <v>#REF!</v>
      </c>
      <c r="G93" s="16" t="e">
        <f>#REF!</f>
        <v>#REF!</v>
      </c>
      <c r="H93" s="16" t="e">
        <f>#REF!</f>
        <v>#REF!</v>
      </c>
      <c r="I93" s="16" t="e">
        <f>#REF!</f>
        <v>#REF!</v>
      </c>
      <c r="J93" s="16" t="e">
        <f>#REF!</f>
        <v>#REF!</v>
      </c>
      <c r="K93" s="16" t="e">
        <f>#REF!</f>
        <v>#REF!</v>
      </c>
      <c r="L93" s="16" t="e">
        <f>#REF!</f>
        <v>#REF!</v>
      </c>
      <c r="M93" s="16" t="e">
        <f>#REF!</f>
        <v>#REF!</v>
      </c>
      <c r="N93" s="16" t="e">
        <f>#REF!</f>
        <v>#REF!</v>
      </c>
      <c r="O93" s="16" t="e">
        <f>#REF!</f>
        <v>#REF!</v>
      </c>
      <c r="P93" s="16" t="e">
        <f>#REF!</f>
        <v>#REF!</v>
      </c>
      <c r="Q93" s="16" t="e">
        <f>#REF!</f>
        <v>#REF!</v>
      </c>
      <c r="R93" s="16" t="e">
        <f>#REF!</f>
        <v>#REF!</v>
      </c>
      <c r="S93" s="16" t="e">
        <f>#REF!</f>
        <v>#REF!</v>
      </c>
      <c r="T93" s="16" t="e">
        <f>#REF!</f>
        <v>#REF!</v>
      </c>
      <c r="U93" s="16" t="e">
        <f>#REF!</f>
        <v>#REF!</v>
      </c>
      <c r="V93" s="17" t="e">
        <f t="shared" si="6"/>
        <v>#REF!</v>
      </c>
      <c r="W93" s="18" t="e">
        <f t="shared" si="8"/>
        <v>#REF!</v>
      </c>
      <c r="X93" s="19">
        <f t="shared" si="7"/>
        <v>0</v>
      </c>
      <c r="Y93" s="22"/>
      <c r="Z93" s="23"/>
    </row>
    <row r="94" spans="1:26" s="1" customFormat="1" hidden="1">
      <c r="A94" s="53">
        <v>8</v>
      </c>
      <c r="B94" s="71" t="s">
        <v>80</v>
      </c>
      <c r="C94" s="16"/>
      <c r="D94" s="16" t="e">
        <f>#REF!</f>
        <v>#REF!</v>
      </c>
      <c r="E94" s="16" t="e">
        <f>#REF!</f>
        <v>#REF!</v>
      </c>
      <c r="F94" s="16" t="e">
        <f>#REF!</f>
        <v>#REF!</v>
      </c>
      <c r="G94" s="16" t="e">
        <f>#REF!</f>
        <v>#REF!</v>
      </c>
      <c r="H94" s="16" t="e">
        <f>#REF!</f>
        <v>#REF!</v>
      </c>
      <c r="I94" s="16" t="e">
        <f>#REF!</f>
        <v>#REF!</v>
      </c>
      <c r="J94" s="16" t="e">
        <f>#REF!</f>
        <v>#REF!</v>
      </c>
      <c r="K94" s="16" t="e">
        <f>#REF!</f>
        <v>#REF!</v>
      </c>
      <c r="L94" s="16" t="e">
        <f>#REF!</f>
        <v>#REF!</v>
      </c>
      <c r="M94" s="16" t="e">
        <f>#REF!</f>
        <v>#REF!</v>
      </c>
      <c r="N94" s="16" t="e">
        <f>#REF!</f>
        <v>#REF!</v>
      </c>
      <c r="O94" s="16" t="e">
        <f>#REF!</f>
        <v>#REF!</v>
      </c>
      <c r="P94" s="16" t="e">
        <f>#REF!</f>
        <v>#REF!</v>
      </c>
      <c r="Q94" s="16" t="e">
        <f>#REF!</f>
        <v>#REF!</v>
      </c>
      <c r="R94" s="16" t="e">
        <f>#REF!</f>
        <v>#REF!</v>
      </c>
      <c r="S94" s="16" t="e">
        <f>#REF!</f>
        <v>#REF!</v>
      </c>
      <c r="T94" s="16" t="e">
        <f>#REF!</f>
        <v>#REF!</v>
      </c>
      <c r="U94" s="16" t="e">
        <f>#REF!</f>
        <v>#REF!</v>
      </c>
      <c r="V94" s="17" t="e">
        <f t="shared" si="6"/>
        <v>#REF!</v>
      </c>
      <c r="W94" s="18" t="e">
        <f t="shared" si="8"/>
        <v>#REF!</v>
      </c>
      <c r="X94" s="19">
        <f t="shared" si="7"/>
        <v>0</v>
      </c>
      <c r="Y94" s="22"/>
      <c r="Z94" s="23"/>
    </row>
    <row r="95" spans="1:26" s="1" customFormat="1" hidden="1">
      <c r="A95" s="53">
        <v>9</v>
      </c>
      <c r="B95" s="71" t="s">
        <v>81</v>
      </c>
      <c r="C95" s="16"/>
      <c r="D95" s="16" t="e">
        <f>#REF!</f>
        <v>#REF!</v>
      </c>
      <c r="E95" s="16" t="e">
        <f>#REF!</f>
        <v>#REF!</v>
      </c>
      <c r="F95" s="16" t="e">
        <f>#REF!</f>
        <v>#REF!</v>
      </c>
      <c r="G95" s="16" t="e">
        <f>#REF!</f>
        <v>#REF!</v>
      </c>
      <c r="H95" s="16" t="e">
        <f>#REF!</f>
        <v>#REF!</v>
      </c>
      <c r="I95" s="16" t="e">
        <f>#REF!</f>
        <v>#REF!</v>
      </c>
      <c r="J95" s="16" t="e">
        <f>#REF!</f>
        <v>#REF!</v>
      </c>
      <c r="K95" s="16" t="e">
        <f>#REF!</f>
        <v>#REF!</v>
      </c>
      <c r="L95" s="16" t="e">
        <f>#REF!</f>
        <v>#REF!</v>
      </c>
      <c r="M95" s="16" t="e">
        <f>#REF!</f>
        <v>#REF!</v>
      </c>
      <c r="N95" s="16" t="e">
        <f>#REF!</f>
        <v>#REF!</v>
      </c>
      <c r="O95" s="16" t="e">
        <f>#REF!</f>
        <v>#REF!</v>
      </c>
      <c r="P95" s="16" t="e">
        <f>#REF!</f>
        <v>#REF!</v>
      </c>
      <c r="Q95" s="16" t="e">
        <f>#REF!</f>
        <v>#REF!</v>
      </c>
      <c r="R95" s="16" t="e">
        <f>#REF!</f>
        <v>#REF!</v>
      </c>
      <c r="S95" s="16" t="e">
        <f>#REF!</f>
        <v>#REF!</v>
      </c>
      <c r="T95" s="16" t="e">
        <f>#REF!</f>
        <v>#REF!</v>
      </c>
      <c r="U95" s="16" t="e">
        <f>#REF!</f>
        <v>#REF!</v>
      </c>
      <c r="V95" s="17" t="e">
        <f t="shared" si="6"/>
        <v>#REF!</v>
      </c>
      <c r="W95" s="18" t="e">
        <f t="shared" si="8"/>
        <v>#REF!</v>
      </c>
      <c r="X95" s="19">
        <f t="shared" si="7"/>
        <v>0</v>
      </c>
      <c r="Y95" s="22"/>
      <c r="Z95" s="23"/>
    </row>
    <row r="96" spans="1:26" s="1" customFormat="1" ht="36.75" hidden="1" customHeight="1" thickBot="1">
      <c r="A96" s="53">
        <v>10</v>
      </c>
      <c r="B96" s="71" t="s">
        <v>82</v>
      </c>
      <c r="C96" s="16"/>
      <c r="D96" s="16" t="e">
        <f>#REF!</f>
        <v>#REF!</v>
      </c>
      <c r="E96" s="16" t="e">
        <f>#REF!</f>
        <v>#REF!</v>
      </c>
      <c r="F96" s="16" t="e">
        <f>#REF!</f>
        <v>#REF!</v>
      </c>
      <c r="G96" s="16" t="e">
        <f>#REF!</f>
        <v>#REF!</v>
      </c>
      <c r="H96" s="16" t="e">
        <f>#REF!</f>
        <v>#REF!</v>
      </c>
      <c r="I96" s="16" t="e">
        <f>#REF!</f>
        <v>#REF!</v>
      </c>
      <c r="J96" s="16" t="e">
        <f>#REF!</f>
        <v>#REF!</v>
      </c>
      <c r="K96" s="16" t="e">
        <f>#REF!</f>
        <v>#REF!</v>
      </c>
      <c r="L96" s="16" t="e">
        <f>#REF!</f>
        <v>#REF!</v>
      </c>
      <c r="M96" s="16" t="e">
        <f>#REF!</f>
        <v>#REF!</v>
      </c>
      <c r="N96" s="16" t="e">
        <f>#REF!</f>
        <v>#REF!</v>
      </c>
      <c r="O96" s="16" t="e">
        <f>#REF!</f>
        <v>#REF!</v>
      </c>
      <c r="P96" s="16" t="e">
        <f>#REF!</f>
        <v>#REF!</v>
      </c>
      <c r="Q96" s="16" t="e">
        <f>#REF!</f>
        <v>#REF!</v>
      </c>
      <c r="R96" s="16" t="e">
        <f>#REF!</f>
        <v>#REF!</v>
      </c>
      <c r="S96" s="16" t="e">
        <f>#REF!</f>
        <v>#REF!</v>
      </c>
      <c r="T96" s="16" t="e">
        <f>#REF!</f>
        <v>#REF!</v>
      </c>
      <c r="U96" s="16" t="e">
        <f>#REF!</f>
        <v>#REF!</v>
      </c>
      <c r="V96" s="17" t="e">
        <f t="shared" si="6"/>
        <v>#REF!</v>
      </c>
      <c r="W96" s="18" t="e">
        <f t="shared" si="8"/>
        <v>#REF!</v>
      </c>
      <c r="X96" s="19">
        <f t="shared" si="7"/>
        <v>0</v>
      </c>
      <c r="Y96" s="22"/>
      <c r="Z96" s="23"/>
    </row>
    <row r="97" spans="1:26" s="1" customFormat="1" hidden="1">
      <c r="A97" s="53">
        <v>11</v>
      </c>
      <c r="B97" s="71" t="s">
        <v>83</v>
      </c>
      <c r="C97" s="16"/>
      <c r="D97" s="16" t="e">
        <f>#REF!</f>
        <v>#REF!</v>
      </c>
      <c r="E97" s="16" t="e">
        <f>#REF!</f>
        <v>#REF!</v>
      </c>
      <c r="F97" s="16" t="e">
        <f>#REF!</f>
        <v>#REF!</v>
      </c>
      <c r="G97" s="16" t="e">
        <f>#REF!</f>
        <v>#REF!</v>
      </c>
      <c r="H97" s="16" t="e">
        <f>#REF!</f>
        <v>#REF!</v>
      </c>
      <c r="I97" s="16" t="e">
        <f>#REF!</f>
        <v>#REF!</v>
      </c>
      <c r="J97" s="16" t="e">
        <f>#REF!</f>
        <v>#REF!</v>
      </c>
      <c r="K97" s="16" t="e">
        <f>#REF!</f>
        <v>#REF!</v>
      </c>
      <c r="L97" s="16" t="e">
        <f>#REF!</f>
        <v>#REF!</v>
      </c>
      <c r="M97" s="16" t="e">
        <f>#REF!</f>
        <v>#REF!</v>
      </c>
      <c r="N97" s="16" t="e">
        <f>#REF!</f>
        <v>#REF!</v>
      </c>
      <c r="O97" s="16" t="e">
        <f>#REF!</f>
        <v>#REF!</v>
      </c>
      <c r="P97" s="16" t="e">
        <f>#REF!</f>
        <v>#REF!</v>
      </c>
      <c r="Q97" s="16" t="e">
        <f>#REF!</f>
        <v>#REF!</v>
      </c>
      <c r="R97" s="16" t="e">
        <f>#REF!</f>
        <v>#REF!</v>
      </c>
      <c r="S97" s="16" t="e">
        <f>#REF!</f>
        <v>#REF!</v>
      </c>
      <c r="T97" s="16" t="e">
        <f>#REF!</f>
        <v>#REF!</v>
      </c>
      <c r="U97" s="16" t="e">
        <f>#REF!</f>
        <v>#REF!</v>
      </c>
      <c r="V97" s="17" t="e">
        <f t="shared" si="6"/>
        <v>#REF!</v>
      </c>
      <c r="W97" s="18" t="e">
        <f t="shared" si="8"/>
        <v>#REF!</v>
      </c>
      <c r="X97" s="19">
        <f t="shared" si="7"/>
        <v>0</v>
      </c>
      <c r="Y97" s="22"/>
      <c r="Z97" s="23"/>
    </row>
    <row r="98" spans="1:26" s="1" customFormat="1" hidden="1">
      <c r="A98" s="53">
        <v>12</v>
      </c>
      <c r="B98" s="71" t="s">
        <v>84</v>
      </c>
      <c r="C98" s="16"/>
      <c r="D98" s="16" t="e">
        <f>#REF!</f>
        <v>#REF!</v>
      </c>
      <c r="E98" s="16" t="e">
        <f>#REF!</f>
        <v>#REF!</v>
      </c>
      <c r="F98" s="16" t="e">
        <f>#REF!</f>
        <v>#REF!</v>
      </c>
      <c r="G98" s="16" t="e">
        <f>#REF!</f>
        <v>#REF!</v>
      </c>
      <c r="H98" s="16" t="e">
        <f>#REF!</f>
        <v>#REF!</v>
      </c>
      <c r="I98" s="16" t="e">
        <f>#REF!</f>
        <v>#REF!</v>
      </c>
      <c r="J98" s="16" t="e">
        <f>#REF!</f>
        <v>#REF!</v>
      </c>
      <c r="K98" s="16" t="e">
        <f>#REF!</f>
        <v>#REF!</v>
      </c>
      <c r="L98" s="16" t="e">
        <f>#REF!</f>
        <v>#REF!</v>
      </c>
      <c r="M98" s="16" t="e">
        <f>#REF!</f>
        <v>#REF!</v>
      </c>
      <c r="N98" s="16" t="e">
        <f>#REF!</f>
        <v>#REF!</v>
      </c>
      <c r="O98" s="16" t="e">
        <f>#REF!</f>
        <v>#REF!</v>
      </c>
      <c r="P98" s="16" t="e">
        <f>#REF!</f>
        <v>#REF!</v>
      </c>
      <c r="Q98" s="16" t="e">
        <f>#REF!</f>
        <v>#REF!</v>
      </c>
      <c r="R98" s="16" t="e">
        <f>#REF!</f>
        <v>#REF!</v>
      </c>
      <c r="S98" s="16" t="e">
        <f>#REF!</f>
        <v>#REF!</v>
      </c>
      <c r="T98" s="16" t="e">
        <f>#REF!</f>
        <v>#REF!</v>
      </c>
      <c r="U98" s="16" t="e">
        <f>#REF!</f>
        <v>#REF!</v>
      </c>
      <c r="V98" s="17" t="e">
        <f t="shared" si="6"/>
        <v>#REF!</v>
      </c>
      <c r="W98" s="18" t="e">
        <f t="shared" si="8"/>
        <v>#REF!</v>
      </c>
      <c r="X98" s="19">
        <f t="shared" si="7"/>
        <v>0</v>
      </c>
      <c r="Y98" s="22"/>
      <c r="Z98" s="23"/>
    </row>
    <row r="99" spans="1:26" s="1" customFormat="1" ht="29.25" hidden="1" thickBot="1">
      <c r="A99" s="53">
        <v>13</v>
      </c>
      <c r="B99" s="63" t="s">
        <v>85</v>
      </c>
      <c r="C99" s="24"/>
      <c r="D99" s="24" t="e">
        <f>#REF!</f>
        <v>#REF!</v>
      </c>
      <c r="E99" s="24"/>
      <c r="F99" s="24"/>
      <c r="G99" s="24"/>
      <c r="H99" s="24"/>
      <c r="I99" s="24"/>
      <c r="J99" s="24"/>
      <c r="K99" s="24"/>
      <c r="L99" s="24"/>
      <c r="M99" s="24"/>
      <c r="N99" s="24"/>
      <c r="O99" s="24"/>
      <c r="P99" s="24"/>
      <c r="Q99" s="24"/>
      <c r="R99" s="24"/>
      <c r="S99" s="24"/>
      <c r="T99" s="24"/>
      <c r="U99" s="24"/>
      <c r="V99" s="17" t="e">
        <f t="shared" si="6"/>
        <v>#REF!</v>
      </c>
      <c r="W99" s="18" t="e">
        <f t="shared" si="8"/>
        <v>#REF!</v>
      </c>
      <c r="X99" s="19">
        <f t="shared" si="7"/>
        <v>0</v>
      </c>
      <c r="Y99" s="25"/>
      <c r="Z99" s="23"/>
    </row>
    <row r="100" spans="1:26" s="1" customFormat="1" ht="29.25" hidden="1" customHeight="1" thickBot="1">
      <c r="A100" s="53">
        <v>14</v>
      </c>
      <c r="B100" s="72" t="s">
        <v>86</v>
      </c>
      <c r="C100" s="26"/>
      <c r="D100" s="46" t="e">
        <f>#REF!</f>
        <v>#REF!</v>
      </c>
      <c r="E100" s="46" t="e">
        <f>#REF!</f>
        <v>#REF!</v>
      </c>
      <c r="F100" s="46" t="e">
        <f>#REF!</f>
        <v>#REF!</v>
      </c>
      <c r="G100" s="46" t="e">
        <f>#REF!</f>
        <v>#REF!</v>
      </c>
      <c r="H100" s="46" t="e">
        <f>#REF!</f>
        <v>#REF!</v>
      </c>
      <c r="I100" s="46" t="e">
        <f>#REF!</f>
        <v>#REF!</v>
      </c>
      <c r="J100" s="46" t="e">
        <f>#REF!</f>
        <v>#REF!</v>
      </c>
      <c r="K100" s="46" t="e">
        <f>#REF!</f>
        <v>#REF!</v>
      </c>
      <c r="L100" s="46" t="e">
        <f>#REF!</f>
        <v>#REF!</v>
      </c>
      <c r="M100" s="46" t="e">
        <f>#REF!</f>
        <v>#REF!</v>
      </c>
      <c r="N100" s="46" t="e">
        <f>#REF!</f>
        <v>#REF!</v>
      </c>
      <c r="O100" s="46" t="e">
        <f>#REF!</f>
        <v>#REF!</v>
      </c>
      <c r="P100" s="46" t="e">
        <f>#REF!</f>
        <v>#REF!</v>
      </c>
      <c r="Q100" s="46" t="e">
        <f>#REF!</f>
        <v>#REF!</v>
      </c>
      <c r="R100" s="46" t="e">
        <f>#REF!</f>
        <v>#REF!</v>
      </c>
      <c r="S100" s="46" t="e">
        <f>#REF!</f>
        <v>#REF!</v>
      </c>
      <c r="T100" s="46" t="e">
        <f>#REF!</f>
        <v>#REF!</v>
      </c>
      <c r="U100" s="46" t="e">
        <f>#REF!</f>
        <v>#REF!</v>
      </c>
      <c r="V100" s="17" t="e">
        <f t="shared" si="6"/>
        <v>#REF!</v>
      </c>
      <c r="W100" s="18" t="e">
        <f t="shared" si="8"/>
        <v>#REF!</v>
      </c>
      <c r="X100" s="19">
        <f t="shared" si="7"/>
        <v>0</v>
      </c>
      <c r="Y100" s="27"/>
      <c r="Z100" s="28"/>
    </row>
    <row r="101" spans="1:26" s="1" customFormat="1" hidden="1">
      <c r="A101" s="53">
        <v>15</v>
      </c>
      <c r="B101" s="63" t="s">
        <v>87</v>
      </c>
      <c r="C101" s="50"/>
      <c r="D101" s="49" t="e">
        <f>#REF!</f>
        <v>#REF!</v>
      </c>
      <c r="E101" s="49" t="e">
        <f>#REF!</f>
        <v>#REF!</v>
      </c>
      <c r="F101" s="49" t="e">
        <f>#REF!</f>
        <v>#REF!</v>
      </c>
      <c r="G101" s="49" t="e">
        <f>#REF!</f>
        <v>#REF!</v>
      </c>
      <c r="H101" s="49" t="e">
        <f>#REF!</f>
        <v>#REF!</v>
      </c>
      <c r="I101" s="49" t="e">
        <f>#REF!</f>
        <v>#REF!</v>
      </c>
      <c r="J101" s="49" t="e">
        <f>#REF!</f>
        <v>#REF!</v>
      </c>
      <c r="K101" s="49" t="e">
        <f>#REF!</f>
        <v>#REF!</v>
      </c>
      <c r="L101" s="49" t="e">
        <f>#REF!</f>
        <v>#REF!</v>
      </c>
      <c r="M101" s="49" t="e">
        <f>#REF!</f>
        <v>#REF!</v>
      </c>
      <c r="N101" s="49" t="e">
        <f>#REF!</f>
        <v>#REF!</v>
      </c>
      <c r="O101" s="49" t="e">
        <f>#REF!</f>
        <v>#REF!</v>
      </c>
      <c r="P101" s="49" t="e">
        <f>#REF!</f>
        <v>#REF!</v>
      </c>
      <c r="Q101" s="49" t="e">
        <f>#REF!</f>
        <v>#REF!</v>
      </c>
      <c r="R101" s="49" t="e">
        <f>#REF!</f>
        <v>#REF!</v>
      </c>
      <c r="S101" s="49" t="e">
        <f>#REF!</f>
        <v>#REF!</v>
      </c>
      <c r="T101" s="49" t="e">
        <f>#REF!</f>
        <v>#REF!</v>
      </c>
      <c r="U101" s="49" t="e">
        <f>#REF!</f>
        <v>#REF!</v>
      </c>
      <c r="V101" s="17" t="e">
        <f t="shared" si="6"/>
        <v>#REF!</v>
      </c>
      <c r="W101" s="18" t="e">
        <f t="shared" si="8"/>
        <v>#REF!</v>
      </c>
      <c r="X101" s="19">
        <f t="shared" si="7"/>
        <v>0</v>
      </c>
      <c r="Y101" s="30"/>
      <c r="Z101" s="23"/>
    </row>
    <row r="102" spans="1:26" s="1" customFormat="1" hidden="1">
      <c r="A102" s="53">
        <v>16</v>
      </c>
      <c r="B102" s="65" t="s">
        <v>88</v>
      </c>
      <c r="C102" s="26"/>
      <c r="D102" s="46" t="e">
        <f>#REF!</f>
        <v>#REF!</v>
      </c>
      <c r="E102" s="46" t="e">
        <f>#REF!</f>
        <v>#REF!</v>
      </c>
      <c r="F102" s="46" t="e">
        <f>#REF!</f>
        <v>#REF!</v>
      </c>
      <c r="G102" s="46" t="e">
        <f>#REF!</f>
        <v>#REF!</v>
      </c>
      <c r="H102" s="46" t="e">
        <f>#REF!</f>
        <v>#REF!</v>
      </c>
      <c r="I102" s="46" t="e">
        <f>#REF!</f>
        <v>#REF!</v>
      </c>
      <c r="J102" s="46" t="e">
        <f>#REF!</f>
        <v>#REF!</v>
      </c>
      <c r="K102" s="46" t="e">
        <f>#REF!</f>
        <v>#REF!</v>
      </c>
      <c r="L102" s="46" t="e">
        <f>#REF!</f>
        <v>#REF!</v>
      </c>
      <c r="M102" s="46" t="e">
        <f>#REF!</f>
        <v>#REF!</v>
      </c>
      <c r="N102" s="46" t="e">
        <f>#REF!</f>
        <v>#REF!</v>
      </c>
      <c r="O102" s="46" t="e">
        <f>#REF!</f>
        <v>#REF!</v>
      </c>
      <c r="P102" s="46" t="e">
        <f>#REF!</f>
        <v>#REF!</v>
      </c>
      <c r="Q102" s="46" t="e">
        <f>#REF!</f>
        <v>#REF!</v>
      </c>
      <c r="R102" s="46" t="e">
        <f>#REF!</f>
        <v>#REF!</v>
      </c>
      <c r="S102" s="46" t="e">
        <f>#REF!</f>
        <v>#REF!</v>
      </c>
      <c r="T102" s="46" t="e">
        <f>#REF!</f>
        <v>#REF!</v>
      </c>
      <c r="U102" s="46" t="e">
        <f>#REF!</f>
        <v>#REF!</v>
      </c>
      <c r="V102" s="17" t="e">
        <f t="shared" si="6"/>
        <v>#REF!</v>
      </c>
      <c r="W102" s="18" t="e">
        <f t="shared" si="8"/>
        <v>#REF!</v>
      </c>
      <c r="X102" s="19">
        <f t="shared" si="7"/>
        <v>0</v>
      </c>
      <c r="Y102" s="30"/>
      <c r="Z102" s="23"/>
    </row>
    <row r="103" spans="1:26" s="1" customFormat="1" hidden="1">
      <c r="A103" s="53">
        <v>17</v>
      </c>
      <c r="B103" s="66" t="s">
        <v>89</v>
      </c>
      <c r="C103" s="29"/>
      <c r="D103" s="47" t="e">
        <f>#REF!</f>
        <v>#REF!</v>
      </c>
      <c r="E103" s="47" t="e">
        <f>#REF!</f>
        <v>#REF!</v>
      </c>
      <c r="F103" s="47" t="e">
        <f>#REF!</f>
        <v>#REF!</v>
      </c>
      <c r="G103" s="47" t="e">
        <f>#REF!</f>
        <v>#REF!</v>
      </c>
      <c r="H103" s="47" t="e">
        <f>#REF!</f>
        <v>#REF!</v>
      </c>
      <c r="I103" s="47" t="e">
        <f>#REF!</f>
        <v>#REF!</v>
      </c>
      <c r="J103" s="47" t="e">
        <f>#REF!</f>
        <v>#REF!</v>
      </c>
      <c r="K103" s="47" t="e">
        <f>#REF!</f>
        <v>#REF!</v>
      </c>
      <c r="L103" s="47" t="e">
        <f>#REF!</f>
        <v>#REF!</v>
      </c>
      <c r="M103" s="47" t="e">
        <f>#REF!</f>
        <v>#REF!</v>
      </c>
      <c r="N103" s="47" t="e">
        <f>#REF!</f>
        <v>#REF!</v>
      </c>
      <c r="O103" s="47" t="e">
        <f>#REF!</f>
        <v>#REF!</v>
      </c>
      <c r="P103" s="47" t="e">
        <f>#REF!</f>
        <v>#REF!</v>
      </c>
      <c r="Q103" s="47" t="e">
        <f>#REF!</f>
        <v>#REF!</v>
      </c>
      <c r="R103" s="47" t="e">
        <f>#REF!</f>
        <v>#REF!</v>
      </c>
      <c r="S103" s="47" t="e">
        <f>#REF!</f>
        <v>#REF!</v>
      </c>
      <c r="T103" s="47" t="e">
        <f>#REF!</f>
        <v>#REF!</v>
      </c>
      <c r="U103" s="47" t="e">
        <f>#REF!</f>
        <v>#REF!</v>
      </c>
      <c r="V103" s="17" t="e">
        <f t="shared" si="6"/>
        <v>#REF!</v>
      </c>
      <c r="W103" s="18" t="e">
        <f t="shared" si="8"/>
        <v>#REF!</v>
      </c>
      <c r="X103" s="19">
        <f t="shared" si="7"/>
        <v>0</v>
      </c>
      <c r="Y103" s="30"/>
      <c r="Z103" s="23"/>
    </row>
    <row r="104" spans="1:26" s="1" customFormat="1" hidden="1">
      <c r="A104" s="53">
        <v>18</v>
      </c>
      <c r="B104" s="71" t="s">
        <v>90</v>
      </c>
      <c r="C104" s="29"/>
      <c r="D104" s="47" t="e">
        <f>#REF!</f>
        <v>#REF!</v>
      </c>
      <c r="E104" s="47" t="e">
        <f>#REF!</f>
        <v>#REF!</v>
      </c>
      <c r="F104" s="47" t="e">
        <f>#REF!</f>
        <v>#REF!</v>
      </c>
      <c r="G104" s="47" t="e">
        <f>#REF!</f>
        <v>#REF!</v>
      </c>
      <c r="H104" s="47" t="e">
        <f>#REF!</f>
        <v>#REF!</v>
      </c>
      <c r="I104" s="47" t="e">
        <f>#REF!</f>
        <v>#REF!</v>
      </c>
      <c r="J104" s="47" t="e">
        <f>#REF!</f>
        <v>#REF!</v>
      </c>
      <c r="K104" s="47" t="e">
        <f>#REF!</f>
        <v>#REF!</v>
      </c>
      <c r="L104" s="47" t="e">
        <f>#REF!</f>
        <v>#REF!</v>
      </c>
      <c r="M104" s="47" t="e">
        <f>#REF!</f>
        <v>#REF!</v>
      </c>
      <c r="N104" s="47" t="e">
        <f>#REF!</f>
        <v>#REF!</v>
      </c>
      <c r="O104" s="47" t="e">
        <f>#REF!</f>
        <v>#REF!</v>
      </c>
      <c r="P104" s="47" t="e">
        <f>#REF!</f>
        <v>#REF!</v>
      </c>
      <c r="Q104" s="47" t="e">
        <f>#REF!</f>
        <v>#REF!</v>
      </c>
      <c r="R104" s="47" t="e">
        <f>#REF!</f>
        <v>#REF!</v>
      </c>
      <c r="S104" s="47" t="e">
        <f>#REF!</f>
        <v>#REF!</v>
      </c>
      <c r="T104" s="47" t="e">
        <f>#REF!</f>
        <v>#REF!</v>
      </c>
      <c r="U104" s="47" t="e">
        <f>#REF!</f>
        <v>#REF!</v>
      </c>
      <c r="V104" s="17" t="e">
        <f t="shared" si="6"/>
        <v>#REF!</v>
      </c>
      <c r="W104" s="18" t="e">
        <f t="shared" si="8"/>
        <v>#REF!</v>
      </c>
      <c r="X104" s="19">
        <f t="shared" si="7"/>
        <v>0</v>
      </c>
      <c r="Y104" s="30"/>
      <c r="Z104" s="23"/>
    </row>
    <row r="105" spans="1:26" s="1" customFormat="1" hidden="1">
      <c r="A105" s="53">
        <v>19</v>
      </c>
      <c r="B105" s="67" t="s">
        <v>91</v>
      </c>
      <c r="C105" s="74"/>
      <c r="D105" s="47" t="e">
        <f>#REF!</f>
        <v>#REF!</v>
      </c>
      <c r="E105" s="47" t="e">
        <f>#REF!</f>
        <v>#REF!</v>
      </c>
      <c r="F105" s="47" t="e">
        <f>#REF!</f>
        <v>#REF!</v>
      </c>
      <c r="G105" s="47" t="e">
        <f>#REF!</f>
        <v>#REF!</v>
      </c>
      <c r="H105" s="47" t="e">
        <f>#REF!</f>
        <v>#REF!</v>
      </c>
      <c r="I105" s="47" t="e">
        <f>#REF!</f>
        <v>#REF!</v>
      </c>
      <c r="J105" s="47" t="e">
        <f>#REF!</f>
        <v>#REF!</v>
      </c>
      <c r="K105" s="47" t="e">
        <f>#REF!</f>
        <v>#REF!</v>
      </c>
      <c r="L105" s="47" t="e">
        <f>#REF!</f>
        <v>#REF!</v>
      </c>
      <c r="M105" s="47" t="e">
        <f>#REF!</f>
        <v>#REF!</v>
      </c>
      <c r="N105" s="47" t="e">
        <f>#REF!</f>
        <v>#REF!</v>
      </c>
      <c r="O105" s="47" t="e">
        <f>#REF!</f>
        <v>#REF!</v>
      </c>
      <c r="P105" s="47" t="e">
        <f>#REF!</f>
        <v>#REF!</v>
      </c>
      <c r="Q105" s="47" t="e">
        <f>#REF!</f>
        <v>#REF!</v>
      </c>
      <c r="R105" s="47" t="e">
        <f>#REF!</f>
        <v>#REF!</v>
      </c>
      <c r="S105" s="47" t="e">
        <f>#REF!</f>
        <v>#REF!</v>
      </c>
      <c r="T105" s="47" t="e">
        <f>#REF!</f>
        <v>#REF!</v>
      </c>
      <c r="U105" s="47" t="e">
        <f>#REF!</f>
        <v>#REF!</v>
      </c>
      <c r="V105" s="17" t="e">
        <f t="shared" si="6"/>
        <v>#REF!</v>
      </c>
      <c r="W105" s="18" t="e">
        <f t="shared" si="8"/>
        <v>#REF!</v>
      </c>
      <c r="X105" s="19">
        <f t="shared" si="7"/>
        <v>0</v>
      </c>
      <c r="Y105" s="30"/>
      <c r="Z105" s="23"/>
    </row>
    <row r="106" spans="1:26" s="1" customFormat="1" hidden="1">
      <c r="A106" s="53">
        <v>20</v>
      </c>
      <c r="B106" s="67" t="s">
        <v>92</v>
      </c>
      <c r="C106" s="29"/>
      <c r="D106" s="47" t="e">
        <f>#REF!</f>
        <v>#REF!</v>
      </c>
      <c r="E106" s="47" t="e">
        <f>#REF!</f>
        <v>#REF!</v>
      </c>
      <c r="F106" s="47" t="e">
        <f>#REF!</f>
        <v>#REF!</v>
      </c>
      <c r="G106" s="47" t="e">
        <f>#REF!</f>
        <v>#REF!</v>
      </c>
      <c r="H106" s="47" t="e">
        <f>#REF!</f>
        <v>#REF!</v>
      </c>
      <c r="I106" s="47" t="e">
        <f>#REF!</f>
        <v>#REF!</v>
      </c>
      <c r="J106" s="47" t="e">
        <f>#REF!</f>
        <v>#REF!</v>
      </c>
      <c r="K106" s="47" t="e">
        <f>#REF!</f>
        <v>#REF!</v>
      </c>
      <c r="L106" s="47" t="e">
        <f>#REF!</f>
        <v>#REF!</v>
      </c>
      <c r="M106" s="47" t="e">
        <f>#REF!</f>
        <v>#REF!</v>
      </c>
      <c r="N106" s="47" t="e">
        <f>#REF!</f>
        <v>#REF!</v>
      </c>
      <c r="O106" s="47" t="e">
        <f>#REF!</f>
        <v>#REF!</v>
      </c>
      <c r="P106" s="47" t="e">
        <f>#REF!</f>
        <v>#REF!</v>
      </c>
      <c r="Q106" s="47" t="e">
        <f>#REF!</f>
        <v>#REF!</v>
      </c>
      <c r="R106" s="47" t="e">
        <f>#REF!</f>
        <v>#REF!</v>
      </c>
      <c r="S106" s="47" t="e">
        <f>#REF!</f>
        <v>#REF!</v>
      </c>
      <c r="T106" s="47" t="e">
        <f>#REF!</f>
        <v>#REF!</v>
      </c>
      <c r="U106" s="47" t="e">
        <f>#REF!</f>
        <v>#REF!</v>
      </c>
      <c r="V106" s="17" t="e">
        <f t="shared" si="6"/>
        <v>#REF!</v>
      </c>
      <c r="W106" s="18" t="e">
        <f t="shared" si="8"/>
        <v>#REF!</v>
      </c>
      <c r="X106" s="19">
        <f t="shared" si="7"/>
        <v>0</v>
      </c>
      <c r="Y106" s="30"/>
      <c r="Z106" s="23"/>
    </row>
    <row r="107" spans="1:26" s="1" customFormat="1" hidden="1">
      <c r="A107" s="53">
        <v>21</v>
      </c>
      <c r="B107" s="67" t="s">
        <v>93</v>
      </c>
      <c r="C107" s="29"/>
      <c r="D107" s="47" t="e">
        <f>#REF!</f>
        <v>#REF!</v>
      </c>
      <c r="E107" s="47" t="e">
        <f>#REF!</f>
        <v>#REF!</v>
      </c>
      <c r="F107" s="47" t="e">
        <f>#REF!</f>
        <v>#REF!</v>
      </c>
      <c r="G107" s="47" t="e">
        <f>#REF!</f>
        <v>#REF!</v>
      </c>
      <c r="H107" s="47" t="e">
        <f>#REF!</f>
        <v>#REF!</v>
      </c>
      <c r="I107" s="47" t="e">
        <f>#REF!</f>
        <v>#REF!</v>
      </c>
      <c r="J107" s="47" t="e">
        <f>#REF!</f>
        <v>#REF!</v>
      </c>
      <c r="K107" s="47" t="e">
        <f>#REF!</f>
        <v>#REF!</v>
      </c>
      <c r="L107" s="47" t="e">
        <f>#REF!</f>
        <v>#REF!</v>
      </c>
      <c r="M107" s="47" t="e">
        <f>#REF!</f>
        <v>#REF!</v>
      </c>
      <c r="N107" s="47" t="e">
        <f>#REF!</f>
        <v>#REF!</v>
      </c>
      <c r="O107" s="47" t="e">
        <f>#REF!</f>
        <v>#REF!</v>
      </c>
      <c r="P107" s="47" t="e">
        <f>#REF!</f>
        <v>#REF!</v>
      </c>
      <c r="Q107" s="47" t="e">
        <f>#REF!</f>
        <v>#REF!</v>
      </c>
      <c r="R107" s="47" t="e">
        <f>#REF!</f>
        <v>#REF!</v>
      </c>
      <c r="S107" s="47" t="e">
        <f>#REF!</f>
        <v>#REF!</v>
      </c>
      <c r="T107" s="47" t="e">
        <f>#REF!</f>
        <v>#REF!</v>
      </c>
      <c r="U107" s="47" t="e">
        <f>#REF!</f>
        <v>#REF!</v>
      </c>
      <c r="V107" s="17" t="e">
        <f t="shared" si="6"/>
        <v>#REF!</v>
      </c>
      <c r="W107" s="18" t="e">
        <f t="shared" si="8"/>
        <v>#REF!</v>
      </c>
      <c r="X107" s="19">
        <f t="shared" si="7"/>
        <v>0</v>
      </c>
      <c r="Y107" s="30"/>
      <c r="Z107" s="23"/>
    </row>
    <row r="108" spans="1:26" s="1" customFormat="1" hidden="1">
      <c r="A108" s="53">
        <v>22</v>
      </c>
      <c r="B108" s="67" t="s">
        <v>94</v>
      </c>
      <c r="C108" s="29"/>
      <c r="D108" s="47" t="e">
        <f>#REF!</f>
        <v>#REF!</v>
      </c>
      <c r="E108" s="47" t="e">
        <f>#REF!</f>
        <v>#REF!</v>
      </c>
      <c r="F108" s="47" t="e">
        <f>#REF!</f>
        <v>#REF!</v>
      </c>
      <c r="G108" s="47" t="e">
        <f>#REF!</f>
        <v>#REF!</v>
      </c>
      <c r="H108" s="47" t="e">
        <f>#REF!</f>
        <v>#REF!</v>
      </c>
      <c r="I108" s="47" t="e">
        <f>#REF!</f>
        <v>#REF!</v>
      </c>
      <c r="J108" s="47" t="e">
        <f>#REF!</f>
        <v>#REF!</v>
      </c>
      <c r="K108" s="47" t="e">
        <f>#REF!</f>
        <v>#REF!</v>
      </c>
      <c r="L108" s="47" t="e">
        <f>#REF!</f>
        <v>#REF!</v>
      </c>
      <c r="M108" s="47" t="e">
        <f>#REF!</f>
        <v>#REF!</v>
      </c>
      <c r="N108" s="47" t="e">
        <f>#REF!</f>
        <v>#REF!</v>
      </c>
      <c r="O108" s="47" t="e">
        <f>#REF!</f>
        <v>#REF!</v>
      </c>
      <c r="P108" s="47" t="e">
        <f>#REF!</f>
        <v>#REF!</v>
      </c>
      <c r="Q108" s="47" t="e">
        <f>#REF!</f>
        <v>#REF!</v>
      </c>
      <c r="R108" s="47" t="e">
        <f>#REF!</f>
        <v>#REF!</v>
      </c>
      <c r="S108" s="47" t="e">
        <f>#REF!</f>
        <v>#REF!</v>
      </c>
      <c r="T108" s="47" t="e">
        <f>#REF!</f>
        <v>#REF!</v>
      </c>
      <c r="U108" s="47" t="e">
        <f>#REF!</f>
        <v>#REF!</v>
      </c>
      <c r="V108" s="17" t="e">
        <f t="shared" si="6"/>
        <v>#REF!</v>
      </c>
      <c r="W108" s="18" t="e">
        <f t="shared" si="8"/>
        <v>#REF!</v>
      </c>
      <c r="X108" s="19">
        <f t="shared" si="7"/>
        <v>0</v>
      </c>
      <c r="Y108" s="30"/>
      <c r="Z108" s="23"/>
    </row>
    <row r="109" spans="1:26" s="1" customFormat="1" ht="36.75" hidden="1" customHeight="1" thickBot="1">
      <c r="A109" s="75">
        <v>23</v>
      </c>
      <c r="B109" s="67" t="s">
        <v>95</v>
      </c>
      <c r="C109" s="29"/>
      <c r="D109" s="47" t="e">
        <f>AVERAGE(#REF!,#REF!,#REF!,#REF!,#REF!)/5</f>
        <v>#REF!</v>
      </c>
      <c r="E109" s="47" t="e">
        <f>AVERAGE(#REF!+#REF!+#REF!+#REF!+#REF!)/5</f>
        <v>#REF!</v>
      </c>
      <c r="F109" s="47" t="e">
        <f>AVERAGE(#REF!+#REF!+#REF!+#REF!+#REF!)/5</f>
        <v>#REF!</v>
      </c>
      <c r="G109" s="47" t="e">
        <f>AVERAGE(#REF!+#REF!+#REF!+#REF!+#REF!)</f>
        <v>#REF!</v>
      </c>
      <c r="H109" s="47" t="e">
        <f>AVERAGE(#REF!+#REF!+#REF!+#REF!+#REF!)</f>
        <v>#REF!</v>
      </c>
      <c r="I109" s="47" t="e">
        <f>AVERAGE(#REF!+#REF!+#REF!+#REF!+#REF!)</f>
        <v>#REF!</v>
      </c>
      <c r="J109" s="47" t="e">
        <f>AVERAGE(#REF!+#REF!+#REF!+#REF!+#REF!)</f>
        <v>#REF!</v>
      </c>
      <c r="K109" s="47" t="e">
        <f>AVERAGE(#REF!+#REF!+#REF!+#REF!+#REF!)</f>
        <v>#REF!</v>
      </c>
      <c r="L109" s="47" t="e">
        <f>AVERAGE(#REF!+#REF!+#REF!+#REF!+#REF!)</f>
        <v>#REF!</v>
      </c>
      <c r="M109" s="47" t="e">
        <f>AVERAGE(#REF!+#REF!+#REF!+#REF!+#REF!)</f>
        <v>#REF!</v>
      </c>
      <c r="N109" s="47" t="e">
        <f>AVERAGE(#REF!+#REF!+#REF!+#REF!+#REF!)</f>
        <v>#REF!</v>
      </c>
      <c r="O109" s="47" t="e">
        <f>AVERAGE(#REF!+#REF!+#REF!+#REF!+#REF!)</f>
        <v>#REF!</v>
      </c>
      <c r="P109" s="47" t="e">
        <f>AVERAGE(#REF!+#REF!+#REF!+#REF!+#REF!)</f>
        <v>#REF!</v>
      </c>
      <c r="Q109" s="47" t="e">
        <f>AVERAGE(#REF!+#REF!+#REF!+#REF!+#REF!)</f>
        <v>#REF!</v>
      </c>
      <c r="R109" s="47" t="e">
        <f>AVERAGE(#REF!+#REF!+#REF!+#REF!+#REF!)</f>
        <v>#REF!</v>
      </c>
      <c r="S109" s="47" t="e">
        <f>AVERAGE(#REF!+#REF!+#REF!+#REF!+#REF!)</f>
        <v>#REF!</v>
      </c>
      <c r="T109" s="47" t="e">
        <f>AVERAGE(#REF!+#REF!+#REF!+#REF!+#REF!)</f>
        <v>#REF!</v>
      </c>
      <c r="U109" s="47" t="e">
        <f>AVERAGE(#REF!+#REF!+#REF!+#REF!+#REF!)</f>
        <v>#REF!</v>
      </c>
      <c r="V109" s="17" t="e">
        <f t="shared" si="6"/>
        <v>#REF!</v>
      </c>
      <c r="W109" s="18" t="e">
        <f t="shared" si="8"/>
        <v>#REF!</v>
      </c>
      <c r="X109" s="19">
        <f t="shared" si="7"/>
        <v>0</v>
      </c>
      <c r="Y109" s="30"/>
      <c r="Z109" s="23"/>
    </row>
    <row r="110" spans="1:26" s="1" customFormat="1" hidden="1">
      <c r="A110" s="53">
        <v>24</v>
      </c>
      <c r="B110" s="66" t="s">
        <v>96</v>
      </c>
      <c r="C110" s="29"/>
      <c r="D110" s="47" t="e">
        <f>#REF!</f>
        <v>#REF!</v>
      </c>
      <c r="E110" s="47" t="e">
        <f>#REF!</f>
        <v>#REF!</v>
      </c>
      <c r="F110" s="47" t="e">
        <f>#REF!</f>
        <v>#REF!</v>
      </c>
      <c r="G110" s="47" t="e">
        <f>#REF!</f>
        <v>#REF!</v>
      </c>
      <c r="H110" s="47" t="e">
        <f>#REF!</f>
        <v>#REF!</v>
      </c>
      <c r="I110" s="47" t="e">
        <f>#REF!</f>
        <v>#REF!</v>
      </c>
      <c r="J110" s="47" t="e">
        <f>#REF!</f>
        <v>#REF!</v>
      </c>
      <c r="K110" s="47" t="e">
        <f>#REF!</f>
        <v>#REF!</v>
      </c>
      <c r="L110" s="47" t="e">
        <f>#REF!</f>
        <v>#REF!</v>
      </c>
      <c r="M110" s="47" t="e">
        <f>#REF!</f>
        <v>#REF!</v>
      </c>
      <c r="N110" s="47" t="e">
        <f>#REF!</f>
        <v>#REF!</v>
      </c>
      <c r="O110" s="47" t="e">
        <f>#REF!</f>
        <v>#REF!</v>
      </c>
      <c r="P110" s="47" t="e">
        <f>#REF!</f>
        <v>#REF!</v>
      </c>
      <c r="Q110" s="47" t="e">
        <f>#REF!</f>
        <v>#REF!</v>
      </c>
      <c r="R110" s="47" t="e">
        <f>#REF!</f>
        <v>#REF!</v>
      </c>
      <c r="S110" s="47" t="e">
        <f>#REF!</f>
        <v>#REF!</v>
      </c>
      <c r="T110" s="47" t="e">
        <f>#REF!</f>
        <v>#REF!</v>
      </c>
      <c r="U110" s="47" t="e">
        <f>#REF!</f>
        <v>#REF!</v>
      </c>
      <c r="V110" s="17" t="e">
        <f t="shared" si="6"/>
        <v>#REF!</v>
      </c>
      <c r="W110" s="18" t="e">
        <f t="shared" si="8"/>
        <v>#REF!</v>
      </c>
      <c r="X110" s="19">
        <f t="shared" si="7"/>
        <v>0</v>
      </c>
      <c r="Y110" s="30"/>
      <c r="Z110" s="23"/>
    </row>
    <row r="111" spans="1:26" s="1" customFormat="1" hidden="1">
      <c r="A111" s="53">
        <v>25</v>
      </c>
      <c r="B111" s="66" t="s">
        <v>97</v>
      </c>
      <c r="C111" s="29"/>
      <c r="D111" s="47" t="e">
        <f>#REF!</f>
        <v>#REF!</v>
      </c>
      <c r="E111" s="47" t="e">
        <f>#REF!</f>
        <v>#REF!</v>
      </c>
      <c r="F111" s="47" t="e">
        <f>#REF!</f>
        <v>#REF!</v>
      </c>
      <c r="G111" s="47" t="e">
        <f>#REF!</f>
        <v>#REF!</v>
      </c>
      <c r="H111" s="47" t="e">
        <f>#REF!</f>
        <v>#REF!</v>
      </c>
      <c r="I111" s="47" t="e">
        <f>#REF!</f>
        <v>#REF!</v>
      </c>
      <c r="J111" s="47" t="e">
        <f>#REF!</f>
        <v>#REF!</v>
      </c>
      <c r="K111" s="47" t="e">
        <f>#REF!</f>
        <v>#REF!</v>
      </c>
      <c r="L111" s="47" t="e">
        <f>#REF!</f>
        <v>#REF!</v>
      </c>
      <c r="M111" s="47" t="e">
        <f>#REF!</f>
        <v>#REF!</v>
      </c>
      <c r="N111" s="47" t="e">
        <f>#REF!</f>
        <v>#REF!</v>
      </c>
      <c r="O111" s="47" t="e">
        <f>#REF!</f>
        <v>#REF!</v>
      </c>
      <c r="P111" s="47" t="e">
        <f>#REF!</f>
        <v>#REF!</v>
      </c>
      <c r="Q111" s="47" t="e">
        <f>#REF!</f>
        <v>#REF!</v>
      </c>
      <c r="R111" s="47" t="e">
        <f>#REF!</f>
        <v>#REF!</v>
      </c>
      <c r="S111" s="47" t="e">
        <f>#REF!</f>
        <v>#REF!</v>
      </c>
      <c r="T111" s="47" t="e">
        <f>#REF!</f>
        <v>#REF!</v>
      </c>
      <c r="U111" s="47" t="e">
        <f>#REF!</f>
        <v>#REF!</v>
      </c>
      <c r="V111" s="17" t="e">
        <f t="shared" si="6"/>
        <v>#REF!</v>
      </c>
      <c r="W111" s="18" t="e">
        <f t="shared" si="8"/>
        <v>#REF!</v>
      </c>
      <c r="X111" s="19">
        <f t="shared" si="7"/>
        <v>0</v>
      </c>
      <c r="Y111" s="30"/>
      <c r="Z111" s="23"/>
    </row>
    <row r="112" spans="1:26" s="1" customFormat="1" hidden="1">
      <c r="A112" s="53">
        <v>26</v>
      </c>
      <c r="B112" s="66" t="s">
        <v>98</v>
      </c>
      <c r="C112" s="29"/>
      <c r="D112" s="47" t="e">
        <f>#REF!</f>
        <v>#REF!</v>
      </c>
      <c r="E112" s="47" t="e">
        <f>#REF!</f>
        <v>#REF!</v>
      </c>
      <c r="F112" s="47" t="e">
        <f>#REF!</f>
        <v>#REF!</v>
      </c>
      <c r="G112" s="47" t="e">
        <f>#REF!</f>
        <v>#REF!</v>
      </c>
      <c r="H112" s="47" t="e">
        <f>#REF!</f>
        <v>#REF!</v>
      </c>
      <c r="I112" s="47" t="e">
        <f>#REF!</f>
        <v>#REF!</v>
      </c>
      <c r="J112" s="47" t="e">
        <f>#REF!</f>
        <v>#REF!</v>
      </c>
      <c r="K112" s="47" t="e">
        <f>#REF!</f>
        <v>#REF!</v>
      </c>
      <c r="L112" s="47" t="e">
        <f>#REF!</f>
        <v>#REF!</v>
      </c>
      <c r="M112" s="47" t="e">
        <f>#REF!</f>
        <v>#REF!</v>
      </c>
      <c r="N112" s="47" t="e">
        <f>#REF!</f>
        <v>#REF!</v>
      </c>
      <c r="O112" s="47" t="e">
        <f>#REF!</f>
        <v>#REF!</v>
      </c>
      <c r="P112" s="47" t="e">
        <f>#REF!</f>
        <v>#REF!</v>
      </c>
      <c r="Q112" s="47" t="e">
        <f>#REF!</f>
        <v>#REF!</v>
      </c>
      <c r="R112" s="47" t="e">
        <f>#REF!</f>
        <v>#REF!</v>
      </c>
      <c r="S112" s="47" t="e">
        <f>#REF!</f>
        <v>#REF!</v>
      </c>
      <c r="T112" s="47" t="e">
        <f>#REF!</f>
        <v>#REF!</v>
      </c>
      <c r="U112" s="47" t="e">
        <f>#REF!</f>
        <v>#REF!</v>
      </c>
      <c r="V112" s="17" t="e">
        <f t="shared" si="6"/>
        <v>#REF!</v>
      </c>
      <c r="W112" s="18" t="e">
        <f t="shared" si="8"/>
        <v>#REF!</v>
      </c>
      <c r="X112" s="19">
        <f t="shared" si="7"/>
        <v>0</v>
      </c>
      <c r="Y112" s="30"/>
      <c r="Z112" s="23"/>
    </row>
    <row r="113" spans="1:26" s="1" customFormat="1" ht="29.25" hidden="1" thickBot="1">
      <c r="A113" s="75">
        <v>27</v>
      </c>
      <c r="B113" s="68" t="s">
        <v>99</v>
      </c>
      <c r="C113" s="31"/>
      <c r="D113" s="48" t="e">
        <f>AVERAGE(#REF!+#REF!)</f>
        <v>#REF!</v>
      </c>
      <c r="E113" s="48" t="e">
        <f>AVERAGE(#REF!+#REF!)</f>
        <v>#REF!</v>
      </c>
      <c r="F113" s="48" t="e">
        <f>AVERAGE(#REF!+#REF!)</f>
        <v>#REF!</v>
      </c>
      <c r="G113" s="48" t="e">
        <f>AVERAGE(#REF!+#REF!)</f>
        <v>#REF!</v>
      </c>
      <c r="H113" s="48" t="e">
        <f>AVERAGE(#REF!+#REF!)</f>
        <v>#REF!</v>
      </c>
      <c r="I113" s="48" t="e">
        <f>AVERAGE(#REF!+#REF!)</f>
        <v>#REF!</v>
      </c>
      <c r="J113" s="48" t="e">
        <f>AVERAGE(#REF!+#REF!)</f>
        <v>#REF!</v>
      </c>
      <c r="K113" s="48" t="e">
        <f>AVERAGE(#REF!+#REF!)</f>
        <v>#REF!</v>
      </c>
      <c r="L113" s="48" t="e">
        <f>AVERAGE(#REF!+#REF!)</f>
        <v>#REF!</v>
      </c>
      <c r="M113" s="48" t="e">
        <f>AVERAGE(#REF!+#REF!)</f>
        <v>#REF!</v>
      </c>
      <c r="N113" s="48" t="e">
        <f>AVERAGE(#REF!+#REF!)</f>
        <v>#REF!</v>
      </c>
      <c r="O113" s="48" t="e">
        <f>AVERAGE(#REF!+#REF!)</f>
        <v>#REF!</v>
      </c>
      <c r="P113" s="48" t="e">
        <f>AVERAGE(#REF!+#REF!)</f>
        <v>#REF!</v>
      </c>
      <c r="Q113" s="48" t="e">
        <f>AVERAGE(#REF!+#REF!)</f>
        <v>#REF!</v>
      </c>
      <c r="R113" s="48" t="e">
        <f>AVERAGE(#REF!+#REF!)</f>
        <v>#REF!</v>
      </c>
      <c r="S113" s="48" t="e">
        <f>AVERAGE(#REF!+#REF!)</f>
        <v>#REF!</v>
      </c>
      <c r="T113" s="48" t="e">
        <f>AVERAGE(#REF!+#REF!)</f>
        <v>#REF!</v>
      </c>
      <c r="U113" s="48" t="e">
        <f>AVERAGE(#REF!+#REF!)</f>
        <v>#REF!</v>
      </c>
      <c r="V113" s="17" t="e">
        <f t="shared" si="6"/>
        <v>#REF!</v>
      </c>
      <c r="W113" s="18" t="e">
        <f t="shared" si="8"/>
        <v>#REF!</v>
      </c>
      <c r="X113" s="19">
        <f t="shared" si="7"/>
        <v>0</v>
      </c>
      <c r="Y113" s="32"/>
      <c r="Z113" s="33"/>
    </row>
    <row r="114" spans="1:26" s="1" customFormat="1" ht="29.25" hidden="1" customHeight="1" thickBot="1">
      <c r="A114" s="53">
        <v>28</v>
      </c>
      <c r="B114" s="64" t="s">
        <v>100</v>
      </c>
      <c r="C114" s="34"/>
      <c r="D114" s="47" t="e">
        <f>#REF!</f>
        <v>#REF!</v>
      </c>
      <c r="E114" s="47" t="e">
        <f>#REF!</f>
        <v>#REF!</v>
      </c>
      <c r="F114" s="47" t="e">
        <f>#REF!</f>
        <v>#REF!</v>
      </c>
      <c r="G114" s="47" t="e">
        <f>#REF!</f>
        <v>#REF!</v>
      </c>
      <c r="H114" s="47" t="e">
        <f>#REF!</f>
        <v>#REF!</v>
      </c>
      <c r="I114" s="47" t="e">
        <f>#REF!</f>
        <v>#REF!</v>
      </c>
      <c r="J114" s="47" t="e">
        <f>#REF!</f>
        <v>#REF!</v>
      </c>
      <c r="K114" s="47" t="e">
        <f>#REF!</f>
        <v>#REF!</v>
      </c>
      <c r="L114" s="47" t="e">
        <f>#REF!</f>
        <v>#REF!</v>
      </c>
      <c r="M114" s="47" t="e">
        <f>#REF!</f>
        <v>#REF!</v>
      </c>
      <c r="N114" s="47" t="e">
        <f>#REF!</f>
        <v>#REF!</v>
      </c>
      <c r="O114" s="47" t="e">
        <f>#REF!</f>
        <v>#REF!</v>
      </c>
      <c r="P114" s="47" t="e">
        <f>#REF!</f>
        <v>#REF!</v>
      </c>
      <c r="Q114" s="47" t="e">
        <f>#REF!</f>
        <v>#REF!</v>
      </c>
      <c r="R114" s="47" t="e">
        <f>#REF!</f>
        <v>#REF!</v>
      </c>
      <c r="S114" s="47" t="e">
        <f>#REF!</f>
        <v>#REF!</v>
      </c>
      <c r="T114" s="47" t="e">
        <f>#REF!</f>
        <v>#REF!</v>
      </c>
      <c r="U114" s="47" t="e">
        <f>#REF!</f>
        <v>#REF!</v>
      </c>
      <c r="V114" s="17" t="e">
        <f t="shared" si="6"/>
        <v>#REF!</v>
      </c>
      <c r="W114" s="18" t="e">
        <f t="shared" si="8"/>
        <v>#REF!</v>
      </c>
      <c r="X114" s="19">
        <f t="shared" si="7"/>
        <v>0</v>
      </c>
      <c r="Y114" s="27"/>
      <c r="Z114" s="28"/>
    </row>
    <row r="115" spans="1:26" s="1" customFormat="1" hidden="1">
      <c r="A115" s="53">
        <v>29</v>
      </c>
      <c r="B115" s="66" t="s">
        <v>101</v>
      </c>
      <c r="C115" s="34"/>
      <c r="D115" s="47" t="e">
        <f>#REF!</f>
        <v>#REF!</v>
      </c>
      <c r="E115" s="47" t="e">
        <f>#REF!</f>
        <v>#REF!</v>
      </c>
      <c r="F115" s="47" t="e">
        <f>#REF!</f>
        <v>#REF!</v>
      </c>
      <c r="G115" s="47" t="e">
        <f>#REF!</f>
        <v>#REF!</v>
      </c>
      <c r="H115" s="47" t="e">
        <f>#REF!</f>
        <v>#REF!</v>
      </c>
      <c r="I115" s="47" t="e">
        <f>#REF!</f>
        <v>#REF!</v>
      </c>
      <c r="J115" s="47" t="e">
        <f>#REF!</f>
        <v>#REF!</v>
      </c>
      <c r="K115" s="47" t="e">
        <f>#REF!</f>
        <v>#REF!</v>
      </c>
      <c r="L115" s="47" t="e">
        <f>#REF!</f>
        <v>#REF!</v>
      </c>
      <c r="M115" s="47" t="e">
        <f>#REF!</f>
        <v>#REF!</v>
      </c>
      <c r="N115" s="47" t="e">
        <f>#REF!</f>
        <v>#REF!</v>
      </c>
      <c r="O115" s="47" t="e">
        <f>#REF!</f>
        <v>#REF!</v>
      </c>
      <c r="P115" s="47" t="e">
        <f>#REF!</f>
        <v>#REF!</v>
      </c>
      <c r="Q115" s="47" t="e">
        <f>#REF!</f>
        <v>#REF!</v>
      </c>
      <c r="R115" s="47" t="e">
        <f>#REF!</f>
        <v>#REF!</v>
      </c>
      <c r="S115" s="47" t="e">
        <f>#REF!</f>
        <v>#REF!</v>
      </c>
      <c r="T115" s="47" t="e">
        <f>#REF!</f>
        <v>#REF!</v>
      </c>
      <c r="U115" s="47" t="e">
        <f>#REF!</f>
        <v>#REF!</v>
      </c>
      <c r="V115" s="17" t="e">
        <f t="shared" si="6"/>
        <v>#REF!</v>
      </c>
      <c r="W115" s="18" t="e">
        <f t="shared" si="8"/>
        <v>#REF!</v>
      </c>
      <c r="X115" s="19">
        <f t="shared" si="7"/>
        <v>0</v>
      </c>
      <c r="Y115" s="30"/>
      <c r="Z115" s="23"/>
    </row>
    <row r="116" spans="1:26" s="1" customFormat="1" ht="29.25" hidden="1" thickBot="1">
      <c r="A116" s="53">
        <v>30</v>
      </c>
      <c r="B116" s="68" t="s">
        <v>102</v>
      </c>
      <c r="C116" s="51"/>
      <c r="D116" s="48" t="e">
        <f>#REF!</f>
        <v>#REF!</v>
      </c>
      <c r="E116" s="48" t="e">
        <f>#REF!</f>
        <v>#REF!</v>
      </c>
      <c r="F116" s="48" t="e">
        <f>#REF!</f>
        <v>#REF!</v>
      </c>
      <c r="G116" s="48" t="e">
        <f>#REF!</f>
        <v>#REF!</v>
      </c>
      <c r="H116" s="48" t="e">
        <f>#REF!</f>
        <v>#REF!</v>
      </c>
      <c r="I116" s="48" t="e">
        <f>#REF!</f>
        <v>#REF!</v>
      </c>
      <c r="J116" s="48" t="e">
        <f>#REF!</f>
        <v>#REF!</v>
      </c>
      <c r="K116" s="48" t="e">
        <f>#REF!</f>
        <v>#REF!</v>
      </c>
      <c r="L116" s="48" t="e">
        <f>#REF!</f>
        <v>#REF!</v>
      </c>
      <c r="M116" s="48" t="e">
        <f>#REF!</f>
        <v>#REF!</v>
      </c>
      <c r="N116" s="48" t="e">
        <f>#REF!</f>
        <v>#REF!</v>
      </c>
      <c r="O116" s="48" t="e">
        <f>#REF!</f>
        <v>#REF!</v>
      </c>
      <c r="P116" s="48" t="e">
        <f>#REF!</f>
        <v>#REF!</v>
      </c>
      <c r="Q116" s="48" t="e">
        <f>#REF!</f>
        <v>#REF!</v>
      </c>
      <c r="R116" s="48" t="e">
        <f>#REF!</f>
        <v>#REF!</v>
      </c>
      <c r="S116" s="48" t="e">
        <f>#REF!</f>
        <v>#REF!</v>
      </c>
      <c r="T116" s="48" t="e">
        <f>#REF!</f>
        <v>#REF!</v>
      </c>
      <c r="U116" s="48" t="e">
        <f>#REF!</f>
        <v>#REF!</v>
      </c>
      <c r="V116" s="17" t="e">
        <f t="shared" si="6"/>
        <v>#REF!</v>
      </c>
      <c r="W116" s="18" t="e">
        <f t="shared" si="8"/>
        <v>#REF!</v>
      </c>
      <c r="X116" s="19">
        <f t="shared" si="7"/>
        <v>0</v>
      </c>
      <c r="Y116" s="30"/>
      <c r="Z116" s="23"/>
    </row>
    <row r="117" spans="1:26" s="1" customFormat="1" hidden="1">
      <c r="A117" s="53">
        <v>31</v>
      </c>
      <c r="B117" s="69" t="s">
        <v>103</v>
      </c>
      <c r="C117" s="34"/>
      <c r="D117" s="47" t="e">
        <f>#REF!</f>
        <v>#REF!</v>
      </c>
      <c r="E117" s="47" t="e">
        <f>#REF!</f>
        <v>#REF!</v>
      </c>
      <c r="F117" s="47" t="e">
        <f>#REF!</f>
        <v>#REF!</v>
      </c>
      <c r="G117" s="47" t="e">
        <f>#REF!</f>
        <v>#REF!</v>
      </c>
      <c r="H117" s="47" t="e">
        <f>#REF!</f>
        <v>#REF!</v>
      </c>
      <c r="I117" s="47" t="e">
        <f>#REF!</f>
        <v>#REF!</v>
      </c>
      <c r="J117" s="47" t="e">
        <f>#REF!</f>
        <v>#REF!</v>
      </c>
      <c r="K117" s="47" t="e">
        <f>#REF!</f>
        <v>#REF!</v>
      </c>
      <c r="L117" s="47" t="e">
        <f>#REF!</f>
        <v>#REF!</v>
      </c>
      <c r="M117" s="47" t="e">
        <f>#REF!</f>
        <v>#REF!</v>
      </c>
      <c r="N117" s="47" t="e">
        <f>#REF!</f>
        <v>#REF!</v>
      </c>
      <c r="O117" s="47" t="e">
        <f>#REF!</f>
        <v>#REF!</v>
      </c>
      <c r="P117" s="47" t="e">
        <f>#REF!</f>
        <v>#REF!</v>
      </c>
      <c r="Q117" s="47" t="e">
        <f>#REF!</f>
        <v>#REF!</v>
      </c>
      <c r="R117" s="47" t="e">
        <f>#REF!</f>
        <v>#REF!</v>
      </c>
      <c r="S117" s="47" t="e">
        <f>#REF!</f>
        <v>#REF!</v>
      </c>
      <c r="T117" s="47" t="e">
        <f>#REF!</f>
        <v>#REF!</v>
      </c>
      <c r="U117" s="47" t="e">
        <f>#REF!</f>
        <v>#REF!</v>
      </c>
      <c r="V117" s="17" t="e">
        <f t="shared" si="6"/>
        <v>#REF!</v>
      </c>
      <c r="W117" s="18" t="e">
        <f t="shared" si="8"/>
        <v>#REF!</v>
      </c>
      <c r="X117" s="19">
        <f t="shared" si="7"/>
        <v>0</v>
      </c>
      <c r="Y117" s="30"/>
      <c r="Z117" s="23"/>
    </row>
    <row r="118" spans="1:26" s="1" customFormat="1" hidden="1">
      <c r="A118" s="53">
        <v>32</v>
      </c>
      <c r="B118" s="70" t="s">
        <v>104</v>
      </c>
      <c r="C118" s="34"/>
      <c r="D118" s="47" t="e">
        <f>#REF!</f>
        <v>#REF!</v>
      </c>
      <c r="E118" s="47" t="e">
        <f>#REF!</f>
        <v>#REF!</v>
      </c>
      <c r="F118" s="47" t="e">
        <f>#REF!</f>
        <v>#REF!</v>
      </c>
      <c r="G118" s="47" t="e">
        <f>#REF!</f>
        <v>#REF!</v>
      </c>
      <c r="H118" s="47" t="e">
        <f>#REF!</f>
        <v>#REF!</v>
      </c>
      <c r="I118" s="47" t="e">
        <f>#REF!</f>
        <v>#REF!</v>
      </c>
      <c r="J118" s="47" t="e">
        <f>#REF!</f>
        <v>#REF!</v>
      </c>
      <c r="K118" s="47" t="e">
        <f>#REF!</f>
        <v>#REF!</v>
      </c>
      <c r="L118" s="47" t="e">
        <f>#REF!</f>
        <v>#REF!</v>
      </c>
      <c r="M118" s="47" t="e">
        <f>#REF!</f>
        <v>#REF!</v>
      </c>
      <c r="N118" s="47" t="e">
        <f>#REF!</f>
        <v>#REF!</v>
      </c>
      <c r="O118" s="47" t="e">
        <f>#REF!</f>
        <v>#REF!</v>
      </c>
      <c r="P118" s="47" t="e">
        <f>#REF!</f>
        <v>#REF!</v>
      </c>
      <c r="Q118" s="47" t="e">
        <f>#REF!</f>
        <v>#REF!</v>
      </c>
      <c r="R118" s="47" t="e">
        <f>#REF!</f>
        <v>#REF!</v>
      </c>
      <c r="S118" s="47" t="e">
        <f>#REF!</f>
        <v>#REF!</v>
      </c>
      <c r="T118" s="47" t="e">
        <f>#REF!</f>
        <v>#REF!</v>
      </c>
      <c r="U118" s="47" t="e">
        <f>#REF!</f>
        <v>#REF!</v>
      </c>
      <c r="V118" s="17" t="e">
        <f t="shared" si="6"/>
        <v>#REF!</v>
      </c>
      <c r="W118" s="18" t="e">
        <f t="shared" si="8"/>
        <v>#REF!</v>
      </c>
      <c r="X118" s="19">
        <f t="shared" si="7"/>
        <v>0</v>
      </c>
      <c r="Y118" s="30"/>
      <c r="Z118" s="35"/>
    </row>
    <row r="119" spans="1:26" s="1" customFormat="1" hidden="1">
      <c r="A119" s="53">
        <v>33</v>
      </c>
      <c r="B119" s="66" t="s">
        <v>105</v>
      </c>
      <c r="C119" s="34"/>
      <c r="D119" s="47" t="e">
        <f>#REF!</f>
        <v>#REF!</v>
      </c>
      <c r="E119" s="47" t="e">
        <f>#REF!</f>
        <v>#REF!</v>
      </c>
      <c r="F119" s="47" t="e">
        <f>#REF!</f>
        <v>#REF!</v>
      </c>
      <c r="G119" s="47" t="e">
        <f>#REF!</f>
        <v>#REF!</v>
      </c>
      <c r="H119" s="47" t="e">
        <f>#REF!</f>
        <v>#REF!</v>
      </c>
      <c r="I119" s="47" t="e">
        <f>#REF!</f>
        <v>#REF!</v>
      </c>
      <c r="J119" s="47" t="e">
        <f>#REF!</f>
        <v>#REF!</v>
      </c>
      <c r="K119" s="47" t="e">
        <f>#REF!</f>
        <v>#REF!</v>
      </c>
      <c r="L119" s="47" t="e">
        <f>#REF!</f>
        <v>#REF!</v>
      </c>
      <c r="M119" s="47" t="e">
        <f>#REF!</f>
        <v>#REF!</v>
      </c>
      <c r="N119" s="47" t="e">
        <f>#REF!</f>
        <v>#REF!</v>
      </c>
      <c r="O119" s="47" t="e">
        <f>#REF!</f>
        <v>#REF!</v>
      </c>
      <c r="P119" s="47" t="e">
        <f>#REF!</f>
        <v>#REF!</v>
      </c>
      <c r="Q119" s="47" t="e">
        <f>#REF!</f>
        <v>#REF!</v>
      </c>
      <c r="R119" s="47" t="e">
        <f>#REF!</f>
        <v>#REF!</v>
      </c>
      <c r="S119" s="47" t="e">
        <f>#REF!</f>
        <v>#REF!</v>
      </c>
      <c r="T119" s="47" t="e">
        <f>#REF!</f>
        <v>#REF!</v>
      </c>
      <c r="U119" s="47" t="e">
        <f>#REF!</f>
        <v>#REF!</v>
      </c>
      <c r="V119" s="17" t="e">
        <f t="shared" si="6"/>
        <v>#REF!</v>
      </c>
      <c r="W119" s="18" t="e">
        <f t="shared" si="8"/>
        <v>#REF!</v>
      </c>
      <c r="X119" s="19">
        <f t="shared" si="7"/>
        <v>0</v>
      </c>
      <c r="Y119" s="30"/>
      <c r="Z119" s="35"/>
    </row>
    <row r="120" spans="1:26" s="1" customFormat="1" hidden="1">
      <c r="A120" s="53">
        <v>34</v>
      </c>
      <c r="B120" s="70" t="s">
        <v>106</v>
      </c>
      <c r="C120" s="34"/>
      <c r="D120" s="47" t="e">
        <f>#REF!</f>
        <v>#REF!</v>
      </c>
      <c r="E120" s="47" t="e">
        <f>#REF!</f>
        <v>#REF!</v>
      </c>
      <c r="F120" s="47" t="e">
        <f>#REF!</f>
        <v>#REF!</v>
      </c>
      <c r="G120" s="47" t="e">
        <f>#REF!</f>
        <v>#REF!</v>
      </c>
      <c r="H120" s="47" t="e">
        <f>#REF!</f>
        <v>#REF!</v>
      </c>
      <c r="I120" s="47" t="e">
        <f>#REF!</f>
        <v>#REF!</v>
      </c>
      <c r="J120" s="47" t="e">
        <f>#REF!</f>
        <v>#REF!</v>
      </c>
      <c r="K120" s="47" t="e">
        <f>#REF!</f>
        <v>#REF!</v>
      </c>
      <c r="L120" s="47" t="e">
        <f>#REF!</f>
        <v>#REF!</v>
      </c>
      <c r="M120" s="47" t="e">
        <f>#REF!</f>
        <v>#REF!</v>
      </c>
      <c r="N120" s="47" t="e">
        <f>#REF!</f>
        <v>#REF!</v>
      </c>
      <c r="O120" s="47" t="e">
        <f>#REF!</f>
        <v>#REF!</v>
      </c>
      <c r="P120" s="47" t="e">
        <f>#REF!</f>
        <v>#REF!</v>
      </c>
      <c r="Q120" s="47" t="e">
        <f>#REF!</f>
        <v>#REF!</v>
      </c>
      <c r="R120" s="47" t="e">
        <f>#REF!</f>
        <v>#REF!</v>
      </c>
      <c r="S120" s="47" t="e">
        <f>#REF!</f>
        <v>#REF!</v>
      </c>
      <c r="T120" s="47" t="e">
        <f>#REF!</f>
        <v>#REF!</v>
      </c>
      <c r="U120" s="47" t="e">
        <f>#REF!</f>
        <v>#REF!</v>
      </c>
      <c r="V120" s="17" t="e">
        <f t="shared" si="6"/>
        <v>#REF!</v>
      </c>
      <c r="W120" s="18" t="e">
        <f t="shared" si="8"/>
        <v>#REF!</v>
      </c>
      <c r="X120" s="19">
        <f t="shared" si="7"/>
        <v>0</v>
      </c>
      <c r="Y120" s="30"/>
      <c r="Z120" s="35"/>
    </row>
    <row r="121" spans="1:26" s="1" customFormat="1" hidden="1">
      <c r="A121" s="75">
        <v>35</v>
      </c>
      <c r="B121" s="71" t="s">
        <v>107</v>
      </c>
      <c r="C121" s="34"/>
      <c r="D121" s="47" t="e">
        <f>#REF!</f>
        <v>#REF!</v>
      </c>
      <c r="E121" s="47" t="e">
        <f>#REF!</f>
        <v>#REF!</v>
      </c>
      <c r="F121" s="47" t="e">
        <f>#REF!</f>
        <v>#REF!</v>
      </c>
      <c r="G121" s="47" t="e">
        <f>#REF!</f>
        <v>#REF!</v>
      </c>
      <c r="H121" s="76" t="e">
        <f>#REF!</f>
        <v>#REF!</v>
      </c>
      <c r="I121" s="47" t="e">
        <f>#REF!</f>
        <v>#REF!</v>
      </c>
      <c r="J121" s="47" t="e">
        <f>#REF!</f>
        <v>#REF!</v>
      </c>
      <c r="K121" s="47" t="e">
        <f>#REF!</f>
        <v>#REF!</v>
      </c>
      <c r="L121" s="47" t="e">
        <f>#REF!</f>
        <v>#REF!</v>
      </c>
      <c r="M121" s="47" t="e">
        <f>#REF!</f>
        <v>#REF!</v>
      </c>
      <c r="N121" s="47" t="e">
        <f>#REF!</f>
        <v>#REF!</v>
      </c>
      <c r="O121" s="47" t="e">
        <f>#REF!</f>
        <v>#REF!</v>
      </c>
      <c r="P121" s="47" t="e">
        <f>#REF!</f>
        <v>#REF!</v>
      </c>
      <c r="Q121" s="47" t="e">
        <f>#REF!</f>
        <v>#REF!</v>
      </c>
      <c r="R121" s="47" t="e">
        <f>#REF!</f>
        <v>#REF!</v>
      </c>
      <c r="S121" s="47" t="e">
        <f>#REF!</f>
        <v>#REF!</v>
      </c>
      <c r="T121" s="47" t="e">
        <f>#REF!</f>
        <v>#REF!</v>
      </c>
      <c r="U121" s="47" t="e">
        <f>#REF!</f>
        <v>#REF!</v>
      </c>
      <c r="V121" s="17" t="e">
        <f t="shared" si="6"/>
        <v>#REF!</v>
      </c>
      <c r="W121" s="18" t="e">
        <f t="shared" si="8"/>
        <v>#REF!</v>
      </c>
      <c r="X121" s="19">
        <f t="shared" si="7"/>
        <v>0</v>
      </c>
      <c r="Y121" s="30"/>
      <c r="Z121" s="35"/>
    </row>
    <row r="122" spans="1:26" s="1" customFormat="1" hidden="1">
      <c r="A122" s="53">
        <v>36</v>
      </c>
      <c r="B122" s="70" t="s">
        <v>108</v>
      </c>
      <c r="C122" s="34"/>
      <c r="D122" s="47" t="e">
        <f>#REF!</f>
        <v>#REF!</v>
      </c>
      <c r="E122" s="47" t="e">
        <f>#REF!</f>
        <v>#REF!</v>
      </c>
      <c r="F122" s="47" t="e">
        <f>#REF!</f>
        <v>#REF!</v>
      </c>
      <c r="G122" s="47" t="e">
        <f>#REF!</f>
        <v>#REF!</v>
      </c>
      <c r="H122" s="47" t="e">
        <f>#REF!</f>
        <v>#REF!</v>
      </c>
      <c r="I122" s="47" t="e">
        <f>#REF!</f>
        <v>#REF!</v>
      </c>
      <c r="J122" s="47" t="e">
        <f>#REF!</f>
        <v>#REF!</v>
      </c>
      <c r="K122" s="47" t="e">
        <f>#REF!</f>
        <v>#REF!</v>
      </c>
      <c r="L122" s="47" t="e">
        <f>#REF!</f>
        <v>#REF!</v>
      </c>
      <c r="M122" s="47" t="e">
        <f>#REF!</f>
        <v>#REF!</v>
      </c>
      <c r="N122" s="47" t="e">
        <f>#REF!</f>
        <v>#REF!</v>
      </c>
      <c r="O122" s="47" t="e">
        <f>#REF!</f>
        <v>#REF!</v>
      </c>
      <c r="P122" s="47" t="e">
        <f>#REF!</f>
        <v>#REF!</v>
      </c>
      <c r="Q122" s="47" t="e">
        <f>#REF!</f>
        <v>#REF!</v>
      </c>
      <c r="R122" s="47" t="e">
        <f>#REF!</f>
        <v>#REF!</v>
      </c>
      <c r="S122" s="47" t="e">
        <f>#REF!</f>
        <v>#REF!</v>
      </c>
      <c r="T122" s="47" t="e">
        <f>#REF!</f>
        <v>#REF!</v>
      </c>
      <c r="U122" s="47" t="e">
        <f>#REF!</f>
        <v>#REF!</v>
      </c>
      <c r="V122" s="17" t="e">
        <f t="shared" si="6"/>
        <v>#REF!</v>
      </c>
      <c r="W122" s="18" t="e">
        <f t="shared" si="8"/>
        <v>#REF!</v>
      </c>
      <c r="X122" s="19">
        <f t="shared" si="7"/>
        <v>0</v>
      </c>
      <c r="Y122" s="30"/>
      <c r="Z122" s="35"/>
    </row>
    <row r="123" spans="1:26" s="1" customFormat="1" hidden="1">
      <c r="A123" s="53">
        <v>37</v>
      </c>
      <c r="B123" s="52" t="s">
        <v>109</v>
      </c>
      <c r="C123" s="34"/>
      <c r="D123" s="49" t="e">
        <f>#REF!</f>
        <v>#REF!</v>
      </c>
      <c r="E123" s="49" t="e">
        <f>#REF!</f>
        <v>#REF!</v>
      </c>
      <c r="F123" s="49" t="e">
        <f>#REF!</f>
        <v>#REF!</v>
      </c>
      <c r="G123" s="49" t="e">
        <f>#REF!</f>
        <v>#REF!</v>
      </c>
      <c r="H123" s="49" t="e">
        <f>#REF!</f>
        <v>#REF!</v>
      </c>
      <c r="I123" s="49" t="e">
        <f>#REF!</f>
        <v>#REF!</v>
      </c>
      <c r="J123" s="49" t="e">
        <f>#REF!</f>
        <v>#REF!</v>
      </c>
      <c r="K123" s="49" t="e">
        <f>#REF!</f>
        <v>#REF!</v>
      </c>
      <c r="L123" s="49" t="e">
        <f>#REF!</f>
        <v>#REF!</v>
      </c>
      <c r="M123" s="49" t="e">
        <f>#REF!</f>
        <v>#REF!</v>
      </c>
      <c r="N123" s="49" t="e">
        <f>#REF!</f>
        <v>#REF!</v>
      </c>
      <c r="O123" s="49" t="e">
        <f>#REF!</f>
        <v>#REF!</v>
      </c>
      <c r="P123" s="49" t="e">
        <f>#REF!</f>
        <v>#REF!</v>
      </c>
      <c r="Q123" s="49" t="e">
        <f>#REF!</f>
        <v>#REF!</v>
      </c>
      <c r="R123" s="49" t="e">
        <f>#REF!</f>
        <v>#REF!</v>
      </c>
      <c r="S123" s="49" t="e">
        <f>#REF!</f>
        <v>#REF!</v>
      </c>
      <c r="T123" s="49" t="e">
        <f>#REF!</f>
        <v>#REF!</v>
      </c>
      <c r="U123" s="49" t="e">
        <f>#REF!</f>
        <v>#REF!</v>
      </c>
      <c r="V123" s="17" t="e">
        <f t="shared" si="6"/>
        <v>#REF!</v>
      </c>
      <c r="W123" s="18" t="e">
        <f t="shared" si="8"/>
        <v>#REF!</v>
      </c>
      <c r="X123" s="19">
        <f t="shared" si="7"/>
        <v>0</v>
      </c>
      <c r="Y123" s="30"/>
      <c r="Z123" s="23"/>
    </row>
    <row r="124" spans="1:26" s="1" customFormat="1" hidden="1">
      <c r="A124" s="53">
        <v>38</v>
      </c>
      <c r="B124" s="52" t="s">
        <v>110</v>
      </c>
      <c r="C124" s="34"/>
      <c r="D124" s="49" t="e">
        <f>#REF!</f>
        <v>#REF!</v>
      </c>
      <c r="E124" s="49" t="e">
        <f>#REF!</f>
        <v>#REF!</v>
      </c>
      <c r="F124" s="49" t="e">
        <f>#REF!</f>
        <v>#REF!</v>
      </c>
      <c r="G124" s="49" t="e">
        <f>#REF!</f>
        <v>#REF!</v>
      </c>
      <c r="H124" s="49" t="e">
        <f>#REF!</f>
        <v>#REF!</v>
      </c>
      <c r="I124" s="49" t="e">
        <f>#REF!</f>
        <v>#REF!</v>
      </c>
      <c r="J124" s="49" t="e">
        <f>#REF!</f>
        <v>#REF!</v>
      </c>
      <c r="K124" s="49" t="e">
        <f>#REF!</f>
        <v>#REF!</v>
      </c>
      <c r="L124" s="49" t="e">
        <f>#REF!</f>
        <v>#REF!</v>
      </c>
      <c r="M124" s="49" t="e">
        <f>#REF!</f>
        <v>#REF!</v>
      </c>
      <c r="N124" s="49" t="e">
        <f>#REF!</f>
        <v>#REF!</v>
      </c>
      <c r="O124" s="49" t="e">
        <f>#REF!</f>
        <v>#REF!</v>
      </c>
      <c r="P124" s="49" t="e">
        <f>#REF!</f>
        <v>#REF!</v>
      </c>
      <c r="Q124" s="49" t="e">
        <f>#REF!</f>
        <v>#REF!</v>
      </c>
      <c r="R124" s="49" t="e">
        <f>#REF!</f>
        <v>#REF!</v>
      </c>
      <c r="S124" s="49" t="e">
        <f>#REF!</f>
        <v>#REF!</v>
      </c>
      <c r="T124" s="49" t="e">
        <f>#REF!</f>
        <v>#REF!</v>
      </c>
      <c r="U124" s="49" t="e">
        <f>#REF!</f>
        <v>#REF!</v>
      </c>
      <c r="V124" s="17" t="e">
        <f t="shared" si="6"/>
        <v>#REF!</v>
      </c>
      <c r="W124" s="18" t="e">
        <f t="shared" si="8"/>
        <v>#REF!</v>
      </c>
      <c r="X124" s="19">
        <f t="shared" si="7"/>
        <v>0</v>
      </c>
      <c r="Y124" s="30"/>
      <c r="Z124" s="35"/>
    </row>
    <row r="125" spans="1:26" s="1" customFormat="1" hidden="1">
      <c r="A125" s="53">
        <v>39</v>
      </c>
      <c r="B125" s="52" t="s">
        <v>111</v>
      </c>
      <c r="C125" s="34"/>
      <c r="D125" s="47" t="e">
        <f>#REF!</f>
        <v>#REF!</v>
      </c>
      <c r="E125" s="47" t="e">
        <f>#REF!</f>
        <v>#REF!</v>
      </c>
      <c r="F125" s="47" t="e">
        <f>#REF!</f>
        <v>#REF!</v>
      </c>
      <c r="G125" s="47" t="e">
        <f>#REF!</f>
        <v>#REF!</v>
      </c>
      <c r="H125" s="47" t="e">
        <f>#REF!</f>
        <v>#REF!</v>
      </c>
      <c r="I125" s="47" t="e">
        <f>#REF!</f>
        <v>#REF!</v>
      </c>
      <c r="J125" s="47" t="e">
        <f>#REF!</f>
        <v>#REF!</v>
      </c>
      <c r="K125" s="47" t="e">
        <f>#REF!</f>
        <v>#REF!</v>
      </c>
      <c r="L125" s="47" t="e">
        <f>#REF!</f>
        <v>#REF!</v>
      </c>
      <c r="M125" s="47" t="e">
        <f>#REF!</f>
        <v>#REF!</v>
      </c>
      <c r="N125" s="47" t="e">
        <f>#REF!</f>
        <v>#REF!</v>
      </c>
      <c r="O125" s="47" t="e">
        <f>#REF!</f>
        <v>#REF!</v>
      </c>
      <c r="P125" s="47" t="e">
        <f>#REF!</f>
        <v>#REF!</v>
      </c>
      <c r="Q125" s="47" t="e">
        <f>#REF!</f>
        <v>#REF!</v>
      </c>
      <c r="R125" s="47" t="e">
        <f>#REF!</f>
        <v>#REF!</v>
      </c>
      <c r="S125" s="47" t="e">
        <f>#REF!</f>
        <v>#REF!</v>
      </c>
      <c r="T125" s="47" t="e">
        <f>#REF!</f>
        <v>#REF!</v>
      </c>
      <c r="U125" s="47" t="e">
        <f>#REF!</f>
        <v>#REF!</v>
      </c>
      <c r="V125" s="17" t="e">
        <f t="shared" si="6"/>
        <v>#REF!</v>
      </c>
      <c r="W125" s="18" t="e">
        <f t="shared" si="8"/>
        <v>#REF!</v>
      </c>
      <c r="X125" s="19">
        <f t="shared" si="7"/>
        <v>0</v>
      </c>
      <c r="Y125" s="30"/>
      <c r="Z125" s="35"/>
    </row>
    <row r="126" spans="1:26" s="1" customFormat="1" hidden="1">
      <c r="A126" s="53">
        <v>40</v>
      </c>
      <c r="B126" s="52" t="s">
        <v>112</v>
      </c>
      <c r="C126" s="34"/>
      <c r="D126" s="47" t="e">
        <f>#REF!</f>
        <v>#REF!</v>
      </c>
      <c r="E126" s="47" t="e">
        <f>#REF!</f>
        <v>#REF!</v>
      </c>
      <c r="F126" s="47" t="e">
        <f>#REF!</f>
        <v>#REF!</v>
      </c>
      <c r="G126" s="47" t="e">
        <f>#REF!</f>
        <v>#REF!</v>
      </c>
      <c r="H126" s="47" t="e">
        <f>#REF!</f>
        <v>#REF!</v>
      </c>
      <c r="I126" s="47" t="e">
        <f>#REF!</f>
        <v>#REF!</v>
      </c>
      <c r="J126" s="47" t="e">
        <f>#REF!</f>
        <v>#REF!</v>
      </c>
      <c r="K126" s="47" t="e">
        <f>#REF!</f>
        <v>#REF!</v>
      </c>
      <c r="L126" s="47" t="e">
        <f>#REF!</f>
        <v>#REF!</v>
      </c>
      <c r="M126" s="47" t="e">
        <f>#REF!</f>
        <v>#REF!</v>
      </c>
      <c r="N126" s="47" t="e">
        <f>#REF!</f>
        <v>#REF!</v>
      </c>
      <c r="O126" s="47" t="e">
        <f>#REF!</f>
        <v>#REF!</v>
      </c>
      <c r="P126" s="47" t="e">
        <f>#REF!</f>
        <v>#REF!</v>
      </c>
      <c r="Q126" s="47" t="e">
        <f>#REF!</f>
        <v>#REF!</v>
      </c>
      <c r="R126" s="47" t="e">
        <f>#REF!</f>
        <v>#REF!</v>
      </c>
      <c r="S126" s="47" t="e">
        <f>#REF!</f>
        <v>#REF!</v>
      </c>
      <c r="T126" s="47" t="e">
        <f>#REF!</f>
        <v>#REF!</v>
      </c>
      <c r="U126" s="47" t="e">
        <f>#REF!</f>
        <v>#REF!</v>
      </c>
      <c r="V126" s="17" t="e">
        <f t="shared" si="6"/>
        <v>#REF!</v>
      </c>
      <c r="W126" s="18" t="e">
        <f t="shared" si="8"/>
        <v>#REF!</v>
      </c>
      <c r="X126" s="19">
        <f t="shared" si="7"/>
        <v>0</v>
      </c>
      <c r="Y126" s="30"/>
      <c r="Z126" s="35"/>
    </row>
    <row r="127" spans="1:26" s="1" customFormat="1" hidden="1">
      <c r="A127" s="53">
        <v>41</v>
      </c>
      <c r="B127" s="71" t="s">
        <v>113</v>
      </c>
      <c r="C127" s="34"/>
      <c r="D127" s="47" t="e">
        <f>#REF!</f>
        <v>#REF!</v>
      </c>
      <c r="E127" s="47" t="e">
        <f>#REF!</f>
        <v>#REF!</v>
      </c>
      <c r="F127" s="47" t="e">
        <f>#REF!</f>
        <v>#REF!</v>
      </c>
      <c r="G127" s="47" t="e">
        <f>#REF!</f>
        <v>#REF!</v>
      </c>
      <c r="H127" s="47" t="e">
        <f>#REF!</f>
        <v>#REF!</v>
      </c>
      <c r="I127" s="47" t="e">
        <f>#REF!</f>
        <v>#REF!</v>
      </c>
      <c r="J127" s="47" t="e">
        <f>#REF!</f>
        <v>#REF!</v>
      </c>
      <c r="K127" s="47" t="e">
        <f>#REF!</f>
        <v>#REF!</v>
      </c>
      <c r="L127" s="47" t="e">
        <f>#REF!</f>
        <v>#REF!</v>
      </c>
      <c r="M127" s="47" t="e">
        <f>#REF!</f>
        <v>#REF!</v>
      </c>
      <c r="N127" s="47" t="e">
        <f>#REF!</f>
        <v>#REF!</v>
      </c>
      <c r="O127" s="47" t="e">
        <f>#REF!</f>
        <v>#REF!</v>
      </c>
      <c r="P127" s="47" t="e">
        <f>#REF!</f>
        <v>#REF!</v>
      </c>
      <c r="Q127" s="47" t="e">
        <f>#REF!</f>
        <v>#REF!</v>
      </c>
      <c r="R127" s="47" t="e">
        <f>#REF!</f>
        <v>#REF!</v>
      </c>
      <c r="S127" s="47" t="e">
        <f>#REF!</f>
        <v>#REF!</v>
      </c>
      <c r="T127" s="47" t="e">
        <f>#REF!</f>
        <v>#REF!</v>
      </c>
      <c r="U127" s="47" t="e">
        <f>#REF!</f>
        <v>#REF!</v>
      </c>
      <c r="V127" s="17" t="e">
        <f t="shared" si="6"/>
        <v>#REF!</v>
      </c>
      <c r="W127" s="18" t="e">
        <f t="shared" si="8"/>
        <v>#REF!</v>
      </c>
      <c r="X127" s="19">
        <f t="shared" si="7"/>
        <v>0</v>
      </c>
      <c r="Y127" s="30"/>
      <c r="Z127" s="23"/>
    </row>
    <row r="128" spans="1:26" s="1" customFormat="1" hidden="1">
      <c r="A128" s="53">
        <v>42</v>
      </c>
      <c r="B128" s="52" t="s">
        <v>114</v>
      </c>
      <c r="C128" s="34"/>
      <c r="D128" s="47" t="e">
        <f>#REF!</f>
        <v>#REF!</v>
      </c>
      <c r="E128" s="47" t="e">
        <f>#REF!</f>
        <v>#REF!</v>
      </c>
      <c r="F128" s="47" t="e">
        <f>#REF!</f>
        <v>#REF!</v>
      </c>
      <c r="G128" s="47" t="e">
        <f>#REF!</f>
        <v>#REF!</v>
      </c>
      <c r="H128" s="47" t="e">
        <f>#REF!</f>
        <v>#REF!</v>
      </c>
      <c r="I128" s="47" t="e">
        <f>#REF!</f>
        <v>#REF!</v>
      </c>
      <c r="J128" s="47" t="e">
        <f>#REF!</f>
        <v>#REF!</v>
      </c>
      <c r="K128" s="47" t="e">
        <f>#REF!</f>
        <v>#REF!</v>
      </c>
      <c r="L128" s="47" t="e">
        <f>#REF!</f>
        <v>#REF!</v>
      </c>
      <c r="M128" s="47" t="e">
        <f>#REF!</f>
        <v>#REF!</v>
      </c>
      <c r="N128" s="47" t="e">
        <f>#REF!</f>
        <v>#REF!</v>
      </c>
      <c r="O128" s="47" t="e">
        <f>#REF!</f>
        <v>#REF!</v>
      </c>
      <c r="P128" s="47" t="e">
        <f>#REF!</f>
        <v>#REF!</v>
      </c>
      <c r="Q128" s="47" t="e">
        <f>#REF!</f>
        <v>#REF!</v>
      </c>
      <c r="R128" s="47" t="e">
        <f>#REF!</f>
        <v>#REF!</v>
      </c>
      <c r="S128" s="47" t="e">
        <f>#REF!</f>
        <v>#REF!</v>
      </c>
      <c r="T128" s="47" t="e">
        <f>#REF!</f>
        <v>#REF!</v>
      </c>
      <c r="U128" s="47" t="e">
        <f>#REF!</f>
        <v>#REF!</v>
      </c>
      <c r="V128" s="17" t="e">
        <f t="shared" si="6"/>
        <v>#REF!</v>
      </c>
      <c r="W128" s="18" t="e">
        <f t="shared" si="8"/>
        <v>#REF!</v>
      </c>
      <c r="X128" s="19">
        <f t="shared" si="7"/>
        <v>0</v>
      </c>
      <c r="Y128" s="30"/>
      <c r="Z128" s="35"/>
    </row>
    <row r="129" spans="1:26" s="1" customFormat="1" ht="29.25" hidden="1" thickBot="1">
      <c r="A129" s="53">
        <v>43</v>
      </c>
      <c r="B129" s="62" t="s">
        <v>115</v>
      </c>
      <c r="C129" s="36"/>
      <c r="D129" s="49" t="e">
        <f>#REF!</f>
        <v>#REF!</v>
      </c>
      <c r="E129" s="49" t="e">
        <f>#REF!</f>
        <v>#REF!</v>
      </c>
      <c r="F129" s="49" t="e">
        <f>#REF!</f>
        <v>#REF!</v>
      </c>
      <c r="G129" s="49" t="e">
        <f>#REF!</f>
        <v>#REF!</v>
      </c>
      <c r="H129" s="49" t="e">
        <f>#REF!</f>
        <v>#REF!</v>
      </c>
      <c r="I129" s="49" t="e">
        <f>#REF!</f>
        <v>#REF!</v>
      </c>
      <c r="J129" s="49" t="e">
        <f>#REF!</f>
        <v>#REF!</v>
      </c>
      <c r="K129" s="49" t="e">
        <f>#REF!</f>
        <v>#REF!</v>
      </c>
      <c r="L129" s="49" t="e">
        <f>#REF!</f>
        <v>#REF!</v>
      </c>
      <c r="M129" s="49" t="e">
        <f>#REF!</f>
        <v>#REF!</v>
      </c>
      <c r="N129" s="49" t="e">
        <f>#REF!</f>
        <v>#REF!</v>
      </c>
      <c r="O129" s="49" t="e">
        <f>#REF!</f>
        <v>#REF!</v>
      </c>
      <c r="P129" s="49" t="e">
        <f>#REF!</f>
        <v>#REF!</v>
      </c>
      <c r="Q129" s="49" t="e">
        <f>#REF!</f>
        <v>#REF!</v>
      </c>
      <c r="R129" s="49" t="e">
        <f>#REF!</f>
        <v>#REF!</v>
      </c>
      <c r="S129" s="49" t="e">
        <f>#REF!</f>
        <v>#REF!</v>
      </c>
      <c r="T129" s="49" t="e">
        <f>#REF!</f>
        <v>#REF!</v>
      </c>
      <c r="U129" s="49" t="e">
        <f>#REF!</f>
        <v>#REF!</v>
      </c>
      <c r="V129" s="17" t="e">
        <f t="shared" si="6"/>
        <v>#REF!</v>
      </c>
      <c r="W129" s="18" t="e">
        <f t="shared" si="8"/>
        <v>#REF!</v>
      </c>
      <c r="X129" s="19">
        <f t="shared" si="7"/>
        <v>0</v>
      </c>
      <c r="Y129" s="32"/>
      <c r="Z129" s="33"/>
    </row>
    <row r="130" spans="1:26" s="1" customFormat="1" ht="29.25" hidden="1" customHeight="1" thickBot="1">
      <c r="A130" s="53">
        <v>44</v>
      </c>
      <c r="B130" s="61" t="s">
        <v>116</v>
      </c>
      <c r="C130" s="26"/>
      <c r="D130" s="49" t="e">
        <f>#REF!</f>
        <v>#REF!</v>
      </c>
      <c r="E130" s="49" t="e">
        <f>#REF!</f>
        <v>#REF!</v>
      </c>
      <c r="F130" s="49" t="e">
        <f>#REF!</f>
        <v>#REF!</v>
      </c>
      <c r="G130" s="49" t="e">
        <f>#REF!</f>
        <v>#REF!</v>
      </c>
      <c r="H130" s="49" t="e">
        <f>#REF!</f>
        <v>#REF!</v>
      </c>
      <c r="I130" s="49" t="e">
        <f>#REF!</f>
        <v>#REF!</v>
      </c>
      <c r="J130" s="49" t="e">
        <f>#REF!</f>
        <v>#REF!</v>
      </c>
      <c r="K130" s="49" t="e">
        <f>#REF!</f>
        <v>#REF!</v>
      </c>
      <c r="L130" s="49" t="e">
        <f>#REF!</f>
        <v>#REF!</v>
      </c>
      <c r="M130" s="49" t="e">
        <f>#REF!</f>
        <v>#REF!</v>
      </c>
      <c r="N130" s="49" t="e">
        <f>#REF!</f>
        <v>#REF!</v>
      </c>
      <c r="O130" s="49" t="e">
        <f>#REF!</f>
        <v>#REF!</v>
      </c>
      <c r="P130" s="49" t="e">
        <f>#REF!</f>
        <v>#REF!</v>
      </c>
      <c r="Q130" s="49" t="e">
        <f>#REF!</f>
        <v>#REF!</v>
      </c>
      <c r="R130" s="49" t="e">
        <f>#REF!</f>
        <v>#REF!</v>
      </c>
      <c r="S130" s="49" t="e">
        <f>#REF!</f>
        <v>#REF!</v>
      </c>
      <c r="T130" s="49" t="e">
        <f>#REF!</f>
        <v>#REF!</v>
      </c>
      <c r="U130" s="49" t="e">
        <f>#REF!</f>
        <v>#REF!</v>
      </c>
      <c r="V130" s="17" t="e">
        <f t="shared" si="6"/>
        <v>#REF!</v>
      </c>
      <c r="W130" s="18" t="e">
        <f t="shared" si="8"/>
        <v>#REF!</v>
      </c>
      <c r="X130" s="19">
        <f t="shared" si="7"/>
        <v>0</v>
      </c>
      <c r="Y130" s="27"/>
      <c r="Z130" s="28"/>
    </row>
    <row r="131" spans="1:26" s="1" customFormat="1" hidden="1">
      <c r="A131" s="53">
        <v>45</v>
      </c>
      <c r="B131" s="52" t="s">
        <v>117</v>
      </c>
      <c r="C131" s="29"/>
      <c r="D131" s="49" t="e">
        <f>#REF!</f>
        <v>#REF!</v>
      </c>
      <c r="E131" s="49" t="e">
        <f>#REF!</f>
        <v>#REF!</v>
      </c>
      <c r="F131" s="49" t="e">
        <f>#REF!</f>
        <v>#REF!</v>
      </c>
      <c r="G131" s="49" t="e">
        <f>#REF!</f>
        <v>#REF!</v>
      </c>
      <c r="H131" s="49" t="e">
        <f>#REF!</f>
        <v>#REF!</v>
      </c>
      <c r="I131" s="49" t="e">
        <f>#REF!</f>
        <v>#REF!</v>
      </c>
      <c r="J131" s="49" t="e">
        <f>#REF!</f>
        <v>#REF!</v>
      </c>
      <c r="K131" s="49" t="e">
        <f>#REF!</f>
        <v>#REF!</v>
      </c>
      <c r="L131" s="49" t="e">
        <f>#REF!</f>
        <v>#REF!</v>
      </c>
      <c r="M131" s="49" t="e">
        <f>#REF!</f>
        <v>#REF!</v>
      </c>
      <c r="N131" s="49" t="e">
        <f>#REF!</f>
        <v>#REF!</v>
      </c>
      <c r="O131" s="49" t="e">
        <f>#REF!</f>
        <v>#REF!</v>
      </c>
      <c r="P131" s="49" t="e">
        <f>#REF!</f>
        <v>#REF!</v>
      </c>
      <c r="Q131" s="49" t="e">
        <f>#REF!</f>
        <v>#REF!</v>
      </c>
      <c r="R131" s="49" t="e">
        <f>#REF!</f>
        <v>#REF!</v>
      </c>
      <c r="S131" s="49" t="e">
        <f>#REF!</f>
        <v>#REF!</v>
      </c>
      <c r="T131" s="49" t="e">
        <f>#REF!</f>
        <v>#REF!</v>
      </c>
      <c r="U131" s="49" t="e">
        <f>#REF!</f>
        <v>#REF!</v>
      </c>
      <c r="V131" s="17" t="e">
        <f t="shared" si="6"/>
        <v>#REF!</v>
      </c>
      <c r="W131" s="18" t="e">
        <f t="shared" si="8"/>
        <v>#REF!</v>
      </c>
      <c r="X131" s="19">
        <f t="shared" si="7"/>
        <v>0</v>
      </c>
      <c r="Y131" s="30"/>
      <c r="Z131" s="35"/>
    </row>
    <row r="132" spans="1:26" s="1" customFormat="1" hidden="1">
      <c r="A132" s="53">
        <v>46</v>
      </c>
      <c r="B132" s="52" t="s">
        <v>118</v>
      </c>
      <c r="C132" s="29"/>
      <c r="D132" s="49" t="e">
        <f>#REF!</f>
        <v>#REF!</v>
      </c>
      <c r="E132" s="49" t="e">
        <f>#REF!</f>
        <v>#REF!</v>
      </c>
      <c r="F132" s="49" t="e">
        <f>#REF!</f>
        <v>#REF!</v>
      </c>
      <c r="G132" s="49" t="e">
        <f>#REF!</f>
        <v>#REF!</v>
      </c>
      <c r="H132" s="49" t="e">
        <f>#REF!</f>
        <v>#REF!</v>
      </c>
      <c r="I132" s="49" t="e">
        <f>#REF!</f>
        <v>#REF!</v>
      </c>
      <c r="J132" s="49" t="e">
        <f>#REF!</f>
        <v>#REF!</v>
      </c>
      <c r="K132" s="49" t="e">
        <f>#REF!</f>
        <v>#REF!</v>
      </c>
      <c r="L132" s="49" t="e">
        <f>#REF!</f>
        <v>#REF!</v>
      </c>
      <c r="M132" s="49" t="e">
        <f>#REF!</f>
        <v>#REF!</v>
      </c>
      <c r="N132" s="49" t="e">
        <f>#REF!</f>
        <v>#REF!</v>
      </c>
      <c r="O132" s="49" t="e">
        <f>#REF!</f>
        <v>#REF!</v>
      </c>
      <c r="P132" s="49" t="e">
        <f>#REF!</f>
        <v>#REF!</v>
      </c>
      <c r="Q132" s="49" t="e">
        <f>#REF!</f>
        <v>#REF!</v>
      </c>
      <c r="R132" s="49" t="e">
        <f>#REF!</f>
        <v>#REF!</v>
      </c>
      <c r="S132" s="49" t="e">
        <f>#REF!</f>
        <v>#REF!</v>
      </c>
      <c r="T132" s="49" t="e">
        <f>#REF!</f>
        <v>#REF!</v>
      </c>
      <c r="U132" s="49" t="e">
        <f>#REF!</f>
        <v>#REF!</v>
      </c>
      <c r="V132" s="17" t="e">
        <f t="shared" si="6"/>
        <v>#REF!</v>
      </c>
      <c r="W132" s="18" t="e">
        <f t="shared" si="8"/>
        <v>#REF!</v>
      </c>
      <c r="X132" s="19">
        <f t="shared" si="7"/>
        <v>0</v>
      </c>
      <c r="Y132" s="30"/>
      <c r="Z132" s="23"/>
    </row>
    <row r="133" spans="1:26" s="1" customFormat="1" hidden="1">
      <c r="A133" s="53">
        <v>47</v>
      </c>
      <c r="B133" s="52" t="s">
        <v>119</v>
      </c>
      <c r="C133" s="29"/>
      <c r="D133" s="49" t="e">
        <f>#REF!</f>
        <v>#REF!</v>
      </c>
      <c r="E133" s="49" t="e">
        <f>#REF!</f>
        <v>#REF!</v>
      </c>
      <c r="F133" s="49" t="e">
        <f>#REF!</f>
        <v>#REF!</v>
      </c>
      <c r="G133" s="49" t="e">
        <f>#REF!</f>
        <v>#REF!</v>
      </c>
      <c r="H133" s="49" t="e">
        <f>#REF!</f>
        <v>#REF!</v>
      </c>
      <c r="I133" s="49" t="e">
        <f>#REF!</f>
        <v>#REF!</v>
      </c>
      <c r="J133" s="49" t="e">
        <f>#REF!</f>
        <v>#REF!</v>
      </c>
      <c r="K133" s="49" t="e">
        <f>#REF!</f>
        <v>#REF!</v>
      </c>
      <c r="L133" s="49" t="e">
        <f>#REF!</f>
        <v>#REF!</v>
      </c>
      <c r="M133" s="49" t="e">
        <f>#REF!</f>
        <v>#REF!</v>
      </c>
      <c r="N133" s="49" t="e">
        <f>#REF!</f>
        <v>#REF!</v>
      </c>
      <c r="O133" s="49" t="e">
        <f>#REF!</f>
        <v>#REF!</v>
      </c>
      <c r="P133" s="49" t="e">
        <f>#REF!</f>
        <v>#REF!</v>
      </c>
      <c r="Q133" s="49" t="e">
        <f>#REF!</f>
        <v>#REF!</v>
      </c>
      <c r="R133" s="49" t="e">
        <f>#REF!</f>
        <v>#REF!</v>
      </c>
      <c r="S133" s="49" t="e">
        <f>#REF!</f>
        <v>#REF!</v>
      </c>
      <c r="T133" s="49" t="e">
        <f>#REF!</f>
        <v>#REF!</v>
      </c>
      <c r="U133" s="49" t="e">
        <f>#REF!</f>
        <v>#REF!</v>
      </c>
      <c r="V133" s="17" t="e">
        <f t="shared" si="6"/>
        <v>#REF!</v>
      </c>
      <c r="W133" s="18" t="e">
        <f t="shared" si="8"/>
        <v>#REF!</v>
      </c>
      <c r="X133" s="19">
        <f t="shared" si="7"/>
        <v>0</v>
      </c>
      <c r="Y133" s="30"/>
      <c r="Z133" s="23"/>
    </row>
    <row r="134" spans="1:26" s="1" customFormat="1" hidden="1">
      <c r="A134" s="53">
        <v>48</v>
      </c>
      <c r="B134" s="52" t="s">
        <v>120</v>
      </c>
      <c r="C134" s="29"/>
      <c r="D134" s="49" t="e">
        <f>#REF!</f>
        <v>#REF!</v>
      </c>
      <c r="E134" s="49" t="e">
        <f>#REF!</f>
        <v>#REF!</v>
      </c>
      <c r="F134" s="49" t="e">
        <f>#REF!</f>
        <v>#REF!</v>
      </c>
      <c r="G134" s="49" t="e">
        <f>#REF!</f>
        <v>#REF!</v>
      </c>
      <c r="H134" s="49" t="e">
        <f>#REF!</f>
        <v>#REF!</v>
      </c>
      <c r="I134" s="49" t="e">
        <f>#REF!</f>
        <v>#REF!</v>
      </c>
      <c r="J134" s="49" t="e">
        <f>#REF!</f>
        <v>#REF!</v>
      </c>
      <c r="K134" s="49" t="e">
        <f>#REF!</f>
        <v>#REF!</v>
      </c>
      <c r="L134" s="49" t="e">
        <f>#REF!</f>
        <v>#REF!</v>
      </c>
      <c r="M134" s="49" t="e">
        <f>#REF!</f>
        <v>#REF!</v>
      </c>
      <c r="N134" s="49" t="e">
        <f>#REF!</f>
        <v>#REF!</v>
      </c>
      <c r="O134" s="49" t="e">
        <f>#REF!</f>
        <v>#REF!</v>
      </c>
      <c r="P134" s="49" t="e">
        <f>#REF!</f>
        <v>#REF!</v>
      </c>
      <c r="Q134" s="49" t="e">
        <f>#REF!</f>
        <v>#REF!</v>
      </c>
      <c r="R134" s="49" t="e">
        <f>#REF!</f>
        <v>#REF!</v>
      </c>
      <c r="S134" s="49" t="e">
        <f>#REF!</f>
        <v>#REF!</v>
      </c>
      <c r="T134" s="49" t="e">
        <f>#REF!</f>
        <v>#REF!</v>
      </c>
      <c r="U134" s="49" t="e">
        <f>#REF!</f>
        <v>#REF!</v>
      </c>
      <c r="V134" s="17" t="e">
        <f t="shared" si="6"/>
        <v>#REF!</v>
      </c>
      <c r="W134" s="18" t="e">
        <f t="shared" si="8"/>
        <v>#REF!</v>
      </c>
      <c r="X134" s="19">
        <f t="shared" si="7"/>
        <v>0</v>
      </c>
      <c r="Y134" s="30"/>
      <c r="Z134" s="23"/>
    </row>
    <row r="135" spans="1:26" s="1" customFormat="1" hidden="1">
      <c r="A135" s="53">
        <v>49</v>
      </c>
      <c r="B135" s="52" t="s">
        <v>121</v>
      </c>
      <c r="C135" s="29"/>
      <c r="D135" s="49" t="e">
        <f>#REF!</f>
        <v>#REF!</v>
      </c>
      <c r="E135" s="49" t="e">
        <f>#REF!</f>
        <v>#REF!</v>
      </c>
      <c r="F135" s="49" t="e">
        <f>#REF!</f>
        <v>#REF!</v>
      </c>
      <c r="G135" s="49" t="e">
        <f>#REF!</f>
        <v>#REF!</v>
      </c>
      <c r="H135" s="49" t="e">
        <f>#REF!</f>
        <v>#REF!</v>
      </c>
      <c r="I135" s="49" t="e">
        <f>#REF!</f>
        <v>#REF!</v>
      </c>
      <c r="J135" s="49" t="e">
        <f>#REF!</f>
        <v>#REF!</v>
      </c>
      <c r="K135" s="49" t="e">
        <f>#REF!</f>
        <v>#REF!</v>
      </c>
      <c r="L135" s="49" t="e">
        <f>#REF!</f>
        <v>#REF!</v>
      </c>
      <c r="M135" s="49" t="e">
        <f>#REF!</f>
        <v>#REF!</v>
      </c>
      <c r="N135" s="49" t="e">
        <f>#REF!</f>
        <v>#REF!</v>
      </c>
      <c r="O135" s="49" t="e">
        <f>#REF!</f>
        <v>#REF!</v>
      </c>
      <c r="P135" s="49" t="e">
        <f>#REF!</f>
        <v>#REF!</v>
      </c>
      <c r="Q135" s="49" t="e">
        <f>#REF!</f>
        <v>#REF!</v>
      </c>
      <c r="R135" s="49" t="e">
        <f>#REF!</f>
        <v>#REF!</v>
      </c>
      <c r="S135" s="49" t="e">
        <f>#REF!</f>
        <v>#REF!</v>
      </c>
      <c r="T135" s="49" t="e">
        <f>#REF!</f>
        <v>#REF!</v>
      </c>
      <c r="U135" s="49" t="e">
        <f>#REF!</f>
        <v>#REF!</v>
      </c>
      <c r="V135" s="17" t="e">
        <f t="shared" si="6"/>
        <v>#REF!</v>
      </c>
      <c r="W135" s="18" t="e">
        <f t="shared" si="8"/>
        <v>#REF!</v>
      </c>
      <c r="X135" s="19">
        <f t="shared" si="7"/>
        <v>0</v>
      </c>
      <c r="Y135" s="30"/>
      <c r="Z135" s="35"/>
    </row>
    <row r="136" spans="1:26" hidden="1"/>
    <row r="137" spans="1:26" hidden="1"/>
    <row r="138" spans="1:26" hidden="1"/>
    <row r="139" spans="1:26" hidden="1"/>
    <row r="140" spans="1:26" hidden="1"/>
    <row r="141" spans="1:26" hidden="1"/>
    <row r="142" spans="1:26" hidden="1"/>
    <row r="143" spans="1:26" hidden="1"/>
    <row r="144" spans="1:26" hidden="1"/>
  </sheetData>
  <autoFilter ref="A6:Z21" xr:uid="{00000000-0009-0000-0000-000009000000}"/>
  <mergeCells count="20">
    <mergeCell ref="Z26:Z27"/>
    <mergeCell ref="B4:B5"/>
    <mergeCell ref="V4:V5"/>
    <mergeCell ref="W4:W5"/>
    <mergeCell ref="X4:X5"/>
    <mergeCell ref="Y4:Y5"/>
    <mergeCell ref="Z4:Z5"/>
    <mergeCell ref="Z84:Z85"/>
    <mergeCell ref="A1:Z1"/>
    <mergeCell ref="E79:G79"/>
    <mergeCell ref="B84:B85"/>
    <mergeCell ref="V84:V85"/>
    <mergeCell ref="W84:W85"/>
    <mergeCell ref="X84:X85"/>
    <mergeCell ref="Y84:Y85"/>
    <mergeCell ref="B26:B27"/>
    <mergeCell ref="V26:V27"/>
    <mergeCell ref="W26:W27"/>
    <mergeCell ref="X26:X27"/>
    <mergeCell ref="Y26:Y27"/>
  </mergeCells>
  <conditionalFormatting sqref="C7:U20">
    <cfRule type="cellIs" dxfId="13" priority="3" operator="equal">
      <formula>100</formula>
    </cfRule>
  </conditionalFormatting>
  <pageMargins left="0.7" right="0.7" top="0.75" bottom="0.75" header="0.3" footer="0.3"/>
  <pageSetup scale="28" orientation="landscape" horizontalDpi="4294967295" verticalDpi="4294967295"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3">
    <tabColor rgb="FF7030A0"/>
    <pageSetUpPr fitToPage="1"/>
  </sheetPr>
  <dimension ref="A1:V82"/>
  <sheetViews>
    <sheetView zoomScale="10" zoomScaleNormal="10" workbookViewId="0">
      <pane ySplit="4" topLeftCell="A5" activePane="bottomLeft" state="frozen"/>
      <selection activeCell="AH95" sqref="AH95"/>
      <selection pane="bottomLeft" activeCell="K82" sqref="K82"/>
    </sheetView>
  </sheetViews>
  <sheetFormatPr baseColWidth="10" defaultColWidth="10.7109375" defaultRowHeight="12.75"/>
  <cols>
    <col min="1" max="1" width="16.140625" customWidth="1"/>
    <col min="2" max="9" width="15.140625" customWidth="1"/>
    <col min="10" max="16" width="13.5703125" customWidth="1"/>
    <col min="17" max="18" width="16" customWidth="1"/>
    <col min="22" max="22" width="3.85546875" customWidth="1"/>
  </cols>
  <sheetData>
    <row r="1" spans="1:19" ht="28.5" thickBot="1">
      <c r="B1" s="655" t="s">
        <v>123</v>
      </c>
      <c r="C1" s="655"/>
      <c r="D1" s="655"/>
      <c r="E1" s="655"/>
      <c r="F1" s="655"/>
      <c r="G1" s="655"/>
      <c r="H1" s="655"/>
      <c r="I1" s="655"/>
      <c r="J1" s="655"/>
      <c r="K1" s="655"/>
      <c r="L1" s="655"/>
      <c r="M1" s="655"/>
      <c r="N1" s="655"/>
      <c r="O1" s="655"/>
      <c r="P1" s="655"/>
      <c r="Q1" s="655"/>
      <c r="R1" s="655"/>
    </row>
    <row r="2" spans="1:19" ht="12.75" customHeight="1">
      <c r="B2" s="663" t="s">
        <v>55</v>
      </c>
      <c r="C2" s="663" t="s">
        <v>56</v>
      </c>
      <c r="D2" s="663" t="s">
        <v>57</v>
      </c>
      <c r="E2" s="663" t="s">
        <v>58</v>
      </c>
      <c r="F2" s="663" t="s">
        <v>59</v>
      </c>
      <c r="G2" s="663" t="s">
        <v>60</v>
      </c>
      <c r="H2" s="663" t="s">
        <v>61</v>
      </c>
      <c r="I2" s="663" t="s">
        <v>62</v>
      </c>
      <c r="J2" s="665" t="s">
        <v>63</v>
      </c>
      <c r="K2" s="665" t="s">
        <v>64</v>
      </c>
      <c r="L2" s="665" t="s">
        <v>65</v>
      </c>
      <c r="M2" s="665" t="s">
        <v>66</v>
      </c>
      <c r="N2" s="665" t="s">
        <v>67</v>
      </c>
      <c r="O2" s="665" t="s">
        <v>68</v>
      </c>
      <c r="P2" s="665" t="s">
        <v>69</v>
      </c>
      <c r="Q2" s="660" t="s">
        <v>70</v>
      </c>
      <c r="R2" s="660" t="s">
        <v>71</v>
      </c>
      <c r="S2" s="662"/>
    </row>
    <row r="3" spans="1:19" ht="135" customHeight="1" thickBot="1">
      <c r="B3" s="664"/>
      <c r="C3" s="664"/>
      <c r="D3" s="664"/>
      <c r="E3" s="664"/>
      <c r="F3" s="664"/>
      <c r="G3" s="664"/>
      <c r="H3" s="664"/>
      <c r="I3" s="664"/>
      <c r="J3" s="666"/>
      <c r="K3" s="666"/>
      <c r="L3" s="666"/>
      <c r="M3" s="666"/>
      <c r="N3" s="666"/>
      <c r="O3" s="666"/>
      <c r="P3" s="666"/>
      <c r="Q3" s="661"/>
      <c r="R3" s="661"/>
      <c r="S3" s="662"/>
    </row>
    <row r="4" spans="1:19" ht="13.5" thickBot="1">
      <c r="A4" s="56" t="s">
        <v>39</v>
      </c>
      <c r="B4" s="56" t="s">
        <v>53</v>
      </c>
      <c r="C4" s="56" t="s">
        <v>53</v>
      </c>
      <c r="D4" s="56" t="s">
        <v>53</v>
      </c>
      <c r="E4" s="56" t="s">
        <v>53</v>
      </c>
      <c r="F4" s="56" t="s">
        <v>53</v>
      </c>
      <c r="G4" s="56" t="s">
        <v>53</v>
      </c>
      <c r="H4" s="56" t="s">
        <v>53</v>
      </c>
      <c r="I4" s="56" t="s">
        <v>53</v>
      </c>
      <c r="J4" s="56" t="s">
        <v>53</v>
      </c>
      <c r="K4" s="56" t="s">
        <v>53</v>
      </c>
      <c r="L4" s="56" t="s">
        <v>53</v>
      </c>
      <c r="M4" s="56" t="s">
        <v>53</v>
      </c>
      <c r="N4" s="56" t="s">
        <v>53</v>
      </c>
      <c r="O4" s="56" t="s">
        <v>53</v>
      </c>
      <c r="P4" s="56" t="s">
        <v>53</v>
      </c>
      <c r="Q4" s="56" t="s">
        <v>53</v>
      </c>
      <c r="R4" s="56" t="s">
        <v>53</v>
      </c>
    </row>
    <row r="5" spans="1:19" ht="20.25">
      <c r="A5" s="58">
        <v>1</v>
      </c>
      <c r="B5" s="77">
        <v>0</v>
      </c>
      <c r="C5" s="77">
        <v>0</v>
      </c>
      <c r="D5" s="77">
        <v>0</v>
      </c>
      <c r="E5" s="77">
        <v>0</v>
      </c>
      <c r="F5" s="77">
        <v>0</v>
      </c>
      <c r="G5" s="77">
        <v>0</v>
      </c>
      <c r="H5" s="77">
        <v>0</v>
      </c>
      <c r="I5" s="77">
        <v>0</v>
      </c>
      <c r="J5" s="77">
        <v>0</v>
      </c>
      <c r="K5" s="77">
        <v>0</v>
      </c>
      <c r="L5" s="77">
        <v>0</v>
      </c>
      <c r="M5" s="77">
        <v>0</v>
      </c>
      <c r="N5" s="77">
        <v>0</v>
      </c>
      <c r="O5" s="77">
        <v>0</v>
      </c>
      <c r="P5" s="77">
        <v>0</v>
      </c>
      <c r="Q5" s="77">
        <v>0</v>
      </c>
      <c r="R5" s="77">
        <v>0</v>
      </c>
    </row>
    <row r="6" spans="1:19" ht="20.25">
      <c r="A6" s="59">
        <v>2</v>
      </c>
      <c r="B6" s="77">
        <v>0</v>
      </c>
      <c r="C6" s="77" t="e">
        <f t="shared" ref="C6:R6" si="0">C36</f>
        <v>#REF!</v>
      </c>
      <c r="D6" s="77" t="e">
        <f t="shared" si="0"/>
        <v>#REF!</v>
      </c>
      <c r="E6" s="77" t="e">
        <f t="shared" si="0"/>
        <v>#REF!</v>
      </c>
      <c r="F6" s="77" t="e">
        <f t="shared" si="0"/>
        <v>#REF!</v>
      </c>
      <c r="G6" s="77" t="e">
        <f t="shared" si="0"/>
        <v>#REF!</v>
      </c>
      <c r="H6" s="77" t="e">
        <f t="shared" si="0"/>
        <v>#REF!</v>
      </c>
      <c r="I6" s="77" t="e">
        <f t="shared" si="0"/>
        <v>#REF!</v>
      </c>
      <c r="J6" s="77" t="e">
        <f t="shared" si="0"/>
        <v>#REF!</v>
      </c>
      <c r="K6" s="77" t="e">
        <f t="shared" si="0"/>
        <v>#REF!</v>
      </c>
      <c r="L6" s="77" t="e">
        <f t="shared" si="0"/>
        <v>#REF!</v>
      </c>
      <c r="M6" s="77" t="e">
        <f t="shared" si="0"/>
        <v>#REF!</v>
      </c>
      <c r="N6" s="77" t="e">
        <f t="shared" si="0"/>
        <v>#REF!</v>
      </c>
      <c r="O6" s="77" t="e">
        <f t="shared" si="0"/>
        <v>#REF!</v>
      </c>
      <c r="P6" s="77" t="e">
        <f t="shared" si="0"/>
        <v>#REF!</v>
      </c>
      <c r="Q6" s="77" t="e">
        <f t="shared" si="0"/>
        <v>#REF!</v>
      </c>
      <c r="R6" s="77" t="e">
        <f t="shared" si="0"/>
        <v>#REF!</v>
      </c>
    </row>
    <row r="7" spans="1:19" ht="20.25">
      <c r="A7" s="59">
        <v>3</v>
      </c>
      <c r="B7" s="77">
        <v>0</v>
      </c>
      <c r="C7" s="77" t="e">
        <f t="shared" ref="C7:R7" si="1">C37</f>
        <v>#REF!</v>
      </c>
      <c r="D7" s="77" t="e">
        <f t="shared" si="1"/>
        <v>#REF!</v>
      </c>
      <c r="E7" s="77" t="e">
        <f t="shared" si="1"/>
        <v>#REF!</v>
      </c>
      <c r="F7" s="77" t="e">
        <f t="shared" si="1"/>
        <v>#REF!</v>
      </c>
      <c r="G7" s="77" t="e">
        <f t="shared" si="1"/>
        <v>#REF!</v>
      </c>
      <c r="H7" s="77" t="e">
        <f t="shared" si="1"/>
        <v>#REF!</v>
      </c>
      <c r="I7" s="77" t="e">
        <f t="shared" si="1"/>
        <v>#REF!</v>
      </c>
      <c r="J7" s="77" t="e">
        <f t="shared" si="1"/>
        <v>#REF!</v>
      </c>
      <c r="K7" s="77" t="e">
        <f t="shared" si="1"/>
        <v>#REF!</v>
      </c>
      <c r="L7" s="77" t="e">
        <f t="shared" si="1"/>
        <v>#REF!</v>
      </c>
      <c r="M7" s="77" t="e">
        <f t="shared" si="1"/>
        <v>#REF!</v>
      </c>
      <c r="N7" s="77" t="e">
        <f t="shared" si="1"/>
        <v>#REF!</v>
      </c>
      <c r="O7" s="77" t="e">
        <f t="shared" si="1"/>
        <v>#REF!</v>
      </c>
      <c r="P7" s="77" t="e">
        <f t="shared" si="1"/>
        <v>#REF!</v>
      </c>
      <c r="Q7" s="77" t="e">
        <f t="shared" si="1"/>
        <v>#REF!</v>
      </c>
      <c r="R7" s="77" t="e">
        <f t="shared" si="1"/>
        <v>#REF!</v>
      </c>
    </row>
    <row r="8" spans="1:19" ht="20.25">
      <c r="A8" s="59">
        <v>4</v>
      </c>
      <c r="B8" s="77">
        <v>0</v>
      </c>
      <c r="C8" s="77" t="e">
        <f t="shared" ref="C8:R8" si="2">C38</f>
        <v>#REF!</v>
      </c>
      <c r="D8" s="77" t="e">
        <f t="shared" si="2"/>
        <v>#REF!</v>
      </c>
      <c r="E8" s="77" t="e">
        <f t="shared" si="2"/>
        <v>#REF!</v>
      </c>
      <c r="F8" s="77" t="e">
        <f t="shared" si="2"/>
        <v>#REF!</v>
      </c>
      <c r="G8" s="77" t="e">
        <f t="shared" si="2"/>
        <v>#REF!</v>
      </c>
      <c r="H8" s="77" t="e">
        <f t="shared" si="2"/>
        <v>#REF!</v>
      </c>
      <c r="I8" s="77" t="e">
        <f t="shared" si="2"/>
        <v>#REF!</v>
      </c>
      <c r="J8" s="77" t="e">
        <f t="shared" si="2"/>
        <v>#REF!</v>
      </c>
      <c r="K8" s="77" t="e">
        <f t="shared" si="2"/>
        <v>#REF!</v>
      </c>
      <c r="L8" s="77" t="e">
        <f t="shared" si="2"/>
        <v>#REF!</v>
      </c>
      <c r="M8" s="77" t="e">
        <f t="shared" si="2"/>
        <v>#REF!</v>
      </c>
      <c r="N8" s="77" t="e">
        <f t="shared" si="2"/>
        <v>#REF!</v>
      </c>
      <c r="O8" s="77" t="e">
        <f t="shared" si="2"/>
        <v>#REF!</v>
      </c>
      <c r="P8" s="77" t="e">
        <f t="shared" si="2"/>
        <v>#REF!</v>
      </c>
      <c r="Q8" s="77" t="e">
        <f t="shared" si="2"/>
        <v>#REF!</v>
      </c>
      <c r="R8" s="77" t="e">
        <f t="shared" si="2"/>
        <v>#REF!</v>
      </c>
    </row>
    <row r="9" spans="1:19" ht="20.25">
      <c r="A9" s="59">
        <v>5</v>
      </c>
      <c r="B9" s="77">
        <v>0</v>
      </c>
      <c r="C9" s="77" t="e">
        <f t="shared" ref="C9:R9" si="3">C39</f>
        <v>#REF!</v>
      </c>
      <c r="D9" s="77" t="e">
        <f t="shared" si="3"/>
        <v>#REF!</v>
      </c>
      <c r="E9" s="77" t="e">
        <f t="shared" si="3"/>
        <v>#REF!</v>
      </c>
      <c r="F9" s="77" t="e">
        <f t="shared" si="3"/>
        <v>#REF!</v>
      </c>
      <c r="G9" s="77" t="e">
        <f t="shared" si="3"/>
        <v>#REF!</v>
      </c>
      <c r="H9" s="77" t="e">
        <f t="shared" si="3"/>
        <v>#REF!</v>
      </c>
      <c r="I9" s="77" t="e">
        <f t="shared" si="3"/>
        <v>#REF!</v>
      </c>
      <c r="J9" s="77" t="e">
        <f t="shared" si="3"/>
        <v>#REF!</v>
      </c>
      <c r="K9" s="77" t="e">
        <f t="shared" si="3"/>
        <v>#REF!</v>
      </c>
      <c r="L9" s="77" t="e">
        <f t="shared" si="3"/>
        <v>#REF!</v>
      </c>
      <c r="M9" s="77" t="e">
        <f t="shared" si="3"/>
        <v>#REF!</v>
      </c>
      <c r="N9" s="77" t="e">
        <f t="shared" si="3"/>
        <v>#REF!</v>
      </c>
      <c r="O9" s="77" t="e">
        <f t="shared" si="3"/>
        <v>#REF!</v>
      </c>
      <c r="P9" s="77" t="e">
        <f t="shared" si="3"/>
        <v>#REF!</v>
      </c>
      <c r="Q9" s="77" t="e">
        <f t="shared" si="3"/>
        <v>#REF!</v>
      </c>
      <c r="R9" s="77" t="e">
        <f t="shared" si="3"/>
        <v>#REF!</v>
      </c>
    </row>
    <row r="10" spans="1:19" ht="20.25">
      <c r="A10" s="59">
        <v>6</v>
      </c>
      <c r="B10" s="77">
        <v>0</v>
      </c>
      <c r="C10" s="77" t="e">
        <f t="shared" ref="C10:R10" si="4">C40</f>
        <v>#REF!</v>
      </c>
      <c r="D10" s="77" t="e">
        <f t="shared" si="4"/>
        <v>#REF!</v>
      </c>
      <c r="E10" s="77" t="e">
        <f t="shared" si="4"/>
        <v>#REF!</v>
      </c>
      <c r="F10" s="77" t="e">
        <f t="shared" si="4"/>
        <v>#REF!</v>
      </c>
      <c r="G10" s="77" t="e">
        <f t="shared" si="4"/>
        <v>#REF!</v>
      </c>
      <c r="H10" s="77" t="e">
        <f t="shared" si="4"/>
        <v>#REF!</v>
      </c>
      <c r="I10" s="77" t="e">
        <f t="shared" si="4"/>
        <v>#REF!</v>
      </c>
      <c r="J10" s="77" t="e">
        <f t="shared" si="4"/>
        <v>#REF!</v>
      </c>
      <c r="K10" s="77" t="e">
        <f t="shared" si="4"/>
        <v>#REF!</v>
      </c>
      <c r="L10" s="77" t="e">
        <f t="shared" si="4"/>
        <v>#REF!</v>
      </c>
      <c r="M10" s="77" t="e">
        <f t="shared" si="4"/>
        <v>#REF!</v>
      </c>
      <c r="N10" s="77" t="e">
        <f t="shared" si="4"/>
        <v>#REF!</v>
      </c>
      <c r="O10" s="77" t="e">
        <f t="shared" si="4"/>
        <v>#REF!</v>
      </c>
      <c r="P10" s="77" t="e">
        <f t="shared" si="4"/>
        <v>#REF!</v>
      </c>
      <c r="Q10" s="77" t="e">
        <f t="shared" si="4"/>
        <v>#REF!</v>
      </c>
      <c r="R10" s="77" t="e">
        <f t="shared" si="4"/>
        <v>#REF!</v>
      </c>
    </row>
    <row r="11" spans="1:19" ht="20.25">
      <c r="A11" s="59">
        <v>7</v>
      </c>
      <c r="B11" s="77">
        <v>0</v>
      </c>
      <c r="C11" s="77" t="e">
        <f t="shared" ref="C11:R11" si="5">C41</f>
        <v>#REF!</v>
      </c>
      <c r="D11" s="77" t="e">
        <f t="shared" si="5"/>
        <v>#REF!</v>
      </c>
      <c r="E11" s="77" t="e">
        <f t="shared" si="5"/>
        <v>#REF!</v>
      </c>
      <c r="F11" s="77" t="e">
        <f t="shared" si="5"/>
        <v>#REF!</v>
      </c>
      <c r="G11" s="77" t="e">
        <f t="shared" si="5"/>
        <v>#REF!</v>
      </c>
      <c r="H11" s="77" t="e">
        <f t="shared" si="5"/>
        <v>#REF!</v>
      </c>
      <c r="I11" s="77" t="e">
        <f t="shared" si="5"/>
        <v>#REF!</v>
      </c>
      <c r="J11" s="77" t="e">
        <f t="shared" si="5"/>
        <v>#REF!</v>
      </c>
      <c r="K11" s="77" t="e">
        <f t="shared" si="5"/>
        <v>#REF!</v>
      </c>
      <c r="L11" s="77" t="e">
        <f t="shared" si="5"/>
        <v>#REF!</v>
      </c>
      <c r="M11" s="77" t="e">
        <f t="shared" si="5"/>
        <v>#REF!</v>
      </c>
      <c r="N11" s="77" t="e">
        <f t="shared" si="5"/>
        <v>#REF!</v>
      </c>
      <c r="O11" s="77" t="e">
        <f t="shared" si="5"/>
        <v>#REF!</v>
      </c>
      <c r="P11" s="77" t="e">
        <f t="shared" si="5"/>
        <v>#REF!</v>
      </c>
      <c r="Q11" s="77" t="e">
        <f t="shared" si="5"/>
        <v>#REF!</v>
      </c>
      <c r="R11" s="77" t="e">
        <f t="shared" si="5"/>
        <v>#REF!</v>
      </c>
    </row>
    <row r="12" spans="1:19" ht="20.25">
      <c r="A12" s="59">
        <v>8</v>
      </c>
      <c r="B12" s="77">
        <v>0</v>
      </c>
      <c r="C12" s="77" t="e">
        <f t="shared" ref="C12:R12" si="6">C42</f>
        <v>#REF!</v>
      </c>
      <c r="D12" s="77" t="e">
        <f t="shared" si="6"/>
        <v>#REF!</v>
      </c>
      <c r="E12" s="77" t="e">
        <f t="shared" si="6"/>
        <v>#REF!</v>
      </c>
      <c r="F12" s="77" t="e">
        <f t="shared" si="6"/>
        <v>#REF!</v>
      </c>
      <c r="G12" s="77" t="e">
        <f t="shared" si="6"/>
        <v>#REF!</v>
      </c>
      <c r="H12" s="77" t="e">
        <f t="shared" si="6"/>
        <v>#REF!</v>
      </c>
      <c r="I12" s="77" t="e">
        <f t="shared" si="6"/>
        <v>#REF!</v>
      </c>
      <c r="J12" s="77" t="e">
        <f t="shared" si="6"/>
        <v>#REF!</v>
      </c>
      <c r="K12" s="77" t="e">
        <f t="shared" si="6"/>
        <v>#REF!</v>
      </c>
      <c r="L12" s="77" t="e">
        <f t="shared" si="6"/>
        <v>#REF!</v>
      </c>
      <c r="M12" s="77" t="e">
        <f t="shared" si="6"/>
        <v>#REF!</v>
      </c>
      <c r="N12" s="77" t="e">
        <f t="shared" si="6"/>
        <v>#REF!</v>
      </c>
      <c r="O12" s="77" t="e">
        <f t="shared" si="6"/>
        <v>#REF!</v>
      </c>
      <c r="P12" s="77" t="e">
        <f t="shared" si="6"/>
        <v>#REF!</v>
      </c>
      <c r="Q12" s="77" t="e">
        <f t="shared" si="6"/>
        <v>#REF!</v>
      </c>
      <c r="R12" s="77" t="e">
        <f t="shared" si="6"/>
        <v>#REF!</v>
      </c>
    </row>
    <row r="13" spans="1:19" ht="20.25">
      <c r="A13" s="59">
        <v>9</v>
      </c>
      <c r="B13" s="77">
        <v>0</v>
      </c>
      <c r="C13" s="77" t="e">
        <f t="shared" ref="C13:R13" si="7">C43</f>
        <v>#REF!</v>
      </c>
      <c r="D13" s="77" t="e">
        <f t="shared" si="7"/>
        <v>#REF!</v>
      </c>
      <c r="E13" s="77" t="e">
        <f t="shared" si="7"/>
        <v>#REF!</v>
      </c>
      <c r="F13" s="77" t="e">
        <f t="shared" si="7"/>
        <v>#REF!</v>
      </c>
      <c r="G13" s="77" t="e">
        <f t="shared" si="7"/>
        <v>#REF!</v>
      </c>
      <c r="H13" s="77" t="e">
        <f t="shared" si="7"/>
        <v>#REF!</v>
      </c>
      <c r="I13" s="77" t="e">
        <f t="shared" si="7"/>
        <v>#REF!</v>
      </c>
      <c r="J13" s="77" t="e">
        <f t="shared" si="7"/>
        <v>#REF!</v>
      </c>
      <c r="K13" s="77" t="e">
        <f t="shared" si="7"/>
        <v>#REF!</v>
      </c>
      <c r="L13" s="77" t="e">
        <f t="shared" si="7"/>
        <v>#REF!</v>
      </c>
      <c r="M13" s="77" t="e">
        <f t="shared" si="7"/>
        <v>#REF!</v>
      </c>
      <c r="N13" s="77" t="e">
        <f t="shared" si="7"/>
        <v>#REF!</v>
      </c>
      <c r="O13" s="77" t="e">
        <f t="shared" si="7"/>
        <v>#REF!</v>
      </c>
      <c r="P13" s="77" t="e">
        <f t="shared" si="7"/>
        <v>#REF!</v>
      </c>
      <c r="Q13" s="77" t="e">
        <f t="shared" si="7"/>
        <v>#REF!</v>
      </c>
      <c r="R13" s="77" t="e">
        <f t="shared" si="7"/>
        <v>#REF!</v>
      </c>
    </row>
    <row r="14" spans="1:19" ht="20.25">
      <c r="A14" s="59">
        <v>10</v>
      </c>
      <c r="B14" s="77">
        <v>0</v>
      </c>
      <c r="C14" s="77" t="e">
        <f t="shared" ref="C14:R14" si="8">C44</f>
        <v>#REF!</v>
      </c>
      <c r="D14" s="77" t="e">
        <f t="shared" si="8"/>
        <v>#REF!</v>
      </c>
      <c r="E14" s="77" t="e">
        <f t="shared" si="8"/>
        <v>#REF!</v>
      </c>
      <c r="F14" s="77" t="e">
        <f t="shared" si="8"/>
        <v>#REF!</v>
      </c>
      <c r="G14" s="77" t="e">
        <f t="shared" si="8"/>
        <v>#REF!</v>
      </c>
      <c r="H14" s="77" t="e">
        <f t="shared" si="8"/>
        <v>#REF!</v>
      </c>
      <c r="I14" s="77" t="e">
        <f t="shared" si="8"/>
        <v>#REF!</v>
      </c>
      <c r="J14" s="77" t="e">
        <f t="shared" si="8"/>
        <v>#REF!</v>
      </c>
      <c r="K14" s="77" t="e">
        <f t="shared" si="8"/>
        <v>#REF!</v>
      </c>
      <c r="L14" s="77" t="e">
        <f t="shared" si="8"/>
        <v>#REF!</v>
      </c>
      <c r="M14" s="77" t="e">
        <f t="shared" si="8"/>
        <v>#REF!</v>
      </c>
      <c r="N14" s="77" t="e">
        <f t="shared" si="8"/>
        <v>#REF!</v>
      </c>
      <c r="O14" s="77" t="e">
        <f t="shared" si="8"/>
        <v>#REF!</v>
      </c>
      <c r="P14" s="77" t="e">
        <f t="shared" si="8"/>
        <v>#REF!</v>
      </c>
      <c r="Q14" s="77" t="e">
        <f t="shared" si="8"/>
        <v>#REF!</v>
      </c>
      <c r="R14" s="77" t="e">
        <f t="shared" si="8"/>
        <v>#REF!</v>
      </c>
    </row>
    <row r="15" spans="1:19" ht="20.25">
      <c r="A15" s="59">
        <v>11</v>
      </c>
      <c r="B15" s="77">
        <v>0</v>
      </c>
      <c r="C15" s="77" t="e">
        <f t="shared" ref="C15:R15" si="9">C45</f>
        <v>#REF!</v>
      </c>
      <c r="D15" s="77" t="e">
        <f t="shared" si="9"/>
        <v>#REF!</v>
      </c>
      <c r="E15" s="77" t="e">
        <f t="shared" si="9"/>
        <v>#REF!</v>
      </c>
      <c r="F15" s="77" t="e">
        <f t="shared" si="9"/>
        <v>#REF!</v>
      </c>
      <c r="G15" s="77" t="e">
        <f t="shared" si="9"/>
        <v>#REF!</v>
      </c>
      <c r="H15" s="77" t="e">
        <f t="shared" si="9"/>
        <v>#REF!</v>
      </c>
      <c r="I15" s="77" t="e">
        <f t="shared" si="9"/>
        <v>#REF!</v>
      </c>
      <c r="J15" s="77" t="e">
        <f t="shared" si="9"/>
        <v>#REF!</v>
      </c>
      <c r="K15" s="77" t="e">
        <f t="shared" si="9"/>
        <v>#REF!</v>
      </c>
      <c r="L15" s="77" t="e">
        <f t="shared" si="9"/>
        <v>#REF!</v>
      </c>
      <c r="M15" s="77" t="e">
        <f t="shared" si="9"/>
        <v>#REF!</v>
      </c>
      <c r="N15" s="77" t="e">
        <f t="shared" si="9"/>
        <v>#REF!</v>
      </c>
      <c r="O15" s="77" t="e">
        <f t="shared" si="9"/>
        <v>#REF!</v>
      </c>
      <c r="P15" s="77" t="e">
        <f t="shared" si="9"/>
        <v>#REF!</v>
      </c>
      <c r="Q15" s="77" t="e">
        <f t="shared" si="9"/>
        <v>#REF!</v>
      </c>
      <c r="R15" s="77" t="e">
        <f t="shared" si="9"/>
        <v>#REF!</v>
      </c>
    </row>
    <row r="16" spans="1:19" ht="20.25">
      <c r="A16" s="59">
        <v>12</v>
      </c>
      <c r="B16" s="77">
        <v>0</v>
      </c>
      <c r="C16" s="77" t="e">
        <f t="shared" ref="C16:R16" si="10">C46</f>
        <v>#REF!</v>
      </c>
      <c r="D16" s="77" t="e">
        <f t="shared" si="10"/>
        <v>#REF!</v>
      </c>
      <c r="E16" s="77" t="e">
        <f t="shared" si="10"/>
        <v>#REF!</v>
      </c>
      <c r="F16" s="77" t="e">
        <f t="shared" si="10"/>
        <v>#REF!</v>
      </c>
      <c r="G16" s="77" t="e">
        <f t="shared" si="10"/>
        <v>#REF!</v>
      </c>
      <c r="H16" s="77" t="e">
        <f t="shared" si="10"/>
        <v>#REF!</v>
      </c>
      <c r="I16" s="77" t="e">
        <f t="shared" si="10"/>
        <v>#REF!</v>
      </c>
      <c r="J16" s="77" t="e">
        <f t="shared" si="10"/>
        <v>#REF!</v>
      </c>
      <c r="K16" s="77" t="e">
        <f t="shared" si="10"/>
        <v>#REF!</v>
      </c>
      <c r="L16" s="77" t="e">
        <f t="shared" si="10"/>
        <v>#REF!</v>
      </c>
      <c r="M16" s="77" t="e">
        <f t="shared" si="10"/>
        <v>#REF!</v>
      </c>
      <c r="N16" s="77" t="e">
        <f t="shared" si="10"/>
        <v>#REF!</v>
      </c>
      <c r="O16" s="77" t="e">
        <f t="shared" si="10"/>
        <v>#REF!</v>
      </c>
      <c r="P16" s="77" t="e">
        <f t="shared" si="10"/>
        <v>#REF!</v>
      </c>
      <c r="Q16" s="77" t="e">
        <f t="shared" si="10"/>
        <v>#REF!</v>
      </c>
      <c r="R16" s="77" t="e">
        <f t="shared" si="10"/>
        <v>#REF!</v>
      </c>
    </row>
    <row r="17" spans="1:22" ht="20.25">
      <c r="A17" s="59">
        <v>13</v>
      </c>
      <c r="B17" s="77">
        <v>0</v>
      </c>
      <c r="C17" s="77" t="e">
        <f t="shared" ref="C17:R17" si="11">C47</f>
        <v>#REF!</v>
      </c>
      <c r="D17" s="77" t="e">
        <f t="shared" si="11"/>
        <v>#REF!</v>
      </c>
      <c r="E17" s="77" t="e">
        <f t="shared" si="11"/>
        <v>#REF!</v>
      </c>
      <c r="F17" s="77" t="e">
        <f t="shared" si="11"/>
        <v>#REF!</v>
      </c>
      <c r="G17" s="77" t="e">
        <f t="shared" si="11"/>
        <v>#REF!</v>
      </c>
      <c r="H17" s="77" t="e">
        <f t="shared" si="11"/>
        <v>#REF!</v>
      </c>
      <c r="I17" s="77" t="e">
        <f t="shared" si="11"/>
        <v>#REF!</v>
      </c>
      <c r="J17" s="77" t="e">
        <f t="shared" si="11"/>
        <v>#REF!</v>
      </c>
      <c r="K17" s="77" t="e">
        <f t="shared" si="11"/>
        <v>#REF!</v>
      </c>
      <c r="L17" s="77" t="e">
        <f t="shared" si="11"/>
        <v>#REF!</v>
      </c>
      <c r="M17" s="77" t="e">
        <f t="shared" si="11"/>
        <v>#REF!</v>
      </c>
      <c r="N17" s="77" t="e">
        <f t="shared" si="11"/>
        <v>#REF!</v>
      </c>
      <c r="O17" s="77" t="e">
        <f t="shared" si="11"/>
        <v>#REF!</v>
      </c>
      <c r="P17" s="77" t="e">
        <f t="shared" si="11"/>
        <v>#REF!</v>
      </c>
      <c r="Q17" s="77" t="e">
        <f t="shared" si="11"/>
        <v>#REF!</v>
      </c>
      <c r="R17" s="77" t="e">
        <f t="shared" si="11"/>
        <v>#REF!</v>
      </c>
    </row>
    <row r="18" spans="1:22" ht="20.25">
      <c r="A18" s="59">
        <v>14</v>
      </c>
      <c r="B18" s="77">
        <v>0</v>
      </c>
      <c r="C18" s="77" t="e">
        <f t="shared" ref="C18:R18" si="12">C48</f>
        <v>#REF!</v>
      </c>
      <c r="D18" s="77" t="e">
        <f t="shared" si="12"/>
        <v>#REF!</v>
      </c>
      <c r="E18" s="77" t="e">
        <f t="shared" si="12"/>
        <v>#REF!</v>
      </c>
      <c r="F18" s="77" t="e">
        <f t="shared" si="12"/>
        <v>#REF!</v>
      </c>
      <c r="G18" s="77" t="e">
        <f t="shared" si="12"/>
        <v>#REF!</v>
      </c>
      <c r="H18" s="77" t="e">
        <f t="shared" si="12"/>
        <v>#REF!</v>
      </c>
      <c r="I18" s="77" t="e">
        <f t="shared" si="12"/>
        <v>#REF!</v>
      </c>
      <c r="J18" s="77" t="e">
        <f t="shared" si="12"/>
        <v>#REF!</v>
      </c>
      <c r="K18" s="77" t="e">
        <f t="shared" si="12"/>
        <v>#REF!</v>
      </c>
      <c r="L18" s="77" t="e">
        <f t="shared" si="12"/>
        <v>#REF!</v>
      </c>
      <c r="M18" s="77" t="e">
        <f t="shared" si="12"/>
        <v>#REF!</v>
      </c>
      <c r="N18" s="77" t="e">
        <f t="shared" si="12"/>
        <v>#REF!</v>
      </c>
      <c r="O18" s="77" t="e">
        <f t="shared" si="12"/>
        <v>#REF!</v>
      </c>
      <c r="P18" s="77" t="e">
        <f t="shared" si="12"/>
        <v>#REF!</v>
      </c>
      <c r="Q18" s="77" t="e">
        <f t="shared" si="12"/>
        <v>#REF!</v>
      </c>
      <c r="R18" s="77" t="e">
        <f t="shared" si="12"/>
        <v>#REF!</v>
      </c>
    </row>
    <row r="19" spans="1:22" ht="20.25">
      <c r="A19" s="59">
        <v>15</v>
      </c>
      <c r="B19" s="77">
        <v>0</v>
      </c>
      <c r="C19" s="77" t="e">
        <f t="shared" ref="C19:R19" si="13">C49</f>
        <v>#REF!</v>
      </c>
      <c r="D19" s="77" t="e">
        <f t="shared" si="13"/>
        <v>#REF!</v>
      </c>
      <c r="E19" s="77" t="e">
        <f t="shared" si="13"/>
        <v>#REF!</v>
      </c>
      <c r="F19" s="77" t="e">
        <f t="shared" si="13"/>
        <v>#REF!</v>
      </c>
      <c r="G19" s="77" t="e">
        <f t="shared" si="13"/>
        <v>#REF!</v>
      </c>
      <c r="H19" s="77" t="e">
        <f t="shared" si="13"/>
        <v>#REF!</v>
      </c>
      <c r="I19" s="77" t="e">
        <f t="shared" si="13"/>
        <v>#REF!</v>
      </c>
      <c r="J19" s="77" t="e">
        <f t="shared" si="13"/>
        <v>#REF!</v>
      </c>
      <c r="K19" s="77" t="e">
        <f t="shared" si="13"/>
        <v>#REF!</v>
      </c>
      <c r="L19" s="77" t="e">
        <f t="shared" si="13"/>
        <v>#REF!</v>
      </c>
      <c r="M19" s="77" t="e">
        <f t="shared" si="13"/>
        <v>#REF!</v>
      </c>
      <c r="N19" s="77" t="e">
        <f t="shared" si="13"/>
        <v>#REF!</v>
      </c>
      <c r="O19" s="77" t="e">
        <f t="shared" si="13"/>
        <v>#REF!</v>
      </c>
      <c r="P19" s="77" t="e">
        <f t="shared" si="13"/>
        <v>#REF!</v>
      </c>
      <c r="Q19" s="77" t="e">
        <f t="shared" si="13"/>
        <v>#REF!</v>
      </c>
      <c r="R19" s="77" t="e">
        <f t="shared" si="13"/>
        <v>#REF!</v>
      </c>
    </row>
    <row r="20" spans="1:22" ht="20.25">
      <c r="A20" s="59">
        <v>16</v>
      </c>
      <c r="B20" s="77">
        <v>0</v>
      </c>
      <c r="C20" s="77" t="e">
        <f t="shared" ref="C20:R20" si="14">C50</f>
        <v>#REF!</v>
      </c>
      <c r="D20" s="77" t="e">
        <f t="shared" si="14"/>
        <v>#REF!</v>
      </c>
      <c r="E20" s="77" t="e">
        <f t="shared" si="14"/>
        <v>#REF!</v>
      </c>
      <c r="F20" s="77" t="e">
        <f t="shared" si="14"/>
        <v>#REF!</v>
      </c>
      <c r="G20" s="77" t="e">
        <f t="shared" si="14"/>
        <v>#REF!</v>
      </c>
      <c r="H20" s="77" t="e">
        <f t="shared" si="14"/>
        <v>#REF!</v>
      </c>
      <c r="I20" s="77" t="e">
        <f t="shared" si="14"/>
        <v>#REF!</v>
      </c>
      <c r="J20" s="77" t="e">
        <f t="shared" si="14"/>
        <v>#REF!</v>
      </c>
      <c r="K20" s="77" t="e">
        <f t="shared" si="14"/>
        <v>#REF!</v>
      </c>
      <c r="L20" s="77" t="e">
        <f t="shared" si="14"/>
        <v>#REF!</v>
      </c>
      <c r="M20" s="77" t="e">
        <f t="shared" si="14"/>
        <v>#REF!</v>
      </c>
      <c r="N20" s="77" t="e">
        <f t="shared" si="14"/>
        <v>#REF!</v>
      </c>
      <c r="O20" s="77" t="e">
        <f t="shared" si="14"/>
        <v>#REF!</v>
      </c>
      <c r="P20" s="77" t="e">
        <f t="shared" si="14"/>
        <v>#REF!</v>
      </c>
      <c r="Q20" s="77" t="e">
        <f t="shared" si="14"/>
        <v>#REF!</v>
      </c>
      <c r="R20" s="77" t="e">
        <f t="shared" si="14"/>
        <v>#REF!</v>
      </c>
    </row>
    <row r="21" spans="1:22" ht="20.25">
      <c r="A21" s="59">
        <v>17</v>
      </c>
      <c r="B21" s="77">
        <v>0</v>
      </c>
      <c r="C21" s="77" t="e">
        <f t="shared" ref="C21:R21" si="15">C51</f>
        <v>#REF!</v>
      </c>
      <c r="D21" s="77" t="e">
        <f t="shared" si="15"/>
        <v>#REF!</v>
      </c>
      <c r="E21" s="77" t="e">
        <f t="shared" si="15"/>
        <v>#REF!</v>
      </c>
      <c r="F21" s="77" t="e">
        <f t="shared" si="15"/>
        <v>#REF!</v>
      </c>
      <c r="G21" s="77" t="e">
        <f t="shared" si="15"/>
        <v>#REF!</v>
      </c>
      <c r="H21" s="77" t="e">
        <f t="shared" si="15"/>
        <v>#REF!</v>
      </c>
      <c r="I21" s="77" t="e">
        <f t="shared" si="15"/>
        <v>#REF!</v>
      </c>
      <c r="J21" s="77" t="e">
        <f t="shared" si="15"/>
        <v>#REF!</v>
      </c>
      <c r="K21" s="77" t="e">
        <f t="shared" si="15"/>
        <v>#REF!</v>
      </c>
      <c r="L21" s="77" t="e">
        <f t="shared" si="15"/>
        <v>#REF!</v>
      </c>
      <c r="M21" s="77" t="e">
        <f t="shared" si="15"/>
        <v>#REF!</v>
      </c>
      <c r="N21" s="77" t="e">
        <f t="shared" si="15"/>
        <v>#REF!</v>
      </c>
      <c r="O21" s="77" t="e">
        <f t="shared" si="15"/>
        <v>#REF!</v>
      </c>
      <c r="P21" s="77" t="e">
        <f t="shared" si="15"/>
        <v>#REF!</v>
      </c>
      <c r="Q21" s="77" t="e">
        <f t="shared" si="15"/>
        <v>#REF!</v>
      </c>
      <c r="R21" s="77" t="e">
        <f t="shared" si="15"/>
        <v>#REF!</v>
      </c>
    </row>
    <row r="22" spans="1:22" ht="20.25">
      <c r="A22" s="59">
        <v>18</v>
      </c>
      <c r="B22" s="77">
        <v>0</v>
      </c>
      <c r="C22" s="77" t="e">
        <f t="shared" ref="C22:R22" si="16">C52</f>
        <v>#REF!</v>
      </c>
      <c r="D22" s="77" t="e">
        <f t="shared" si="16"/>
        <v>#REF!</v>
      </c>
      <c r="E22" s="77" t="e">
        <f t="shared" si="16"/>
        <v>#REF!</v>
      </c>
      <c r="F22" s="77" t="e">
        <f t="shared" si="16"/>
        <v>#REF!</v>
      </c>
      <c r="G22" s="77" t="e">
        <f t="shared" si="16"/>
        <v>#REF!</v>
      </c>
      <c r="H22" s="77" t="e">
        <f t="shared" si="16"/>
        <v>#REF!</v>
      </c>
      <c r="I22" s="77" t="e">
        <f t="shared" si="16"/>
        <v>#REF!</v>
      </c>
      <c r="J22" s="77" t="e">
        <f t="shared" si="16"/>
        <v>#REF!</v>
      </c>
      <c r="K22" s="77" t="e">
        <f t="shared" si="16"/>
        <v>#REF!</v>
      </c>
      <c r="L22" s="77" t="e">
        <f t="shared" si="16"/>
        <v>#REF!</v>
      </c>
      <c r="M22" s="77" t="e">
        <f t="shared" si="16"/>
        <v>#REF!</v>
      </c>
      <c r="N22" s="77" t="e">
        <f t="shared" si="16"/>
        <v>#REF!</v>
      </c>
      <c r="O22" s="77" t="e">
        <f t="shared" si="16"/>
        <v>#REF!</v>
      </c>
      <c r="P22" s="77" t="e">
        <f t="shared" si="16"/>
        <v>#REF!</v>
      </c>
      <c r="Q22" s="77" t="e">
        <f t="shared" si="16"/>
        <v>#REF!</v>
      </c>
      <c r="R22" s="77" t="e">
        <f t="shared" si="16"/>
        <v>#REF!</v>
      </c>
    </row>
    <row r="23" spans="1:22" ht="21" thickBot="1">
      <c r="A23" s="60">
        <v>19</v>
      </c>
      <c r="B23" s="77">
        <v>0</v>
      </c>
      <c r="C23" s="77" t="e">
        <f t="shared" ref="C23:I23" si="17">C53</f>
        <v>#REF!</v>
      </c>
      <c r="D23" s="77" t="e">
        <f t="shared" si="17"/>
        <v>#REF!</v>
      </c>
      <c r="E23" s="77" t="e">
        <f t="shared" si="17"/>
        <v>#REF!</v>
      </c>
      <c r="F23" s="77" t="e">
        <f t="shared" si="17"/>
        <v>#REF!</v>
      </c>
      <c r="G23" s="77" t="e">
        <f t="shared" si="17"/>
        <v>#REF!</v>
      </c>
      <c r="H23" s="77" t="e">
        <f t="shared" si="17"/>
        <v>#REF!</v>
      </c>
      <c r="I23" s="77" t="e">
        <f t="shared" si="17"/>
        <v>#REF!</v>
      </c>
      <c r="J23" s="77">
        <v>0</v>
      </c>
      <c r="K23" s="77">
        <v>0</v>
      </c>
      <c r="L23" s="77">
        <v>0</v>
      </c>
      <c r="M23" s="77">
        <v>0</v>
      </c>
      <c r="N23" s="77">
        <v>0</v>
      </c>
      <c r="O23" s="77">
        <v>0</v>
      </c>
      <c r="P23" s="77">
        <v>0</v>
      </c>
      <c r="Q23" s="77">
        <v>0</v>
      </c>
      <c r="R23" s="77">
        <v>0</v>
      </c>
    </row>
    <row r="24" spans="1:22" ht="36" thickBot="1">
      <c r="A24" s="141"/>
      <c r="B24" s="140">
        <f>SUM(B5:B23)</f>
        <v>0</v>
      </c>
      <c r="C24" s="140" t="e">
        <f>SUM(C5:C23)</f>
        <v>#REF!</v>
      </c>
      <c r="D24" s="140" t="e">
        <f t="shared" ref="D24:R24" si="18">SUM(D5:D23)</f>
        <v>#REF!</v>
      </c>
      <c r="E24" s="140" t="e">
        <f t="shared" si="18"/>
        <v>#REF!</v>
      </c>
      <c r="F24" s="140" t="e">
        <f t="shared" si="18"/>
        <v>#REF!</v>
      </c>
      <c r="G24" s="140" t="e">
        <f t="shared" si="18"/>
        <v>#REF!</v>
      </c>
      <c r="H24" s="140" t="e">
        <f t="shared" si="18"/>
        <v>#REF!</v>
      </c>
      <c r="I24" s="140" t="e">
        <f>SUM(I5:I23)</f>
        <v>#REF!</v>
      </c>
      <c r="J24" s="140" t="e">
        <f t="shared" si="18"/>
        <v>#REF!</v>
      </c>
      <c r="K24" s="140" t="e">
        <f t="shared" si="18"/>
        <v>#REF!</v>
      </c>
      <c r="L24" s="140" t="e">
        <f t="shared" si="18"/>
        <v>#REF!</v>
      </c>
      <c r="M24" s="140" t="e">
        <f t="shared" si="18"/>
        <v>#REF!</v>
      </c>
      <c r="N24" s="140" t="e">
        <f t="shared" si="18"/>
        <v>#REF!</v>
      </c>
      <c r="O24" s="140" t="e">
        <f t="shared" si="18"/>
        <v>#REF!</v>
      </c>
      <c r="P24" s="140" t="e">
        <f t="shared" si="18"/>
        <v>#REF!</v>
      </c>
      <c r="Q24" s="140" t="e">
        <f t="shared" si="18"/>
        <v>#REF!</v>
      </c>
      <c r="R24" s="140" t="e">
        <f t="shared" si="18"/>
        <v>#REF!</v>
      </c>
    </row>
    <row r="29" spans="1:22">
      <c r="A29" s="78"/>
      <c r="B29" s="78"/>
      <c r="C29" s="78"/>
      <c r="D29" s="78"/>
      <c r="E29" s="78"/>
      <c r="F29" s="78"/>
      <c r="G29" s="78"/>
      <c r="H29" s="78"/>
      <c r="I29" s="78"/>
      <c r="J29" s="78"/>
      <c r="K29" s="78"/>
      <c r="L29" s="78"/>
      <c r="M29" s="78"/>
      <c r="N29" s="78"/>
      <c r="O29" s="78"/>
      <c r="P29" s="78"/>
      <c r="Q29" s="78"/>
      <c r="R29" s="78"/>
      <c r="S29" s="78"/>
      <c r="T29" s="78"/>
      <c r="U29" s="78"/>
      <c r="V29" s="78"/>
    </row>
    <row r="30" spans="1:22">
      <c r="V30" s="78"/>
    </row>
    <row r="31" spans="1:22" ht="28.5" thickBot="1">
      <c r="B31" s="655" t="s">
        <v>72</v>
      </c>
      <c r="C31" s="655"/>
      <c r="D31" s="655"/>
      <c r="E31" s="655"/>
      <c r="F31" s="655"/>
      <c r="G31" s="655"/>
      <c r="H31" s="655"/>
      <c r="I31" s="655"/>
      <c r="J31" s="655"/>
      <c r="K31" s="655"/>
      <c r="L31" s="655"/>
      <c r="M31" s="655"/>
      <c r="N31" s="655"/>
      <c r="O31" s="655"/>
      <c r="P31" s="655"/>
      <c r="Q31" s="655"/>
      <c r="R31" s="655"/>
      <c r="S31" t="s">
        <v>54</v>
      </c>
      <c r="U31">
        <v>8</v>
      </c>
      <c r="V31" s="78"/>
    </row>
    <row r="32" spans="1:22">
      <c r="B32" s="656" t="s">
        <v>55</v>
      </c>
      <c r="C32" s="656" t="s">
        <v>56</v>
      </c>
      <c r="D32" s="656" t="s">
        <v>57</v>
      </c>
      <c r="E32" s="656" t="s">
        <v>58</v>
      </c>
      <c r="F32" s="656" t="s">
        <v>59</v>
      </c>
      <c r="G32" s="656" t="s">
        <v>60</v>
      </c>
      <c r="H32" s="656" t="s">
        <v>61</v>
      </c>
      <c r="I32" s="656" t="s">
        <v>62</v>
      </c>
      <c r="J32" s="658" t="s">
        <v>63</v>
      </c>
      <c r="K32" s="658" t="s">
        <v>64</v>
      </c>
      <c r="L32" s="658" t="s">
        <v>65</v>
      </c>
      <c r="M32" s="658" t="s">
        <v>66</v>
      </c>
      <c r="N32" s="658" t="s">
        <v>67</v>
      </c>
      <c r="O32" s="658" t="s">
        <v>68</v>
      </c>
      <c r="P32" s="658" t="s">
        <v>69</v>
      </c>
      <c r="Q32" s="653" t="s">
        <v>70</v>
      </c>
      <c r="R32" s="653" t="s">
        <v>71</v>
      </c>
      <c r="S32" s="662"/>
      <c r="V32" s="78"/>
    </row>
    <row r="33" spans="1:22" ht="13.5" thickBot="1">
      <c r="B33" s="657"/>
      <c r="C33" s="657"/>
      <c r="D33" s="657"/>
      <c r="E33" s="657"/>
      <c r="F33" s="657"/>
      <c r="G33" s="657"/>
      <c r="H33" s="657"/>
      <c r="I33" s="657"/>
      <c r="J33" s="659"/>
      <c r="K33" s="659"/>
      <c r="L33" s="659"/>
      <c r="M33" s="659"/>
      <c r="N33" s="659"/>
      <c r="O33" s="659"/>
      <c r="P33" s="659"/>
      <c r="Q33" s="654"/>
      <c r="R33" s="654"/>
      <c r="S33" s="662"/>
      <c r="V33" s="78"/>
    </row>
    <row r="34" spans="1:22" ht="13.5" thickBot="1">
      <c r="A34" s="56" t="s">
        <v>39</v>
      </c>
      <c r="B34" s="56" t="s">
        <v>53</v>
      </c>
      <c r="C34" s="56" t="s">
        <v>53</v>
      </c>
      <c r="D34" s="56" t="s">
        <v>53</v>
      </c>
      <c r="E34" s="56" t="s">
        <v>53</v>
      </c>
      <c r="F34" s="56" t="s">
        <v>53</v>
      </c>
      <c r="G34" s="56" t="s">
        <v>53</v>
      </c>
      <c r="H34" s="56" t="s">
        <v>53</v>
      </c>
      <c r="I34" s="56" t="s">
        <v>53</v>
      </c>
      <c r="J34" s="56" t="s">
        <v>53</v>
      </c>
      <c r="K34" s="56" t="s">
        <v>53</v>
      </c>
      <c r="L34" s="56" t="s">
        <v>53</v>
      </c>
      <c r="M34" s="56" t="s">
        <v>53</v>
      </c>
      <c r="N34" s="56" t="s">
        <v>53</v>
      </c>
      <c r="O34" s="56" t="s">
        <v>53</v>
      </c>
      <c r="P34" s="56" t="s">
        <v>53</v>
      </c>
      <c r="Q34" s="56" t="s">
        <v>53</v>
      </c>
      <c r="R34" s="56" t="s">
        <v>53</v>
      </c>
      <c r="V34" s="78"/>
    </row>
    <row r="35" spans="1:22" ht="20.25">
      <c r="A35" s="58">
        <v>1</v>
      </c>
      <c r="B35" s="57"/>
      <c r="C35" s="54"/>
      <c r="D35" s="54"/>
      <c r="E35" s="54"/>
      <c r="F35" s="54"/>
      <c r="G35" s="54"/>
      <c r="H35" s="54"/>
      <c r="I35" s="54"/>
      <c r="J35" s="54"/>
      <c r="K35" s="54"/>
      <c r="L35" s="54"/>
      <c r="M35" s="54"/>
      <c r="N35" s="54"/>
      <c r="O35" s="54"/>
      <c r="P35" s="54"/>
      <c r="Q35" s="54"/>
      <c r="R35" s="54"/>
      <c r="V35" s="78"/>
    </row>
    <row r="36" spans="1:22" ht="20.25">
      <c r="A36" s="59">
        <v>2</v>
      </c>
      <c r="B36" s="77" t="e">
        <f>#REF!*8/100</f>
        <v>#REF!</v>
      </c>
      <c r="C36" s="55" t="e">
        <f>#REF!*8/100</f>
        <v>#REF!</v>
      </c>
      <c r="D36" s="55" t="e">
        <f>#REF!*8/100</f>
        <v>#REF!</v>
      </c>
      <c r="E36" s="55" t="e">
        <f>#REF!*8/100</f>
        <v>#REF!</v>
      </c>
      <c r="F36" s="55" t="e">
        <f>#REF!*8/100</f>
        <v>#REF!</v>
      </c>
      <c r="G36" s="55" t="e">
        <f>#REF!*8/100</f>
        <v>#REF!</v>
      </c>
      <c r="H36" s="55" t="e">
        <f>#REF!*8/100</f>
        <v>#REF!</v>
      </c>
      <c r="I36" s="55" t="e">
        <f>#REF!*8/100</f>
        <v>#REF!</v>
      </c>
      <c r="J36" s="55" t="e">
        <f>#REF!*8/100</f>
        <v>#REF!</v>
      </c>
      <c r="K36" s="55" t="e">
        <f>#REF!*8/100</f>
        <v>#REF!</v>
      </c>
      <c r="L36" s="55" t="e">
        <f>#REF!*8/100</f>
        <v>#REF!</v>
      </c>
      <c r="M36" s="55" t="e">
        <f>#REF!*8/100</f>
        <v>#REF!</v>
      </c>
      <c r="N36" s="55" t="e">
        <f>#REF!*8/100</f>
        <v>#REF!</v>
      </c>
      <c r="O36" s="55" t="e">
        <f>#REF!*8/100</f>
        <v>#REF!</v>
      </c>
      <c r="P36" s="55" t="e">
        <f>#REF!*8/100</f>
        <v>#REF!</v>
      </c>
      <c r="Q36" s="55" t="e">
        <f>(AVERAGE(#REF!*8/100)+(#REF!*8/100))/2</f>
        <v>#REF!</v>
      </c>
      <c r="R36" s="55" t="e">
        <f>(AVERAGE(#REF!*8/100)+(#REF!*8/100))/2</f>
        <v>#REF!</v>
      </c>
      <c r="V36" s="78"/>
    </row>
    <row r="37" spans="1:22" ht="20.25">
      <c r="A37" s="59">
        <v>3</v>
      </c>
      <c r="B37" s="77" t="e">
        <f>#REF!*8/100</f>
        <v>#REF!</v>
      </c>
      <c r="C37" s="55" t="e">
        <f>#REF!*8/100</f>
        <v>#REF!</v>
      </c>
      <c r="D37" s="55" t="e">
        <f>#REF!*8/100</f>
        <v>#REF!</v>
      </c>
      <c r="E37" s="55" t="e">
        <f>#REF!*8/100</f>
        <v>#REF!</v>
      </c>
      <c r="F37" s="55" t="e">
        <f>#REF!*8/100</f>
        <v>#REF!</v>
      </c>
      <c r="G37" s="55" t="e">
        <f>#REF!*8/100</f>
        <v>#REF!</v>
      </c>
      <c r="H37" s="55" t="e">
        <f>#REF!*8/100</f>
        <v>#REF!</v>
      </c>
      <c r="I37" s="55" t="e">
        <f>#REF!*8/100</f>
        <v>#REF!</v>
      </c>
      <c r="J37" s="55" t="e">
        <f>#REF!*8/100</f>
        <v>#REF!</v>
      </c>
      <c r="K37" s="55" t="e">
        <f>#REF!*8/100</f>
        <v>#REF!</v>
      </c>
      <c r="L37" s="55" t="e">
        <f>#REF!*8/100</f>
        <v>#REF!</v>
      </c>
      <c r="M37" s="55" t="e">
        <f>#REF!*8/100</f>
        <v>#REF!</v>
      </c>
      <c r="N37" s="55" t="e">
        <f>#REF!*8/100</f>
        <v>#REF!</v>
      </c>
      <c r="O37" s="55" t="e">
        <f>#REF!*8/100</f>
        <v>#REF!</v>
      </c>
      <c r="P37" s="55" t="e">
        <f>#REF!*8/100</f>
        <v>#REF!</v>
      </c>
      <c r="Q37" s="55" t="e">
        <f>(AVERAGE(#REF!*8/100)+(#REF!*8/100))/2</f>
        <v>#REF!</v>
      </c>
      <c r="R37" s="55" t="e">
        <f>(AVERAGE(#REF!*8/100)+(#REF!*8/100))/2</f>
        <v>#REF!</v>
      </c>
      <c r="V37" s="78"/>
    </row>
    <row r="38" spans="1:22" ht="20.25">
      <c r="A38" s="59">
        <v>4</v>
      </c>
      <c r="B38" s="77"/>
      <c r="C38" s="55" t="e">
        <f>#REF!*8/100</f>
        <v>#REF!</v>
      </c>
      <c r="D38" s="55" t="e">
        <f>#REF!*8/100</f>
        <v>#REF!</v>
      </c>
      <c r="E38" s="55" t="e">
        <f>#REF!*8/100</f>
        <v>#REF!</v>
      </c>
      <c r="F38" s="55" t="e">
        <f>#REF!*8/100</f>
        <v>#REF!</v>
      </c>
      <c r="G38" s="55" t="e">
        <f>#REF!*8/100</f>
        <v>#REF!</v>
      </c>
      <c r="H38" s="55" t="e">
        <f>#REF!*8/100</f>
        <v>#REF!</v>
      </c>
      <c r="I38" s="55" t="e">
        <f>#REF!*8/100</f>
        <v>#REF!</v>
      </c>
      <c r="J38" s="55" t="e">
        <f>#REF!*8/100</f>
        <v>#REF!</v>
      </c>
      <c r="K38" s="55" t="e">
        <f>#REF!*8/100</f>
        <v>#REF!</v>
      </c>
      <c r="L38" s="55" t="e">
        <f>#REF!*8/100</f>
        <v>#REF!</v>
      </c>
      <c r="M38" s="55" t="e">
        <f>#REF!*8/100</f>
        <v>#REF!</v>
      </c>
      <c r="N38" s="55" t="e">
        <f>#REF!*8/100</f>
        <v>#REF!</v>
      </c>
      <c r="O38" s="55" t="e">
        <f>#REF!*8/100</f>
        <v>#REF!</v>
      </c>
      <c r="P38" s="55" t="e">
        <f>#REF!*8/100</f>
        <v>#REF!</v>
      </c>
      <c r="Q38" s="55" t="e">
        <f>(AVERAGE(#REF!*8/100)+(#REF!*8/100))/2</f>
        <v>#REF!</v>
      </c>
      <c r="R38" s="55" t="e">
        <f>(AVERAGE(#REF!*8/100)+(#REF!*8/100))/2</f>
        <v>#REF!</v>
      </c>
      <c r="V38" s="78"/>
    </row>
    <row r="39" spans="1:22" ht="20.25">
      <c r="A39" s="59">
        <v>5</v>
      </c>
      <c r="B39" s="77" t="e">
        <f>#REF!*8/100</f>
        <v>#REF!</v>
      </c>
      <c r="C39" s="55" t="e">
        <f>#REF!*8/100</f>
        <v>#REF!</v>
      </c>
      <c r="D39" s="55" t="e">
        <f>#REF!*8/100</f>
        <v>#REF!</v>
      </c>
      <c r="E39" s="55" t="e">
        <f>#REF!*8/100</f>
        <v>#REF!</v>
      </c>
      <c r="F39" s="55" t="e">
        <f>#REF!*8/100</f>
        <v>#REF!</v>
      </c>
      <c r="G39" s="55" t="e">
        <f>#REF!*8/100</f>
        <v>#REF!</v>
      </c>
      <c r="H39" s="55" t="e">
        <f>#REF!*8/100</f>
        <v>#REF!</v>
      </c>
      <c r="I39" s="55" t="e">
        <f>#REF!*8/100</f>
        <v>#REF!</v>
      </c>
      <c r="J39" s="55" t="e">
        <f>#REF!*8/100</f>
        <v>#REF!</v>
      </c>
      <c r="K39" s="55" t="e">
        <f>#REF!*8/100</f>
        <v>#REF!</v>
      </c>
      <c r="L39" s="55" t="e">
        <f>#REF!*8/100</f>
        <v>#REF!</v>
      </c>
      <c r="M39" s="55" t="e">
        <f>#REF!*8/100</f>
        <v>#REF!</v>
      </c>
      <c r="N39" s="55" t="e">
        <f>#REF!*8/100</f>
        <v>#REF!</v>
      </c>
      <c r="O39" s="55" t="e">
        <f>#REF!*8/100</f>
        <v>#REF!</v>
      </c>
      <c r="P39" s="55" t="e">
        <f>#REF!*8/100</f>
        <v>#REF!</v>
      </c>
      <c r="Q39" s="55" t="e">
        <f>(AVERAGE(#REF!*8/100)+(#REF!*8/100))/2</f>
        <v>#REF!</v>
      </c>
      <c r="R39" s="55" t="e">
        <f>(AVERAGE(#REF!*8/100)+(#REF!*8/100))/2</f>
        <v>#REF!</v>
      </c>
      <c r="V39" s="78"/>
    </row>
    <row r="40" spans="1:22" ht="20.25">
      <c r="A40" s="59">
        <v>6</v>
      </c>
      <c r="B40" s="77" t="e">
        <f>#REF!*8/100</f>
        <v>#REF!</v>
      </c>
      <c r="C40" s="55" t="e">
        <f>#REF!*8/100</f>
        <v>#REF!</v>
      </c>
      <c r="D40" s="55" t="e">
        <f>#REF!*8/100</f>
        <v>#REF!</v>
      </c>
      <c r="E40" s="55" t="e">
        <f>#REF!*8/100</f>
        <v>#REF!</v>
      </c>
      <c r="F40" s="55" t="e">
        <f>#REF!*8/100</f>
        <v>#REF!</v>
      </c>
      <c r="G40" s="55" t="e">
        <f>#REF!*8/100</f>
        <v>#REF!</v>
      </c>
      <c r="H40" s="55" t="e">
        <f>#REF!*8/100</f>
        <v>#REF!</v>
      </c>
      <c r="I40" s="55" t="e">
        <f>#REF!*8/100</f>
        <v>#REF!</v>
      </c>
      <c r="J40" s="55" t="e">
        <f>#REF!*8/100</f>
        <v>#REF!</v>
      </c>
      <c r="K40" s="55" t="e">
        <f>#REF!*8/100</f>
        <v>#REF!</v>
      </c>
      <c r="L40" s="55" t="e">
        <f>#REF!*8/100</f>
        <v>#REF!</v>
      </c>
      <c r="M40" s="55" t="e">
        <f>#REF!*8/100</f>
        <v>#REF!</v>
      </c>
      <c r="N40" s="55" t="e">
        <f>#REF!*8/100</f>
        <v>#REF!</v>
      </c>
      <c r="O40" s="55" t="e">
        <f>#REF!*8/100</f>
        <v>#REF!</v>
      </c>
      <c r="P40" s="55" t="e">
        <f>#REF!*8/100</f>
        <v>#REF!</v>
      </c>
      <c r="Q40" s="55" t="e">
        <f>(AVERAGE(#REF!*8/100)+(#REF!*8/100))/2</f>
        <v>#REF!</v>
      </c>
      <c r="R40" s="55" t="e">
        <f>(AVERAGE(#REF!*8/100)+(#REF!*8/100))/2</f>
        <v>#REF!</v>
      </c>
      <c r="V40" s="78"/>
    </row>
    <row r="41" spans="1:22" ht="20.25">
      <c r="A41" s="59">
        <v>7</v>
      </c>
      <c r="B41" s="77" t="e">
        <f>#REF!*8/100</f>
        <v>#REF!</v>
      </c>
      <c r="C41" s="55" t="e">
        <f>#REF!*8/100</f>
        <v>#REF!</v>
      </c>
      <c r="D41" s="55" t="e">
        <f>#REF!*8/100</f>
        <v>#REF!</v>
      </c>
      <c r="E41" s="55" t="e">
        <f>#REF!*8/100</f>
        <v>#REF!</v>
      </c>
      <c r="F41" s="55" t="e">
        <f>#REF!*8/100</f>
        <v>#REF!</v>
      </c>
      <c r="G41" s="55" t="e">
        <f>#REF!*8/100</f>
        <v>#REF!</v>
      </c>
      <c r="H41" s="55" t="e">
        <f>#REF!*8/100</f>
        <v>#REF!</v>
      </c>
      <c r="I41" s="55" t="e">
        <f>#REF!*8/100</f>
        <v>#REF!</v>
      </c>
      <c r="J41" s="55" t="e">
        <f>#REF!*8/100</f>
        <v>#REF!</v>
      </c>
      <c r="K41" s="55" t="e">
        <f>#REF!*8/100</f>
        <v>#REF!</v>
      </c>
      <c r="L41" s="55" t="e">
        <f>#REF!*8/100</f>
        <v>#REF!</v>
      </c>
      <c r="M41" s="55" t="e">
        <f>#REF!*8/100</f>
        <v>#REF!</v>
      </c>
      <c r="N41" s="55" t="e">
        <f>#REF!*8/100</f>
        <v>#REF!</v>
      </c>
      <c r="O41" s="55" t="e">
        <f>#REF!*8/100</f>
        <v>#REF!</v>
      </c>
      <c r="P41" s="55" t="e">
        <f>#REF!*8/100</f>
        <v>#REF!</v>
      </c>
      <c r="Q41" s="55" t="e">
        <f>(AVERAGE(#REF!*8/100)+(#REF!*8/100))/2</f>
        <v>#REF!</v>
      </c>
      <c r="R41" s="55" t="e">
        <f>(AVERAGE(#REF!*8/100)+(#REF!*8/100))/2</f>
        <v>#REF!</v>
      </c>
      <c r="V41" s="78"/>
    </row>
    <row r="42" spans="1:22" ht="20.25">
      <c r="A42" s="59">
        <v>8</v>
      </c>
      <c r="B42" s="77" t="e">
        <f>#REF!*8/100</f>
        <v>#REF!</v>
      </c>
      <c r="C42" s="55" t="e">
        <f>#REF!*8/100</f>
        <v>#REF!</v>
      </c>
      <c r="D42" s="55" t="e">
        <f>#REF!*8/100</f>
        <v>#REF!</v>
      </c>
      <c r="E42" s="55" t="e">
        <f>#REF!*8/100</f>
        <v>#REF!</v>
      </c>
      <c r="F42" s="55" t="e">
        <f>#REF!*8/100</f>
        <v>#REF!</v>
      </c>
      <c r="G42" s="55" t="e">
        <f>#REF!*8/100</f>
        <v>#REF!</v>
      </c>
      <c r="H42" s="55" t="e">
        <f>#REF!*8/100</f>
        <v>#REF!</v>
      </c>
      <c r="I42" s="55" t="e">
        <f>#REF!*8/100</f>
        <v>#REF!</v>
      </c>
      <c r="J42" s="55" t="e">
        <f>#REF!*8/100</f>
        <v>#REF!</v>
      </c>
      <c r="K42" s="55" t="e">
        <f>#REF!*8/100</f>
        <v>#REF!</v>
      </c>
      <c r="L42" s="55" t="e">
        <f>#REF!*8/100</f>
        <v>#REF!</v>
      </c>
      <c r="M42" s="55" t="e">
        <f>#REF!*8/100</f>
        <v>#REF!</v>
      </c>
      <c r="N42" s="55" t="e">
        <f>#REF!*8/100</f>
        <v>#REF!</v>
      </c>
      <c r="O42" s="55" t="e">
        <f>#REF!*8/100</f>
        <v>#REF!</v>
      </c>
      <c r="P42" s="55" t="e">
        <f>#REF!*8/100</f>
        <v>#REF!</v>
      </c>
      <c r="Q42" s="55" t="e">
        <f>(AVERAGE(#REF!*8/100)+(#REF!*8/100))/2</f>
        <v>#REF!</v>
      </c>
      <c r="R42" s="55" t="e">
        <f>(AVERAGE(#REF!*8/100)+(#REF!*8/100))/2</f>
        <v>#REF!</v>
      </c>
      <c r="V42" s="78"/>
    </row>
    <row r="43" spans="1:22" ht="20.25">
      <c r="A43" s="59">
        <v>9</v>
      </c>
      <c r="B43" s="77" t="e">
        <f>#REF!*8/100</f>
        <v>#REF!</v>
      </c>
      <c r="C43" s="55" t="e">
        <f>#REF!*8/100</f>
        <v>#REF!</v>
      </c>
      <c r="D43" s="55" t="e">
        <f>#REF!*8/100</f>
        <v>#REF!</v>
      </c>
      <c r="E43" s="55" t="e">
        <f>#REF!*8/100</f>
        <v>#REF!</v>
      </c>
      <c r="F43" s="55" t="e">
        <f>#REF!*8/100</f>
        <v>#REF!</v>
      </c>
      <c r="G43" s="55" t="e">
        <f>#REF!*8/100</f>
        <v>#REF!</v>
      </c>
      <c r="H43" s="55" t="e">
        <f>#REF!*8/100</f>
        <v>#REF!</v>
      </c>
      <c r="I43" s="55" t="e">
        <f>#REF!*8/100</f>
        <v>#REF!</v>
      </c>
      <c r="J43" s="55" t="e">
        <f>#REF!*8/100</f>
        <v>#REF!</v>
      </c>
      <c r="K43" s="55" t="e">
        <f>#REF!*8/100</f>
        <v>#REF!</v>
      </c>
      <c r="L43" s="55" t="e">
        <f>#REF!*8/100</f>
        <v>#REF!</v>
      </c>
      <c r="M43" s="55" t="e">
        <f>#REF!*8/100</f>
        <v>#REF!</v>
      </c>
      <c r="N43" s="55" t="e">
        <f>#REF!*8/100</f>
        <v>#REF!</v>
      </c>
      <c r="O43" s="55" t="e">
        <f>#REF!*8/100</f>
        <v>#REF!</v>
      </c>
      <c r="P43" s="55" t="e">
        <f>#REF!*8/100</f>
        <v>#REF!</v>
      </c>
      <c r="Q43" s="55" t="e">
        <f>(AVERAGE(#REF!*8/100)+(#REF!*8/100))/2</f>
        <v>#REF!</v>
      </c>
      <c r="R43" s="55" t="e">
        <f>(AVERAGE(#REF!*8/100)+(#REF!*8/100))/2</f>
        <v>#REF!</v>
      </c>
      <c r="V43" s="78"/>
    </row>
    <row r="44" spans="1:22" ht="20.25">
      <c r="A44" s="59">
        <v>10</v>
      </c>
      <c r="B44" s="77" t="e">
        <f>#REF!*8/100</f>
        <v>#REF!</v>
      </c>
      <c r="C44" s="55" t="e">
        <f>#REF!*8/100</f>
        <v>#REF!</v>
      </c>
      <c r="D44" s="55" t="e">
        <f>#REF!*8/100</f>
        <v>#REF!</v>
      </c>
      <c r="E44" s="55" t="e">
        <f>#REF!*8/100</f>
        <v>#REF!</v>
      </c>
      <c r="F44" s="55" t="e">
        <f>#REF!*8/100</f>
        <v>#REF!</v>
      </c>
      <c r="G44" s="55" t="e">
        <f>#REF!*8/100</f>
        <v>#REF!</v>
      </c>
      <c r="H44" s="55" t="e">
        <f>#REF!*8/100</f>
        <v>#REF!</v>
      </c>
      <c r="I44" s="55" t="e">
        <f>#REF!*8/100</f>
        <v>#REF!</v>
      </c>
      <c r="J44" s="55" t="e">
        <f>#REF!*8/100</f>
        <v>#REF!</v>
      </c>
      <c r="K44" s="55" t="e">
        <f>#REF!*8/100</f>
        <v>#REF!</v>
      </c>
      <c r="L44" s="55" t="e">
        <f>#REF!*8/100</f>
        <v>#REF!</v>
      </c>
      <c r="M44" s="55" t="e">
        <f>#REF!*8/100</f>
        <v>#REF!</v>
      </c>
      <c r="N44" s="55" t="e">
        <f>#REF!*8/100</f>
        <v>#REF!</v>
      </c>
      <c r="O44" s="55" t="e">
        <f>#REF!*8/100</f>
        <v>#REF!</v>
      </c>
      <c r="P44" s="55" t="e">
        <f>#REF!*8/100</f>
        <v>#REF!</v>
      </c>
      <c r="Q44" s="55" t="e">
        <f>(AVERAGE(#REF!*8/100)+(#REF!*8/100))/2</f>
        <v>#REF!</v>
      </c>
      <c r="R44" s="55" t="e">
        <f>(AVERAGE(#REF!*8/100)+(#REF!*8/100))/2</f>
        <v>#REF!</v>
      </c>
      <c r="V44" s="78"/>
    </row>
    <row r="45" spans="1:22" ht="20.25">
      <c r="A45" s="59">
        <v>11</v>
      </c>
      <c r="B45" s="77" t="e">
        <f>#REF!*8/100</f>
        <v>#REF!</v>
      </c>
      <c r="C45" s="55" t="e">
        <f>#REF!*8/100</f>
        <v>#REF!</v>
      </c>
      <c r="D45" s="55" t="e">
        <f>#REF!*8/100</f>
        <v>#REF!</v>
      </c>
      <c r="E45" s="55" t="e">
        <f>#REF!*8/100</f>
        <v>#REF!</v>
      </c>
      <c r="F45" s="55" t="e">
        <f>#REF!*8/100</f>
        <v>#REF!</v>
      </c>
      <c r="G45" s="55" t="e">
        <f>#REF!*8/100</f>
        <v>#REF!</v>
      </c>
      <c r="H45" s="55" t="e">
        <f>#REF!*8/100</f>
        <v>#REF!</v>
      </c>
      <c r="I45" s="55" t="e">
        <f>#REF!*8/100</f>
        <v>#REF!</v>
      </c>
      <c r="J45" s="55" t="e">
        <f>#REF!*8/100</f>
        <v>#REF!</v>
      </c>
      <c r="K45" s="55" t="e">
        <f>#REF!*8/100</f>
        <v>#REF!</v>
      </c>
      <c r="L45" s="55" t="e">
        <f>#REF!*8/100</f>
        <v>#REF!</v>
      </c>
      <c r="M45" s="55" t="e">
        <f>#REF!*8/100</f>
        <v>#REF!</v>
      </c>
      <c r="N45" s="55" t="e">
        <f>#REF!*8/100</f>
        <v>#REF!</v>
      </c>
      <c r="O45" s="55" t="e">
        <f>#REF!*8/100</f>
        <v>#REF!</v>
      </c>
      <c r="P45" s="55" t="e">
        <f>#REF!*8/100</f>
        <v>#REF!</v>
      </c>
      <c r="Q45" s="55" t="e">
        <f>(AVERAGE(#REF!*8/100)+(#REF!*8/100))/2</f>
        <v>#REF!</v>
      </c>
      <c r="R45" s="55" t="e">
        <f>(AVERAGE(#REF!*8/100)+(#REF!*8/100))/2</f>
        <v>#REF!</v>
      </c>
      <c r="V45" s="78"/>
    </row>
    <row r="46" spans="1:22" ht="20.25">
      <c r="A46" s="59">
        <v>12</v>
      </c>
      <c r="B46" s="77" t="e">
        <f>#REF!*8/100</f>
        <v>#REF!</v>
      </c>
      <c r="C46" s="55" t="e">
        <f>#REF!*8/100</f>
        <v>#REF!</v>
      </c>
      <c r="D46" s="55" t="e">
        <f>#REF!*8/100</f>
        <v>#REF!</v>
      </c>
      <c r="E46" s="55" t="e">
        <f>#REF!*8/100</f>
        <v>#REF!</v>
      </c>
      <c r="F46" s="55" t="e">
        <f>#REF!*8/100</f>
        <v>#REF!</v>
      </c>
      <c r="G46" s="55" t="e">
        <f>#REF!*8/100</f>
        <v>#REF!</v>
      </c>
      <c r="H46" s="55" t="e">
        <f>#REF!*8/100</f>
        <v>#REF!</v>
      </c>
      <c r="I46" s="55" t="e">
        <f>#REF!*8/100</f>
        <v>#REF!</v>
      </c>
      <c r="J46" s="55" t="e">
        <f>#REF!*8/100</f>
        <v>#REF!</v>
      </c>
      <c r="K46" s="55" t="e">
        <f>#REF!*8/100</f>
        <v>#REF!</v>
      </c>
      <c r="L46" s="55" t="e">
        <f>#REF!*8/100</f>
        <v>#REF!</v>
      </c>
      <c r="M46" s="55" t="e">
        <f>#REF!*8/100</f>
        <v>#REF!</v>
      </c>
      <c r="N46" s="55" t="e">
        <f>#REF!*8/100</f>
        <v>#REF!</v>
      </c>
      <c r="O46" s="55" t="e">
        <f>#REF!*8/100</f>
        <v>#REF!</v>
      </c>
      <c r="P46" s="55" t="e">
        <f>#REF!*8/100</f>
        <v>#REF!</v>
      </c>
      <c r="Q46" s="55" t="e">
        <f>(AVERAGE(#REF!*8/100)+(#REF!*8/100))/2</f>
        <v>#REF!</v>
      </c>
      <c r="R46" s="55" t="e">
        <f>(AVERAGE(#REF!*8/100)+(#REF!*8/100))/2</f>
        <v>#REF!</v>
      </c>
      <c r="V46" s="78"/>
    </row>
    <row r="47" spans="1:22" ht="20.25">
      <c r="A47" s="59">
        <v>13</v>
      </c>
      <c r="B47" s="77" t="e">
        <f>#REF!*8/100</f>
        <v>#REF!</v>
      </c>
      <c r="C47" s="55" t="e">
        <f>#REF!*8/100</f>
        <v>#REF!</v>
      </c>
      <c r="D47" s="55" t="e">
        <f>#REF!*8/100</f>
        <v>#REF!</v>
      </c>
      <c r="E47" s="55" t="e">
        <f>#REF!*8/100</f>
        <v>#REF!</v>
      </c>
      <c r="F47" s="55" t="e">
        <f>#REF!*8/100</f>
        <v>#REF!</v>
      </c>
      <c r="G47" s="55" t="e">
        <f>#REF!*8/100</f>
        <v>#REF!</v>
      </c>
      <c r="H47" s="55" t="e">
        <f>#REF!*8/100</f>
        <v>#REF!</v>
      </c>
      <c r="I47" s="55" t="e">
        <f>#REF!*8/100</f>
        <v>#REF!</v>
      </c>
      <c r="J47" s="55" t="e">
        <f>#REF!*8/100</f>
        <v>#REF!</v>
      </c>
      <c r="K47" s="55" t="e">
        <f>#REF!*8/100</f>
        <v>#REF!</v>
      </c>
      <c r="L47" s="55" t="e">
        <f>#REF!*8/100</f>
        <v>#REF!</v>
      </c>
      <c r="M47" s="55" t="e">
        <f>#REF!*8/100</f>
        <v>#REF!</v>
      </c>
      <c r="N47" s="55" t="e">
        <f>#REF!*8/100</f>
        <v>#REF!</v>
      </c>
      <c r="O47" s="55" t="e">
        <f>#REF!*8/100</f>
        <v>#REF!</v>
      </c>
      <c r="P47" s="55" t="e">
        <f>#REF!*8/100</f>
        <v>#REF!</v>
      </c>
      <c r="Q47" s="55" t="e">
        <f>(AVERAGE(#REF!*8/100)+(#REF!*8/100))/2</f>
        <v>#REF!</v>
      </c>
      <c r="R47" s="55" t="e">
        <f>(AVERAGE(#REF!*8/100)+(#REF!*8/100))/2</f>
        <v>#REF!</v>
      </c>
      <c r="V47" s="78"/>
    </row>
    <row r="48" spans="1:22" ht="20.25">
      <c r="A48" s="59">
        <v>14</v>
      </c>
      <c r="B48" s="77" t="e">
        <f>#REF!*8/100</f>
        <v>#REF!</v>
      </c>
      <c r="C48" s="55" t="e">
        <f>#REF!*8/100</f>
        <v>#REF!</v>
      </c>
      <c r="D48" s="55" t="e">
        <f>#REF!*8/100</f>
        <v>#REF!</v>
      </c>
      <c r="E48" s="55" t="e">
        <f>#REF!*8/100</f>
        <v>#REF!</v>
      </c>
      <c r="F48" s="55" t="e">
        <f>#REF!*8/100</f>
        <v>#REF!</v>
      </c>
      <c r="G48" s="55" t="e">
        <f>#REF!*8/100</f>
        <v>#REF!</v>
      </c>
      <c r="H48" s="55" t="e">
        <f>#REF!*8/100</f>
        <v>#REF!</v>
      </c>
      <c r="I48" s="55" t="e">
        <f>#REF!*8/100</f>
        <v>#REF!</v>
      </c>
      <c r="J48" s="55" t="e">
        <f>#REF!*8/100</f>
        <v>#REF!</v>
      </c>
      <c r="K48" s="55" t="e">
        <f>#REF!*8/100</f>
        <v>#REF!</v>
      </c>
      <c r="L48" s="55" t="e">
        <f>#REF!*8/100</f>
        <v>#REF!</v>
      </c>
      <c r="M48" s="55" t="e">
        <f>#REF!*8/100</f>
        <v>#REF!</v>
      </c>
      <c r="N48" s="55" t="e">
        <f>#REF!*8/100</f>
        <v>#REF!</v>
      </c>
      <c r="O48" s="55" t="e">
        <f>#REF!*8/100</f>
        <v>#REF!</v>
      </c>
      <c r="P48" s="55" t="e">
        <f>#REF!*8/100</f>
        <v>#REF!</v>
      </c>
      <c r="Q48" s="55" t="e">
        <f>(AVERAGE(#REF!*8/100)+(#REF!*8/100))/2</f>
        <v>#REF!</v>
      </c>
      <c r="R48" s="55" t="e">
        <f>(AVERAGE(#REF!*8/100)+(#REF!*8/100))/2</f>
        <v>#REF!</v>
      </c>
      <c r="V48" s="78"/>
    </row>
    <row r="49" spans="1:22" ht="20.25">
      <c r="A49" s="59">
        <v>15</v>
      </c>
      <c r="B49" s="77" t="e">
        <f>#REF!*8/100</f>
        <v>#REF!</v>
      </c>
      <c r="C49" s="55" t="e">
        <f>#REF!*8/100</f>
        <v>#REF!</v>
      </c>
      <c r="D49" s="55" t="e">
        <f>#REF!*8/100</f>
        <v>#REF!</v>
      </c>
      <c r="E49" s="55" t="e">
        <f>#REF!*8/100</f>
        <v>#REF!</v>
      </c>
      <c r="F49" s="55" t="e">
        <f>#REF!*8/100</f>
        <v>#REF!</v>
      </c>
      <c r="G49" s="55" t="e">
        <f>#REF!*8/100</f>
        <v>#REF!</v>
      </c>
      <c r="H49" s="55" t="e">
        <f>#REF!*8/100</f>
        <v>#REF!</v>
      </c>
      <c r="I49" s="55" t="e">
        <f>#REF!*8/100</f>
        <v>#REF!</v>
      </c>
      <c r="J49" s="55" t="e">
        <f>#REF!*8/100</f>
        <v>#REF!</v>
      </c>
      <c r="K49" s="55" t="e">
        <f>#REF!*8/100</f>
        <v>#REF!</v>
      </c>
      <c r="L49" s="55" t="e">
        <f>#REF!*8/100</f>
        <v>#REF!</v>
      </c>
      <c r="M49" s="55" t="e">
        <f>#REF!*8/100</f>
        <v>#REF!</v>
      </c>
      <c r="N49" s="55" t="e">
        <f>#REF!*8/100</f>
        <v>#REF!</v>
      </c>
      <c r="O49" s="55" t="e">
        <f>#REF!*8/100</f>
        <v>#REF!</v>
      </c>
      <c r="P49" s="55" t="e">
        <f>#REF!*8/100</f>
        <v>#REF!</v>
      </c>
      <c r="Q49" s="55" t="e">
        <f>(AVERAGE(#REF!*8/100)+(#REF!*8/100))/2</f>
        <v>#REF!</v>
      </c>
      <c r="R49" s="55" t="e">
        <f>(AVERAGE(#REF!*8/100)+(#REF!*8/100))/2</f>
        <v>#REF!</v>
      </c>
      <c r="V49" s="78"/>
    </row>
    <row r="50" spans="1:22" ht="20.25">
      <c r="A50" s="59">
        <v>16</v>
      </c>
      <c r="B50" s="77" t="e">
        <f>#REF!*8/100</f>
        <v>#REF!</v>
      </c>
      <c r="C50" s="55" t="e">
        <f>#REF!*8/100</f>
        <v>#REF!</v>
      </c>
      <c r="D50" s="55" t="e">
        <f>#REF!*8/100</f>
        <v>#REF!</v>
      </c>
      <c r="E50" s="55" t="e">
        <f>#REF!*8/100</f>
        <v>#REF!</v>
      </c>
      <c r="F50" s="55" t="e">
        <f>#REF!*8/100</f>
        <v>#REF!</v>
      </c>
      <c r="G50" s="55" t="e">
        <f>#REF!*8/100</f>
        <v>#REF!</v>
      </c>
      <c r="H50" s="55" t="e">
        <f>#REF!*8/100</f>
        <v>#REF!</v>
      </c>
      <c r="I50" s="55" t="e">
        <f>#REF!*8/100</f>
        <v>#REF!</v>
      </c>
      <c r="J50" s="55" t="e">
        <f>#REF!*8/100</f>
        <v>#REF!</v>
      </c>
      <c r="K50" s="55" t="e">
        <f>#REF!*8/100</f>
        <v>#REF!</v>
      </c>
      <c r="L50" s="55" t="e">
        <f>#REF!*8/100</f>
        <v>#REF!</v>
      </c>
      <c r="M50" s="55" t="e">
        <f>#REF!*8/100</f>
        <v>#REF!</v>
      </c>
      <c r="N50" s="55" t="e">
        <f>#REF!*8/100</f>
        <v>#REF!</v>
      </c>
      <c r="O50" s="55" t="e">
        <f>#REF!*8/100</f>
        <v>#REF!</v>
      </c>
      <c r="P50" s="55" t="e">
        <f>#REF!*8/100</f>
        <v>#REF!</v>
      </c>
      <c r="Q50" s="55" t="e">
        <f>(AVERAGE(#REF!*8/100)+(#REF!*8/100))/2</f>
        <v>#REF!</v>
      </c>
      <c r="R50" s="55" t="e">
        <f>(AVERAGE(#REF!*8/100)+(#REF!*8/100))/2</f>
        <v>#REF!</v>
      </c>
      <c r="V50" s="78"/>
    </row>
    <row r="51" spans="1:22" ht="20.25">
      <c r="A51" s="59">
        <v>17</v>
      </c>
      <c r="B51" s="77" t="e">
        <f>#REF!*8/100</f>
        <v>#REF!</v>
      </c>
      <c r="C51" s="55" t="e">
        <f>#REF!*8/100</f>
        <v>#REF!</v>
      </c>
      <c r="D51" s="55" t="e">
        <f>#REF!*8/100</f>
        <v>#REF!</v>
      </c>
      <c r="E51" s="55" t="e">
        <f>#REF!*8/100</f>
        <v>#REF!</v>
      </c>
      <c r="F51" s="55" t="e">
        <f>#REF!*8/100</f>
        <v>#REF!</v>
      </c>
      <c r="G51" s="55" t="e">
        <f>#REF!*8/100</f>
        <v>#REF!</v>
      </c>
      <c r="H51" s="55" t="e">
        <f>#REF!*8/100</f>
        <v>#REF!</v>
      </c>
      <c r="I51" s="55" t="e">
        <f>#REF!*8/100</f>
        <v>#REF!</v>
      </c>
      <c r="J51" s="55" t="e">
        <f>#REF!*8/100</f>
        <v>#REF!</v>
      </c>
      <c r="K51" s="55" t="e">
        <f>#REF!*8/100</f>
        <v>#REF!</v>
      </c>
      <c r="L51" s="55" t="e">
        <f>#REF!*8/100</f>
        <v>#REF!</v>
      </c>
      <c r="M51" s="55" t="e">
        <f>#REF!*8/100</f>
        <v>#REF!</v>
      </c>
      <c r="N51" s="55" t="e">
        <f>#REF!*8/100</f>
        <v>#REF!</v>
      </c>
      <c r="O51" s="55" t="e">
        <f>#REF!*8/100</f>
        <v>#REF!</v>
      </c>
      <c r="P51" s="55" t="e">
        <f>#REF!*8/100</f>
        <v>#REF!</v>
      </c>
      <c r="Q51" s="55" t="e">
        <f>(AVERAGE(#REF!*8/100)+(#REF!*8/100))/2</f>
        <v>#REF!</v>
      </c>
      <c r="R51" s="55" t="e">
        <f>(AVERAGE(#REF!*8/100)+(#REF!*8/100))/2</f>
        <v>#REF!</v>
      </c>
      <c r="V51" s="78"/>
    </row>
    <row r="52" spans="1:22" ht="20.25">
      <c r="A52" s="59">
        <v>18</v>
      </c>
      <c r="B52" s="77" t="e">
        <f>#REF!*8/100</f>
        <v>#REF!</v>
      </c>
      <c r="C52" s="55" t="e">
        <f>#REF!*8/100</f>
        <v>#REF!</v>
      </c>
      <c r="D52" s="55" t="e">
        <f>#REF!*8/100</f>
        <v>#REF!</v>
      </c>
      <c r="E52" s="55" t="e">
        <f>#REF!*8/100</f>
        <v>#REF!</v>
      </c>
      <c r="F52" s="55" t="e">
        <f>#REF!*8/100</f>
        <v>#REF!</v>
      </c>
      <c r="G52" s="55" t="e">
        <f>#REF!*8/100</f>
        <v>#REF!</v>
      </c>
      <c r="H52" s="55" t="e">
        <f>#REF!*8/100</f>
        <v>#REF!</v>
      </c>
      <c r="I52" s="55" t="e">
        <f>#REF!*8/100</f>
        <v>#REF!</v>
      </c>
      <c r="J52" s="55" t="e">
        <f>#REF!*8/100</f>
        <v>#REF!</v>
      </c>
      <c r="K52" s="55" t="e">
        <f>#REF!*8/100</f>
        <v>#REF!</v>
      </c>
      <c r="L52" s="55" t="e">
        <f>#REF!*8/100</f>
        <v>#REF!</v>
      </c>
      <c r="M52" s="55" t="e">
        <f>#REF!*8/100</f>
        <v>#REF!</v>
      </c>
      <c r="N52" s="55" t="e">
        <f>#REF!*8/100</f>
        <v>#REF!</v>
      </c>
      <c r="O52" s="55" t="e">
        <f>#REF!*8/100</f>
        <v>#REF!</v>
      </c>
      <c r="P52" s="55" t="e">
        <f>#REF!*8/100</f>
        <v>#REF!</v>
      </c>
      <c r="Q52" s="55" t="e">
        <f>(AVERAGE(#REF!*8/100)+(#REF!*8/100))/2</f>
        <v>#REF!</v>
      </c>
      <c r="R52" s="55" t="e">
        <f>(AVERAGE(#REF!*8/100)+(#REF!*8/100))/2</f>
        <v>#REF!</v>
      </c>
      <c r="V52" s="78"/>
    </row>
    <row r="53" spans="1:22" ht="21" thickBot="1">
      <c r="A53" s="60">
        <v>19</v>
      </c>
      <c r="B53" s="77" t="e">
        <f>#REF!*8/100</f>
        <v>#REF!</v>
      </c>
      <c r="C53" s="55" t="e">
        <f>#REF!*8/100</f>
        <v>#REF!</v>
      </c>
      <c r="D53" s="55" t="e">
        <f>#REF!*8/100</f>
        <v>#REF!</v>
      </c>
      <c r="E53" s="55" t="e">
        <f>#REF!*8/100</f>
        <v>#REF!</v>
      </c>
      <c r="F53" s="55" t="e">
        <f>#REF!*8/100</f>
        <v>#REF!</v>
      </c>
      <c r="G53" s="55" t="e">
        <f>#REF!*8/100</f>
        <v>#REF!</v>
      </c>
      <c r="H53" s="55" t="e">
        <f>#REF!*8/100</f>
        <v>#REF!</v>
      </c>
      <c r="I53" s="55" t="e">
        <f>#REF!*8/100</f>
        <v>#REF!</v>
      </c>
      <c r="J53" s="55" t="e">
        <f>#REF!*8/100</f>
        <v>#REF!</v>
      </c>
      <c r="K53" s="55" t="e">
        <f>#REF!*8/100</f>
        <v>#REF!</v>
      </c>
      <c r="L53" s="55" t="e">
        <f>#REF!*8/100</f>
        <v>#REF!</v>
      </c>
      <c r="M53" s="55" t="e">
        <f>#REF!*8/100</f>
        <v>#REF!</v>
      </c>
      <c r="N53" s="55" t="e">
        <f>#REF!*8/100</f>
        <v>#REF!</v>
      </c>
      <c r="O53" s="55" t="e">
        <f>#REF!*8/100</f>
        <v>#REF!</v>
      </c>
      <c r="P53" s="55" t="e">
        <f>#REF!*8/100</f>
        <v>#REF!</v>
      </c>
      <c r="Q53" s="55" t="e">
        <f>(AVERAGE(#REF!*8/100)+(#REF!*8/100))/2</f>
        <v>#REF!</v>
      </c>
      <c r="R53" s="55" t="e">
        <f>(AVERAGE(#REF!*8/100)+(#REF!*8/100))/2</f>
        <v>#REF!</v>
      </c>
      <c r="V53" s="78"/>
    </row>
    <row r="54" spans="1:22">
      <c r="V54" s="78"/>
    </row>
    <row r="55" spans="1:22">
      <c r="V55" s="78"/>
    </row>
    <row r="56" spans="1:22" ht="28.5" thickBot="1">
      <c r="B56" s="655" t="s">
        <v>72</v>
      </c>
      <c r="C56" s="655"/>
      <c r="D56" s="655"/>
      <c r="E56" s="655"/>
      <c r="F56" s="655"/>
      <c r="G56" s="655"/>
      <c r="H56" s="655"/>
      <c r="I56" s="655"/>
      <c r="J56" s="655"/>
      <c r="K56" s="655"/>
      <c r="L56" s="655"/>
      <c r="M56" s="655"/>
      <c r="N56" s="655"/>
      <c r="O56" s="655"/>
      <c r="P56" s="655"/>
      <c r="Q56" s="655"/>
      <c r="R56" s="655"/>
      <c r="S56" t="s">
        <v>54</v>
      </c>
      <c r="U56">
        <v>8</v>
      </c>
      <c r="V56" s="78"/>
    </row>
    <row r="57" spans="1:22">
      <c r="B57" s="656" t="s">
        <v>55</v>
      </c>
      <c r="C57" s="656" t="s">
        <v>56</v>
      </c>
      <c r="D57" s="656" t="s">
        <v>57</v>
      </c>
      <c r="E57" s="656" t="s">
        <v>58</v>
      </c>
      <c r="F57" s="656" t="s">
        <v>59</v>
      </c>
      <c r="G57" s="656" t="s">
        <v>60</v>
      </c>
      <c r="H57" s="656" t="s">
        <v>61</v>
      </c>
      <c r="I57" s="656" t="s">
        <v>62</v>
      </c>
      <c r="J57" s="658" t="s">
        <v>63</v>
      </c>
      <c r="K57" s="658" t="s">
        <v>64</v>
      </c>
      <c r="L57" s="658" t="s">
        <v>65</v>
      </c>
      <c r="M57" s="658" t="s">
        <v>66</v>
      </c>
      <c r="N57" s="658" t="s">
        <v>67</v>
      </c>
      <c r="O57" s="658" t="s">
        <v>68</v>
      </c>
      <c r="P57" s="658" t="s">
        <v>69</v>
      </c>
      <c r="Q57" s="653" t="s">
        <v>70</v>
      </c>
      <c r="R57" s="653" t="s">
        <v>71</v>
      </c>
      <c r="S57" s="662"/>
      <c r="V57" s="78"/>
    </row>
    <row r="58" spans="1:22" ht="13.5" thickBot="1">
      <c r="B58" s="657"/>
      <c r="C58" s="657"/>
      <c r="D58" s="657"/>
      <c r="E58" s="657"/>
      <c r="F58" s="657"/>
      <c r="G58" s="657"/>
      <c r="H58" s="657"/>
      <c r="I58" s="657"/>
      <c r="J58" s="659"/>
      <c r="K58" s="659"/>
      <c r="L58" s="659"/>
      <c r="M58" s="659"/>
      <c r="N58" s="659"/>
      <c r="O58" s="659"/>
      <c r="P58" s="659"/>
      <c r="Q58" s="654"/>
      <c r="R58" s="654"/>
      <c r="S58" s="662"/>
      <c r="V58" s="78"/>
    </row>
    <row r="59" spans="1:22" ht="13.5" thickBot="1">
      <c r="A59" s="56" t="s">
        <v>39</v>
      </c>
      <c r="B59" s="56" t="s">
        <v>53</v>
      </c>
      <c r="C59" s="56" t="s">
        <v>53</v>
      </c>
      <c r="D59" s="56" t="s">
        <v>53</v>
      </c>
      <c r="E59" s="56" t="s">
        <v>53</v>
      </c>
      <c r="F59" s="56" t="s">
        <v>53</v>
      </c>
      <c r="G59" s="56" t="s">
        <v>53</v>
      </c>
      <c r="H59" s="56" t="s">
        <v>53</v>
      </c>
      <c r="I59" s="56" t="s">
        <v>53</v>
      </c>
      <c r="J59" s="56" t="s">
        <v>53</v>
      </c>
      <c r="K59" s="56" t="s">
        <v>53</v>
      </c>
      <c r="L59" s="56" t="s">
        <v>53</v>
      </c>
      <c r="M59" s="56" t="s">
        <v>53</v>
      </c>
      <c r="N59" s="56" t="s">
        <v>53</v>
      </c>
      <c r="O59" s="56" t="s">
        <v>53</v>
      </c>
      <c r="P59" s="56" t="s">
        <v>53</v>
      </c>
      <c r="Q59" s="56" t="s">
        <v>53</v>
      </c>
      <c r="R59" s="56" t="s">
        <v>53</v>
      </c>
      <c r="V59" s="78"/>
    </row>
    <row r="60" spans="1:22" ht="20.25">
      <c r="A60" s="58">
        <v>1</v>
      </c>
      <c r="B60" s="57"/>
      <c r="C60" s="54"/>
      <c r="D60" s="54"/>
      <c r="E60" s="54"/>
      <c r="F60" s="54"/>
      <c r="G60" s="54"/>
      <c r="H60" s="54"/>
      <c r="I60" s="54"/>
      <c r="J60" s="54"/>
      <c r="K60" s="54"/>
      <c r="L60" s="54"/>
      <c r="M60" s="54"/>
      <c r="N60" s="54"/>
      <c r="O60" s="54"/>
      <c r="P60" s="54"/>
      <c r="Q60" s="54"/>
      <c r="R60" s="54"/>
      <c r="V60" s="78"/>
    </row>
    <row r="61" spans="1:22" ht="20.25">
      <c r="A61" s="59">
        <v>2</v>
      </c>
      <c r="B61" s="77" t="e">
        <f>#REF!*8/100</f>
        <v>#REF!</v>
      </c>
      <c r="C61" s="55" t="e">
        <f>#REF!*8/100</f>
        <v>#REF!</v>
      </c>
      <c r="D61" s="55" t="e">
        <f>#REF!*8/100</f>
        <v>#REF!</v>
      </c>
      <c r="E61" s="55" t="e">
        <f>#REF!*8/100</f>
        <v>#REF!</v>
      </c>
      <c r="F61" s="55" t="e">
        <f>#REF!*8/100</f>
        <v>#REF!</v>
      </c>
      <c r="G61" s="55" t="e">
        <f>#REF!*8/100</f>
        <v>#REF!</v>
      </c>
      <c r="H61" s="55" t="e">
        <f>#REF!*8/100</f>
        <v>#REF!</v>
      </c>
      <c r="I61" s="55" t="e">
        <f>#REF!*8/100</f>
        <v>#REF!</v>
      </c>
      <c r="J61" s="55" t="e">
        <f>#REF!*8/100</f>
        <v>#REF!</v>
      </c>
      <c r="K61" s="55" t="e">
        <f>#REF!*8/100</f>
        <v>#REF!</v>
      </c>
      <c r="L61" s="55" t="e">
        <f>#REF!*8/100</f>
        <v>#REF!</v>
      </c>
      <c r="M61" s="55" t="e">
        <f>#REF!*8/100</f>
        <v>#REF!</v>
      </c>
      <c r="N61" s="55" t="e">
        <f>#REF!*8/100</f>
        <v>#REF!</v>
      </c>
      <c r="O61" s="55" t="e">
        <f>#REF!*8/100</f>
        <v>#REF!</v>
      </c>
      <c r="P61" s="55" t="e">
        <f>#REF!*8/100</f>
        <v>#REF!</v>
      </c>
      <c r="Q61" s="55" t="e">
        <f>(AVERAGE(#REF!*8/100)+(#REF!*8/100))/2</f>
        <v>#REF!</v>
      </c>
      <c r="R61" s="55" t="e">
        <f>AVERAGE(#REF!*8/100)+(#REF!*8/100)</f>
        <v>#REF!</v>
      </c>
      <c r="V61" s="78"/>
    </row>
    <row r="62" spans="1:22" ht="20.25">
      <c r="A62" s="59">
        <v>3</v>
      </c>
      <c r="B62" s="77" t="e">
        <f>#REF!*8/100</f>
        <v>#REF!</v>
      </c>
      <c r="C62" s="55" t="e">
        <f>#REF!*8/100</f>
        <v>#REF!</v>
      </c>
      <c r="D62" s="55" t="e">
        <f>#REF!*8/100</f>
        <v>#REF!</v>
      </c>
      <c r="E62" s="55" t="e">
        <f>#REF!*8/100</f>
        <v>#REF!</v>
      </c>
      <c r="F62" s="55" t="e">
        <f>#REF!*8/100</f>
        <v>#REF!</v>
      </c>
      <c r="G62" s="55" t="e">
        <f>#REF!*8/100</f>
        <v>#REF!</v>
      </c>
      <c r="H62" s="55" t="e">
        <f>#REF!*8/100</f>
        <v>#REF!</v>
      </c>
      <c r="I62" s="55" t="e">
        <f>#REF!*8/100</f>
        <v>#REF!</v>
      </c>
      <c r="J62" s="55" t="e">
        <f>#REF!*8/100</f>
        <v>#REF!</v>
      </c>
      <c r="K62" s="55" t="e">
        <f>#REF!*8/100</f>
        <v>#REF!</v>
      </c>
      <c r="L62" s="55" t="e">
        <f>#REF!*8/100</f>
        <v>#REF!</v>
      </c>
      <c r="M62" s="55" t="e">
        <f>#REF!*8/100</f>
        <v>#REF!</v>
      </c>
      <c r="N62" s="55" t="e">
        <f>#REF!*8/100</f>
        <v>#REF!</v>
      </c>
      <c r="O62" s="55" t="e">
        <f>#REF!*8/100</f>
        <v>#REF!</v>
      </c>
      <c r="P62" s="55" t="e">
        <f>#REF!*8/100</f>
        <v>#REF!</v>
      </c>
      <c r="Q62" s="55" t="e">
        <f>(AVERAGE(#REF!*8/100)+(#REF!*8/100))/2</f>
        <v>#REF!</v>
      </c>
      <c r="R62" s="55" t="e">
        <f>AVERAGE(#REF!*8/100)+(#REF!*8/100)</f>
        <v>#REF!</v>
      </c>
      <c r="V62" s="78"/>
    </row>
    <row r="63" spans="1:22" ht="20.25">
      <c r="A63" s="59">
        <v>4</v>
      </c>
      <c r="B63" s="77" t="e">
        <f>#REF!*8/100</f>
        <v>#REF!</v>
      </c>
      <c r="C63" s="55" t="e">
        <f>#REF!*8/100</f>
        <v>#REF!</v>
      </c>
      <c r="D63" s="55" t="e">
        <f>#REF!*8/100</f>
        <v>#REF!</v>
      </c>
      <c r="E63" s="55" t="e">
        <f>#REF!*8/100</f>
        <v>#REF!</v>
      </c>
      <c r="F63" s="55" t="e">
        <f>#REF!*8/100</f>
        <v>#REF!</v>
      </c>
      <c r="G63" s="55" t="e">
        <f>#REF!*8/100</f>
        <v>#REF!</v>
      </c>
      <c r="H63" s="55" t="e">
        <f>#REF!*8/100</f>
        <v>#REF!</v>
      </c>
      <c r="I63" s="55" t="e">
        <f>#REF!*8/100</f>
        <v>#REF!</v>
      </c>
      <c r="J63" s="55" t="e">
        <f>#REF!*8/100</f>
        <v>#REF!</v>
      </c>
      <c r="K63" s="55" t="e">
        <f>#REF!*8/100</f>
        <v>#REF!</v>
      </c>
      <c r="L63" s="55" t="e">
        <f>#REF!*8/100</f>
        <v>#REF!</v>
      </c>
      <c r="M63" s="55" t="e">
        <f>#REF!*8/100</f>
        <v>#REF!</v>
      </c>
      <c r="N63" s="55" t="e">
        <f>#REF!*8/100</f>
        <v>#REF!</v>
      </c>
      <c r="O63" s="55" t="e">
        <f>#REF!*8/100</f>
        <v>#REF!</v>
      </c>
      <c r="P63" s="55" t="e">
        <f>#REF!*8/100</f>
        <v>#REF!</v>
      </c>
      <c r="Q63" s="55" t="e">
        <f>(AVERAGE(#REF!*8/100)+(#REF!*8/100))/2</f>
        <v>#REF!</v>
      </c>
      <c r="R63" s="55" t="e">
        <f>AVERAGE(#REF!*8/100)+(#REF!*8/100)</f>
        <v>#REF!</v>
      </c>
      <c r="V63" s="78"/>
    </row>
    <row r="64" spans="1:22" ht="20.25">
      <c r="A64" s="59">
        <v>5</v>
      </c>
      <c r="B64" s="77" t="e">
        <f>#REF!*8/100</f>
        <v>#REF!</v>
      </c>
      <c r="C64" s="55" t="e">
        <f>#REF!*8/100</f>
        <v>#REF!</v>
      </c>
      <c r="D64" s="55" t="e">
        <f>#REF!*8/100</f>
        <v>#REF!</v>
      </c>
      <c r="E64" s="55" t="e">
        <f>#REF!*8/100</f>
        <v>#REF!</v>
      </c>
      <c r="F64" s="55" t="e">
        <f>#REF!*8/100</f>
        <v>#REF!</v>
      </c>
      <c r="G64" s="55" t="e">
        <f>#REF!*8/100</f>
        <v>#REF!</v>
      </c>
      <c r="H64" s="55" t="e">
        <f>#REF!*8/100</f>
        <v>#REF!</v>
      </c>
      <c r="I64" s="55" t="e">
        <f>#REF!*8/100</f>
        <v>#REF!</v>
      </c>
      <c r="J64" s="55" t="e">
        <f>#REF!*8/100</f>
        <v>#REF!</v>
      </c>
      <c r="K64" s="55" t="e">
        <f>#REF!*8/100</f>
        <v>#REF!</v>
      </c>
      <c r="L64" s="55" t="e">
        <f>#REF!*8/100</f>
        <v>#REF!</v>
      </c>
      <c r="M64" s="55" t="e">
        <f>#REF!*8/100</f>
        <v>#REF!</v>
      </c>
      <c r="N64" s="55" t="e">
        <f>#REF!*8/100</f>
        <v>#REF!</v>
      </c>
      <c r="O64" s="55" t="e">
        <f>#REF!*8/100</f>
        <v>#REF!</v>
      </c>
      <c r="P64" s="55" t="e">
        <f>#REF!*8/100</f>
        <v>#REF!</v>
      </c>
      <c r="Q64" s="55" t="e">
        <f>(AVERAGE(#REF!*8/100)+(#REF!*8/100))/2</f>
        <v>#REF!</v>
      </c>
      <c r="R64" s="55" t="e">
        <f>AVERAGE(#REF!*8/100)+(#REF!*8/100)</f>
        <v>#REF!</v>
      </c>
      <c r="V64" s="78"/>
    </row>
    <row r="65" spans="1:22" ht="20.25">
      <c r="A65" s="59">
        <v>6</v>
      </c>
      <c r="B65" s="77" t="e">
        <f>#REF!*8/100</f>
        <v>#REF!</v>
      </c>
      <c r="C65" s="55" t="e">
        <f>#REF!*8/100</f>
        <v>#REF!</v>
      </c>
      <c r="D65" s="55" t="e">
        <f>#REF!*8/100</f>
        <v>#REF!</v>
      </c>
      <c r="E65" s="55" t="e">
        <f>#REF!*8/100</f>
        <v>#REF!</v>
      </c>
      <c r="F65" s="55" t="e">
        <f>#REF!*8/100</f>
        <v>#REF!</v>
      </c>
      <c r="G65" s="55" t="e">
        <f>#REF!*8/100</f>
        <v>#REF!</v>
      </c>
      <c r="H65" s="55" t="e">
        <f>#REF!*8/100</f>
        <v>#REF!</v>
      </c>
      <c r="I65" s="55" t="e">
        <f>#REF!*8/100</f>
        <v>#REF!</v>
      </c>
      <c r="J65" s="55" t="e">
        <f>#REF!*8/100</f>
        <v>#REF!</v>
      </c>
      <c r="K65" s="55" t="e">
        <f>#REF!*8/100</f>
        <v>#REF!</v>
      </c>
      <c r="L65" s="55" t="e">
        <f>#REF!*8/100</f>
        <v>#REF!</v>
      </c>
      <c r="M65" s="55" t="e">
        <f>#REF!*8/100</f>
        <v>#REF!</v>
      </c>
      <c r="N65" s="55" t="e">
        <f>#REF!*8/100</f>
        <v>#REF!</v>
      </c>
      <c r="O65" s="55" t="e">
        <f>#REF!*8/100</f>
        <v>#REF!</v>
      </c>
      <c r="P65" s="55" t="e">
        <f>#REF!*8/100</f>
        <v>#REF!</v>
      </c>
      <c r="Q65" s="55" t="e">
        <f>(AVERAGE(#REF!*8/100)+(#REF!*8/100))/2</f>
        <v>#REF!</v>
      </c>
      <c r="R65" s="55" t="e">
        <f>AVERAGE(#REF!*8/100)+(#REF!*8/100)</f>
        <v>#REF!</v>
      </c>
      <c r="V65" s="78"/>
    </row>
    <row r="66" spans="1:22" ht="20.25">
      <c r="A66" s="59">
        <v>7</v>
      </c>
      <c r="B66" s="77" t="e">
        <f>#REF!*8/100</f>
        <v>#REF!</v>
      </c>
      <c r="C66" s="55" t="e">
        <f>#REF!*8/100</f>
        <v>#REF!</v>
      </c>
      <c r="D66" s="55" t="e">
        <f>#REF!*8/100</f>
        <v>#REF!</v>
      </c>
      <c r="E66" s="55" t="e">
        <f>#REF!*8/100</f>
        <v>#REF!</v>
      </c>
      <c r="F66" s="55" t="e">
        <f>#REF!*8/100</f>
        <v>#REF!</v>
      </c>
      <c r="G66" s="55" t="e">
        <f>#REF!*8/100</f>
        <v>#REF!</v>
      </c>
      <c r="H66" s="55" t="e">
        <f>#REF!*8/100</f>
        <v>#REF!</v>
      </c>
      <c r="I66" s="55" t="e">
        <f>#REF!*8/100</f>
        <v>#REF!</v>
      </c>
      <c r="J66" s="55" t="e">
        <f>#REF!*8/100</f>
        <v>#REF!</v>
      </c>
      <c r="K66" s="55" t="e">
        <f>#REF!*8/100</f>
        <v>#REF!</v>
      </c>
      <c r="L66" s="55" t="e">
        <f>#REF!*8/100</f>
        <v>#REF!</v>
      </c>
      <c r="M66" s="55" t="e">
        <f>#REF!*8/100</f>
        <v>#REF!</v>
      </c>
      <c r="N66" s="55" t="e">
        <f>#REF!*8/100</f>
        <v>#REF!</v>
      </c>
      <c r="O66" s="55" t="e">
        <f>#REF!*8/100</f>
        <v>#REF!</v>
      </c>
      <c r="P66" s="55" t="e">
        <f>#REF!*8/100</f>
        <v>#REF!</v>
      </c>
      <c r="Q66" s="55" t="e">
        <f>(AVERAGE(#REF!*8/100)+(#REF!*8/100))/2</f>
        <v>#REF!</v>
      </c>
      <c r="R66" s="55" t="e">
        <f>AVERAGE(#REF!*8/100)+(#REF!*8/100)</f>
        <v>#REF!</v>
      </c>
      <c r="V66" s="78"/>
    </row>
    <row r="67" spans="1:22" ht="20.25">
      <c r="A67" s="59">
        <v>8</v>
      </c>
      <c r="B67" s="77" t="e">
        <f>#REF!*8/100</f>
        <v>#REF!</v>
      </c>
      <c r="C67" s="55" t="e">
        <f>#REF!*8/100</f>
        <v>#REF!</v>
      </c>
      <c r="D67" s="55" t="e">
        <f>#REF!*8/100</f>
        <v>#REF!</v>
      </c>
      <c r="E67" s="55" t="e">
        <f>#REF!*8/100</f>
        <v>#REF!</v>
      </c>
      <c r="F67" s="55" t="e">
        <f>#REF!*8/100</f>
        <v>#REF!</v>
      </c>
      <c r="G67" s="55" t="e">
        <f>#REF!*8/100</f>
        <v>#REF!</v>
      </c>
      <c r="H67" s="55" t="e">
        <f>#REF!*8/100</f>
        <v>#REF!</v>
      </c>
      <c r="I67" s="55" t="e">
        <f>#REF!*8/100</f>
        <v>#REF!</v>
      </c>
      <c r="J67" s="55" t="e">
        <f>#REF!*8/100</f>
        <v>#REF!</v>
      </c>
      <c r="K67" s="55" t="e">
        <f>#REF!*8/100</f>
        <v>#REF!</v>
      </c>
      <c r="L67" s="55" t="e">
        <f>#REF!*8/100</f>
        <v>#REF!</v>
      </c>
      <c r="M67" s="55" t="e">
        <f>#REF!*8/100</f>
        <v>#REF!</v>
      </c>
      <c r="N67" s="55" t="e">
        <f>#REF!*8/100</f>
        <v>#REF!</v>
      </c>
      <c r="O67" s="55" t="e">
        <f>#REF!*8/100</f>
        <v>#REF!</v>
      </c>
      <c r="P67" s="55" t="e">
        <f>#REF!*8/100</f>
        <v>#REF!</v>
      </c>
      <c r="Q67" s="55" t="e">
        <f>(AVERAGE(#REF!*8/100)+(#REF!*8/100))/2</f>
        <v>#REF!</v>
      </c>
      <c r="R67" s="55" t="e">
        <f>AVERAGE(#REF!*8/100)+(#REF!*8/100)</f>
        <v>#REF!</v>
      </c>
      <c r="V67" s="78"/>
    </row>
    <row r="68" spans="1:22" ht="20.25">
      <c r="A68" s="59">
        <v>9</v>
      </c>
      <c r="B68" s="77" t="e">
        <f>#REF!*8/100</f>
        <v>#REF!</v>
      </c>
      <c r="C68" s="55" t="e">
        <f>#REF!*8/100</f>
        <v>#REF!</v>
      </c>
      <c r="D68" s="55" t="e">
        <f>#REF!*8/100</f>
        <v>#REF!</v>
      </c>
      <c r="E68" s="55" t="e">
        <f>#REF!*8/100</f>
        <v>#REF!</v>
      </c>
      <c r="F68" s="55" t="e">
        <f>#REF!*8/100</f>
        <v>#REF!</v>
      </c>
      <c r="G68" s="55" t="e">
        <f>#REF!*8/100</f>
        <v>#REF!</v>
      </c>
      <c r="H68" s="55" t="e">
        <f>#REF!*8/100</f>
        <v>#REF!</v>
      </c>
      <c r="I68" s="55" t="e">
        <f>#REF!*8/100</f>
        <v>#REF!</v>
      </c>
      <c r="J68" s="55" t="e">
        <f>#REF!*8/100</f>
        <v>#REF!</v>
      </c>
      <c r="K68" s="55" t="e">
        <f>#REF!*8/100</f>
        <v>#REF!</v>
      </c>
      <c r="L68" s="55" t="e">
        <f>#REF!*8/100</f>
        <v>#REF!</v>
      </c>
      <c r="M68" s="55" t="e">
        <f>#REF!*8/100</f>
        <v>#REF!</v>
      </c>
      <c r="N68" s="55" t="e">
        <f>#REF!*8/100</f>
        <v>#REF!</v>
      </c>
      <c r="O68" s="55" t="e">
        <f>#REF!*8/100</f>
        <v>#REF!</v>
      </c>
      <c r="P68" s="55" t="e">
        <f>#REF!*8/100</f>
        <v>#REF!</v>
      </c>
      <c r="Q68" s="55" t="e">
        <f>(AVERAGE(#REF!*8/100)+(#REF!*8/100))/2</f>
        <v>#REF!</v>
      </c>
      <c r="R68" s="55" t="e">
        <f>AVERAGE(#REF!*8/100)+(#REF!*8/100)</f>
        <v>#REF!</v>
      </c>
      <c r="V68" s="78"/>
    </row>
    <row r="69" spans="1:22" ht="20.25">
      <c r="A69" s="59">
        <v>10</v>
      </c>
      <c r="B69" s="77" t="e">
        <f>#REF!*8/100</f>
        <v>#REF!</v>
      </c>
      <c r="C69" s="55" t="e">
        <f>#REF!*8/100</f>
        <v>#REF!</v>
      </c>
      <c r="D69" s="55" t="e">
        <f>#REF!*8/100</f>
        <v>#REF!</v>
      </c>
      <c r="E69" s="55" t="e">
        <f>#REF!*8/100</f>
        <v>#REF!</v>
      </c>
      <c r="F69" s="55" t="e">
        <f>#REF!*8/100</f>
        <v>#REF!</v>
      </c>
      <c r="G69" s="55" t="e">
        <f>#REF!*8/100</f>
        <v>#REF!</v>
      </c>
      <c r="H69" s="55" t="e">
        <f>#REF!*8/100</f>
        <v>#REF!</v>
      </c>
      <c r="I69" s="55" t="e">
        <f>#REF!*8/100</f>
        <v>#REF!</v>
      </c>
      <c r="J69" s="55" t="e">
        <f>#REF!*8/100</f>
        <v>#REF!</v>
      </c>
      <c r="K69" s="55" t="e">
        <f>#REF!*8/100</f>
        <v>#REF!</v>
      </c>
      <c r="L69" s="55" t="e">
        <f>#REF!*8/100</f>
        <v>#REF!</v>
      </c>
      <c r="M69" s="55" t="e">
        <f>#REF!*8/100</f>
        <v>#REF!</v>
      </c>
      <c r="N69" s="55" t="e">
        <f>#REF!*8/100</f>
        <v>#REF!</v>
      </c>
      <c r="O69" s="55" t="e">
        <f>#REF!*8/100</f>
        <v>#REF!</v>
      </c>
      <c r="P69" s="55" t="e">
        <f>#REF!*8/100</f>
        <v>#REF!</v>
      </c>
      <c r="Q69" s="55" t="e">
        <f>(AVERAGE(#REF!*8/100)+(#REF!*8/100))/2</f>
        <v>#REF!</v>
      </c>
      <c r="R69" s="55" t="e">
        <f>AVERAGE(#REF!*8/100)+(#REF!*8/100)</f>
        <v>#REF!</v>
      </c>
      <c r="V69" s="78"/>
    </row>
    <row r="70" spans="1:22" ht="20.25">
      <c r="A70" s="59">
        <v>11</v>
      </c>
      <c r="B70" s="77" t="e">
        <f>#REF!*8/100</f>
        <v>#REF!</v>
      </c>
      <c r="C70" s="55" t="e">
        <f>#REF!*8/100</f>
        <v>#REF!</v>
      </c>
      <c r="D70" s="55" t="e">
        <f>#REF!*8/100</f>
        <v>#REF!</v>
      </c>
      <c r="E70" s="55" t="e">
        <f>#REF!*8/100</f>
        <v>#REF!</v>
      </c>
      <c r="F70" s="55" t="e">
        <f>#REF!*8/100</f>
        <v>#REF!</v>
      </c>
      <c r="G70" s="55" t="e">
        <f>#REF!*8/100</f>
        <v>#REF!</v>
      </c>
      <c r="H70" s="55" t="e">
        <f>#REF!*8/100</f>
        <v>#REF!</v>
      </c>
      <c r="I70" s="55" t="e">
        <f>#REF!*8/100</f>
        <v>#REF!</v>
      </c>
      <c r="J70" s="55" t="e">
        <f>#REF!*8/100</f>
        <v>#REF!</v>
      </c>
      <c r="K70" s="55" t="e">
        <f>#REF!*8/100</f>
        <v>#REF!</v>
      </c>
      <c r="L70" s="55" t="e">
        <f>#REF!*8/100</f>
        <v>#REF!</v>
      </c>
      <c r="M70" s="55" t="e">
        <f>#REF!*8/100</f>
        <v>#REF!</v>
      </c>
      <c r="N70" s="55" t="e">
        <f>#REF!*8/100</f>
        <v>#REF!</v>
      </c>
      <c r="O70" s="55" t="e">
        <f>#REF!*8/100</f>
        <v>#REF!</v>
      </c>
      <c r="P70" s="55" t="e">
        <f>#REF!*8/100</f>
        <v>#REF!</v>
      </c>
      <c r="Q70" s="55" t="e">
        <f>(AVERAGE(#REF!*8/100)+(#REF!*8/100))/2</f>
        <v>#REF!</v>
      </c>
      <c r="R70" s="55" t="e">
        <f>AVERAGE(#REF!*8/100)+(#REF!*8/100)</f>
        <v>#REF!</v>
      </c>
      <c r="V70" s="78"/>
    </row>
    <row r="71" spans="1:22" ht="20.25">
      <c r="A71" s="59">
        <v>12</v>
      </c>
      <c r="B71" s="77" t="e">
        <f>#REF!*8/100</f>
        <v>#REF!</v>
      </c>
      <c r="C71" s="55" t="e">
        <f>#REF!*8/100</f>
        <v>#REF!</v>
      </c>
      <c r="D71" s="55" t="e">
        <f>#REF!*8/100</f>
        <v>#REF!</v>
      </c>
      <c r="E71" s="55" t="e">
        <f>#REF!*8/100</f>
        <v>#REF!</v>
      </c>
      <c r="F71" s="55" t="e">
        <f>#REF!*8/100</f>
        <v>#REF!</v>
      </c>
      <c r="G71" s="55" t="e">
        <f>#REF!*8/100</f>
        <v>#REF!</v>
      </c>
      <c r="H71" s="55" t="e">
        <f>#REF!*8/100</f>
        <v>#REF!</v>
      </c>
      <c r="I71" s="55" t="e">
        <f>#REF!*8/100</f>
        <v>#REF!</v>
      </c>
      <c r="J71" s="55" t="e">
        <f>#REF!*8/100</f>
        <v>#REF!</v>
      </c>
      <c r="K71" s="55" t="e">
        <f>#REF!*8/100</f>
        <v>#REF!</v>
      </c>
      <c r="L71" s="55" t="e">
        <f>#REF!*8/100</f>
        <v>#REF!</v>
      </c>
      <c r="M71" s="55" t="e">
        <f>#REF!*8/100</f>
        <v>#REF!</v>
      </c>
      <c r="N71" s="55" t="e">
        <f>#REF!*8/100</f>
        <v>#REF!</v>
      </c>
      <c r="O71" s="55" t="e">
        <f>#REF!*8/100</f>
        <v>#REF!</v>
      </c>
      <c r="P71" s="55" t="e">
        <f>#REF!*8/100</f>
        <v>#REF!</v>
      </c>
      <c r="Q71" s="55" t="e">
        <f>(AVERAGE(#REF!*8/100)+(#REF!*8/100))/2</f>
        <v>#REF!</v>
      </c>
      <c r="R71" s="55" t="e">
        <f>AVERAGE(#REF!*8/100)+(#REF!*8/100)</f>
        <v>#REF!</v>
      </c>
      <c r="V71" s="78"/>
    </row>
    <row r="72" spans="1:22" ht="20.25">
      <c r="A72" s="59">
        <v>13</v>
      </c>
      <c r="B72" s="77" t="e">
        <f>#REF!*8/100</f>
        <v>#REF!</v>
      </c>
      <c r="C72" s="55" t="e">
        <f>#REF!*8/100</f>
        <v>#REF!</v>
      </c>
      <c r="D72" s="55" t="e">
        <f>#REF!*8/100</f>
        <v>#REF!</v>
      </c>
      <c r="E72" s="55" t="e">
        <f>#REF!*8/100</f>
        <v>#REF!</v>
      </c>
      <c r="F72" s="55" t="e">
        <f>#REF!*8/100</f>
        <v>#REF!</v>
      </c>
      <c r="G72" s="55" t="e">
        <f>#REF!*8/100</f>
        <v>#REF!</v>
      </c>
      <c r="H72" s="55" t="e">
        <f>#REF!*8/100</f>
        <v>#REF!</v>
      </c>
      <c r="I72" s="55" t="e">
        <f>#REF!*8/100</f>
        <v>#REF!</v>
      </c>
      <c r="J72" s="55" t="e">
        <f>#REF!*8/100</f>
        <v>#REF!</v>
      </c>
      <c r="K72" s="55" t="e">
        <f>#REF!*8/100</f>
        <v>#REF!</v>
      </c>
      <c r="L72" s="55" t="e">
        <f>#REF!*8/100</f>
        <v>#REF!</v>
      </c>
      <c r="M72" s="55" t="e">
        <f>#REF!*8/100</f>
        <v>#REF!</v>
      </c>
      <c r="N72" s="55" t="e">
        <f>#REF!*8/100</f>
        <v>#REF!</v>
      </c>
      <c r="O72" s="55" t="e">
        <f>#REF!*8/100</f>
        <v>#REF!</v>
      </c>
      <c r="P72" s="55" t="e">
        <f>#REF!*8/100</f>
        <v>#REF!</v>
      </c>
      <c r="Q72" s="55" t="e">
        <f>(AVERAGE(#REF!*8/100)+(#REF!*8/100))/2</f>
        <v>#REF!</v>
      </c>
      <c r="R72" s="55" t="e">
        <f>AVERAGE(#REF!*8/100)+(#REF!*8/100)</f>
        <v>#REF!</v>
      </c>
      <c r="V72" s="78"/>
    </row>
    <row r="73" spans="1:22" ht="20.25">
      <c r="A73" s="59">
        <v>14</v>
      </c>
      <c r="B73" s="77" t="e">
        <f>#REF!*8/100</f>
        <v>#REF!</v>
      </c>
      <c r="C73" s="55" t="e">
        <f>#REF!*8/100</f>
        <v>#REF!</v>
      </c>
      <c r="D73" s="55" t="e">
        <f>#REF!*8/100</f>
        <v>#REF!</v>
      </c>
      <c r="E73" s="55" t="e">
        <f>#REF!*8/100</f>
        <v>#REF!</v>
      </c>
      <c r="F73" s="55" t="e">
        <f>#REF!*8/100</f>
        <v>#REF!</v>
      </c>
      <c r="G73" s="55" t="e">
        <f>#REF!*8/100</f>
        <v>#REF!</v>
      </c>
      <c r="H73" s="55" t="e">
        <f>#REF!*8/100</f>
        <v>#REF!</v>
      </c>
      <c r="I73" s="55" t="e">
        <f>#REF!*8/100</f>
        <v>#REF!</v>
      </c>
      <c r="J73" s="55" t="e">
        <f>#REF!*8/100</f>
        <v>#REF!</v>
      </c>
      <c r="K73" s="55" t="e">
        <f>#REF!*8/100</f>
        <v>#REF!</v>
      </c>
      <c r="L73" s="55" t="e">
        <f>#REF!*8/100</f>
        <v>#REF!</v>
      </c>
      <c r="M73" s="55" t="e">
        <f>#REF!*8/100</f>
        <v>#REF!</v>
      </c>
      <c r="N73" s="55" t="e">
        <f>#REF!*8/100</f>
        <v>#REF!</v>
      </c>
      <c r="O73" s="55" t="e">
        <f>#REF!*8/100</f>
        <v>#REF!</v>
      </c>
      <c r="P73" s="55" t="e">
        <f>#REF!*8/100</f>
        <v>#REF!</v>
      </c>
      <c r="Q73" s="55" t="e">
        <f>(AVERAGE(#REF!*8/100)+(#REF!*8/100))/2</f>
        <v>#REF!</v>
      </c>
      <c r="R73" s="55" t="e">
        <f>AVERAGE(#REF!*8/100)+(#REF!*8/100)</f>
        <v>#REF!</v>
      </c>
      <c r="V73" s="78"/>
    </row>
    <row r="74" spans="1:22" ht="20.25">
      <c r="A74" s="59">
        <v>15</v>
      </c>
      <c r="B74" s="77" t="e">
        <f>#REF!*8/100</f>
        <v>#REF!</v>
      </c>
      <c r="C74" s="55" t="e">
        <f>#REF!*8/100</f>
        <v>#REF!</v>
      </c>
      <c r="D74" s="55" t="e">
        <f>#REF!*8/100</f>
        <v>#REF!</v>
      </c>
      <c r="E74" s="55" t="e">
        <f>#REF!*8/100</f>
        <v>#REF!</v>
      </c>
      <c r="F74" s="55" t="e">
        <f>#REF!*8/100</f>
        <v>#REF!</v>
      </c>
      <c r="G74" s="55" t="e">
        <f>#REF!*8/100</f>
        <v>#REF!</v>
      </c>
      <c r="H74" s="55" t="e">
        <f>#REF!*8/100</f>
        <v>#REF!</v>
      </c>
      <c r="I74" s="55" t="e">
        <f>#REF!*8/100</f>
        <v>#REF!</v>
      </c>
      <c r="J74" s="55" t="e">
        <f>#REF!*8/100</f>
        <v>#REF!</v>
      </c>
      <c r="K74" s="55" t="e">
        <f>#REF!*8/100</f>
        <v>#REF!</v>
      </c>
      <c r="L74" s="55" t="e">
        <f>#REF!*8/100</f>
        <v>#REF!</v>
      </c>
      <c r="M74" s="55" t="e">
        <f>#REF!*8/100</f>
        <v>#REF!</v>
      </c>
      <c r="N74" s="55" t="e">
        <f>#REF!*8/100</f>
        <v>#REF!</v>
      </c>
      <c r="O74" s="55" t="e">
        <f>#REF!*8/100</f>
        <v>#REF!</v>
      </c>
      <c r="P74" s="55" t="e">
        <f>#REF!*8/100</f>
        <v>#REF!</v>
      </c>
      <c r="Q74" s="55" t="e">
        <f>(AVERAGE(#REF!*8/100)+(#REF!*8/100))/2</f>
        <v>#REF!</v>
      </c>
      <c r="R74" s="55" t="e">
        <f>AVERAGE(#REF!*8/100)+(#REF!*8/100)</f>
        <v>#REF!</v>
      </c>
      <c r="V74" s="78"/>
    </row>
    <row r="75" spans="1:22" ht="20.25">
      <c r="A75" s="59">
        <v>16</v>
      </c>
      <c r="B75" s="77" t="e">
        <f>#REF!*8/100</f>
        <v>#REF!</v>
      </c>
      <c r="C75" s="55" t="e">
        <f>#REF!*8/100</f>
        <v>#REF!</v>
      </c>
      <c r="D75" s="55" t="e">
        <f>#REF!*8/100</f>
        <v>#REF!</v>
      </c>
      <c r="E75" s="55" t="e">
        <f>#REF!*8/100</f>
        <v>#REF!</v>
      </c>
      <c r="F75" s="55" t="e">
        <f>#REF!*8/100</f>
        <v>#REF!</v>
      </c>
      <c r="G75" s="55" t="e">
        <f>#REF!*8/100</f>
        <v>#REF!</v>
      </c>
      <c r="H75" s="55" t="e">
        <f>#REF!*8/100</f>
        <v>#REF!</v>
      </c>
      <c r="I75" s="55" t="e">
        <f>#REF!*8/100</f>
        <v>#REF!</v>
      </c>
      <c r="J75" s="55" t="e">
        <f>#REF!*8/100</f>
        <v>#REF!</v>
      </c>
      <c r="K75" s="55" t="e">
        <f>#REF!*8/100</f>
        <v>#REF!</v>
      </c>
      <c r="L75" s="55" t="e">
        <f>#REF!*8/100</f>
        <v>#REF!</v>
      </c>
      <c r="M75" s="55" t="e">
        <f>#REF!*8/100</f>
        <v>#REF!</v>
      </c>
      <c r="N75" s="55" t="e">
        <f>#REF!*8/100</f>
        <v>#REF!</v>
      </c>
      <c r="O75" s="55" t="e">
        <f>#REF!*8/100</f>
        <v>#REF!</v>
      </c>
      <c r="P75" s="55" t="e">
        <f>#REF!*8/100</f>
        <v>#REF!</v>
      </c>
      <c r="Q75" s="55" t="e">
        <f>(AVERAGE(#REF!*8/100)+(#REF!*8/100))/2</f>
        <v>#REF!</v>
      </c>
      <c r="R75" s="55" t="e">
        <f>AVERAGE(#REF!*8/100)+(#REF!*8/100)</f>
        <v>#REF!</v>
      </c>
      <c r="V75" s="78"/>
    </row>
    <row r="76" spans="1:22" ht="20.25">
      <c r="A76" s="59">
        <v>17</v>
      </c>
      <c r="B76" s="77" t="e">
        <f>#REF!*8/100</f>
        <v>#REF!</v>
      </c>
      <c r="C76" s="55" t="e">
        <f>#REF!*8/100</f>
        <v>#REF!</v>
      </c>
      <c r="D76" s="55" t="e">
        <f>#REF!*8/100</f>
        <v>#REF!</v>
      </c>
      <c r="E76" s="55" t="e">
        <f>#REF!*8/100</f>
        <v>#REF!</v>
      </c>
      <c r="F76" s="55" t="e">
        <f>#REF!*8/100</f>
        <v>#REF!</v>
      </c>
      <c r="G76" s="55" t="e">
        <f>#REF!*8/100</f>
        <v>#REF!</v>
      </c>
      <c r="H76" s="55" t="e">
        <f>#REF!*8/100</f>
        <v>#REF!</v>
      </c>
      <c r="I76" s="55" t="e">
        <f>#REF!*8/100</f>
        <v>#REF!</v>
      </c>
      <c r="J76" s="55" t="e">
        <f>#REF!*8/100</f>
        <v>#REF!</v>
      </c>
      <c r="K76" s="55" t="e">
        <f>#REF!*8/100</f>
        <v>#REF!</v>
      </c>
      <c r="L76" s="55" t="e">
        <f>#REF!*8/100</f>
        <v>#REF!</v>
      </c>
      <c r="M76" s="55" t="e">
        <f>#REF!*8/100</f>
        <v>#REF!</v>
      </c>
      <c r="N76" s="55" t="e">
        <f>#REF!*8/100</f>
        <v>#REF!</v>
      </c>
      <c r="O76" s="55" t="e">
        <f>#REF!*8/100</f>
        <v>#REF!</v>
      </c>
      <c r="P76" s="55" t="e">
        <f>#REF!*8/100</f>
        <v>#REF!</v>
      </c>
      <c r="Q76" s="55" t="e">
        <f>(AVERAGE(#REF!*8/100)+(#REF!*8/100))/2</f>
        <v>#REF!</v>
      </c>
      <c r="R76" s="55" t="e">
        <f>AVERAGE(#REF!*8/100)+(#REF!*8/100)</f>
        <v>#REF!</v>
      </c>
      <c r="V76" s="78"/>
    </row>
    <row r="77" spans="1:22" ht="20.25">
      <c r="A77" s="59">
        <v>18</v>
      </c>
      <c r="B77" s="77" t="e">
        <f>#REF!*8/100</f>
        <v>#REF!</v>
      </c>
      <c r="C77" s="55" t="e">
        <f>#REF!*8/100</f>
        <v>#REF!</v>
      </c>
      <c r="D77" s="55" t="e">
        <f>#REF!*8/100</f>
        <v>#REF!</v>
      </c>
      <c r="E77" s="55" t="e">
        <f>#REF!*8/100</f>
        <v>#REF!</v>
      </c>
      <c r="F77" s="55" t="e">
        <f>#REF!*8/100</f>
        <v>#REF!</v>
      </c>
      <c r="G77" s="55" t="e">
        <f>#REF!*8/100</f>
        <v>#REF!</v>
      </c>
      <c r="H77" s="55" t="e">
        <f>#REF!*8/100</f>
        <v>#REF!</v>
      </c>
      <c r="I77" s="55" t="e">
        <f>#REF!*8/100</f>
        <v>#REF!</v>
      </c>
      <c r="J77" s="55" t="e">
        <f>#REF!*8/100</f>
        <v>#REF!</v>
      </c>
      <c r="K77" s="55" t="e">
        <f>#REF!*8/100</f>
        <v>#REF!</v>
      </c>
      <c r="L77" s="55" t="e">
        <f>#REF!*8/100</f>
        <v>#REF!</v>
      </c>
      <c r="M77" s="55" t="e">
        <f>#REF!*8/100</f>
        <v>#REF!</v>
      </c>
      <c r="N77" s="55" t="e">
        <f>#REF!*8/100</f>
        <v>#REF!</v>
      </c>
      <c r="O77" s="55" t="e">
        <f>#REF!*8/100</f>
        <v>#REF!</v>
      </c>
      <c r="P77" s="55" t="e">
        <f>#REF!*8/100</f>
        <v>#REF!</v>
      </c>
      <c r="Q77" s="55" t="e">
        <f>(AVERAGE(#REF!*8/100)+(#REF!*8/100))/2</f>
        <v>#REF!</v>
      </c>
      <c r="R77" s="55" t="e">
        <f>AVERAGE(#REF!*8/100)+(#REF!*8/100)</f>
        <v>#REF!</v>
      </c>
      <c r="V77" s="78"/>
    </row>
    <row r="78" spans="1:22" ht="21" thickBot="1">
      <c r="A78" s="60">
        <v>19</v>
      </c>
      <c r="B78" s="77" t="e">
        <f>#REF!*8/100</f>
        <v>#REF!</v>
      </c>
      <c r="C78" s="55" t="e">
        <f>#REF!*8/100</f>
        <v>#REF!</v>
      </c>
      <c r="D78" s="55" t="e">
        <f>#REF!*8/100</f>
        <v>#REF!</v>
      </c>
      <c r="E78" s="55" t="e">
        <f>#REF!*8/100</f>
        <v>#REF!</v>
      </c>
      <c r="F78" s="55" t="e">
        <f>#REF!*8/100</f>
        <v>#REF!</v>
      </c>
      <c r="G78" s="55" t="e">
        <f>#REF!*8/100</f>
        <v>#REF!</v>
      </c>
      <c r="H78" s="55" t="e">
        <f>#REF!*8/100</f>
        <v>#REF!</v>
      </c>
      <c r="I78" s="55" t="e">
        <f>#REF!*8/100</f>
        <v>#REF!</v>
      </c>
      <c r="J78" s="55" t="e">
        <f>#REF!*8/100</f>
        <v>#REF!</v>
      </c>
      <c r="K78" s="55" t="e">
        <f>#REF!*8/100</f>
        <v>#REF!</v>
      </c>
      <c r="L78" s="55" t="e">
        <f>#REF!*8/100</f>
        <v>#REF!</v>
      </c>
      <c r="M78" s="55" t="e">
        <f>#REF!*8/100</f>
        <v>#REF!</v>
      </c>
      <c r="N78" s="55" t="e">
        <f>#REF!*8/100</f>
        <v>#REF!</v>
      </c>
      <c r="O78" s="55" t="e">
        <f>#REF!*8/100</f>
        <v>#REF!</v>
      </c>
      <c r="P78" s="55" t="e">
        <f>#REF!*8/100</f>
        <v>#REF!</v>
      </c>
      <c r="Q78" s="55" t="e">
        <f>(AVERAGE(#REF!*8/100)+(#REF!*8/100))/2</f>
        <v>#REF!</v>
      </c>
      <c r="R78" s="55" t="e">
        <f>AVERAGE(#REF!*8/100)+(#REF!*8/100)</f>
        <v>#REF!</v>
      </c>
      <c r="V78" s="78"/>
    </row>
    <row r="79" spans="1:22">
      <c r="V79" s="78"/>
    </row>
    <row r="80" spans="1:22">
      <c r="V80" s="78"/>
    </row>
    <row r="81" spans="1:22">
      <c r="V81" s="78"/>
    </row>
    <row r="82" spans="1:22">
      <c r="A82" s="78"/>
      <c r="B82" s="78"/>
      <c r="C82" s="78"/>
      <c r="D82" s="78"/>
      <c r="E82" s="78"/>
      <c r="F82" s="78"/>
      <c r="G82" s="78"/>
      <c r="H82" s="78"/>
      <c r="I82" s="78"/>
      <c r="J82" s="78"/>
      <c r="K82" s="78"/>
      <c r="L82" s="78"/>
      <c r="M82" s="78"/>
      <c r="N82" s="78"/>
      <c r="O82" s="78"/>
      <c r="P82" s="78"/>
      <c r="Q82" s="78"/>
      <c r="R82" s="78"/>
      <c r="S82" s="78"/>
      <c r="T82" s="78"/>
      <c r="U82" s="78"/>
      <c r="V82" s="78"/>
    </row>
  </sheetData>
  <mergeCells count="57">
    <mergeCell ref="B1:R1"/>
    <mergeCell ref="B2:B3"/>
    <mergeCell ref="C2:C3"/>
    <mergeCell ref="D2:D3"/>
    <mergeCell ref="E2:E3"/>
    <mergeCell ref="F2:F3"/>
    <mergeCell ref="G2:G3"/>
    <mergeCell ref="H2:H3"/>
    <mergeCell ref="I2:I3"/>
    <mergeCell ref="J2:J3"/>
    <mergeCell ref="K2:K3"/>
    <mergeCell ref="L2:L3"/>
    <mergeCell ref="M2:M3"/>
    <mergeCell ref="N2:N3"/>
    <mergeCell ref="O2:O3"/>
    <mergeCell ref="P2:P3"/>
    <mergeCell ref="S57:S58"/>
    <mergeCell ref="K57:K58"/>
    <mergeCell ref="L57:L58"/>
    <mergeCell ref="M57:M58"/>
    <mergeCell ref="N57:N58"/>
    <mergeCell ref="O57:O58"/>
    <mergeCell ref="P57:P58"/>
    <mergeCell ref="Q57:Q58"/>
    <mergeCell ref="R57:R58"/>
    <mergeCell ref="Q2:Q3"/>
    <mergeCell ref="R2:R3"/>
    <mergeCell ref="S2:S3"/>
    <mergeCell ref="B32:B33"/>
    <mergeCell ref="C32:C33"/>
    <mergeCell ref="D32:D33"/>
    <mergeCell ref="E32:E33"/>
    <mergeCell ref="F32:F33"/>
    <mergeCell ref="B31:R31"/>
    <mergeCell ref="S32:S33"/>
    <mergeCell ref="H32:H33"/>
    <mergeCell ref="I32:I33"/>
    <mergeCell ref="J32:J33"/>
    <mergeCell ref="K32:K33"/>
    <mergeCell ref="L32:L33"/>
    <mergeCell ref="M32:M33"/>
    <mergeCell ref="R32:R33"/>
    <mergeCell ref="B56:R56"/>
    <mergeCell ref="B57:B58"/>
    <mergeCell ref="C57:C58"/>
    <mergeCell ref="D57:D58"/>
    <mergeCell ref="E57:E58"/>
    <mergeCell ref="F57:F58"/>
    <mergeCell ref="G57:G58"/>
    <mergeCell ref="H57:H58"/>
    <mergeCell ref="I57:I58"/>
    <mergeCell ref="J57:J58"/>
    <mergeCell ref="G32:G33"/>
    <mergeCell ref="N32:N33"/>
    <mergeCell ref="O32:O33"/>
    <mergeCell ref="P32:P33"/>
    <mergeCell ref="Q32:Q33"/>
  </mergeCells>
  <conditionalFormatting sqref="B5:R23">
    <cfRule type="cellIs" dxfId="12" priority="1" operator="greaterThanOrEqual">
      <formula>1</formula>
    </cfRule>
  </conditionalFormatting>
  <conditionalFormatting sqref="B35:R53">
    <cfRule type="cellIs" dxfId="11" priority="3" operator="greaterThanOrEqual">
      <formula>1</formula>
    </cfRule>
  </conditionalFormatting>
  <conditionalFormatting sqref="B60:R78">
    <cfRule type="cellIs" dxfId="10" priority="2" operator="greaterThanOrEqual">
      <formula>1</formula>
    </cfRule>
  </conditionalFormatting>
  <pageMargins left="0.70866141732283472" right="0.70866141732283472" top="0.74803149606299213" bottom="0.74803149606299213" header="0.31496062992125984" footer="0.31496062992125984"/>
  <pageSetup scale="30" orientation="landscape" horizontalDpi="4294967295" verticalDpi="4294967295"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4"/>
  <dimension ref="A2:V99"/>
  <sheetViews>
    <sheetView topLeftCell="A61" zoomScale="40" zoomScaleNormal="40" workbookViewId="0">
      <pane xSplit="1" topLeftCell="B1" activePane="topRight" state="frozen"/>
      <selection activeCell="A61" sqref="A61"/>
      <selection pane="topRight" activeCell="B6" sqref="B6"/>
    </sheetView>
  </sheetViews>
  <sheetFormatPr baseColWidth="10" defaultColWidth="10.7109375" defaultRowHeight="12.75"/>
  <cols>
    <col min="2" max="2" width="25.7109375" bestFit="1" customWidth="1"/>
    <col min="3" max="3" width="22.7109375" bestFit="1" customWidth="1"/>
    <col min="4" max="4" width="19.140625" bestFit="1" customWidth="1"/>
    <col min="5" max="5" width="27.85546875" bestFit="1" customWidth="1"/>
    <col min="6" max="6" width="17.28515625" bestFit="1" customWidth="1"/>
    <col min="7" max="7" width="24.42578125" bestFit="1" customWidth="1"/>
    <col min="8" max="8" width="19.85546875" bestFit="1" customWidth="1"/>
    <col min="9" max="9" width="17.85546875" bestFit="1" customWidth="1"/>
    <col min="10" max="10" width="19.7109375" bestFit="1" customWidth="1"/>
    <col min="11" max="11" width="26.85546875" bestFit="1" customWidth="1"/>
    <col min="12" max="12" width="30" bestFit="1" customWidth="1"/>
    <col min="13" max="13" width="17.28515625" bestFit="1" customWidth="1"/>
    <col min="14" max="14" width="23.28515625" bestFit="1" customWidth="1"/>
    <col min="15" max="16" width="26.85546875" bestFit="1" customWidth="1"/>
    <col min="17" max="17" width="18.42578125" bestFit="1" customWidth="1"/>
    <col min="18" max="18" width="17.140625" bestFit="1" customWidth="1"/>
    <col min="19" max="19" width="15" bestFit="1" customWidth="1"/>
    <col min="20" max="20" width="14.5703125" bestFit="1" customWidth="1"/>
    <col min="21" max="21" width="15.5703125" bestFit="1" customWidth="1"/>
    <col min="22" max="22" width="16.28515625" bestFit="1" customWidth="1"/>
  </cols>
  <sheetData>
    <row r="2" spans="1:22" ht="28.5" thickBot="1">
      <c r="A2" s="94" t="s">
        <v>126</v>
      </c>
    </row>
    <row r="3" spans="1:22" s="95" customFormat="1" ht="69" customHeight="1" thickBot="1">
      <c r="B3" s="146" t="s">
        <v>3</v>
      </c>
      <c r="C3" s="146" t="s">
        <v>4</v>
      </c>
      <c r="D3" s="146" t="s">
        <v>5</v>
      </c>
      <c r="E3" s="144" t="s">
        <v>6</v>
      </c>
      <c r="F3" s="144" t="s">
        <v>7</v>
      </c>
      <c r="G3" s="144" t="s">
        <v>8</v>
      </c>
      <c r="H3" s="144" t="s">
        <v>9</v>
      </c>
      <c r="I3" s="144" t="s">
        <v>10</v>
      </c>
      <c r="J3" s="144" t="s">
        <v>127</v>
      </c>
      <c r="K3" s="144" t="s">
        <v>128</v>
      </c>
      <c r="L3" s="144" t="s">
        <v>11</v>
      </c>
      <c r="M3" s="144" t="s">
        <v>129</v>
      </c>
      <c r="N3" s="144" t="s">
        <v>130</v>
      </c>
      <c r="O3" s="144" t="s">
        <v>131</v>
      </c>
      <c r="P3" s="144" t="s">
        <v>132</v>
      </c>
      <c r="Q3" s="144" t="s">
        <v>133</v>
      </c>
      <c r="R3" s="144" t="s">
        <v>12</v>
      </c>
      <c r="S3" s="144" t="s">
        <v>134</v>
      </c>
      <c r="T3" s="144" t="s">
        <v>135</v>
      </c>
      <c r="U3" s="144" t="s">
        <v>136</v>
      </c>
      <c r="V3" s="144" t="s">
        <v>137</v>
      </c>
    </row>
    <row r="4" spans="1:22" ht="16.5" thickBot="1">
      <c r="A4" s="85" t="s">
        <v>39</v>
      </c>
      <c r="B4" s="93" t="s">
        <v>549</v>
      </c>
      <c r="C4" s="93" t="s">
        <v>549</v>
      </c>
      <c r="D4" s="93" t="s">
        <v>549</v>
      </c>
      <c r="E4" s="93" t="s">
        <v>549</v>
      </c>
      <c r="F4" s="93" t="s">
        <v>549</v>
      </c>
      <c r="G4" s="93" t="s">
        <v>549</v>
      </c>
      <c r="H4" s="93" t="s">
        <v>549</v>
      </c>
      <c r="I4" s="93" t="s">
        <v>549</v>
      </c>
      <c r="J4" s="93" t="s">
        <v>549</v>
      </c>
      <c r="K4" s="93" t="s">
        <v>549</v>
      </c>
      <c r="L4" s="93" t="s">
        <v>549</v>
      </c>
      <c r="M4" s="93" t="s">
        <v>549</v>
      </c>
      <c r="N4" s="93" t="s">
        <v>549</v>
      </c>
      <c r="O4" s="93" t="s">
        <v>549</v>
      </c>
      <c r="P4" s="93" t="s">
        <v>549</v>
      </c>
      <c r="Q4" s="93" t="s">
        <v>549</v>
      </c>
      <c r="R4" s="93" t="s">
        <v>549</v>
      </c>
      <c r="S4" s="93" t="s">
        <v>549</v>
      </c>
      <c r="T4" s="93" t="s">
        <v>549</v>
      </c>
      <c r="U4" s="93" t="s">
        <v>549</v>
      </c>
      <c r="V4" s="93" t="s">
        <v>549</v>
      </c>
    </row>
    <row r="5" spans="1:22" ht="15.75">
      <c r="A5" s="96">
        <v>1</v>
      </c>
      <c r="B5" s="87">
        <v>0</v>
      </c>
      <c r="C5" s="87">
        <v>0</v>
      </c>
      <c r="D5" s="87" t="e">
        <f>#REF!</f>
        <v>#REF!</v>
      </c>
      <c r="E5" s="87" t="e">
        <f>#REF!</f>
        <v>#REF!</v>
      </c>
      <c r="F5" s="87" t="e">
        <f>#REF!</f>
        <v>#REF!</v>
      </c>
      <c r="G5" s="87" t="e">
        <f>#REF!</f>
        <v>#REF!</v>
      </c>
      <c r="H5" s="87" t="e">
        <f>#REF!</f>
        <v>#REF!</v>
      </c>
      <c r="I5" s="87" t="e">
        <f>#REF!</f>
        <v>#REF!</v>
      </c>
      <c r="J5" s="87" t="e">
        <f>#REF!</f>
        <v>#REF!</v>
      </c>
      <c r="K5" s="87" t="e">
        <f>#REF!</f>
        <v>#REF!</v>
      </c>
      <c r="L5" s="87" t="e">
        <f>#REF!</f>
        <v>#REF!</v>
      </c>
      <c r="M5" s="87"/>
      <c r="N5" s="87" t="e">
        <f>#REF!</f>
        <v>#REF!</v>
      </c>
      <c r="O5" s="87" t="e">
        <f>#REF!</f>
        <v>#REF!</v>
      </c>
      <c r="P5" s="87" t="e">
        <f>#REF!</f>
        <v>#REF!</v>
      </c>
      <c r="Q5" s="87" t="e">
        <f>#REF!</f>
        <v>#REF!</v>
      </c>
      <c r="R5" s="87" t="e">
        <f>#REF!</f>
        <v>#REF!</v>
      </c>
      <c r="S5" s="87" t="e">
        <f>#REF!</f>
        <v>#REF!</v>
      </c>
      <c r="T5" s="87" t="e">
        <f>#REF!</f>
        <v>#REF!</v>
      </c>
      <c r="U5" s="87" t="e">
        <f>#REF!</f>
        <v>#REF!</v>
      </c>
      <c r="V5" s="87" t="e">
        <f>#REF!</f>
        <v>#REF!</v>
      </c>
    </row>
    <row r="6" spans="1:22" ht="16.5" thickBot="1">
      <c r="A6" s="97">
        <v>2</v>
      </c>
      <c r="B6" s="88" t="e">
        <f>#REF!</f>
        <v>#REF!</v>
      </c>
      <c r="C6" s="88">
        <v>0</v>
      </c>
      <c r="D6" s="88" t="e">
        <f>#REF!</f>
        <v>#REF!</v>
      </c>
      <c r="E6" s="88" t="e">
        <f>#REF!</f>
        <v>#REF!</v>
      </c>
      <c r="F6" s="88" t="e">
        <f>#REF!</f>
        <v>#REF!</v>
      </c>
      <c r="G6" s="88" t="e">
        <f>#REF!</f>
        <v>#REF!</v>
      </c>
      <c r="H6" s="88" t="e">
        <f>#REF!</f>
        <v>#REF!</v>
      </c>
      <c r="I6" s="88" t="e">
        <f>#REF!</f>
        <v>#REF!</v>
      </c>
      <c r="J6" s="88" t="e">
        <f>#REF!</f>
        <v>#REF!</v>
      </c>
      <c r="K6" s="88" t="e">
        <f>#REF!</f>
        <v>#REF!</v>
      </c>
      <c r="L6" s="88" t="e">
        <f>#REF!</f>
        <v>#REF!</v>
      </c>
      <c r="M6" s="88"/>
      <c r="N6" s="88" t="e">
        <f>#REF!</f>
        <v>#REF!</v>
      </c>
      <c r="O6" s="88" t="e">
        <f>#REF!</f>
        <v>#REF!</v>
      </c>
      <c r="P6" s="88" t="e">
        <f>#REF!</f>
        <v>#REF!</v>
      </c>
      <c r="Q6" s="88" t="e">
        <f>#REF!</f>
        <v>#REF!</v>
      </c>
      <c r="R6" s="88" t="e">
        <f>#REF!</f>
        <v>#REF!</v>
      </c>
      <c r="S6" s="88" t="e">
        <f>#REF!</f>
        <v>#REF!</v>
      </c>
      <c r="T6" s="88" t="e">
        <f>#REF!</f>
        <v>#REF!</v>
      </c>
      <c r="U6" s="88" t="e">
        <f>#REF!</f>
        <v>#REF!</v>
      </c>
      <c r="V6" s="88" t="e">
        <f>#REF!</f>
        <v>#REF!</v>
      </c>
    </row>
    <row r="7" spans="1:22" ht="15.75">
      <c r="A7" s="96">
        <v>3</v>
      </c>
      <c r="B7" s="88" t="e">
        <f>#REF!</f>
        <v>#REF!</v>
      </c>
      <c r="C7" s="88" t="e">
        <f>#REF!</f>
        <v>#REF!</v>
      </c>
      <c r="D7" s="88" t="e">
        <f>#REF!</f>
        <v>#REF!</v>
      </c>
      <c r="E7" s="88" t="e">
        <f>#REF!</f>
        <v>#REF!</v>
      </c>
      <c r="F7" s="88" t="e">
        <f>#REF!</f>
        <v>#REF!</v>
      </c>
      <c r="G7" s="88" t="e">
        <f>#REF!</f>
        <v>#REF!</v>
      </c>
      <c r="H7" s="88" t="e">
        <f>#REF!</f>
        <v>#REF!</v>
      </c>
      <c r="I7" s="88" t="e">
        <f>#REF!</f>
        <v>#REF!</v>
      </c>
      <c r="J7" s="88" t="e">
        <f>#REF!</f>
        <v>#REF!</v>
      </c>
      <c r="K7" s="88" t="e">
        <f>#REF!</f>
        <v>#REF!</v>
      </c>
      <c r="L7" s="88" t="e">
        <f>#REF!</f>
        <v>#REF!</v>
      </c>
      <c r="M7" s="88"/>
      <c r="N7" s="88" t="e">
        <f>#REF!</f>
        <v>#REF!</v>
      </c>
      <c r="O7" s="88" t="e">
        <f>#REF!</f>
        <v>#REF!</v>
      </c>
      <c r="P7" s="88" t="e">
        <f>#REF!</f>
        <v>#REF!</v>
      </c>
      <c r="Q7" s="88" t="e">
        <f>#REF!</f>
        <v>#REF!</v>
      </c>
      <c r="R7" s="88" t="e">
        <f>#REF!</f>
        <v>#REF!</v>
      </c>
      <c r="S7" s="88" t="e">
        <f>#REF!</f>
        <v>#REF!</v>
      </c>
      <c r="T7" s="88" t="e">
        <f>#REF!</f>
        <v>#REF!</v>
      </c>
      <c r="U7" s="88" t="e">
        <f>#REF!</f>
        <v>#REF!</v>
      </c>
      <c r="V7" s="88" t="e">
        <f>#REF!</f>
        <v>#REF!</v>
      </c>
    </row>
    <row r="8" spans="1:22" ht="16.5" thickBot="1">
      <c r="A8" s="97">
        <v>4</v>
      </c>
      <c r="B8" s="88" t="e">
        <f>#REF!</f>
        <v>#REF!</v>
      </c>
      <c r="C8" s="88" t="e">
        <f>#REF!</f>
        <v>#REF!</v>
      </c>
      <c r="D8" s="88" t="e">
        <f>#REF!</f>
        <v>#REF!</v>
      </c>
      <c r="E8" s="88" t="e">
        <f>#REF!</f>
        <v>#REF!</v>
      </c>
      <c r="F8" s="88" t="e">
        <f>#REF!</f>
        <v>#REF!</v>
      </c>
      <c r="G8" s="88" t="e">
        <f>#REF!</f>
        <v>#REF!</v>
      </c>
      <c r="H8" s="88" t="e">
        <f>#REF!</f>
        <v>#REF!</v>
      </c>
      <c r="I8" s="88" t="e">
        <f>#REF!</f>
        <v>#REF!</v>
      </c>
      <c r="J8" s="88" t="e">
        <f>#REF!</f>
        <v>#REF!</v>
      </c>
      <c r="K8" s="88" t="e">
        <f>#REF!</f>
        <v>#REF!</v>
      </c>
      <c r="L8" s="88" t="e">
        <f>#REF!</f>
        <v>#REF!</v>
      </c>
      <c r="M8" s="88"/>
      <c r="N8" s="88" t="e">
        <f>#REF!</f>
        <v>#REF!</v>
      </c>
      <c r="O8" s="88" t="e">
        <f>#REF!</f>
        <v>#REF!</v>
      </c>
      <c r="P8" s="88" t="e">
        <f>#REF!</f>
        <v>#REF!</v>
      </c>
      <c r="Q8" s="88" t="e">
        <f>#REF!</f>
        <v>#REF!</v>
      </c>
      <c r="R8" s="88" t="e">
        <f>#REF!</f>
        <v>#REF!</v>
      </c>
      <c r="S8" s="88" t="e">
        <f>#REF!</f>
        <v>#REF!</v>
      </c>
      <c r="T8" s="88" t="e">
        <f>#REF!</f>
        <v>#REF!</v>
      </c>
      <c r="U8" s="88" t="e">
        <f>#REF!</f>
        <v>#REF!</v>
      </c>
      <c r="V8" s="88" t="e">
        <f>#REF!</f>
        <v>#REF!</v>
      </c>
    </row>
    <row r="9" spans="1:22" ht="15.75">
      <c r="A9" s="96">
        <v>5</v>
      </c>
      <c r="B9" s="88" t="e">
        <f>#REF!</f>
        <v>#REF!</v>
      </c>
      <c r="C9" s="88" t="e">
        <f>#REF!</f>
        <v>#REF!</v>
      </c>
      <c r="D9" s="88" t="e">
        <f>#REF!</f>
        <v>#REF!</v>
      </c>
      <c r="E9" s="88" t="e">
        <f>#REF!</f>
        <v>#REF!</v>
      </c>
      <c r="F9" s="88" t="e">
        <f>#REF!</f>
        <v>#REF!</v>
      </c>
      <c r="G9" s="88" t="e">
        <f>#REF!</f>
        <v>#REF!</v>
      </c>
      <c r="H9" s="88" t="e">
        <f>#REF!</f>
        <v>#REF!</v>
      </c>
      <c r="I9" s="88" t="e">
        <f>#REF!</f>
        <v>#REF!</v>
      </c>
      <c r="J9" s="88" t="e">
        <f>#REF!</f>
        <v>#REF!</v>
      </c>
      <c r="K9" s="88" t="e">
        <f>#REF!</f>
        <v>#REF!</v>
      </c>
      <c r="L9" s="88" t="e">
        <f>#REF!</f>
        <v>#REF!</v>
      </c>
      <c r="M9" s="88"/>
      <c r="N9" s="88" t="e">
        <f>#REF!</f>
        <v>#REF!</v>
      </c>
      <c r="O9" s="88" t="e">
        <f>#REF!</f>
        <v>#REF!</v>
      </c>
      <c r="P9" s="88" t="e">
        <f>#REF!</f>
        <v>#REF!</v>
      </c>
      <c r="Q9" s="88" t="e">
        <f>#REF!</f>
        <v>#REF!</v>
      </c>
      <c r="R9" s="88" t="e">
        <f>#REF!</f>
        <v>#REF!</v>
      </c>
      <c r="S9" s="88" t="e">
        <f>#REF!</f>
        <v>#REF!</v>
      </c>
      <c r="T9" s="88" t="e">
        <f>#REF!</f>
        <v>#REF!</v>
      </c>
      <c r="U9" s="88" t="e">
        <f>#REF!</f>
        <v>#REF!</v>
      </c>
      <c r="V9" s="88" t="e">
        <f>#REF!</f>
        <v>#REF!</v>
      </c>
    </row>
    <row r="10" spans="1:22" ht="16.5" thickBot="1">
      <c r="A10" s="97">
        <v>6</v>
      </c>
      <c r="B10" s="88" t="e">
        <f>#REF!</f>
        <v>#REF!</v>
      </c>
      <c r="C10" s="88">
        <v>0</v>
      </c>
      <c r="D10" s="88" t="e">
        <f>#REF!</f>
        <v>#REF!</v>
      </c>
      <c r="E10" s="88" t="e">
        <f>#REF!</f>
        <v>#REF!</v>
      </c>
      <c r="F10" s="88" t="e">
        <f>#REF!</f>
        <v>#REF!</v>
      </c>
      <c r="G10" s="88" t="e">
        <f>#REF!</f>
        <v>#REF!</v>
      </c>
      <c r="H10" s="88" t="e">
        <f>#REF!</f>
        <v>#REF!</v>
      </c>
      <c r="I10" s="88" t="e">
        <f>#REF!</f>
        <v>#REF!</v>
      </c>
      <c r="J10" s="88" t="e">
        <f>#REF!</f>
        <v>#REF!</v>
      </c>
      <c r="K10" s="88" t="e">
        <f>#REF!</f>
        <v>#REF!</v>
      </c>
      <c r="L10" s="88" t="e">
        <f>#REF!</f>
        <v>#REF!</v>
      </c>
      <c r="M10" s="88"/>
      <c r="N10" s="88" t="e">
        <f>#REF!</f>
        <v>#REF!</v>
      </c>
      <c r="O10" s="88" t="e">
        <f>#REF!</f>
        <v>#REF!</v>
      </c>
      <c r="P10" s="88" t="e">
        <f>#REF!</f>
        <v>#REF!</v>
      </c>
      <c r="Q10" s="88" t="e">
        <f>#REF!</f>
        <v>#REF!</v>
      </c>
      <c r="R10" s="88" t="e">
        <f>#REF!</f>
        <v>#REF!</v>
      </c>
      <c r="S10" s="88" t="e">
        <f>#REF!</f>
        <v>#REF!</v>
      </c>
      <c r="T10" s="88" t="e">
        <f>#REF!</f>
        <v>#REF!</v>
      </c>
      <c r="U10" s="88" t="e">
        <f>#REF!</f>
        <v>#REF!</v>
      </c>
      <c r="V10" s="88" t="e">
        <f>#REF!</f>
        <v>#REF!</v>
      </c>
    </row>
    <row r="11" spans="1:22" ht="15.75">
      <c r="A11" s="96">
        <v>7</v>
      </c>
      <c r="B11" s="147">
        <v>0</v>
      </c>
      <c r="C11" s="88" t="e">
        <f>#REF!</f>
        <v>#REF!</v>
      </c>
      <c r="D11" s="88" t="e">
        <f>#REF!</f>
        <v>#REF!</v>
      </c>
      <c r="E11" s="88" t="e">
        <f>#REF!</f>
        <v>#REF!</v>
      </c>
      <c r="F11" s="88" t="e">
        <f>#REF!</f>
        <v>#REF!</v>
      </c>
      <c r="G11" s="88" t="e">
        <f>#REF!</f>
        <v>#REF!</v>
      </c>
      <c r="H11" s="88" t="e">
        <f>#REF!</f>
        <v>#REF!</v>
      </c>
      <c r="I11" s="88" t="e">
        <f>#REF!</f>
        <v>#REF!</v>
      </c>
      <c r="J11" s="88" t="e">
        <f>#REF!</f>
        <v>#REF!</v>
      </c>
      <c r="K11" s="88" t="e">
        <f>#REF!</f>
        <v>#REF!</v>
      </c>
      <c r="L11" s="88" t="e">
        <f>#REF!</f>
        <v>#REF!</v>
      </c>
      <c r="M11" s="88"/>
      <c r="N11" s="88" t="e">
        <f>#REF!</f>
        <v>#REF!</v>
      </c>
      <c r="O11" s="88" t="e">
        <f>#REF!</f>
        <v>#REF!</v>
      </c>
      <c r="P11" s="88" t="e">
        <f>#REF!</f>
        <v>#REF!</v>
      </c>
      <c r="Q11" s="88" t="e">
        <f>#REF!</f>
        <v>#REF!</v>
      </c>
      <c r="R11" s="88" t="e">
        <f>#REF!</f>
        <v>#REF!</v>
      </c>
      <c r="S11" s="88" t="e">
        <f>#REF!</f>
        <v>#REF!</v>
      </c>
      <c r="T11" s="88" t="e">
        <f>#REF!</f>
        <v>#REF!</v>
      </c>
      <c r="U11" s="88" t="e">
        <f>#REF!</f>
        <v>#REF!</v>
      </c>
      <c r="V11" s="88" t="e">
        <f>#REF!</f>
        <v>#REF!</v>
      </c>
    </row>
    <row r="12" spans="1:22" ht="16.5" thickBot="1">
      <c r="A12" s="97">
        <v>8</v>
      </c>
      <c r="B12" s="88" t="e">
        <f>#REF!</f>
        <v>#REF!</v>
      </c>
      <c r="C12" s="88" t="e">
        <f>#REF!</f>
        <v>#REF!</v>
      </c>
      <c r="D12" s="88" t="e">
        <f>#REF!</f>
        <v>#REF!</v>
      </c>
      <c r="E12" s="88" t="e">
        <f>#REF!</f>
        <v>#REF!</v>
      </c>
      <c r="F12" s="88" t="e">
        <f>#REF!</f>
        <v>#REF!</v>
      </c>
      <c r="G12" s="88" t="e">
        <f>#REF!</f>
        <v>#REF!</v>
      </c>
      <c r="H12" s="88" t="e">
        <f>#REF!</f>
        <v>#REF!</v>
      </c>
      <c r="I12" s="88" t="e">
        <f>#REF!</f>
        <v>#REF!</v>
      </c>
      <c r="J12" s="88" t="e">
        <f>#REF!</f>
        <v>#REF!</v>
      </c>
      <c r="K12" s="88" t="e">
        <f>#REF!</f>
        <v>#REF!</v>
      </c>
      <c r="L12" s="88" t="e">
        <f>#REF!</f>
        <v>#REF!</v>
      </c>
      <c r="M12" s="88"/>
      <c r="N12" s="88" t="e">
        <f>#REF!</f>
        <v>#REF!</v>
      </c>
      <c r="O12" s="88" t="e">
        <f>#REF!</f>
        <v>#REF!</v>
      </c>
      <c r="P12" s="88" t="e">
        <f>#REF!</f>
        <v>#REF!</v>
      </c>
      <c r="Q12" s="88" t="e">
        <f>#REF!</f>
        <v>#REF!</v>
      </c>
      <c r="R12" s="88" t="e">
        <f>#REF!</f>
        <v>#REF!</v>
      </c>
      <c r="S12" s="88" t="e">
        <f>#REF!</f>
        <v>#REF!</v>
      </c>
      <c r="T12" s="88" t="e">
        <f>#REF!</f>
        <v>#REF!</v>
      </c>
      <c r="U12" s="88" t="e">
        <f>#REF!</f>
        <v>#REF!</v>
      </c>
      <c r="V12" s="88" t="e">
        <f>#REF!</f>
        <v>#REF!</v>
      </c>
    </row>
    <row r="13" spans="1:22" ht="15.75">
      <c r="A13" s="96">
        <v>9</v>
      </c>
      <c r="B13" s="88" t="e">
        <f>#REF!</f>
        <v>#REF!</v>
      </c>
      <c r="C13" s="88" t="e">
        <f>#REF!</f>
        <v>#REF!</v>
      </c>
      <c r="D13" s="88" t="e">
        <f>#REF!</f>
        <v>#REF!</v>
      </c>
      <c r="E13" s="88" t="e">
        <f>#REF!</f>
        <v>#REF!</v>
      </c>
      <c r="F13" s="88" t="e">
        <f>#REF!</f>
        <v>#REF!</v>
      </c>
      <c r="G13" s="88" t="e">
        <f>#REF!</f>
        <v>#REF!</v>
      </c>
      <c r="H13" s="88" t="e">
        <f>#REF!</f>
        <v>#REF!</v>
      </c>
      <c r="I13" s="88" t="e">
        <f>#REF!</f>
        <v>#REF!</v>
      </c>
      <c r="J13" s="88" t="e">
        <f>#REF!</f>
        <v>#REF!</v>
      </c>
      <c r="K13" s="88" t="e">
        <f>#REF!</f>
        <v>#REF!</v>
      </c>
      <c r="L13" s="88" t="e">
        <f>#REF!</f>
        <v>#REF!</v>
      </c>
      <c r="M13" s="88"/>
      <c r="N13" s="88" t="e">
        <f>#REF!</f>
        <v>#REF!</v>
      </c>
      <c r="O13" s="88" t="e">
        <f>#REF!</f>
        <v>#REF!</v>
      </c>
      <c r="P13" s="88" t="e">
        <f>#REF!</f>
        <v>#REF!</v>
      </c>
      <c r="Q13" s="88" t="e">
        <f>#REF!</f>
        <v>#REF!</v>
      </c>
      <c r="R13" s="88" t="e">
        <f>#REF!</f>
        <v>#REF!</v>
      </c>
      <c r="S13" s="88" t="e">
        <f>#REF!</f>
        <v>#REF!</v>
      </c>
      <c r="T13" s="88" t="e">
        <f>#REF!</f>
        <v>#REF!</v>
      </c>
      <c r="U13" s="88" t="e">
        <f>#REF!</f>
        <v>#REF!</v>
      </c>
      <c r="V13" s="88" t="e">
        <f>#REF!</f>
        <v>#REF!</v>
      </c>
    </row>
    <row r="14" spans="1:22" ht="16.5" thickBot="1">
      <c r="A14" s="97">
        <v>10</v>
      </c>
      <c r="B14" s="88" t="e">
        <f>#REF!</f>
        <v>#REF!</v>
      </c>
      <c r="C14" s="88" t="e">
        <f>#REF!</f>
        <v>#REF!</v>
      </c>
      <c r="D14" s="88" t="e">
        <f>#REF!</f>
        <v>#REF!</v>
      </c>
      <c r="E14" s="88" t="e">
        <f>#REF!</f>
        <v>#REF!</v>
      </c>
      <c r="F14" s="88" t="e">
        <f>#REF!</f>
        <v>#REF!</v>
      </c>
      <c r="G14" s="88" t="e">
        <f>#REF!</f>
        <v>#REF!</v>
      </c>
      <c r="H14" s="88" t="e">
        <f>#REF!</f>
        <v>#REF!</v>
      </c>
      <c r="I14" s="88" t="e">
        <f>#REF!</f>
        <v>#REF!</v>
      </c>
      <c r="J14" s="88" t="e">
        <f>#REF!</f>
        <v>#REF!</v>
      </c>
      <c r="K14" s="88" t="e">
        <f>#REF!</f>
        <v>#REF!</v>
      </c>
      <c r="L14" s="88" t="e">
        <f>#REF!</f>
        <v>#REF!</v>
      </c>
      <c r="M14" s="88"/>
      <c r="N14" s="88" t="e">
        <f>#REF!</f>
        <v>#REF!</v>
      </c>
      <c r="O14" s="88" t="e">
        <f>#REF!</f>
        <v>#REF!</v>
      </c>
      <c r="P14" s="88" t="e">
        <f>#REF!</f>
        <v>#REF!</v>
      </c>
      <c r="Q14" s="88" t="e">
        <f>#REF!</f>
        <v>#REF!</v>
      </c>
      <c r="R14" s="88" t="e">
        <f>#REF!</f>
        <v>#REF!</v>
      </c>
      <c r="S14" s="88" t="e">
        <f>#REF!</f>
        <v>#REF!</v>
      </c>
      <c r="T14" s="88" t="e">
        <f>#REF!</f>
        <v>#REF!</v>
      </c>
      <c r="U14" s="88" t="e">
        <f>#REF!</f>
        <v>#REF!</v>
      </c>
      <c r="V14" s="88" t="e">
        <f>#REF!</f>
        <v>#REF!</v>
      </c>
    </row>
    <row r="15" spans="1:22" ht="15.75">
      <c r="A15" s="96">
        <v>11</v>
      </c>
      <c r="B15" s="88" t="e">
        <f>#REF!</f>
        <v>#REF!</v>
      </c>
      <c r="C15" s="88" t="e">
        <f>#REF!</f>
        <v>#REF!</v>
      </c>
      <c r="D15" s="88" t="e">
        <f>#REF!</f>
        <v>#REF!</v>
      </c>
      <c r="E15" s="88" t="e">
        <f>#REF!</f>
        <v>#REF!</v>
      </c>
      <c r="F15" s="88" t="e">
        <f>#REF!</f>
        <v>#REF!</v>
      </c>
      <c r="G15" s="88" t="e">
        <f>#REF!</f>
        <v>#REF!</v>
      </c>
      <c r="H15" s="88" t="e">
        <f>#REF!</f>
        <v>#REF!</v>
      </c>
      <c r="I15" s="88" t="e">
        <f>#REF!</f>
        <v>#REF!</v>
      </c>
      <c r="J15" s="88" t="e">
        <f>#REF!</f>
        <v>#REF!</v>
      </c>
      <c r="K15" s="88" t="e">
        <f>#REF!</f>
        <v>#REF!</v>
      </c>
      <c r="L15" s="88" t="e">
        <f>#REF!</f>
        <v>#REF!</v>
      </c>
      <c r="M15" s="88"/>
      <c r="N15" s="88" t="e">
        <f>#REF!</f>
        <v>#REF!</v>
      </c>
      <c r="O15" s="88" t="e">
        <f>#REF!</f>
        <v>#REF!</v>
      </c>
      <c r="P15" s="88" t="e">
        <f>#REF!</f>
        <v>#REF!</v>
      </c>
      <c r="Q15" s="88" t="e">
        <f>#REF!</f>
        <v>#REF!</v>
      </c>
      <c r="R15" s="88" t="e">
        <f>#REF!</f>
        <v>#REF!</v>
      </c>
      <c r="S15" s="88" t="e">
        <f>#REF!</f>
        <v>#REF!</v>
      </c>
      <c r="T15" s="88" t="e">
        <f>#REF!</f>
        <v>#REF!</v>
      </c>
      <c r="U15" s="88" t="e">
        <f>#REF!</f>
        <v>#REF!</v>
      </c>
      <c r="V15" s="88" t="e">
        <f>#REF!</f>
        <v>#REF!</v>
      </c>
    </row>
    <row r="16" spans="1:22" ht="16.5" thickBot="1">
      <c r="A16" s="97">
        <v>12</v>
      </c>
      <c r="B16" s="88" t="e">
        <f>#REF!</f>
        <v>#REF!</v>
      </c>
      <c r="C16" s="88" t="e">
        <f>#REF!</f>
        <v>#REF!</v>
      </c>
      <c r="D16" s="88" t="e">
        <f>#REF!</f>
        <v>#REF!</v>
      </c>
      <c r="E16" s="88" t="e">
        <f>#REF!</f>
        <v>#REF!</v>
      </c>
      <c r="F16" s="88" t="e">
        <f>#REF!</f>
        <v>#REF!</v>
      </c>
      <c r="G16" s="88" t="e">
        <f>#REF!</f>
        <v>#REF!</v>
      </c>
      <c r="H16" s="88" t="e">
        <f>#REF!</f>
        <v>#REF!</v>
      </c>
      <c r="I16" s="88" t="e">
        <f>#REF!</f>
        <v>#REF!</v>
      </c>
      <c r="J16" s="88" t="e">
        <f>#REF!</f>
        <v>#REF!</v>
      </c>
      <c r="K16" s="88" t="e">
        <f>#REF!</f>
        <v>#REF!</v>
      </c>
      <c r="L16" s="88" t="e">
        <f>#REF!</f>
        <v>#REF!</v>
      </c>
      <c r="M16" s="88"/>
      <c r="N16" s="88" t="e">
        <f>#REF!</f>
        <v>#REF!</v>
      </c>
      <c r="O16" s="88" t="e">
        <f>#REF!</f>
        <v>#REF!</v>
      </c>
      <c r="P16" s="88" t="e">
        <f>#REF!</f>
        <v>#REF!</v>
      </c>
      <c r="Q16" s="88" t="e">
        <f>#REF!</f>
        <v>#REF!</v>
      </c>
      <c r="R16" s="88" t="e">
        <f>#REF!</f>
        <v>#REF!</v>
      </c>
      <c r="S16" s="88" t="e">
        <f>#REF!</f>
        <v>#REF!</v>
      </c>
      <c r="T16" s="88" t="e">
        <f>#REF!</f>
        <v>#REF!</v>
      </c>
      <c r="U16" s="88" t="e">
        <f>#REF!</f>
        <v>#REF!</v>
      </c>
      <c r="V16" s="88" t="e">
        <f>#REF!</f>
        <v>#REF!</v>
      </c>
    </row>
    <row r="17" spans="1:22" ht="15.75">
      <c r="A17" s="96">
        <v>13</v>
      </c>
      <c r="B17" s="88" t="e">
        <f>#REF!</f>
        <v>#REF!</v>
      </c>
      <c r="C17" s="88" t="e">
        <f>#REF!</f>
        <v>#REF!</v>
      </c>
      <c r="D17" s="88" t="e">
        <f>#REF!</f>
        <v>#REF!</v>
      </c>
      <c r="E17" s="88" t="e">
        <f>#REF!</f>
        <v>#REF!</v>
      </c>
      <c r="F17" s="88" t="e">
        <f>#REF!</f>
        <v>#REF!</v>
      </c>
      <c r="G17" s="88" t="e">
        <f>#REF!</f>
        <v>#REF!</v>
      </c>
      <c r="H17" s="88" t="e">
        <f>#REF!</f>
        <v>#REF!</v>
      </c>
      <c r="I17" s="88" t="e">
        <f>#REF!</f>
        <v>#REF!</v>
      </c>
      <c r="J17" s="88" t="e">
        <f>#REF!</f>
        <v>#REF!</v>
      </c>
      <c r="K17" s="88" t="e">
        <f>#REF!</f>
        <v>#REF!</v>
      </c>
      <c r="L17" s="88" t="e">
        <f>#REF!</f>
        <v>#REF!</v>
      </c>
      <c r="M17" s="88"/>
      <c r="N17" s="88" t="e">
        <f>#REF!</f>
        <v>#REF!</v>
      </c>
      <c r="O17" s="88" t="e">
        <f>#REF!</f>
        <v>#REF!</v>
      </c>
      <c r="P17" s="88" t="e">
        <f>#REF!</f>
        <v>#REF!</v>
      </c>
      <c r="Q17" s="88" t="e">
        <f>#REF!</f>
        <v>#REF!</v>
      </c>
      <c r="R17" s="88" t="e">
        <f>#REF!</f>
        <v>#REF!</v>
      </c>
      <c r="S17" s="88" t="e">
        <f>#REF!</f>
        <v>#REF!</v>
      </c>
      <c r="T17" s="88" t="e">
        <f>#REF!</f>
        <v>#REF!</v>
      </c>
      <c r="U17" s="88" t="e">
        <f>#REF!</f>
        <v>#REF!</v>
      </c>
      <c r="V17" s="88" t="e">
        <f>#REF!</f>
        <v>#REF!</v>
      </c>
    </row>
    <row r="18" spans="1:22" ht="16.5" thickBot="1">
      <c r="A18" s="97">
        <v>14</v>
      </c>
      <c r="B18" s="88" t="e">
        <f>#REF!</f>
        <v>#REF!</v>
      </c>
      <c r="C18" s="88" t="e">
        <f>#REF!</f>
        <v>#REF!</v>
      </c>
      <c r="D18" s="88" t="e">
        <f>#REF!</f>
        <v>#REF!</v>
      </c>
      <c r="E18" s="88" t="e">
        <f>#REF!</f>
        <v>#REF!</v>
      </c>
      <c r="F18" s="88" t="e">
        <f>#REF!</f>
        <v>#REF!</v>
      </c>
      <c r="G18" s="88" t="e">
        <f>#REF!</f>
        <v>#REF!</v>
      </c>
      <c r="H18" s="88" t="e">
        <f>#REF!</f>
        <v>#REF!</v>
      </c>
      <c r="I18" s="88" t="e">
        <f>#REF!</f>
        <v>#REF!</v>
      </c>
      <c r="J18" s="88" t="e">
        <f>#REF!</f>
        <v>#REF!</v>
      </c>
      <c r="K18" s="88" t="e">
        <f>#REF!</f>
        <v>#REF!</v>
      </c>
      <c r="L18" s="88" t="e">
        <f>#REF!</f>
        <v>#REF!</v>
      </c>
      <c r="M18" s="88"/>
      <c r="N18" s="88" t="e">
        <f>#REF!</f>
        <v>#REF!</v>
      </c>
      <c r="O18" s="88" t="e">
        <f>#REF!</f>
        <v>#REF!</v>
      </c>
      <c r="P18" s="88" t="e">
        <f>#REF!</f>
        <v>#REF!</v>
      </c>
      <c r="Q18" s="88" t="e">
        <f>#REF!</f>
        <v>#REF!</v>
      </c>
      <c r="R18" s="88" t="e">
        <f>#REF!</f>
        <v>#REF!</v>
      </c>
      <c r="S18" s="88" t="e">
        <f>#REF!</f>
        <v>#REF!</v>
      </c>
      <c r="T18" s="88" t="e">
        <f>#REF!</f>
        <v>#REF!</v>
      </c>
      <c r="U18" s="88" t="e">
        <f>#REF!</f>
        <v>#REF!</v>
      </c>
      <c r="V18" s="88" t="e">
        <f>#REF!</f>
        <v>#REF!</v>
      </c>
    </row>
    <row r="19" spans="1:22" ht="15.75">
      <c r="A19" s="96">
        <v>15</v>
      </c>
      <c r="B19" s="88" t="e">
        <f>#REF!</f>
        <v>#REF!</v>
      </c>
      <c r="C19" s="88" t="e">
        <f>#REF!</f>
        <v>#REF!</v>
      </c>
      <c r="D19" s="88" t="e">
        <f>#REF!</f>
        <v>#REF!</v>
      </c>
      <c r="E19" s="88" t="e">
        <f>#REF!</f>
        <v>#REF!</v>
      </c>
      <c r="F19" s="88" t="e">
        <f>#REF!</f>
        <v>#REF!</v>
      </c>
      <c r="G19" s="88" t="e">
        <f>#REF!</f>
        <v>#REF!</v>
      </c>
      <c r="H19" s="88" t="e">
        <f>#REF!</f>
        <v>#REF!</v>
      </c>
      <c r="I19" s="88" t="e">
        <f>#REF!</f>
        <v>#REF!</v>
      </c>
      <c r="J19" s="88" t="e">
        <f>#REF!</f>
        <v>#REF!</v>
      </c>
      <c r="K19" s="88" t="e">
        <f>#REF!</f>
        <v>#REF!</v>
      </c>
      <c r="L19" s="88" t="e">
        <f>#REF!</f>
        <v>#REF!</v>
      </c>
      <c r="M19" s="88"/>
      <c r="N19" s="88" t="e">
        <f>#REF!</f>
        <v>#REF!</v>
      </c>
      <c r="O19" s="88" t="e">
        <f>#REF!</f>
        <v>#REF!</v>
      </c>
      <c r="P19" s="88" t="e">
        <f>#REF!</f>
        <v>#REF!</v>
      </c>
      <c r="Q19" s="88" t="e">
        <f>#REF!</f>
        <v>#REF!</v>
      </c>
      <c r="R19" s="88" t="e">
        <f>#REF!</f>
        <v>#REF!</v>
      </c>
      <c r="S19" s="88" t="e">
        <f>#REF!</f>
        <v>#REF!</v>
      </c>
      <c r="T19" s="88" t="e">
        <f>#REF!</f>
        <v>#REF!</v>
      </c>
      <c r="U19" s="88" t="e">
        <f>#REF!</f>
        <v>#REF!</v>
      </c>
      <c r="V19" s="88" t="e">
        <f>#REF!</f>
        <v>#REF!</v>
      </c>
    </row>
    <row r="20" spans="1:22" ht="16.5" thickBot="1">
      <c r="A20" s="97">
        <v>16</v>
      </c>
      <c r="B20" s="88" t="e">
        <f>#REF!</f>
        <v>#REF!</v>
      </c>
      <c r="C20" s="88" t="e">
        <f>#REF!</f>
        <v>#REF!</v>
      </c>
      <c r="D20" s="88" t="e">
        <f>#REF!</f>
        <v>#REF!</v>
      </c>
      <c r="E20" s="88" t="e">
        <f>#REF!</f>
        <v>#REF!</v>
      </c>
      <c r="F20" s="88" t="e">
        <f>#REF!</f>
        <v>#REF!</v>
      </c>
      <c r="G20" s="88" t="e">
        <f>#REF!</f>
        <v>#REF!</v>
      </c>
      <c r="H20" s="88" t="e">
        <f>#REF!</f>
        <v>#REF!</v>
      </c>
      <c r="I20" s="88" t="e">
        <f>#REF!</f>
        <v>#REF!</v>
      </c>
      <c r="J20" s="88" t="e">
        <f>#REF!</f>
        <v>#REF!</v>
      </c>
      <c r="K20" s="88" t="e">
        <f>#REF!</f>
        <v>#REF!</v>
      </c>
      <c r="L20" s="88" t="e">
        <f>#REF!</f>
        <v>#REF!</v>
      </c>
      <c r="M20" s="88"/>
      <c r="N20" s="88" t="e">
        <f>#REF!</f>
        <v>#REF!</v>
      </c>
      <c r="O20" s="88" t="e">
        <f>#REF!</f>
        <v>#REF!</v>
      </c>
      <c r="P20" s="88" t="e">
        <f>#REF!</f>
        <v>#REF!</v>
      </c>
      <c r="Q20" s="88" t="e">
        <f>#REF!</f>
        <v>#REF!</v>
      </c>
      <c r="R20" s="88" t="e">
        <f>#REF!</f>
        <v>#REF!</v>
      </c>
      <c r="S20" s="88" t="e">
        <f>#REF!</f>
        <v>#REF!</v>
      </c>
      <c r="T20" s="88" t="e">
        <f>#REF!</f>
        <v>#REF!</v>
      </c>
      <c r="U20" s="88" t="e">
        <f>#REF!</f>
        <v>#REF!</v>
      </c>
      <c r="V20" s="88" t="e">
        <f>#REF!</f>
        <v>#REF!</v>
      </c>
    </row>
    <row r="21" spans="1:22" ht="15.75">
      <c r="A21" s="96">
        <v>17</v>
      </c>
      <c r="B21" s="88" t="e">
        <f>#REF!</f>
        <v>#REF!</v>
      </c>
      <c r="C21" s="88" t="e">
        <f>#REF!</f>
        <v>#REF!</v>
      </c>
      <c r="D21" s="88" t="e">
        <f>#REF!</f>
        <v>#REF!</v>
      </c>
      <c r="E21" s="88" t="e">
        <f>#REF!</f>
        <v>#REF!</v>
      </c>
      <c r="F21" s="88" t="e">
        <f>#REF!</f>
        <v>#REF!</v>
      </c>
      <c r="G21" s="88" t="e">
        <f>#REF!</f>
        <v>#REF!</v>
      </c>
      <c r="H21" s="88" t="e">
        <f>#REF!</f>
        <v>#REF!</v>
      </c>
      <c r="I21" s="88" t="e">
        <f>#REF!</f>
        <v>#REF!</v>
      </c>
      <c r="J21" s="88" t="e">
        <f>#REF!</f>
        <v>#REF!</v>
      </c>
      <c r="K21" s="88" t="e">
        <f>#REF!</f>
        <v>#REF!</v>
      </c>
      <c r="L21" s="88" t="e">
        <f>#REF!</f>
        <v>#REF!</v>
      </c>
      <c r="M21" s="88"/>
      <c r="N21" s="88" t="e">
        <f>#REF!</f>
        <v>#REF!</v>
      </c>
      <c r="O21" s="88" t="e">
        <f>#REF!</f>
        <v>#REF!</v>
      </c>
      <c r="P21" s="88" t="e">
        <f>#REF!</f>
        <v>#REF!</v>
      </c>
      <c r="Q21" s="88" t="e">
        <f>#REF!</f>
        <v>#REF!</v>
      </c>
      <c r="R21" s="88" t="e">
        <f>#REF!</f>
        <v>#REF!</v>
      </c>
      <c r="S21" s="88" t="e">
        <f>#REF!</f>
        <v>#REF!</v>
      </c>
      <c r="T21" s="88" t="e">
        <f>#REF!</f>
        <v>#REF!</v>
      </c>
      <c r="U21" s="88" t="e">
        <f>#REF!</f>
        <v>#REF!</v>
      </c>
      <c r="V21" s="88" t="e">
        <f>#REF!</f>
        <v>#REF!</v>
      </c>
    </row>
    <row r="22" spans="1:22" ht="16.5" thickBot="1">
      <c r="A22" s="97">
        <v>18</v>
      </c>
      <c r="B22" s="88">
        <v>0</v>
      </c>
      <c r="C22" s="89" t="e">
        <f>#REF!</f>
        <v>#REF!</v>
      </c>
      <c r="D22" s="89" t="e">
        <f>#REF!</f>
        <v>#REF!</v>
      </c>
      <c r="E22" s="89" t="e">
        <f>#REF!</f>
        <v>#REF!</v>
      </c>
      <c r="F22" s="89" t="e">
        <f>#REF!</f>
        <v>#REF!</v>
      </c>
      <c r="G22" s="89" t="e">
        <f>#REF!</f>
        <v>#REF!</v>
      </c>
      <c r="H22" s="89" t="e">
        <f>#REF!</f>
        <v>#REF!</v>
      </c>
      <c r="I22" s="89" t="e">
        <f>#REF!</f>
        <v>#REF!</v>
      </c>
      <c r="J22" s="89" t="e">
        <f>#REF!</f>
        <v>#REF!</v>
      </c>
      <c r="K22" s="89" t="e">
        <f>#REF!</f>
        <v>#REF!</v>
      </c>
      <c r="L22" s="89" t="e">
        <f>#REF!</f>
        <v>#REF!</v>
      </c>
      <c r="M22" s="89"/>
      <c r="N22" s="89" t="e">
        <f>#REF!</f>
        <v>#REF!</v>
      </c>
      <c r="O22" s="89" t="e">
        <f>#REF!</f>
        <v>#REF!</v>
      </c>
      <c r="P22" s="89" t="e">
        <f>#REF!</f>
        <v>#REF!</v>
      </c>
      <c r="Q22" s="89" t="e">
        <f>#REF!</f>
        <v>#REF!</v>
      </c>
      <c r="R22" s="89" t="e">
        <f>#REF!</f>
        <v>#REF!</v>
      </c>
      <c r="S22" s="89" t="e">
        <f>#REF!</f>
        <v>#REF!</v>
      </c>
      <c r="T22" s="89" t="e">
        <f>#REF!</f>
        <v>#REF!</v>
      </c>
      <c r="U22" s="89" t="e">
        <f>#REF!</f>
        <v>#REF!</v>
      </c>
      <c r="V22" s="89" t="e">
        <f>#REF!</f>
        <v>#REF!</v>
      </c>
    </row>
    <row r="28" spans="1:22" ht="28.5" thickBot="1">
      <c r="A28" s="667" t="s">
        <v>45</v>
      </c>
      <c r="B28" s="668"/>
      <c r="C28" s="668"/>
      <c r="D28" s="668"/>
      <c r="E28" s="668"/>
      <c r="F28" s="668"/>
      <c r="G28" s="668"/>
      <c r="H28" s="668"/>
      <c r="I28" s="668"/>
      <c r="J28" s="668"/>
      <c r="K28" s="668"/>
      <c r="L28" s="668"/>
      <c r="M28" s="668"/>
      <c r="N28" s="668"/>
      <c r="O28" s="668"/>
      <c r="P28" s="668"/>
      <c r="Q28" s="668"/>
      <c r="R28" s="668"/>
      <c r="S28" s="668"/>
    </row>
    <row r="29" spans="1:22" ht="52.5" customHeight="1" thickBot="1">
      <c r="B29" s="143" t="s">
        <v>138</v>
      </c>
      <c r="C29" s="143" t="s">
        <v>139</v>
      </c>
      <c r="D29" s="145" t="s">
        <v>140</v>
      </c>
      <c r="E29" s="143" t="s">
        <v>141</v>
      </c>
      <c r="F29" s="143" t="s">
        <v>142</v>
      </c>
      <c r="G29" s="143" t="s">
        <v>143</v>
      </c>
      <c r="H29" s="143" t="s">
        <v>144</v>
      </c>
      <c r="I29" s="143" t="s">
        <v>145</v>
      </c>
      <c r="J29" s="143" t="s">
        <v>146</v>
      </c>
      <c r="K29" s="143" t="s">
        <v>147</v>
      </c>
      <c r="L29" s="143" t="s">
        <v>148</v>
      </c>
      <c r="M29" s="143" t="s">
        <v>149</v>
      </c>
      <c r="N29" s="143" t="s">
        <v>150</v>
      </c>
      <c r="O29" s="143" t="s">
        <v>151</v>
      </c>
      <c r="P29" s="143" t="s">
        <v>152</v>
      </c>
      <c r="Q29" s="143" t="s">
        <v>153</v>
      </c>
      <c r="R29" s="143" t="s">
        <v>154</v>
      </c>
      <c r="S29" s="143" t="s">
        <v>155</v>
      </c>
    </row>
    <row r="30" spans="1:22" ht="16.5" thickBot="1">
      <c r="A30" s="85" t="s">
        <v>39</v>
      </c>
      <c r="B30" s="86" t="s">
        <v>124</v>
      </c>
      <c r="C30" s="86" t="s">
        <v>124</v>
      </c>
      <c r="D30" s="86" t="s">
        <v>124</v>
      </c>
      <c r="E30" s="86" t="s">
        <v>124</v>
      </c>
      <c r="F30" s="86" t="s">
        <v>124</v>
      </c>
      <c r="G30" s="86" t="s">
        <v>124</v>
      </c>
      <c r="H30" s="86" t="s">
        <v>124</v>
      </c>
      <c r="I30" s="86" t="s">
        <v>124</v>
      </c>
      <c r="J30" s="86" t="s">
        <v>124</v>
      </c>
      <c r="K30" s="86" t="s">
        <v>124</v>
      </c>
      <c r="L30" s="86" t="s">
        <v>124</v>
      </c>
      <c r="M30" s="86" t="s">
        <v>124</v>
      </c>
      <c r="N30" s="86" t="s">
        <v>124</v>
      </c>
      <c r="O30" s="86" t="s">
        <v>124</v>
      </c>
      <c r="P30" s="86" t="s">
        <v>124</v>
      </c>
      <c r="Q30" s="86" t="s">
        <v>124</v>
      </c>
      <c r="R30" s="86" t="s">
        <v>124</v>
      </c>
      <c r="S30" s="93" t="s">
        <v>124</v>
      </c>
    </row>
    <row r="31" spans="1:22" ht="15.75">
      <c r="A31" s="90">
        <v>2</v>
      </c>
      <c r="B31" s="88" t="e">
        <f>#REF!</f>
        <v>#REF!</v>
      </c>
      <c r="C31" s="88" t="e">
        <f>#REF!</f>
        <v>#REF!</v>
      </c>
      <c r="D31" s="88" t="e">
        <f>#REF!</f>
        <v>#REF!</v>
      </c>
      <c r="E31" s="88" t="e">
        <f>#REF!</f>
        <v>#REF!</v>
      </c>
      <c r="F31" s="88" t="e">
        <f>#REF!</f>
        <v>#REF!</v>
      </c>
      <c r="G31" s="88" t="e">
        <f>#REF!</f>
        <v>#REF!</v>
      </c>
      <c r="H31" s="88" t="e">
        <f>#REF!</f>
        <v>#REF!</v>
      </c>
      <c r="I31" s="88" t="e">
        <f>#REF!</f>
        <v>#REF!</v>
      </c>
      <c r="J31" s="88" t="e">
        <f>#REF!</f>
        <v>#REF!</v>
      </c>
      <c r="K31" s="88" t="e">
        <f>#REF!</f>
        <v>#REF!</v>
      </c>
      <c r="L31" s="88" t="e">
        <f>#REF!</f>
        <v>#REF!</v>
      </c>
      <c r="M31" s="88" t="e">
        <f>#REF!</f>
        <v>#REF!</v>
      </c>
      <c r="N31" s="88" t="e">
        <f>#REF!</f>
        <v>#REF!</v>
      </c>
      <c r="O31" s="88" t="e">
        <f>#REF!</f>
        <v>#REF!</v>
      </c>
      <c r="P31" s="88" t="e">
        <f>#REF!</f>
        <v>#REF!</v>
      </c>
      <c r="Q31" s="88" t="e">
        <f>#REF!</f>
        <v>#REF!</v>
      </c>
      <c r="R31" s="88" t="e">
        <f>#REF!</f>
        <v>#REF!</v>
      </c>
      <c r="S31" s="88" t="e">
        <f>#REF!</f>
        <v>#REF!</v>
      </c>
    </row>
    <row r="32" spans="1:22" ht="15.75">
      <c r="A32" s="91">
        <v>3</v>
      </c>
      <c r="B32" s="88" t="e">
        <f>#REF!</f>
        <v>#REF!</v>
      </c>
      <c r="C32" s="88" t="e">
        <f>#REF!</f>
        <v>#REF!</v>
      </c>
      <c r="D32" s="88" t="e">
        <f>#REF!</f>
        <v>#REF!</v>
      </c>
      <c r="E32" s="88" t="e">
        <f>#REF!</f>
        <v>#REF!</v>
      </c>
      <c r="F32" s="88" t="e">
        <f>#REF!</f>
        <v>#REF!</v>
      </c>
      <c r="G32" s="88" t="e">
        <f>#REF!</f>
        <v>#REF!</v>
      </c>
      <c r="H32" s="88" t="e">
        <f>#REF!</f>
        <v>#REF!</v>
      </c>
      <c r="I32" s="88" t="e">
        <f>#REF!</f>
        <v>#REF!</v>
      </c>
      <c r="J32" s="88" t="e">
        <f>#REF!</f>
        <v>#REF!</v>
      </c>
      <c r="K32" s="88" t="e">
        <f>#REF!</f>
        <v>#REF!</v>
      </c>
      <c r="L32" s="88" t="e">
        <f>#REF!</f>
        <v>#REF!</v>
      </c>
      <c r="M32" s="88" t="e">
        <f>#REF!</f>
        <v>#REF!</v>
      </c>
      <c r="N32" s="88" t="e">
        <f>#REF!</f>
        <v>#REF!</v>
      </c>
      <c r="O32" s="88" t="e">
        <f>#REF!</f>
        <v>#REF!</v>
      </c>
      <c r="P32" s="88" t="e">
        <f>#REF!</f>
        <v>#REF!</v>
      </c>
      <c r="Q32" s="88" t="e">
        <f>#REF!</f>
        <v>#REF!</v>
      </c>
      <c r="R32" s="88" t="e">
        <f>#REF!</f>
        <v>#REF!</v>
      </c>
      <c r="S32" s="88" t="e">
        <f>#REF!</f>
        <v>#REF!</v>
      </c>
    </row>
    <row r="33" spans="1:19" ht="15.75">
      <c r="A33" s="91">
        <v>4</v>
      </c>
      <c r="B33" s="88" t="e">
        <f>#REF!</f>
        <v>#REF!</v>
      </c>
      <c r="C33" s="88" t="e">
        <f>#REF!</f>
        <v>#REF!</v>
      </c>
      <c r="D33" s="88" t="e">
        <f>#REF!</f>
        <v>#REF!</v>
      </c>
      <c r="E33" s="88" t="e">
        <f>#REF!</f>
        <v>#REF!</v>
      </c>
      <c r="F33" s="88" t="e">
        <f>#REF!</f>
        <v>#REF!</v>
      </c>
      <c r="G33" s="88" t="e">
        <f>#REF!</f>
        <v>#REF!</v>
      </c>
      <c r="H33" s="88" t="e">
        <f>#REF!</f>
        <v>#REF!</v>
      </c>
      <c r="I33" s="88" t="e">
        <f>#REF!</f>
        <v>#REF!</v>
      </c>
      <c r="J33" s="88" t="e">
        <f>#REF!</f>
        <v>#REF!</v>
      </c>
      <c r="K33" s="88" t="e">
        <f>#REF!</f>
        <v>#REF!</v>
      </c>
      <c r="L33" s="88" t="e">
        <f>#REF!</f>
        <v>#REF!</v>
      </c>
      <c r="M33" s="88" t="e">
        <f>#REF!</f>
        <v>#REF!</v>
      </c>
      <c r="N33" s="88" t="e">
        <f>#REF!</f>
        <v>#REF!</v>
      </c>
      <c r="O33" s="88" t="e">
        <f>#REF!</f>
        <v>#REF!</v>
      </c>
      <c r="P33" s="88" t="e">
        <f>#REF!</f>
        <v>#REF!</v>
      </c>
      <c r="Q33" s="88" t="e">
        <f>#REF!</f>
        <v>#REF!</v>
      </c>
      <c r="R33" s="88" t="e">
        <f>#REF!</f>
        <v>#REF!</v>
      </c>
      <c r="S33" s="88" t="e">
        <f>#REF!</f>
        <v>#REF!</v>
      </c>
    </row>
    <row r="34" spans="1:19" ht="15.75">
      <c r="A34" s="91">
        <v>5</v>
      </c>
      <c r="B34" s="88" t="e">
        <f>#REF!</f>
        <v>#REF!</v>
      </c>
      <c r="C34" s="88" t="e">
        <f>#REF!</f>
        <v>#REF!</v>
      </c>
      <c r="D34" s="88" t="e">
        <f>#REF!</f>
        <v>#REF!</v>
      </c>
      <c r="E34" s="88" t="e">
        <f>#REF!</f>
        <v>#REF!</v>
      </c>
      <c r="F34" s="88" t="e">
        <f>#REF!</f>
        <v>#REF!</v>
      </c>
      <c r="G34" s="88" t="e">
        <f>#REF!</f>
        <v>#REF!</v>
      </c>
      <c r="H34" s="88" t="e">
        <f>#REF!</f>
        <v>#REF!</v>
      </c>
      <c r="I34" s="88" t="e">
        <f>#REF!</f>
        <v>#REF!</v>
      </c>
      <c r="J34" s="88" t="e">
        <f>#REF!</f>
        <v>#REF!</v>
      </c>
      <c r="K34" s="88" t="e">
        <f>#REF!</f>
        <v>#REF!</v>
      </c>
      <c r="L34" s="88" t="e">
        <f>#REF!</f>
        <v>#REF!</v>
      </c>
      <c r="M34" s="88" t="e">
        <f>#REF!</f>
        <v>#REF!</v>
      </c>
      <c r="N34" s="88" t="e">
        <f>#REF!</f>
        <v>#REF!</v>
      </c>
      <c r="O34" s="88" t="e">
        <f>#REF!</f>
        <v>#REF!</v>
      </c>
      <c r="P34" s="88" t="e">
        <f>#REF!</f>
        <v>#REF!</v>
      </c>
      <c r="Q34" s="88" t="e">
        <f>#REF!</f>
        <v>#REF!</v>
      </c>
      <c r="R34" s="88" t="e">
        <f>#REF!</f>
        <v>#REF!</v>
      </c>
      <c r="S34" s="88" t="e">
        <f>#REF!</f>
        <v>#REF!</v>
      </c>
    </row>
    <row r="35" spans="1:19" ht="15.75">
      <c r="A35" s="91">
        <v>6</v>
      </c>
      <c r="B35" s="88" t="e">
        <f>#REF!</f>
        <v>#REF!</v>
      </c>
      <c r="C35" s="88" t="e">
        <f>#REF!</f>
        <v>#REF!</v>
      </c>
      <c r="D35" s="88" t="e">
        <f>#REF!</f>
        <v>#REF!</v>
      </c>
      <c r="E35" s="88" t="e">
        <f>#REF!</f>
        <v>#REF!</v>
      </c>
      <c r="F35" s="88" t="e">
        <f>#REF!</f>
        <v>#REF!</v>
      </c>
      <c r="G35" s="88" t="e">
        <f>#REF!</f>
        <v>#REF!</v>
      </c>
      <c r="H35" s="88" t="e">
        <f>#REF!</f>
        <v>#REF!</v>
      </c>
      <c r="I35" s="88" t="e">
        <f>#REF!</f>
        <v>#REF!</v>
      </c>
      <c r="J35" s="88" t="e">
        <f>#REF!</f>
        <v>#REF!</v>
      </c>
      <c r="K35" s="88" t="e">
        <f>#REF!</f>
        <v>#REF!</v>
      </c>
      <c r="L35" s="88" t="e">
        <f>#REF!</f>
        <v>#REF!</v>
      </c>
      <c r="M35" s="88" t="e">
        <f>#REF!</f>
        <v>#REF!</v>
      </c>
      <c r="N35" s="88" t="e">
        <f>#REF!</f>
        <v>#REF!</v>
      </c>
      <c r="O35" s="88" t="e">
        <f>#REF!</f>
        <v>#REF!</v>
      </c>
      <c r="P35" s="88" t="e">
        <f>#REF!</f>
        <v>#REF!</v>
      </c>
      <c r="Q35" s="88" t="e">
        <f>#REF!</f>
        <v>#REF!</v>
      </c>
      <c r="R35" s="88" t="e">
        <f>#REF!</f>
        <v>#REF!</v>
      </c>
      <c r="S35" s="88" t="e">
        <f>#REF!</f>
        <v>#REF!</v>
      </c>
    </row>
    <row r="36" spans="1:19" ht="15.75">
      <c r="A36" s="91">
        <v>7</v>
      </c>
      <c r="B36" s="88" t="e">
        <f>#REF!</f>
        <v>#REF!</v>
      </c>
      <c r="C36" s="88" t="e">
        <f>#REF!</f>
        <v>#REF!</v>
      </c>
      <c r="D36" s="88" t="e">
        <f>#REF!</f>
        <v>#REF!</v>
      </c>
      <c r="E36" s="88" t="e">
        <f>#REF!</f>
        <v>#REF!</v>
      </c>
      <c r="F36" s="88" t="e">
        <f>#REF!</f>
        <v>#REF!</v>
      </c>
      <c r="G36" s="88" t="e">
        <f>#REF!</f>
        <v>#REF!</v>
      </c>
      <c r="H36" s="88" t="e">
        <f>#REF!</f>
        <v>#REF!</v>
      </c>
      <c r="I36" s="88" t="e">
        <f>#REF!</f>
        <v>#REF!</v>
      </c>
      <c r="J36" s="88" t="e">
        <f>#REF!</f>
        <v>#REF!</v>
      </c>
      <c r="K36" s="88" t="e">
        <f>#REF!</f>
        <v>#REF!</v>
      </c>
      <c r="L36" s="88" t="e">
        <f>#REF!</f>
        <v>#REF!</v>
      </c>
      <c r="M36" s="88" t="e">
        <f>#REF!</f>
        <v>#REF!</v>
      </c>
      <c r="N36" s="88" t="e">
        <f>#REF!</f>
        <v>#REF!</v>
      </c>
      <c r="O36" s="88" t="e">
        <f>#REF!</f>
        <v>#REF!</v>
      </c>
      <c r="P36" s="88" t="e">
        <f>#REF!</f>
        <v>#REF!</v>
      </c>
      <c r="Q36" s="88" t="e">
        <f>#REF!</f>
        <v>#REF!</v>
      </c>
      <c r="R36" s="88" t="e">
        <f>#REF!</f>
        <v>#REF!</v>
      </c>
      <c r="S36" s="88" t="e">
        <f>#REF!</f>
        <v>#REF!</v>
      </c>
    </row>
    <row r="37" spans="1:19" ht="15.75">
      <c r="A37" s="91">
        <v>8</v>
      </c>
      <c r="B37" s="88" t="e">
        <f>#REF!</f>
        <v>#REF!</v>
      </c>
      <c r="C37" s="88" t="e">
        <f>#REF!</f>
        <v>#REF!</v>
      </c>
      <c r="D37" s="88" t="e">
        <f>#REF!</f>
        <v>#REF!</v>
      </c>
      <c r="E37" s="88" t="e">
        <f>#REF!</f>
        <v>#REF!</v>
      </c>
      <c r="F37" s="88" t="e">
        <f>#REF!</f>
        <v>#REF!</v>
      </c>
      <c r="G37" s="88" t="e">
        <f>#REF!</f>
        <v>#REF!</v>
      </c>
      <c r="H37" s="88" t="e">
        <f>#REF!</f>
        <v>#REF!</v>
      </c>
      <c r="I37" s="88" t="e">
        <f>#REF!</f>
        <v>#REF!</v>
      </c>
      <c r="J37" s="88" t="e">
        <f>#REF!</f>
        <v>#REF!</v>
      </c>
      <c r="K37" s="88" t="e">
        <f>#REF!</f>
        <v>#REF!</v>
      </c>
      <c r="L37" s="88" t="e">
        <f>#REF!</f>
        <v>#REF!</v>
      </c>
      <c r="M37" s="88" t="e">
        <f>#REF!</f>
        <v>#REF!</v>
      </c>
      <c r="N37" s="88" t="e">
        <f>#REF!</f>
        <v>#REF!</v>
      </c>
      <c r="O37" s="88" t="e">
        <f>#REF!</f>
        <v>#REF!</v>
      </c>
      <c r="P37" s="88" t="e">
        <f>#REF!</f>
        <v>#REF!</v>
      </c>
      <c r="Q37" s="88" t="e">
        <f>#REF!</f>
        <v>#REF!</v>
      </c>
      <c r="R37" s="88" t="e">
        <f>#REF!</f>
        <v>#REF!</v>
      </c>
      <c r="S37" s="88" t="e">
        <f>#REF!</f>
        <v>#REF!</v>
      </c>
    </row>
    <row r="38" spans="1:19" ht="15.75">
      <c r="A38" s="91">
        <v>9</v>
      </c>
      <c r="B38" s="88" t="e">
        <f>#REF!</f>
        <v>#REF!</v>
      </c>
      <c r="C38" s="88" t="e">
        <f>#REF!</f>
        <v>#REF!</v>
      </c>
      <c r="D38" s="88" t="e">
        <f>#REF!</f>
        <v>#REF!</v>
      </c>
      <c r="E38" s="88" t="e">
        <f>#REF!</f>
        <v>#REF!</v>
      </c>
      <c r="F38" s="88" t="e">
        <f>#REF!</f>
        <v>#REF!</v>
      </c>
      <c r="G38" s="88" t="e">
        <f>#REF!</f>
        <v>#REF!</v>
      </c>
      <c r="H38" s="88" t="e">
        <f>#REF!</f>
        <v>#REF!</v>
      </c>
      <c r="I38" s="88" t="e">
        <f>#REF!</f>
        <v>#REF!</v>
      </c>
      <c r="J38" s="88" t="e">
        <f>#REF!</f>
        <v>#REF!</v>
      </c>
      <c r="K38" s="88" t="e">
        <f>#REF!</f>
        <v>#REF!</v>
      </c>
      <c r="L38" s="88" t="e">
        <f>#REF!</f>
        <v>#REF!</v>
      </c>
      <c r="M38" s="88" t="e">
        <f>#REF!</f>
        <v>#REF!</v>
      </c>
      <c r="N38" s="88" t="e">
        <f>#REF!</f>
        <v>#REF!</v>
      </c>
      <c r="O38" s="88" t="e">
        <f>#REF!</f>
        <v>#REF!</v>
      </c>
      <c r="P38" s="88" t="e">
        <f>#REF!</f>
        <v>#REF!</v>
      </c>
      <c r="Q38" s="88" t="e">
        <f>#REF!</f>
        <v>#REF!</v>
      </c>
      <c r="R38" s="88" t="e">
        <f>#REF!</f>
        <v>#REF!</v>
      </c>
      <c r="S38" s="88" t="e">
        <f>#REF!</f>
        <v>#REF!</v>
      </c>
    </row>
    <row r="39" spans="1:19" ht="15.75">
      <c r="A39" s="91">
        <v>10</v>
      </c>
      <c r="B39" s="88" t="e">
        <f>#REF!</f>
        <v>#REF!</v>
      </c>
      <c r="C39" s="88" t="e">
        <f>#REF!</f>
        <v>#REF!</v>
      </c>
      <c r="D39" s="88" t="e">
        <f>#REF!</f>
        <v>#REF!</v>
      </c>
      <c r="E39" s="88" t="e">
        <f>#REF!</f>
        <v>#REF!</v>
      </c>
      <c r="F39" s="88" t="e">
        <f>#REF!</f>
        <v>#REF!</v>
      </c>
      <c r="G39" s="88" t="e">
        <f>#REF!</f>
        <v>#REF!</v>
      </c>
      <c r="H39" s="88" t="e">
        <f>#REF!</f>
        <v>#REF!</v>
      </c>
      <c r="I39" s="88" t="e">
        <f>#REF!</f>
        <v>#REF!</v>
      </c>
      <c r="J39" s="88" t="e">
        <f>#REF!</f>
        <v>#REF!</v>
      </c>
      <c r="K39" s="88" t="e">
        <f>#REF!</f>
        <v>#REF!</v>
      </c>
      <c r="L39" s="88" t="e">
        <f>#REF!</f>
        <v>#REF!</v>
      </c>
      <c r="M39" s="88" t="e">
        <f>#REF!</f>
        <v>#REF!</v>
      </c>
      <c r="N39" s="88" t="e">
        <f>#REF!</f>
        <v>#REF!</v>
      </c>
      <c r="O39" s="88" t="e">
        <f>#REF!</f>
        <v>#REF!</v>
      </c>
      <c r="P39" s="88" t="e">
        <f>#REF!</f>
        <v>#REF!</v>
      </c>
      <c r="Q39" s="88" t="e">
        <f>#REF!</f>
        <v>#REF!</v>
      </c>
      <c r="R39" s="88" t="e">
        <f>#REF!</f>
        <v>#REF!</v>
      </c>
      <c r="S39" s="88" t="e">
        <f>#REF!</f>
        <v>#REF!</v>
      </c>
    </row>
    <row r="40" spans="1:19" ht="15.75">
      <c r="A40" s="91">
        <v>11</v>
      </c>
      <c r="B40" s="88" t="e">
        <f>#REF!</f>
        <v>#REF!</v>
      </c>
      <c r="C40" s="88" t="e">
        <f>#REF!</f>
        <v>#REF!</v>
      </c>
      <c r="D40" s="88" t="e">
        <f>#REF!</f>
        <v>#REF!</v>
      </c>
      <c r="E40" s="88" t="e">
        <f>#REF!</f>
        <v>#REF!</v>
      </c>
      <c r="F40" s="88" t="e">
        <f>#REF!</f>
        <v>#REF!</v>
      </c>
      <c r="G40" s="88" t="e">
        <f>#REF!</f>
        <v>#REF!</v>
      </c>
      <c r="H40" s="88" t="e">
        <f>#REF!</f>
        <v>#REF!</v>
      </c>
      <c r="I40" s="88" t="e">
        <f>#REF!</f>
        <v>#REF!</v>
      </c>
      <c r="J40" s="88" t="e">
        <f>#REF!</f>
        <v>#REF!</v>
      </c>
      <c r="K40" s="88" t="e">
        <f>#REF!</f>
        <v>#REF!</v>
      </c>
      <c r="L40" s="88" t="e">
        <f>#REF!</f>
        <v>#REF!</v>
      </c>
      <c r="M40" s="88" t="e">
        <f>#REF!</f>
        <v>#REF!</v>
      </c>
      <c r="N40" s="88" t="e">
        <f>#REF!</f>
        <v>#REF!</v>
      </c>
      <c r="O40" s="88" t="e">
        <f>#REF!</f>
        <v>#REF!</v>
      </c>
      <c r="P40" s="88" t="e">
        <f>#REF!</f>
        <v>#REF!</v>
      </c>
      <c r="Q40" s="88" t="e">
        <f>#REF!</f>
        <v>#REF!</v>
      </c>
      <c r="R40" s="88" t="e">
        <f>#REF!</f>
        <v>#REF!</v>
      </c>
      <c r="S40" s="88" t="e">
        <f>#REF!</f>
        <v>#REF!</v>
      </c>
    </row>
    <row r="41" spans="1:19" ht="15.75">
      <c r="A41" s="91">
        <v>12</v>
      </c>
      <c r="B41" s="88" t="e">
        <f>#REF!</f>
        <v>#REF!</v>
      </c>
      <c r="C41" s="88" t="e">
        <f>#REF!</f>
        <v>#REF!</v>
      </c>
      <c r="D41" s="88" t="e">
        <f>#REF!</f>
        <v>#REF!</v>
      </c>
      <c r="E41" s="88" t="e">
        <f>#REF!</f>
        <v>#REF!</v>
      </c>
      <c r="F41" s="88" t="e">
        <f>#REF!</f>
        <v>#REF!</v>
      </c>
      <c r="G41" s="88" t="e">
        <f>#REF!</f>
        <v>#REF!</v>
      </c>
      <c r="H41" s="88" t="e">
        <f>#REF!</f>
        <v>#REF!</v>
      </c>
      <c r="I41" s="88" t="e">
        <f>#REF!</f>
        <v>#REF!</v>
      </c>
      <c r="J41" s="88" t="e">
        <f>#REF!</f>
        <v>#REF!</v>
      </c>
      <c r="K41" s="88" t="e">
        <f>#REF!</f>
        <v>#REF!</v>
      </c>
      <c r="L41" s="88" t="e">
        <f>#REF!</f>
        <v>#REF!</v>
      </c>
      <c r="M41" s="88" t="e">
        <f>#REF!</f>
        <v>#REF!</v>
      </c>
      <c r="N41" s="88" t="e">
        <f>#REF!</f>
        <v>#REF!</v>
      </c>
      <c r="O41" s="88" t="e">
        <f>#REF!</f>
        <v>#REF!</v>
      </c>
      <c r="P41" s="88" t="e">
        <f>#REF!</f>
        <v>#REF!</v>
      </c>
      <c r="Q41" s="88" t="e">
        <f>#REF!</f>
        <v>#REF!</v>
      </c>
      <c r="R41" s="88" t="e">
        <f>#REF!</f>
        <v>#REF!</v>
      </c>
      <c r="S41" s="88" t="e">
        <f>#REF!</f>
        <v>#REF!</v>
      </c>
    </row>
    <row r="42" spans="1:19" ht="15.75">
      <c r="A42" s="91">
        <v>13</v>
      </c>
      <c r="B42" s="88" t="e">
        <f>#REF!</f>
        <v>#REF!</v>
      </c>
      <c r="C42" s="88" t="e">
        <f>#REF!</f>
        <v>#REF!</v>
      </c>
      <c r="D42" s="88" t="e">
        <f>#REF!</f>
        <v>#REF!</v>
      </c>
      <c r="E42" s="88" t="e">
        <f>#REF!</f>
        <v>#REF!</v>
      </c>
      <c r="F42" s="88" t="e">
        <f>#REF!</f>
        <v>#REF!</v>
      </c>
      <c r="G42" s="88" t="e">
        <f>#REF!</f>
        <v>#REF!</v>
      </c>
      <c r="H42" s="88" t="e">
        <f>#REF!</f>
        <v>#REF!</v>
      </c>
      <c r="I42" s="88" t="e">
        <f>#REF!</f>
        <v>#REF!</v>
      </c>
      <c r="J42" s="88" t="e">
        <f>#REF!</f>
        <v>#REF!</v>
      </c>
      <c r="K42" s="88" t="e">
        <f>#REF!</f>
        <v>#REF!</v>
      </c>
      <c r="L42" s="88" t="e">
        <f>#REF!</f>
        <v>#REF!</v>
      </c>
      <c r="M42" s="88" t="e">
        <f>#REF!</f>
        <v>#REF!</v>
      </c>
      <c r="N42" s="88" t="e">
        <f>#REF!</f>
        <v>#REF!</v>
      </c>
      <c r="O42" s="88" t="e">
        <f>#REF!</f>
        <v>#REF!</v>
      </c>
      <c r="P42" s="88" t="e">
        <f>#REF!</f>
        <v>#REF!</v>
      </c>
      <c r="Q42" s="88" t="e">
        <f>#REF!</f>
        <v>#REF!</v>
      </c>
      <c r="R42" s="88" t="e">
        <f>#REF!</f>
        <v>#REF!</v>
      </c>
      <c r="S42" s="88" t="e">
        <f>#REF!</f>
        <v>#REF!</v>
      </c>
    </row>
    <row r="43" spans="1:19" ht="15.75">
      <c r="A43" s="91">
        <v>14</v>
      </c>
      <c r="B43" s="88" t="e">
        <f>#REF!</f>
        <v>#REF!</v>
      </c>
      <c r="C43" s="88" t="e">
        <f>#REF!</f>
        <v>#REF!</v>
      </c>
      <c r="D43" s="88" t="e">
        <f>#REF!</f>
        <v>#REF!</v>
      </c>
      <c r="E43" s="88" t="e">
        <f>#REF!</f>
        <v>#REF!</v>
      </c>
      <c r="F43" s="88" t="e">
        <f>#REF!</f>
        <v>#REF!</v>
      </c>
      <c r="G43" s="88" t="e">
        <f>#REF!</f>
        <v>#REF!</v>
      </c>
      <c r="H43" s="88" t="e">
        <f>#REF!</f>
        <v>#REF!</v>
      </c>
      <c r="I43" s="88" t="e">
        <f>#REF!</f>
        <v>#REF!</v>
      </c>
      <c r="J43" s="88" t="e">
        <f>#REF!</f>
        <v>#REF!</v>
      </c>
      <c r="K43" s="88" t="e">
        <f>#REF!</f>
        <v>#REF!</v>
      </c>
      <c r="L43" s="88" t="e">
        <f>#REF!</f>
        <v>#REF!</v>
      </c>
      <c r="M43" s="88" t="e">
        <f>#REF!</f>
        <v>#REF!</v>
      </c>
      <c r="N43" s="88" t="e">
        <f>#REF!</f>
        <v>#REF!</v>
      </c>
      <c r="O43" s="88" t="e">
        <f>#REF!</f>
        <v>#REF!</v>
      </c>
      <c r="P43" s="88" t="e">
        <f>#REF!</f>
        <v>#REF!</v>
      </c>
      <c r="Q43" s="88" t="e">
        <f>#REF!</f>
        <v>#REF!</v>
      </c>
      <c r="R43" s="88" t="e">
        <f>#REF!</f>
        <v>#REF!</v>
      </c>
      <c r="S43" s="88" t="e">
        <f>#REF!</f>
        <v>#REF!</v>
      </c>
    </row>
    <row r="44" spans="1:19" ht="15.75">
      <c r="A44" s="91">
        <v>15</v>
      </c>
      <c r="B44" s="88" t="e">
        <f>#REF!</f>
        <v>#REF!</v>
      </c>
      <c r="C44" s="88" t="e">
        <f>#REF!</f>
        <v>#REF!</v>
      </c>
      <c r="D44" s="88" t="e">
        <f>#REF!</f>
        <v>#REF!</v>
      </c>
      <c r="E44" s="88" t="e">
        <f>#REF!</f>
        <v>#REF!</v>
      </c>
      <c r="F44" s="88" t="e">
        <f>#REF!</f>
        <v>#REF!</v>
      </c>
      <c r="G44" s="88" t="e">
        <f>#REF!</f>
        <v>#REF!</v>
      </c>
      <c r="H44" s="88" t="e">
        <f>#REF!</f>
        <v>#REF!</v>
      </c>
      <c r="I44" s="88" t="e">
        <f>#REF!</f>
        <v>#REF!</v>
      </c>
      <c r="J44" s="88" t="e">
        <f>#REF!</f>
        <v>#REF!</v>
      </c>
      <c r="K44" s="88" t="e">
        <f>#REF!</f>
        <v>#REF!</v>
      </c>
      <c r="L44" s="88" t="e">
        <f>#REF!</f>
        <v>#REF!</v>
      </c>
      <c r="M44" s="88" t="e">
        <f>#REF!</f>
        <v>#REF!</v>
      </c>
      <c r="N44" s="88" t="e">
        <f>#REF!</f>
        <v>#REF!</v>
      </c>
      <c r="O44" s="88" t="e">
        <f>#REF!</f>
        <v>#REF!</v>
      </c>
      <c r="P44" s="88" t="e">
        <f>#REF!</f>
        <v>#REF!</v>
      </c>
      <c r="Q44" s="88" t="e">
        <f>#REF!</f>
        <v>#REF!</v>
      </c>
      <c r="R44" s="88" t="e">
        <f>#REF!</f>
        <v>#REF!</v>
      </c>
      <c r="S44" s="88" t="e">
        <f>#REF!</f>
        <v>#REF!</v>
      </c>
    </row>
    <row r="45" spans="1:19" ht="15.75">
      <c r="A45" s="91">
        <v>16</v>
      </c>
      <c r="B45" s="88" t="e">
        <f>#REF!</f>
        <v>#REF!</v>
      </c>
      <c r="C45" s="88" t="e">
        <f>#REF!</f>
        <v>#REF!</v>
      </c>
      <c r="D45" s="88" t="e">
        <f>#REF!</f>
        <v>#REF!</v>
      </c>
      <c r="E45" s="88" t="e">
        <f>#REF!</f>
        <v>#REF!</v>
      </c>
      <c r="F45" s="88" t="e">
        <f>#REF!</f>
        <v>#REF!</v>
      </c>
      <c r="G45" s="88" t="e">
        <f>#REF!</f>
        <v>#REF!</v>
      </c>
      <c r="H45" s="88" t="e">
        <f>#REF!</f>
        <v>#REF!</v>
      </c>
      <c r="I45" s="88" t="e">
        <f>#REF!</f>
        <v>#REF!</v>
      </c>
      <c r="J45" s="88" t="e">
        <f>#REF!</f>
        <v>#REF!</v>
      </c>
      <c r="K45" s="88" t="e">
        <f>#REF!</f>
        <v>#REF!</v>
      </c>
      <c r="L45" s="88" t="e">
        <f>#REF!</f>
        <v>#REF!</v>
      </c>
      <c r="M45" s="88" t="e">
        <f>#REF!</f>
        <v>#REF!</v>
      </c>
      <c r="N45" s="88" t="e">
        <f>#REF!</f>
        <v>#REF!</v>
      </c>
      <c r="O45" s="88" t="e">
        <f>#REF!</f>
        <v>#REF!</v>
      </c>
      <c r="P45" s="88" t="e">
        <f>#REF!</f>
        <v>#REF!</v>
      </c>
      <c r="Q45" s="88" t="e">
        <f>#REF!</f>
        <v>#REF!</v>
      </c>
      <c r="R45" s="88" t="e">
        <f>#REF!</f>
        <v>#REF!</v>
      </c>
      <c r="S45" s="88" t="e">
        <f>#REF!</f>
        <v>#REF!</v>
      </c>
    </row>
    <row r="46" spans="1:19" ht="15.75">
      <c r="A46" s="91">
        <v>17</v>
      </c>
      <c r="B46" s="88" t="e">
        <f>#REF!</f>
        <v>#REF!</v>
      </c>
      <c r="C46" s="88" t="e">
        <f>#REF!</f>
        <v>#REF!</v>
      </c>
      <c r="D46" s="88" t="e">
        <f>#REF!</f>
        <v>#REF!</v>
      </c>
      <c r="E46" s="88" t="e">
        <f>#REF!</f>
        <v>#REF!</v>
      </c>
      <c r="F46" s="88" t="e">
        <f>#REF!</f>
        <v>#REF!</v>
      </c>
      <c r="G46" s="88" t="e">
        <f>#REF!</f>
        <v>#REF!</v>
      </c>
      <c r="H46" s="88" t="e">
        <f>#REF!</f>
        <v>#REF!</v>
      </c>
      <c r="I46" s="88" t="e">
        <f>#REF!</f>
        <v>#REF!</v>
      </c>
      <c r="J46" s="88" t="e">
        <f>#REF!</f>
        <v>#REF!</v>
      </c>
      <c r="K46" s="88" t="e">
        <f>#REF!</f>
        <v>#REF!</v>
      </c>
      <c r="L46" s="88" t="e">
        <f>#REF!</f>
        <v>#REF!</v>
      </c>
      <c r="M46" s="88" t="e">
        <f>#REF!</f>
        <v>#REF!</v>
      </c>
      <c r="N46" s="88" t="e">
        <f>#REF!</f>
        <v>#REF!</v>
      </c>
      <c r="O46" s="88" t="e">
        <f>#REF!</f>
        <v>#REF!</v>
      </c>
      <c r="P46" s="88" t="e">
        <f>#REF!</f>
        <v>#REF!</v>
      </c>
      <c r="Q46" s="88" t="e">
        <f>#REF!</f>
        <v>#REF!</v>
      </c>
      <c r="R46" s="88" t="e">
        <f>#REF!</f>
        <v>#REF!</v>
      </c>
      <c r="S46" s="88" t="e">
        <f>#REF!</f>
        <v>#REF!</v>
      </c>
    </row>
    <row r="47" spans="1:19" ht="15.75">
      <c r="A47" s="91">
        <v>18</v>
      </c>
      <c r="B47" s="88" t="e">
        <f>#REF!</f>
        <v>#REF!</v>
      </c>
      <c r="C47" s="88" t="e">
        <f>#REF!</f>
        <v>#REF!</v>
      </c>
      <c r="D47" s="88" t="e">
        <f>#REF!</f>
        <v>#REF!</v>
      </c>
      <c r="E47" s="88" t="e">
        <f>#REF!</f>
        <v>#REF!</v>
      </c>
      <c r="F47" s="88" t="e">
        <f>#REF!</f>
        <v>#REF!</v>
      </c>
      <c r="G47" s="88" t="e">
        <f>#REF!</f>
        <v>#REF!</v>
      </c>
      <c r="H47" s="88" t="e">
        <f>#REF!</f>
        <v>#REF!</v>
      </c>
      <c r="I47" s="88" t="e">
        <f>#REF!</f>
        <v>#REF!</v>
      </c>
      <c r="J47" s="88" t="e">
        <f>#REF!</f>
        <v>#REF!</v>
      </c>
      <c r="K47" s="88" t="e">
        <f>#REF!</f>
        <v>#REF!</v>
      </c>
      <c r="L47" s="88" t="e">
        <f>#REF!</f>
        <v>#REF!</v>
      </c>
      <c r="M47" s="88" t="e">
        <f>#REF!</f>
        <v>#REF!</v>
      </c>
      <c r="N47" s="88" t="e">
        <f>#REF!</f>
        <v>#REF!</v>
      </c>
      <c r="O47" s="88" t="e">
        <f>#REF!</f>
        <v>#REF!</v>
      </c>
      <c r="P47" s="88" t="e">
        <f>#REF!</f>
        <v>#REF!</v>
      </c>
      <c r="Q47" s="88" t="e">
        <f>#REF!</f>
        <v>#REF!</v>
      </c>
      <c r="R47" s="88" t="e">
        <f>#REF!</f>
        <v>#REF!</v>
      </c>
      <c r="S47" s="88" t="e">
        <f>#REF!</f>
        <v>#REF!</v>
      </c>
    </row>
    <row r="48" spans="1:19" ht="16.5" thickBot="1">
      <c r="A48" s="92">
        <v>19</v>
      </c>
      <c r="B48" s="88" t="e">
        <f>#REF!</f>
        <v>#REF!</v>
      </c>
      <c r="C48" s="88" t="e">
        <f>#REF!</f>
        <v>#REF!</v>
      </c>
      <c r="D48" s="88" t="e">
        <f>#REF!</f>
        <v>#REF!</v>
      </c>
      <c r="E48" s="88" t="e">
        <f>#REF!</f>
        <v>#REF!</v>
      </c>
      <c r="F48" s="88" t="e">
        <f>#REF!</f>
        <v>#REF!</v>
      </c>
      <c r="G48" s="88" t="e">
        <f>#REF!</f>
        <v>#REF!</v>
      </c>
      <c r="H48" s="88" t="e">
        <f>#REF!</f>
        <v>#REF!</v>
      </c>
      <c r="I48" s="88" t="e">
        <f>#REF!</f>
        <v>#REF!</v>
      </c>
      <c r="J48" s="88" t="e">
        <f>#REF!</f>
        <v>#REF!</v>
      </c>
      <c r="K48" s="88" t="e">
        <f>#REF!</f>
        <v>#REF!</v>
      </c>
      <c r="L48" s="88" t="e">
        <f>#REF!</f>
        <v>#REF!</v>
      </c>
      <c r="M48" s="88" t="e">
        <f>#REF!</f>
        <v>#REF!</v>
      </c>
      <c r="N48" s="88" t="e">
        <f>#REF!</f>
        <v>#REF!</v>
      </c>
      <c r="O48" s="88" t="e">
        <f>#REF!</f>
        <v>#REF!</v>
      </c>
      <c r="P48" s="88" t="e">
        <f>#REF!</f>
        <v>#REF!</v>
      </c>
      <c r="Q48" s="88" t="e">
        <f>#REF!</f>
        <v>#REF!</v>
      </c>
      <c r="R48" s="88" t="e">
        <f>#REF!</f>
        <v>#REF!</v>
      </c>
      <c r="S48" s="88" t="e">
        <f>#REF!</f>
        <v>#REF!</v>
      </c>
    </row>
    <row r="53" spans="1:18" ht="28.5" thickBot="1">
      <c r="A53" s="667" t="s">
        <v>46</v>
      </c>
      <c r="B53" s="668"/>
      <c r="C53" s="668"/>
      <c r="D53" s="668"/>
      <c r="E53" s="668"/>
      <c r="F53" s="668"/>
      <c r="G53" s="668"/>
      <c r="H53" s="668"/>
      <c r="I53" s="668"/>
      <c r="J53" s="668"/>
      <c r="K53" s="668"/>
      <c r="L53" s="668"/>
      <c r="M53" s="668"/>
      <c r="N53" s="668"/>
      <c r="O53" s="668"/>
      <c r="P53" s="668"/>
      <c r="Q53" s="668"/>
      <c r="R53" s="668"/>
    </row>
    <row r="54" spans="1:18" s="98" customFormat="1" ht="78.75" customHeight="1" thickBot="1">
      <c r="B54" s="142" t="s">
        <v>24</v>
      </c>
      <c r="C54" s="142" t="s">
        <v>25</v>
      </c>
      <c r="D54" s="142" t="s">
        <v>23</v>
      </c>
      <c r="E54" s="142" t="s">
        <v>22</v>
      </c>
      <c r="F54" s="142" t="s">
        <v>156</v>
      </c>
      <c r="G54" s="142" t="s">
        <v>157</v>
      </c>
      <c r="H54" s="142" t="s">
        <v>158</v>
      </c>
      <c r="I54" s="142" t="s">
        <v>159</v>
      </c>
      <c r="J54" s="142" t="s">
        <v>160</v>
      </c>
      <c r="K54" s="142" t="s">
        <v>26</v>
      </c>
      <c r="L54" s="142" t="s">
        <v>161</v>
      </c>
      <c r="M54" s="142" t="s">
        <v>162</v>
      </c>
      <c r="N54" s="142" t="s">
        <v>163</v>
      </c>
      <c r="O54" s="142" t="s">
        <v>164</v>
      </c>
      <c r="P54" s="142" t="s">
        <v>27</v>
      </c>
      <c r="Q54" s="142" t="s">
        <v>28</v>
      </c>
      <c r="R54" s="142" t="s">
        <v>29</v>
      </c>
    </row>
    <row r="55" spans="1:18" ht="16.5" thickBot="1">
      <c r="A55" s="85" t="s">
        <v>39</v>
      </c>
      <c r="B55" s="86" t="s">
        <v>124</v>
      </c>
      <c r="C55" s="86" t="s">
        <v>124</v>
      </c>
      <c r="D55" s="86" t="s">
        <v>124</v>
      </c>
      <c r="E55" s="86" t="s">
        <v>124</v>
      </c>
      <c r="F55" s="86" t="s">
        <v>124</v>
      </c>
      <c r="G55" s="86" t="s">
        <v>124</v>
      </c>
      <c r="H55" s="86" t="s">
        <v>124</v>
      </c>
      <c r="I55" s="86" t="s">
        <v>124</v>
      </c>
      <c r="J55" s="86" t="s">
        <v>124</v>
      </c>
      <c r="K55" s="86" t="s">
        <v>124</v>
      </c>
      <c r="L55" s="86" t="s">
        <v>124</v>
      </c>
      <c r="M55" s="86" t="s">
        <v>124</v>
      </c>
      <c r="N55" s="86" t="s">
        <v>124</v>
      </c>
      <c r="O55" s="86" t="s">
        <v>124</v>
      </c>
      <c r="P55" s="86" t="s">
        <v>124</v>
      </c>
      <c r="Q55" s="86" t="s">
        <v>124</v>
      </c>
      <c r="R55" s="86" t="s">
        <v>124</v>
      </c>
    </row>
    <row r="56" spans="1:18" ht="15.75">
      <c r="A56" s="90">
        <v>2</v>
      </c>
      <c r="B56" s="88" t="e">
        <f>#REF!</f>
        <v>#REF!</v>
      </c>
      <c r="C56" s="88" t="e">
        <f>#REF!</f>
        <v>#REF!</v>
      </c>
      <c r="D56" s="88" t="e">
        <f>#REF!</f>
        <v>#REF!</v>
      </c>
      <c r="E56" s="88" t="e">
        <f>#REF!</f>
        <v>#REF!</v>
      </c>
      <c r="F56" s="88" t="e">
        <f>#REF!</f>
        <v>#REF!</v>
      </c>
      <c r="G56" s="88" t="e">
        <f>#REF!</f>
        <v>#REF!</v>
      </c>
      <c r="H56" s="88" t="e">
        <f>#REF!</f>
        <v>#REF!</v>
      </c>
      <c r="I56" s="88" t="e">
        <f>#REF!</f>
        <v>#REF!</v>
      </c>
      <c r="J56" s="88" t="e">
        <f>#REF!</f>
        <v>#REF!</v>
      </c>
      <c r="K56" s="88" t="e">
        <f>#REF!</f>
        <v>#REF!</v>
      </c>
      <c r="L56" s="88" t="e">
        <f>#REF!</f>
        <v>#REF!</v>
      </c>
      <c r="M56" s="88" t="e">
        <f>#REF!</f>
        <v>#REF!</v>
      </c>
      <c r="N56" s="88" t="e">
        <f>#REF!</f>
        <v>#REF!</v>
      </c>
      <c r="O56" s="88" t="e">
        <f>#REF!</f>
        <v>#REF!</v>
      </c>
      <c r="P56" s="88" t="e">
        <f>#REF!</f>
        <v>#REF!</v>
      </c>
      <c r="Q56" s="88" t="e">
        <f>#REF!</f>
        <v>#REF!</v>
      </c>
      <c r="R56" s="88" t="e">
        <f>#REF!</f>
        <v>#REF!</v>
      </c>
    </row>
    <row r="57" spans="1:18" ht="15.75">
      <c r="A57" s="91">
        <v>3</v>
      </c>
      <c r="B57" s="88" t="e">
        <f>#REF!</f>
        <v>#REF!</v>
      </c>
      <c r="C57" s="88" t="e">
        <f>#REF!</f>
        <v>#REF!</v>
      </c>
      <c r="D57" s="88" t="e">
        <f>#REF!</f>
        <v>#REF!</v>
      </c>
      <c r="E57" s="88" t="e">
        <f>#REF!</f>
        <v>#REF!</v>
      </c>
      <c r="F57" s="88" t="e">
        <f>#REF!</f>
        <v>#REF!</v>
      </c>
      <c r="G57" s="88" t="e">
        <f>#REF!</f>
        <v>#REF!</v>
      </c>
      <c r="H57" s="88" t="e">
        <f>#REF!</f>
        <v>#REF!</v>
      </c>
      <c r="I57" s="88" t="e">
        <f>#REF!</f>
        <v>#REF!</v>
      </c>
      <c r="J57" s="88" t="e">
        <f>#REF!</f>
        <v>#REF!</v>
      </c>
      <c r="K57" s="88" t="e">
        <f>#REF!</f>
        <v>#REF!</v>
      </c>
      <c r="L57" s="88" t="e">
        <f>#REF!</f>
        <v>#REF!</v>
      </c>
      <c r="M57" s="88" t="e">
        <f>#REF!</f>
        <v>#REF!</v>
      </c>
      <c r="N57" s="88" t="e">
        <f>#REF!</f>
        <v>#REF!</v>
      </c>
      <c r="O57" s="88" t="e">
        <f>#REF!</f>
        <v>#REF!</v>
      </c>
      <c r="P57" s="88" t="e">
        <f>#REF!</f>
        <v>#REF!</v>
      </c>
      <c r="Q57" s="88" t="e">
        <f>#REF!</f>
        <v>#REF!</v>
      </c>
      <c r="R57" s="88" t="e">
        <f>#REF!</f>
        <v>#REF!</v>
      </c>
    </row>
    <row r="58" spans="1:18" ht="15.75">
      <c r="A58" s="91">
        <v>4</v>
      </c>
      <c r="B58" s="88" t="e">
        <f>#REF!</f>
        <v>#REF!</v>
      </c>
      <c r="C58" s="88" t="e">
        <f>#REF!</f>
        <v>#REF!</v>
      </c>
      <c r="D58" s="88" t="e">
        <f>#REF!</f>
        <v>#REF!</v>
      </c>
      <c r="E58" s="88" t="e">
        <f>#REF!</f>
        <v>#REF!</v>
      </c>
      <c r="F58" s="88" t="e">
        <f>#REF!</f>
        <v>#REF!</v>
      </c>
      <c r="G58" s="88" t="e">
        <f>#REF!</f>
        <v>#REF!</v>
      </c>
      <c r="H58" s="88" t="e">
        <f>#REF!</f>
        <v>#REF!</v>
      </c>
      <c r="I58" s="88" t="e">
        <f>#REF!</f>
        <v>#REF!</v>
      </c>
      <c r="J58" s="88" t="e">
        <f>#REF!</f>
        <v>#REF!</v>
      </c>
      <c r="K58" s="88" t="e">
        <f>#REF!</f>
        <v>#REF!</v>
      </c>
      <c r="L58" s="88" t="e">
        <f>#REF!</f>
        <v>#REF!</v>
      </c>
      <c r="M58" s="88" t="e">
        <f>#REF!</f>
        <v>#REF!</v>
      </c>
      <c r="N58" s="88" t="e">
        <f>#REF!</f>
        <v>#REF!</v>
      </c>
      <c r="O58" s="88" t="e">
        <f>#REF!</f>
        <v>#REF!</v>
      </c>
      <c r="P58" s="88" t="e">
        <f>#REF!</f>
        <v>#REF!</v>
      </c>
      <c r="Q58" s="88" t="e">
        <f>#REF!</f>
        <v>#REF!</v>
      </c>
      <c r="R58" s="88" t="e">
        <f>#REF!</f>
        <v>#REF!</v>
      </c>
    </row>
    <row r="59" spans="1:18" ht="15.75">
      <c r="A59" s="91">
        <v>5</v>
      </c>
      <c r="B59" s="88" t="e">
        <f>#REF!</f>
        <v>#REF!</v>
      </c>
      <c r="C59" s="88" t="e">
        <f>#REF!</f>
        <v>#REF!</v>
      </c>
      <c r="D59" s="88" t="e">
        <f>#REF!</f>
        <v>#REF!</v>
      </c>
      <c r="E59" s="88" t="e">
        <f>#REF!</f>
        <v>#REF!</v>
      </c>
      <c r="F59" s="88" t="e">
        <f>#REF!</f>
        <v>#REF!</v>
      </c>
      <c r="G59" s="88" t="e">
        <f>#REF!</f>
        <v>#REF!</v>
      </c>
      <c r="H59" s="88" t="e">
        <f>#REF!</f>
        <v>#REF!</v>
      </c>
      <c r="I59" s="88" t="e">
        <f>#REF!</f>
        <v>#REF!</v>
      </c>
      <c r="J59" s="88" t="e">
        <f>#REF!</f>
        <v>#REF!</v>
      </c>
      <c r="K59" s="88" t="e">
        <f>#REF!</f>
        <v>#REF!</v>
      </c>
      <c r="L59" s="88" t="e">
        <f>#REF!</f>
        <v>#REF!</v>
      </c>
      <c r="M59" s="88" t="e">
        <f>#REF!</f>
        <v>#REF!</v>
      </c>
      <c r="N59" s="88" t="e">
        <f>#REF!</f>
        <v>#REF!</v>
      </c>
      <c r="O59" s="88" t="e">
        <f>#REF!</f>
        <v>#REF!</v>
      </c>
      <c r="P59" s="88" t="e">
        <f>#REF!</f>
        <v>#REF!</v>
      </c>
      <c r="Q59" s="88" t="e">
        <f>#REF!</f>
        <v>#REF!</v>
      </c>
      <c r="R59" s="88" t="e">
        <f>#REF!</f>
        <v>#REF!</v>
      </c>
    </row>
    <row r="60" spans="1:18" ht="15.75">
      <c r="A60" s="91">
        <v>6</v>
      </c>
      <c r="B60" s="88" t="e">
        <f>#REF!</f>
        <v>#REF!</v>
      </c>
      <c r="C60" s="88" t="e">
        <f>#REF!</f>
        <v>#REF!</v>
      </c>
      <c r="D60" s="88" t="e">
        <f>#REF!</f>
        <v>#REF!</v>
      </c>
      <c r="E60" s="88" t="e">
        <f>#REF!</f>
        <v>#REF!</v>
      </c>
      <c r="F60" s="88" t="e">
        <f>#REF!</f>
        <v>#REF!</v>
      </c>
      <c r="G60" s="88" t="e">
        <f>#REF!</f>
        <v>#REF!</v>
      </c>
      <c r="H60" s="88" t="e">
        <f>#REF!</f>
        <v>#REF!</v>
      </c>
      <c r="I60" s="88" t="e">
        <f>#REF!</f>
        <v>#REF!</v>
      </c>
      <c r="J60" s="88" t="e">
        <f>#REF!</f>
        <v>#REF!</v>
      </c>
      <c r="K60" s="88" t="e">
        <f>#REF!</f>
        <v>#REF!</v>
      </c>
      <c r="L60" s="88" t="e">
        <f>#REF!</f>
        <v>#REF!</v>
      </c>
      <c r="M60" s="88" t="e">
        <f>#REF!</f>
        <v>#REF!</v>
      </c>
      <c r="N60" s="88" t="e">
        <f>#REF!</f>
        <v>#REF!</v>
      </c>
      <c r="O60" s="88" t="e">
        <f>#REF!</f>
        <v>#REF!</v>
      </c>
      <c r="P60" s="88" t="e">
        <f>#REF!</f>
        <v>#REF!</v>
      </c>
      <c r="Q60" s="88" t="e">
        <f>#REF!</f>
        <v>#REF!</v>
      </c>
      <c r="R60" s="88" t="e">
        <f>#REF!</f>
        <v>#REF!</v>
      </c>
    </row>
    <row r="61" spans="1:18" ht="15.75">
      <c r="A61" s="91">
        <v>7</v>
      </c>
      <c r="B61" s="88" t="e">
        <f>#REF!</f>
        <v>#REF!</v>
      </c>
      <c r="C61" s="88" t="e">
        <f>#REF!</f>
        <v>#REF!</v>
      </c>
      <c r="D61" s="88" t="e">
        <f>#REF!</f>
        <v>#REF!</v>
      </c>
      <c r="E61" s="88" t="e">
        <f>#REF!</f>
        <v>#REF!</v>
      </c>
      <c r="F61" s="88" t="e">
        <f>#REF!</f>
        <v>#REF!</v>
      </c>
      <c r="G61" s="88" t="e">
        <f>#REF!</f>
        <v>#REF!</v>
      </c>
      <c r="H61" s="88" t="e">
        <f>#REF!</f>
        <v>#REF!</v>
      </c>
      <c r="I61" s="88" t="e">
        <f>#REF!</f>
        <v>#REF!</v>
      </c>
      <c r="J61" s="88" t="e">
        <f>#REF!</f>
        <v>#REF!</v>
      </c>
      <c r="K61" s="88" t="e">
        <f>#REF!</f>
        <v>#REF!</v>
      </c>
      <c r="L61" s="88" t="e">
        <f>#REF!</f>
        <v>#REF!</v>
      </c>
      <c r="M61" s="88" t="e">
        <f>#REF!</f>
        <v>#REF!</v>
      </c>
      <c r="N61" s="88" t="e">
        <f>#REF!</f>
        <v>#REF!</v>
      </c>
      <c r="O61" s="88" t="e">
        <f>#REF!</f>
        <v>#REF!</v>
      </c>
      <c r="P61" s="88" t="e">
        <f>#REF!</f>
        <v>#REF!</v>
      </c>
      <c r="Q61" s="88" t="e">
        <f>#REF!</f>
        <v>#REF!</v>
      </c>
      <c r="R61" s="88" t="e">
        <f>#REF!</f>
        <v>#REF!</v>
      </c>
    </row>
    <row r="62" spans="1:18" ht="15.75">
      <c r="A62" s="91">
        <v>8</v>
      </c>
      <c r="B62" s="88" t="e">
        <f>#REF!</f>
        <v>#REF!</v>
      </c>
      <c r="C62" s="88" t="e">
        <f>#REF!</f>
        <v>#REF!</v>
      </c>
      <c r="D62" s="88" t="e">
        <f>#REF!</f>
        <v>#REF!</v>
      </c>
      <c r="E62" s="88" t="e">
        <f>#REF!</f>
        <v>#REF!</v>
      </c>
      <c r="F62" s="88" t="e">
        <f>#REF!</f>
        <v>#REF!</v>
      </c>
      <c r="G62" s="88" t="e">
        <f>#REF!</f>
        <v>#REF!</v>
      </c>
      <c r="H62" s="88" t="e">
        <f>#REF!</f>
        <v>#REF!</v>
      </c>
      <c r="I62" s="88" t="e">
        <f>#REF!</f>
        <v>#REF!</v>
      </c>
      <c r="J62" s="88" t="e">
        <f>#REF!</f>
        <v>#REF!</v>
      </c>
      <c r="K62" s="88" t="e">
        <f>#REF!</f>
        <v>#REF!</v>
      </c>
      <c r="L62" s="88" t="e">
        <f>#REF!</f>
        <v>#REF!</v>
      </c>
      <c r="M62" s="88" t="e">
        <f>#REF!</f>
        <v>#REF!</v>
      </c>
      <c r="N62" s="88" t="e">
        <f>#REF!</f>
        <v>#REF!</v>
      </c>
      <c r="O62" s="88" t="e">
        <f>#REF!</f>
        <v>#REF!</v>
      </c>
      <c r="P62" s="88" t="e">
        <f>#REF!</f>
        <v>#REF!</v>
      </c>
      <c r="Q62" s="88" t="e">
        <f>#REF!</f>
        <v>#REF!</v>
      </c>
      <c r="R62" s="88" t="e">
        <f>#REF!</f>
        <v>#REF!</v>
      </c>
    </row>
    <row r="63" spans="1:18" ht="15.75">
      <c r="A63" s="91">
        <v>9</v>
      </c>
      <c r="B63" s="88" t="e">
        <f>#REF!</f>
        <v>#REF!</v>
      </c>
      <c r="C63" s="88" t="e">
        <f>#REF!</f>
        <v>#REF!</v>
      </c>
      <c r="D63" s="88" t="e">
        <f>#REF!</f>
        <v>#REF!</v>
      </c>
      <c r="E63" s="88" t="e">
        <f>#REF!</f>
        <v>#REF!</v>
      </c>
      <c r="F63" s="88" t="e">
        <f>#REF!</f>
        <v>#REF!</v>
      </c>
      <c r="G63" s="88" t="e">
        <f>#REF!</f>
        <v>#REF!</v>
      </c>
      <c r="H63" s="88" t="e">
        <f>#REF!</f>
        <v>#REF!</v>
      </c>
      <c r="I63" s="88" t="e">
        <f>#REF!</f>
        <v>#REF!</v>
      </c>
      <c r="J63" s="88" t="e">
        <f>#REF!</f>
        <v>#REF!</v>
      </c>
      <c r="K63" s="88" t="e">
        <f>#REF!</f>
        <v>#REF!</v>
      </c>
      <c r="L63" s="88" t="e">
        <f>#REF!</f>
        <v>#REF!</v>
      </c>
      <c r="M63" s="88" t="e">
        <f>#REF!</f>
        <v>#REF!</v>
      </c>
      <c r="N63" s="88" t="e">
        <f>#REF!</f>
        <v>#REF!</v>
      </c>
      <c r="O63" s="88" t="e">
        <f>#REF!</f>
        <v>#REF!</v>
      </c>
      <c r="P63" s="88" t="e">
        <f>#REF!</f>
        <v>#REF!</v>
      </c>
      <c r="Q63" s="88" t="e">
        <f>#REF!</f>
        <v>#REF!</v>
      </c>
      <c r="R63" s="88" t="e">
        <f>#REF!</f>
        <v>#REF!</v>
      </c>
    </row>
    <row r="64" spans="1:18" ht="15.75">
      <c r="A64" s="91">
        <v>10</v>
      </c>
      <c r="B64" s="88" t="e">
        <f>#REF!</f>
        <v>#REF!</v>
      </c>
      <c r="C64" s="88" t="e">
        <f>#REF!</f>
        <v>#REF!</v>
      </c>
      <c r="D64" s="88" t="e">
        <f>#REF!</f>
        <v>#REF!</v>
      </c>
      <c r="E64" s="88" t="e">
        <f>#REF!</f>
        <v>#REF!</v>
      </c>
      <c r="F64" s="88" t="e">
        <f>#REF!</f>
        <v>#REF!</v>
      </c>
      <c r="G64" s="88" t="e">
        <f>#REF!</f>
        <v>#REF!</v>
      </c>
      <c r="H64" s="88" t="e">
        <f>#REF!</f>
        <v>#REF!</v>
      </c>
      <c r="I64" s="88" t="e">
        <f>#REF!</f>
        <v>#REF!</v>
      </c>
      <c r="J64" s="88" t="e">
        <f>#REF!</f>
        <v>#REF!</v>
      </c>
      <c r="K64" s="88" t="e">
        <f>#REF!</f>
        <v>#REF!</v>
      </c>
      <c r="L64" s="88" t="e">
        <f>#REF!</f>
        <v>#REF!</v>
      </c>
      <c r="M64" s="88" t="e">
        <f>#REF!</f>
        <v>#REF!</v>
      </c>
      <c r="N64" s="88" t="e">
        <f>#REF!</f>
        <v>#REF!</v>
      </c>
      <c r="O64" s="88" t="e">
        <f>#REF!</f>
        <v>#REF!</v>
      </c>
      <c r="P64" s="88" t="e">
        <f>#REF!</f>
        <v>#REF!</v>
      </c>
      <c r="Q64" s="88" t="e">
        <f>#REF!</f>
        <v>#REF!</v>
      </c>
      <c r="R64" s="88" t="e">
        <f>#REF!</f>
        <v>#REF!</v>
      </c>
    </row>
    <row r="65" spans="1:18" ht="15.75">
      <c r="A65" s="91">
        <v>11</v>
      </c>
      <c r="B65" s="88" t="e">
        <f>#REF!</f>
        <v>#REF!</v>
      </c>
      <c r="C65" s="88" t="e">
        <f>#REF!</f>
        <v>#REF!</v>
      </c>
      <c r="D65" s="88" t="e">
        <f>#REF!</f>
        <v>#REF!</v>
      </c>
      <c r="E65" s="88" t="e">
        <f>#REF!</f>
        <v>#REF!</v>
      </c>
      <c r="F65" s="88" t="e">
        <f>#REF!</f>
        <v>#REF!</v>
      </c>
      <c r="G65" s="88" t="e">
        <f>#REF!</f>
        <v>#REF!</v>
      </c>
      <c r="H65" s="88" t="e">
        <f>#REF!</f>
        <v>#REF!</v>
      </c>
      <c r="I65" s="88" t="e">
        <f>#REF!</f>
        <v>#REF!</v>
      </c>
      <c r="J65" s="88" t="e">
        <f>#REF!</f>
        <v>#REF!</v>
      </c>
      <c r="K65" s="88" t="e">
        <f>#REF!</f>
        <v>#REF!</v>
      </c>
      <c r="L65" s="88" t="e">
        <f>#REF!</f>
        <v>#REF!</v>
      </c>
      <c r="M65" s="88" t="e">
        <f>#REF!</f>
        <v>#REF!</v>
      </c>
      <c r="N65" s="88" t="e">
        <f>#REF!</f>
        <v>#REF!</v>
      </c>
      <c r="O65" s="88" t="e">
        <f>#REF!</f>
        <v>#REF!</v>
      </c>
      <c r="P65" s="88" t="e">
        <f>#REF!</f>
        <v>#REF!</v>
      </c>
      <c r="Q65" s="88" t="e">
        <f>#REF!</f>
        <v>#REF!</v>
      </c>
      <c r="R65" s="88" t="e">
        <f>#REF!</f>
        <v>#REF!</v>
      </c>
    </row>
    <row r="66" spans="1:18" ht="15.75">
      <c r="A66" s="91">
        <v>12</v>
      </c>
      <c r="B66" s="88" t="e">
        <f>#REF!</f>
        <v>#REF!</v>
      </c>
      <c r="C66" s="88" t="e">
        <f>#REF!</f>
        <v>#REF!</v>
      </c>
      <c r="D66" s="88" t="e">
        <f>#REF!</f>
        <v>#REF!</v>
      </c>
      <c r="E66" s="88" t="e">
        <f>#REF!</f>
        <v>#REF!</v>
      </c>
      <c r="F66" s="88" t="e">
        <f>#REF!</f>
        <v>#REF!</v>
      </c>
      <c r="G66" s="88" t="e">
        <f>#REF!</f>
        <v>#REF!</v>
      </c>
      <c r="H66" s="88" t="e">
        <f>#REF!</f>
        <v>#REF!</v>
      </c>
      <c r="I66" s="88" t="e">
        <f>#REF!</f>
        <v>#REF!</v>
      </c>
      <c r="J66" s="88" t="e">
        <f>#REF!</f>
        <v>#REF!</v>
      </c>
      <c r="K66" s="88" t="e">
        <f>#REF!</f>
        <v>#REF!</v>
      </c>
      <c r="L66" s="88" t="e">
        <f>#REF!</f>
        <v>#REF!</v>
      </c>
      <c r="M66" s="88" t="e">
        <f>#REF!</f>
        <v>#REF!</v>
      </c>
      <c r="N66" s="88" t="e">
        <f>#REF!</f>
        <v>#REF!</v>
      </c>
      <c r="O66" s="88" t="e">
        <f>#REF!</f>
        <v>#REF!</v>
      </c>
      <c r="P66" s="88" t="e">
        <f>#REF!</f>
        <v>#REF!</v>
      </c>
      <c r="Q66" s="88" t="e">
        <f>#REF!</f>
        <v>#REF!</v>
      </c>
      <c r="R66" s="88" t="e">
        <f>#REF!</f>
        <v>#REF!</v>
      </c>
    </row>
    <row r="67" spans="1:18" ht="15.75">
      <c r="A67" s="91">
        <v>13</v>
      </c>
      <c r="B67" s="88" t="e">
        <f>#REF!</f>
        <v>#REF!</v>
      </c>
      <c r="C67" s="88" t="e">
        <f>#REF!</f>
        <v>#REF!</v>
      </c>
      <c r="D67" s="88" t="e">
        <f>#REF!</f>
        <v>#REF!</v>
      </c>
      <c r="E67" s="88" t="e">
        <f>#REF!</f>
        <v>#REF!</v>
      </c>
      <c r="F67" s="88" t="e">
        <f>#REF!</f>
        <v>#REF!</v>
      </c>
      <c r="G67" s="88" t="e">
        <f>#REF!</f>
        <v>#REF!</v>
      </c>
      <c r="H67" s="88" t="e">
        <f>#REF!</f>
        <v>#REF!</v>
      </c>
      <c r="I67" s="88" t="e">
        <f>#REF!</f>
        <v>#REF!</v>
      </c>
      <c r="J67" s="88" t="e">
        <f>#REF!</f>
        <v>#REF!</v>
      </c>
      <c r="K67" s="88" t="e">
        <f>#REF!</f>
        <v>#REF!</v>
      </c>
      <c r="L67" s="88" t="e">
        <f>#REF!</f>
        <v>#REF!</v>
      </c>
      <c r="M67" s="88" t="e">
        <f>#REF!</f>
        <v>#REF!</v>
      </c>
      <c r="N67" s="88" t="e">
        <f>#REF!</f>
        <v>#REF!</v>
      </c>
      <c r="O67" s="88" t="e">
        <f>#REF!</f>
        <v>#REF!</v>
      </c>
      <c r="P67" s="88" t="e">
        <f>#REF!</f>
        <v>#REF!</v>
      </c>
      <c r="Q67" s="88" t="e">
        <f>#REF!</f>
        <v>#REF!</v>
      </c>
      <c r="R67" s="88" t="e">
        <f>#REF!</f>
        <v>#REF!</v>
      </c>
    </row>
    <row r="68" spans="1:18" ht="15.75">
      <c r="A68" s="91">
        <v>14</v>
      </c>
      <c r="B68" s="88" t="e">
        <f>#REF!</f>
        <v>#REF!</v>
      </c>
      <c r="C68" s="88" t="e">
        <f>#REF!</f>
        <v>#REF!</v>
      </c>
      <c r="D68" s="88" t="e">
        <f>#REF!</f>
        <v>#REF!</v>
      </c>
      <c r="E68" s="88" t="e">
        <f>#REF!</f>
        <v>#REF!</v>
      </c>
      <c r="F68" s="88" t="e">
        <f>#REF!</f>
        <v>#REF!</v>
      </c>
      <c r="G68" s="88" t="e">
        <f>#REF!</f>
        <v>#REF!</v>
      </c>
      <c r="H68" s="88" t="e">
        <f>#REF!</f>
        <v>#REF!</v>
      </c>
      <c r="I68" s="88" t="e">
        <f>#REF!</f>
        <v>#REF!</v>
      </c>
      <c r="J68" s="88" t="e">
        <f>#REF!</f>
        <v>#REF!</v>
      </c>
      <c r="K68" s="88" t="e">
        <f>#REF!</f>
        <v>#REF!</v>
      </c>
      <c r="L68" s="88" t="e">
        <f>#REF!</f>
        <v>#REF!</v>
      </c>
      <c r="M68" s="88" t="e">
        <f>#REF!</f>
        <v>#REF!</v>
      </c>
      <c r="N68" s="88" t="e">
        <f>#REF!</f>
        <v>#REF!</v>
      </c>
      <c r="O68" s="88" t="e">
        <f>#REF!</f>
        <v>#REF!</v>
      </c>
      <c r="P68" s="88" t="e">
        <f>#REF!</f>
        <v>#REF!</v>
      </c>
      <c r="Q68" s="88" t="e">
        <f>#REF!</f>
        <v>#REF!</v>
      </c>
      <c r="R68" s="88" t="e">
        <f>#REF!</f>
        <v>#REF!</v>
      </c>
    </row>
    <row r="69" spans="1:18" ht="15.75">
      <c r="A69" s="91">
        <v>15</v>
      </c>
      <c r="B69" s="88" t="e">
        <f>#REF!</f>
        <v>#REF!</v>
      </c>
      <c r="C69" s="88" t="e">
        <f>#REF!</f>
        <v>#REF!</v>
      </c>
      <c r="D69" s="88" t="e">
        <f>#REF!</f>
        <v>#REF!</v>
      </c>
      <c r="E69" s="88" t="e">
        <f>#REF!</f>
        <v>#REF!</v>
      </c>
      <c r="F69" s="88" t="e">
        <f>#REF!</f>
        <v>#REF!</v>
      </c>
      <c r="G69" s="88" t="e">
        <f>#REF!</f>
        <v>#REF!</v>
      </c>
      <c r="H69" s="88" t="e">
        <f>#REF!</f>
        <v>#REF!</v>
      </c>
      <c r="I69" s="88" t="e">
        <f>#REF!</f>
        <v>#REF!</v>
      </c>
      <c r="J69" s="88" t="e">
        <f>#REF!</f>
        <v>#REF!</v>
      </c>
      <c r="K69" s="88" t="e">
        <f>#REF!</f>
        <v>#REF!</v>
      </c>
      <c r="L69" s="88" t="e">
        <f>#REF!</f>
        <v>#REF!</v>
      </c>
      <c r="M69" s="88" t="e">
        <f>#REF!</f>
        <v>#REF!</v>
      </c>
      <c r="N69" s="88" t="e">
        <f>#REF!</f>
        <v>#REF!</v>
      </c>
      <c r="O69" s="88" t="e">
        <f>#REF!</f>
        <v>#REF!</v>
      </c>
      <c r="P69" s="88" t="e">
        <f>#REF!</f>
        <v>#REF!</v>
      </c>
      <c r="Q69" s="88" t="e">
        <f>#REF!</f>
        <v>#REF!</v>
      </c>
      <c r="R69" s="88" t="e">
        <f>#REF!</f>
        <v>#REF!</v>
      </c>
    </row>
    <row r="70" spans="1:18" ht="15.75">
      <c r="A70" s="91">
        <v>16</v>
      </c>
      <c r="B70" s="88" t="e">
        <f>#REF!</f>
        <v>#REF!</v>
      </c>
      <c r="C70" s="88" t="e">
        <f>#REF!</f>
        <v>#REF!</v>
      </c>
      <c r="D70" s="88" t="e">
        <f>#REF!</f>
        <v>#REF!</v>
      </c>
      <c r="E70" s="88" t="e">
        <f>#REF!</f>
        <v>#REF!</v>
      </c>
      <c r="F70" s="88" t="e">
        <f>#REF!</f>
        <v>#REF!</v>
      </c>
      <c r="G70" s="88" t="e">
        <f>#REF!</f>
        <v>#REF!</v>
      </c>
      <c r="H70" s="88" t="e">
        <f>#REF!</f>
        <v>#REF!</v>
      </c>
      <c r="I70" s="88" t="e">
        <f>#REF!</f>
        <v>#REF!</v>
      </c>
      <c r="J70" s="88" t="e">
        <f>#REF!</f>
        <v>#REF!</v>
      </c>
      <c r="K70" s="88" t="e">
        <f>#REF!</f>
        <v>#REF!</v>
      </c>
      <c r="L70" s="88" t="e">
        <f>#REF!</f>
        <v>#REF!</v>
      </c>
      <c r="M70" s="88" t="e">
        <f>#REF!</f>
        <v>#REF!</v>
      </c>
      <c r="N70" s="88" t="e">
        <f>#REF!</f>
        <v>#REF!</v>
      </c>
      <c r="O70" s="88" t="e">
        <f>#REF!</f>
        <v>#REF!</v>
      </c>
      <c r="P70" s="88" t="e">
        <f>#REF!</f>
        <v>#REF!</v>
      </c>
      <c r="Q70" s="88" t="e">
        <f>#REF!</f>
        <v>#REF!</v>
      </c>
      <c r="R70" s="88" t="e">
        <f>#REF!</f>
        <v>#REF!</v>
      </c>
    </row>
    <row r="71" spans="1:18" ht="15.75">
      <c r="A71" s="91">
        <v>17</v>
      </c>
      <c r="B71" s="88" t="e">
        <f>#REF!</f>
        <v>#REF!</v>
      </c>
      <c r="C71" s="88" t="e">
        <f>#REF!</f>
        <v>#REF!</v>
      </c>
      <c r="D71" s="88" t="e">
        <f>#REF!</f>
        <v>#REF!</v>
      </c>
      <c r="E71" s="88" t="e">
        <f>#REF!</f>
        <v>#REF!</v>
      </c>
      <c r="F71" s="88" t="e">
        <f>#REF!</f>
        <v>#REF!</v>
      </c>
      <c r="G71" s="88" t="e">
        <f>#REF!</f>
        <v>#REF!</v>
      </c>
      <c r="H71" s="88" t="e">
        <f>#REF!</f>
        <v>#REF!</v>
      </c>
      <c r="I71" s="88" t="e">
        <f>#REF!</f>
        <v>#REF!</v>
      </c>
      <c r="J71" s="88" t="e">
        <f>#REF!</f>
        <v>#REF!</v>
      </c>
      <c r="K71" s="88" t="e">
        <f>#REF!</f>
        <v>#REF!</v>
      </c>
      <c r="L71" s="88" t="e">
        <f>#REF!</f>
        <v>#REF!</v>
      </c>
      <c r="M71" s="88" t="e">
        <f>#REF!</f>
        <v>#REF!</v>
      </c>
      <c r="N71" s="88" t="e">
        <f>#REF!</f>
        <v>#REF!</v>
      </c>
      <c r="O71" s="88" t="e">
        <f>#REF!</f>
        <v>#REF!</v>
      </c>
      <c r="P71" s="88" t="e">
        <f>#REF!</f>
        <v>#REF!</v>
      </c>
      <c r="Q71" s="88" t="e">
        <f>#REF!</f>
        <v>#REF!</v>
      </c>
      <c r="R71" s="88" t="e">
        <f>#REF!</f>
        <v>#REF!</v>
      </c>
    </row>
    <row r="72" spans="1:18" ht="15.75">
      <c r="A72" s="91">
        <v>18</v>
      </c>
      <c r="B72" s="88" t="e">
        <f>#REF!</f>
        <v>#REF!</v>
      </c>
      <c r="C72" s="88" t="e">
        <f>#REF!</f>
        <v>#REF!</v>
      </c>
      <c r="D72" s="88" t="e">
        <f>#REF!</f>
        <v>#REF!</v>
      </c>
      <c r="E72" s="88" t="e">
        <f>#REF!</f>
        <v>#REF!</v>
      </c>
      <c r="F72" s="88" t="e">
        <f>#REF!</f>
        <v>#REF!</v>
      </c>
      <c r="G72" s="88" t="e">
        <f>#REF!</f>
        <v>#REF!</v>
      </c>
      <c r="H72" s="88" t="e">
        <f>#REF!</f>
        <v>#REF!</v>
      </c>
      <c r="I72" s="88" t="e">
        <f>#REF!</f>
        <v>#REF!</v>
      </c>
      <c r="J72" s="88" t="e">
        <f>#REF!</f>
        <v>#REF!</v>
      </c>
      <c r="K72" s="88" t="e">
        <f>#REF!</f>
        <v>#REF!</v>
      </c>
      <c r="L72" s="88" t="e">
        <f>#REF!</f>
        <v>#REF!</v>
      </c>
      <c r="M72" s="88" t="e">
        <f>#REF!</f>
        <v>#REF!</v>
      </c>
      <c r="N72" s="88" t="e">
        <f>#REF!</f>
        <v>#REF!</v>
      </c>
      <c r="O72" s="88" t="e">
        <f>#REF!</f>
        <v>#REF!</v>
      </c>
      <c r="P72" s="88" t="e">
        <f>#REF!</f>
        <v>#REF!</v>
      </c>
      <c r="Q72" s="88" t="e">
        <f>#REF!</f>
        <v>#REF!</v>
      </c>
      <c r="R72" s="88" t="e">
        <f>#REF!</f>
        <v>#REF!</v>
      </c>
    </row>
    <row r="73" spans="1:18" ht="16.5" thickBot="1">
      <c r="A73" s="92">
        <v>19</v>
      </c>
      <c r="B73" s="88" t="e">
        <f>#REF!</f>
        <v>#REF!</v>
      </c>
      <c r="C73" s="88" t="e">
        <f>#REF!</f>
        <v>#REF!</v>
      </c>
      <c r="D73" s="88" t="e">
        <f>#REF!</f>
        <v>#REF!</v>
      </c>
      <c r="E73" s="88" t="e">
        <f>#REF!</f>
        <v>#REF!</v>
      </c>
      <c r="F73" s="88" t="e">
        <f>#REF!</f>
        <v>#REF!</v>
      </c>
      <c r="G73" s="88" t="e">
        <f>#REF!</f>
        <v>#REF!</v>
      </c>
      <c r="H73" s="88" t="e">
        <f>#REF!</f>
        <v>#REF!</v>
      </c>
      <c r="I73" s="88" t="e">
        <f>#REF!</f>
        <v>#REF!</v>
      </c>
      <c r="J73" s="88" t="e">
        <f>#REF!</f>
        <v>#REF!</v>
      </c>
      <c r="K73" s="88" t="e">
        <f>#REF!</f>
        <v>#REF!</v>
      </c>
      <c r="L73" s="88" t="e">
        <f>#REF!</f>
        <v>#REF!</v>
      </c>
      <c r="M73" s="88" t="e">
        <f>#REF!</f>
        <v>#REF!</v>
      </c>
      <c r="N73" s="88" t="e">
        <f>#REF!</f>
        <v>#REF!</v>
      </c>
      <c r="O73" s="88" t="e">
        <f>#REF!</f>
        <v>#REF!</v>
      </c>
      <c r="P73" s="88" t="e">
        <f>#REF!</f>
        <v>#REF!</v>
      </c>
      <c r="Q73" s="88" t="e">
        <f>#REF!</f>
        <v>#REF!</v>
      </c>
      <c r="R73" s="88" t="e">
        <f>#REF!</f>
        <v>#REF!</v>
      </c>
    </row>
    <row r="79" spans="1:18" ht="28.5" thickBot="1">
      <c r="A79" s="667" t="s">
        <v>47</v>
      </c>
      <c r="B79" s="668"/>
      <c r="C79" s="668"/>
      <c r="D79" s="668"/>
      <c r="E79" s="668"/>
      <c r="F79" s="668"/>
      <c r="G79" s="668"/>
      <c r="H79" s="668"/>
      <c r="I79" s="668"/>
      <c r="J79" s="668"/>
    </row>
    <row r="80" spans="1:18" s="95" customFormat="1" ht="65.25" customHeight="1" thickBot="1">
      <c r="B80" s="142" t="s">
        <v>165</v>
      </c>
      <c r="C80" s="142" t="s">
        <v>30</v>
      </c>
      <c r="D80" s="142" t="s">
        <v>31</v>
      </c>
      <c r="E80" s="142" t="s">
        <v>32</v>
      </c>
      <c r="F80" s="142" t="s">
        <v>166</v>
      </c>
      <c r="G80" s="142" t="s">
        <v>33</v>
      </c>
      <c r="H80" s="142" t="s">
        <v>34</v>
      </c>
      <c r="I80" s="142" t="s">
        <v>35</v>
      </c>
      <c r="J80" s="142" t="s">
        <v>36</v>
      </c>
    </row>
    <row r="81" spans="1:10" ht="16.5" thickBot="1">
      <c r="A81" s="85" t="s">
        <v>39</v>
      </c>
      <c r="B81" s="86" t="s">
        <v>124</v>
      </c>
      <c r="C81" s="86" t="s">
        <v>124</v>
      </c>
      <c r="D81" s="86" t="s">
        <v>124</v>
      </c>
      <c r="E81" s="86" t="s">
        <v>124</v>
      </c>
      <c r="F81" s="86" t="s">
        <v>124</v>
      </c>
      <c r="G81" s="86" t="s">
        <v>124</v>
      </c>
      <c r="H81" s="86" t="s">
        <v>124</v>
      </c>
      <c r="I81" s="86" t="s">
        <v>124</v>
      </c>
      <c r="J81" s="86" t="s">
        <v>124</v>
      </c>
    </row>
    <row r="82" spans="1:10" ht="15.75">
      <c r="A82" s="90">
        <v>2</v>
      </c>
      <c r="B82" s="88" t="e">
        <f>#REF!</f>
        <v>#REF!</v>
      </c>
      <c r="C82" s="88" t="e">
        <f>#REF!</f>
        <v>#REF!</v>
      </c>
      <c r="D82" s="88" t="e">
        <f>#REF!</f>
        <v>#REF!</v>
      </c>
      <c r="E82" s="88" t="e">
        <f>#REF!</f>
        <v>#REF!</v>
      </c>
      <c r="F82" s="88" t="e">
        <f>#REF!</f>
        <v>#REF!</v>
      </c>
      <c r="G82" s="88" t="e">
        <f>#REF!</f>
        <v>#REF!</v>
      </c>
      <c r="H82" s="88" t="e">
        <f>#REF!</f>
        <v>#REF!</v>
      </c>
      <c r="I82" s="88" t="e">
        <f>#REF!</f>
        <v>#REF!</v>
      </c>
      <c r="J82" s="88" t="e">
        <f>#REF!</f>
        <v>#REF!</v>
      </c>
    </row>
    <row r="83" spans="1:10" ht="15.75">
      <c r="A83" s="91">
        <v>3</v>
      </c>
      <c r="B83" s="88" t="e">
        <f>#REF!</f>
        <v>#REF!</v>
      </c>
      <c r="C83" s="88" t="e">
        <f>#REF!</f>
        <v>#REF!</v>
      </c>
      <c r="D83" s="88" t="e">
        <f>#REF!</f>
        <v>#REF!</v>
      </c>
      <c r="E83" s="88" t="e">
        <f>#REF!</f>
        <v>#REF!</v>
      </c>
      <c r="F83" s="88" t="e">
        <f>#REF!</f>
        <v>#REF!</v>
      </c>
      <c r="G83" s="88" t="e">
        <f>#REF!</f>
        <v>#REF!</v>
      </c>
      <c r="H83" s="88" t="e">
        <f>#REF!</f>
        <v>#REF!</v>
      </c>
      <c r="I83" s="88" t="e">
        <f>#REF!</f>
        <v>#REF!</v>
      </c>
      <c r="J83" s="88" t="e">
        <f>#REF!</f>
        <v>#REF!</v>
      </c>
    </row>
    <row r="84" spans="1:10" ht="15.75">
      <c r="A84" s="91">
        <v>4</v>
      </c>
      <c r="B84" s="88" t="e">
        <f>#REF!</f>
        <v>#REF!</v>
      </c>
      <c r="C84" s="88" t="e">
        <f>#REF!</f>
        <v>#REF!</v>
      </c>
      <c r="D84" s="88" t="e">
        <f>#REF!</f>
        <v>#REF!</v>
      </c>
      <c r="E84" s="88" t="e">
        <f>#REF!</f>
        <v>#REF!</v>
      </c>
      <c r="F84" s="88" t="e">
        <f>#REF!</f>
        <v>#REF!</v>
      </c>
      <c r="G84" s="88" t="e">
        <f>#REF!</f>
        <v>#REF!</v>
      </c>
      <c r="H84" s="88" t="e">
        <f>#REF!</f>
        <v>#REF!</v>
      </c>
      <c r="I84" s="88" t="e">
        <f>#REF!</f>
        <v>#REF!</v>
      </c>
      <c r="J84" s="88" t="e">
        <f>#REF!</f>
        <v>#REF!</v>
      </c>
    </row>
    <row r="85" spans="1:10" ht="15.75">
      <c r="A85" s="91">
        <v>5</v>
      </c>
      <c r="B85" s="88" t="e">
        <f>#REF!</f>
        <v>#REF!</v>
      </c>
      <c r="C85" s="88" t="e">
        <f>#REF!</f>
        <v>#REF!</v>
      </c>
      <c r="D85" s="88" t="e">
        <f>#REF!</f>
        <v>#REF!</v>
      </c>
      <c r="E85" s="88" t="e">
        <f>#REF!</f>
        <v>#REF!</v>
      </c>
      <c r="F85" s="88" t="e">
        <f>#REF!</f>
        <v>#REF!</v>
      </c>
      <c r="G85" s="88" t="e">
        <f>#REF!</f>
        <v>#REF!</v>
      </c>
      <c r="H85" s="88" t="e">
        <f>#REF!</f>
        <v>#REF!</v>
      </c>
      <c r="I85" s="88" t="e">
        <f>#REF!</f>
        <v>#REF!</v>
      </c>
      <c r="J85" s="88" t="e">
        <f>#REF!</f>
        <v>#REF!</v>
      </c>
    </row>
    <row r="86" spans="1:10" ht="15.75">
      <c r="A86" s="91">
        <v>6</v>
      </c>
      <c r="B86" s="88" t="e">
        <f>#REF!</f>
        <v>#REF!</v>
      </c>
      <c r="C86" s="88" t="e">
        <f>#REF!</f>
        <v>#REF!</v>
      </c>
      <c r="D86" s="88" t="e">
        <f>#REF!</f>
        <v>#REF!</v>
      </c>
      <c r="E86" s="88" t="e">
        <f>#REF!</f>
        <v>#REF!</v>
      </c>
      <c r="F86" s="88" t="e">
        <f>#REF!</f>
        <v>#REF!</v>
      </c>
      <c r="G86" s="88" t="e">
        <f>#REF!</f>
        <v>#REF!</v>
      </c>
      <c r="H86" s="88" t="e">
        <f>#REF!</f>
        <v>#REF!</v>
      </c>
      <c r="I86" s="88" t="e">
        <f>#REF!</f>
        <v>#REF!</v>
      </c>
      <c r="J86" s="88" t="e">
        <f>#REF!</f>
        <v>#REF!</v>
      </c>
    </row>
    <row r="87" spans="1:10" ht="15.75">
      <c r="A87" s="91">
        <v>7</v>
      </c>
      <c r="B87" s="88" t="e">
        <f>#REF!</f>
        <v>#REF!</v>
      </c>
      <c r="C87" s="88" t="e">
        <f>#REF!</f>
        <v>#REF!</v>
      </c>
      <c r="D87" s="88" t="e">
        <f>#REF!</f>
        <v>#REF!</v>
      </c>
      <c r="E87" s="88" t="e">
        <f>#REF!</f>
        <v>#REF!</v>
      </c>
      <c r="F87" s="88" t="e">
        <f>#REF!</f>
        <v>#REF!</v>
      </c>
      <c r="G87" s="88" t="e">
        <f>#REF!</f>
        <v>#REF!</v>
      </c>
      <c r="H87" s="88" t="e">
        <f>#REF!</f>
        <v>#REF!</v>
      </c>
      <c r="I87" s="88" t="e">
        <f>#REF!</f>
        <v>#REF!</v>
      </c>
      <c r="J87" s="88" t="e">
        <f>#REF!</f>
        <v>#REF!</v>
      </c>
    </row>
    <row r="88" spans="1:10" ht="15.75">
      <c r="A88" s="91">
        <v>8</v>
      </c>
      <c r="B88" s="88" t="e">
        <f>#REF!</f>
        <v>#REF!</v>
      </c>
      <c r="C88" s="88" t="e">
        <f>#REF!</f>
        <v>#REF!</v>
      </c>
      <c r="D88" s="88" t="e">
        <f>#REF!</f>
        <v>#REF!</v>
      </c>
      <c r="E88" s="88" t="e">
        <f>#REF!</f>
        <v>#REF!</v>
      </c>
      <c r="F88" s="88" t="e">
        <f>#REF!</f>
        <v>#REF!</v>
      </c>
      <c r="G88" s="88" t="e">
        <f>#REF!</f>
        <v>#REF!</v>
      </c>
      <c r="H88" s="88" t="e">
        <f>#REF!</f>
        <v>#REF!</v>
      </c>
      <c r="I88" s="88" t="e">
        <f>#REF!</f>
        <v>#REF!</v>
      </c>
      <c r="J88" s="88" t="e">
        <f>#REF!</f>
        <v>#REF!</v>
      </c>
    </row>
    <row r="89" spans="1:10" ht="15.75">
      <c r="A89" s="91">
        <v>9</v>
      </c>
      <c r="B89" s="88" t="e">
        <f>#REF!</f>
        <v>#REF!</v>
      </c>
      <c r="C89" s="88" t="e">
        <f>#REF!</f>
        <v>#REF!</v>
      </c>
      <c r="D89" s="88" t="e">
        <f>#REF!</f>
        <v>#REF!</v>
      </c>
      <c r="E89" s="88" t="e">
        <f>#REF!</f>
        <v>#REF!</v>
      </c>
      <c r="F89" s="88" t="e">
        <f>#REF!</f>
        <v>#REF!</v>
      </c>
      <c r="G89" s="88" t="e">
        <f>#REF!</f>
        <v>#REF!</v>
      </c>
      <c r="H89" s="88" t="e">
        <f>#REF!</f>
        <v>#REF!</v>
      </c>
      <c r="I89" s="88" t="e">
        <f>#REF!</f>
        <v>#REF!</v>
      </c>
      <c r="J89" s="88" t="e">
        <f>#REF!</f>
        <v>#REF!</v>
      </c>
    </row>
    <row r="90" spans="1:10" ht="15.75">
      <c r="A90" s="91">
        <v>10</v>
      </c>
      <c r="B90" s="88" t="e">
        <f>#REF!</f>
        <v>#REF!</v>
      </c>
      <c r="C90" s="88" t="e">
        <f>#REF!</f>
        <v>#REF!</v>
      </c>
      <c r="D90" s="88" t="e">
        <f>#REF!</f>
        <v>#REF!</v>
      </c>
      <c r="E90" s="88" t="e">
        <f>#REF!</f>
        <v>#REF!</v>
      </c>
      <c r="F90" s="88" t="e">
        <f>#REF!</f>
        <v>#REF!</v>
      </c>
      <c r="G90" s="88" t="e">
        <f>#REF!</f>
        <v>#REF!</v>
      </c>
      <c r="H90" s="88" t="e">
        <f>#REF!</f>
        <v>#REF!</v>
      </c>
      <c r="I90" s="88" t="e">
        <f>#REF!</f>
        <v>#REF!</v>
      </c>
      <c r="J90" s="88" t="e">
        <f>#REF!</f>
        <v>#REF!</v>
      </c>
    </row>
    <row r="91" spans="1:10" ht="15.75">
      <c r="A91" s="91">
        <v>11</v>
      </c>
      <c r="B91" s="88" t="e">
        <f>#REF!</f>
        <v>#REF!</v>
      </c>
      <c r="C91" s="88" t="e">
        <f>#REF!</f>
        <v>#REF!</v>
      </c>
      <c r="D91" s="88" t="e">
        <f>#REF!</f>
        <v>#REF!</v>
      </c>
      <c r="E91" s="88" t="e">
        <f>#REF!</f>
        <v>#REF!</v>
      </c>
      <c r="F91" s="88" t="e">
        <f>#REF!</f>
        <v>#REF!</v>
      </c>
      <c r="G91" s="88" t="e">
        <f>#REF!</f>
        <v>#REF!</v>
      </c>
      <c r="H91" s="88" t="e">
        <f>#REF!</f>
        <v>#REF!</v>
      </c>
      <c r="I91" s="88" t="e">
        <f>#REF!</f>
        <v>#REF!</v>
      </c>
      <c r="J91" s="88" t="e">
        <f>#REF!</f>
        <v>#REF!</v>
      </c>
    </row>
    <row r="92" spans="1:10" ht="15.75">
      <c r="A92" s="91">
        <v>12</v>
      </c>
      <c r="B92" s="88" t="e">
        <f>#REF!</f>
        <v>#REF!</v>
      </c>
      <c r="C92" s="88" t="e">
        <f>#REF!</f>
        <v>#REF!</v>
      </c>
      <c r="D92" s="88" t="e">
        <f>#REF!</f>
        <v>#REF!</v>
      </c>
      <c r="E92" s="88" t="e">
        <f>#REF!</f>
        <v>#REF!</v>
      </c>
      <c r="F92" s="88" t="e">
        <f>#REF!</f>
        <v>#REF!</v>
      </c>
      <c r="G92" s="88" t="e">
        <f>#REF!</f>
        <v>#REF!</v>
      </c>
      <c r="H92" s="88" t="e">
        <f>#REF!</f>
        <v>#REF!</v>
      </c>
      <c r="I92" s="88" t="e">
        <f>#REF!</f>
        <v>#REF!</v>
      </c>
      <c r="J92" s="88" t="e">
        <f>#REF!</f>
        <v>#REF!</v>
      </c>
    </row>
    <row r="93" spans="1:10" ht="15.75">
      <c r="A93" s="91">
        <v>13</v>
      </c>
      <c r="B93" s="88" t="e">
        <f>#REF!</f>
        <v>#REF!</v>
      </c>
      <c r="C93" s="88" t="e">
        <f>#REF!</f>
        <v>#REF!</v>
      </c>
      <c r="D93" s="88" t="e">
        <f>#REF!</f>
        <v>#REF!</v>
      </c>
      <c r="E93" s="88" t="e">
        <f>#REF!</f>
        <v>#REF!</v>
      </c>
      <c r="F93" s="88" t="e">
        <f>#REF!</f>
        <v>#REF!</v>
      </c>
      <c r="G93" s="88" t="e">
        <f>#REF!</f>
        <v>#REF!</v>
      </c>
      <c r="H93" s="88" t="e">
        <f>#REF!</f>
        <v>#REF!</v>
      </c>
      <c r="I93" s="88" t="e">
        <f>#REF!</f>
        <v>#REF!</v>
      </c>
      <c r="J93" s="88" t="e">
        <f>#REF!</f>
        <v>#REF!</v>
      </c>
    </row>
    <row r="94" spans="1:10" ht="15.75">
      <c r="A94" s="91">
        <v>14</v>
      </c>
      <c r="B94" s="88" t="e">
        <f>#REF!</f>
        <v>#REF!</v>
      </c>
      <c r="C94" s="88" t="e">
        <f>#REF!</f>
        <v>#REF!</v>
      </c>
      <c r="D94" s="88" t="e">
        <f>#REF!</f>
        <v>#REF!</v>
      </c>
      <c r="E94" s="88" t="e">
        <f>#REF!</f>
        <v>#REF!</v>
      </c>
      <c r="F94" s="88" t="e">
        <f>#REF!</f>
        <v>#REF!</v>
      </c>
      <c r="G94" s="88" t="e">
        <f>#REF!</f>
        <v>#REF!</v>
      </c>
      <c r="H94" s="88" t="e">
        <f>#REF!</f>
        <v>#REF!</v>
      </c>
      <c r="I94" s="88" t="e">
        <f>#REF!</f>
        <v>#REF!</v>
      </c>
      <c r="J94" s="88" t="e">
        <f>#REF!</f>
        <v>#REF!</v>
      </c>
    </row>
    <row r="95" spans="1:10" ht="15.75">
      <c r="A95" s="91">
        <v>15</v>
      </c>
      <c r="B95" s="88" t="e">
        <f>#REF!</f>
        <v>#REF!</v>
      </c>
      <c r="C95" s="88" t="e">
        <f>#REF!</f>
        <v>#REF!</v>
      </c>
      <c r="D95" s="88" t="e">
        <f>#REF!</f>
        <v>#REF!</v>
      </c>
      <c r="E95" s="88" t="e">
        <f>#REF!</f>
        <v>#REF!</v>
      </c>
      <c r="F95" s="88" t="e">
        <f>#REF!</f>
        <v>#REF!</v>
      </c>
      <c r="G95" s="88" t="e">
        <f>#REF!</f>
        <v>#REF!</v>
      </c>
      <c r="H95" s="88" t="e">
        <f>#REF!</f>
        <v>#REF!</v>
      </c>
      <c r="I95" s="88" t="e">
        <f>#REF!</f>
        <v>#REF!</v>
      </c>
      <c r="J95" s="88" t="e">
        <f>#REF!</f>
        <v>#REF!</v>
      </c>
    </row>
    <row r="96" spans="1:10" ht="15.75">
      <c r="A96" s="91">
        <v>16</v>
      </c>
      <c r="B96" s="88" t="e">
        <f>#REF!</f>
        <v>#REF!</v>
      </c>
      <c r="C96" s="88" t="e">
        <f>#REF!</f>
        <v>#REF!</v>
      </c>
      <c r="D96" s="88" t="e">
        <f>#REF!</f>
        <v>#REF!</v>
      </c>
      <c r="E96" s="88" t="e">
        <f>#REF!</f>
        <v>#REF!</v>
      </c>
      <c r="F96" s="88" t="e">
        <f>#REF!</f>
        <v>#REF!</v>
      </c>
      <c r="G96" s="88" t="e">
        <f>#REF!</f>
        <v>#REF!</v>
      </c>
      <c r="H96" s="88" t="e">
        <f>#REF!</f>
        <v>#REF!</v>
      </c>
      <c r="I96" s="88" t="e">
        <f>#REF!</f>
        <v>#REF!</v>
      </c>
      <c r="J96" s="88" t="e">
        <f>#REF!</f>
        <v>#REF!</v>
      </c>
    </row>
    <row r="97" spans="1:10" ht="15.75">
      <c r="A97" s="91">
        <v>17</v>
      </c>
      <c r="B97" s="88" t="e">
        <f>#REF!</f>
        <v>#REF!</v>
      </c>
      <c r="C97" s="88" t="e">
        <f>#REF!</f>
        <v>#REF!</v>
      </c>
      <c r="D97" s="88" t="e">
        <f>#REF!</f>
        <v>#REF!</v>
      </c>
      <c r="E97" s="88" t="e">
        <f>#REF!</f>
        <v>#REF!</v>
      </c>
      <c r="F97" s="88" t="e">
        <f>#REF!</f>
        <v>#REF!</v>
      </c>
      <c r="G97" s="88" t="e">
        <f>#REF!</f>
        <v>#REF!</v>
      </c>
      <c r="H97" s="88" t="e">
        <f>#REF!</f>
        <v>#REF!</v>
      </c>
      <c r="I97" s="88" t="e">
        <f>#REF!</f>
        <v>#REF!</v>
      </c>
      <c r="J97" s="88" t="e">
        <f>#REF!</f>
        <v>#REF!</v>
      </c>
    </row>
    <row r="98" spans="1:10" ht="15.75">
      <c r="A98" s="91">
        <v>18</v>
      </c>
      <c r="B98" s="88" t="e">
        <f>#REF!</f>
        <v>#REF!</v>
      </c>
      <c r="C98" s="88" t="e">
        <f>#REF!</f>
        <v>#REF!</v>
      </c>
      <c r="D98" s="88" t="e">
        <f>#REF!</f>
        <v>#REF!</v>
      </c>
      <c r="E98" s="88" t="e">
        <f>#REF!</f>
        <v>#REF!</v>
      </c>
      <c r="F98" s="88" t="e">
        <f>#REF!</f>
        <v>#REF!</v>
      </c>
      <c r="G98" s="88" t="e">
        <f>#REF!</f>
        <v>#REF!</v>
      </c>
      <c r="H98" s="88" t="e">
        <f>#REF!</f>
        <v>#REF!</v>
      </c>
      <c r="I98" s="88" t="e">
        <f>#REF!</f>
        <v>#REF!</v>
      </c>
      <c r="J98" s="88" t="e">
        <f>#REF!</f>
        <v>#REF!</v>
      </c>
    </row>
    <row r="99" spans="1:10" ht="16.5" thickBot="1">
      <c r="A99" s="92">
        <v>19</v>
      </c>
      <c r="B99" s="88" t="e">
        <f>#REF!</f>
        <v>#REF!</v>
      </c>
      <c r="C99" s="88" t="e">
        <f>#REF!</f>
        <v>#REF!</v>
      </c>
      <c r="D99" s="88" t="e">
        <f>#REF!</f>
        <v>#REF!</v>
      </c>
      <c r="E99" s="88" t="e">
        <f>#REF!</f>
        <v>#REF!</v>
      </c>
      <c r="F99" s="88" t="e">
        <f>#REF!</f>
        <v>#REF!</v>
      </c>
      <c r="G99" s="88" t="e">
        <f>#REF!</f>
        <v>#REF!</v>
      </c>
      <c r="H99" s="88" t="e">
        <f>#REF!</f>
        <v>#REF!</v>
      </c>
      <c r="I99" s="88" t="e">
        <f>#REF!</f>
        <v>#REF!</v>
      </c>
      <c r="J99" s="88" t="e">
        <f>#REF!</f>
        <v>#REF!</v>
      </c>
    </row>
  </sheetData>
  <mergeCells count="3">
    <mergeCell ref="A79:J79"/>
    <mergeCell ref="A53:R53"/>
    <mergeCell ref="A28:S28"/>
  </mergeCells>
  <conditionalFormatting sqref="B5:B22">
    <cfRule type="cellIs" dxfId="9" priority="29" operator="equal">
      <formula>0</formula>
    </cfRule>
  </conditionalFormatting>
  <conditionalFormatting sqref="B82:J99">
    <cfRule type="cellIs" dxfId="8" priority="13" operator="equal">
      <formula>0</formula>
    </cfRule>
    <cfRule type="cellIs" dxfId="7" priority="14" operator="between">
      <formula>71</formula>
      <formula>99</formula>
    </cfRule>
    <cfRule type="cellIs" dxfId="6" priority="15" operator="between">
      <formula>1</formula>
      <formula>70</formula>
    </cfRule>
    <cfRule type="cellIs" dxfId="5" priority="16" operator="equal">
      <formula>100</formula>
    </cfRule>
  </conditionalFormatting>
  <conditionalFormatting sqref="B5:V22 B31:S48 B56:R73">
    <cfRule type="cellIs" dxfId="4" priority="22" operator="between">
      <formula>71</formula>
      <formula>99</formula>
    </cfRule>
    <cfRule type="cellIs" dxfId="3" priority="23" operator="between">
      <formula>1</formula>
      <formula>70</formula>
    </cfRule>
    <cfRule type="cellIs" dxfId="2" priority="24" operator="equal">
      <formula>100</formula>
    </cfRule>
  </conditionalFormatting>
  <conditionalFormatting sqref="C5:V22 B31:R48 B56:R73">
    <cfRule type="cellIs" dxfId="1" priority="21" operator="equal">
      <formula>0</formula>
    </cfRule>
  </conditionalFormatting>
  <conditionalFormatting sqref="S31:S48">
    <cfRule type="cellIs" dxfId="0" priority="25" operator="equal">
      <formula>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9</vt:i4>
      </vt:variant>
    </vt:vector>
  </HeadingPairs>
  <TitlesOfParts>
    <vt:vector size="27" baseType="lpstr">
      <vt:lpstr>GRAFICO</vt:lpstr>
      <vt:lpstr>DINAMICA</vt:lpstr>
      <vt:lpstr>FASE 4</vt:lpstr>
      <vt:lpstr>FASE 3 </vt:lpstr>
      <vt:lpstr>FASE 2  </vt:lpstr>
      <vt:lpstr>AVANCE SEMANAL 1</vt:lpstr>
      <vt:lpstr>FASE 1   </vt:lpstr>
      <vt:lpstr>AVANCE SEMANAL</vt:lpstr>
      <vt:lpstr>SEGUIMIENTO R.CRITICA</vt:lpstr>
      <vt:lpstr>DASHBOARD</vt:lpstr>
      <vt:lpstr>GANTT_SFCO211</vt:lpstr>
      <vt:lpstr>IMPRIMIR</vt:lpstr>
      <vt:lpstr>Hoja2</vt:lpstr>
      <vt:lpstr>PROJECT TA Y TB KARINA</vt:lpstr>
      <vt:lpstr>EXEL KARINA</vt:lpstr>
      <vt:lpstr>PROJECT OBRA TA Y TB </vt:lpstr>
      <vt:lpstr>GRAFICOS TA Y TB</vt:lpstr>
      <vt:lpstr>PROG TERMINACIONES</vt:lpstr>
      <vt:lpstr>'AVANCE SEMANAL'!Área_de_impresión</vt:lpstr>
      <vt:lpstr>'FASE 1   '!Área_de_impresión</vt:lpstr>
      <vt:lpstr>'FASE 2  '!Área_de_impresión</vt:lpstr>
      <vt:lpstr>'FASE 3 '!Área_de_impresión</vt:lpstr>
      <vt:lpstr>'FASE 4'!Área_de_impresión</vt:lpstr>
      <vt:lpstr>'PROJECT TA Y TB KARINA'!Área_de_impresión</vt:lpstr>
      <vt:lpstr>GANTT_SFCO211!Incremento_de_desplazamiento</vt:lpstr>
      <vt:lpstr>GANTT_SFCO211!Inicio_del_proyecto</vt:lpstr>
      <vt:lpstr>GANTT_SFCO211!Títulos_a_imprimir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JAIME ANDRES TAPIA GARCIA</dc:creator>
  <cp:lastModifiedBy>jestte francisco adasme</cp:lastModifiedBy>
  <cp:lastPrinted>2026-07-20T12:21:40Z</cp:lastPrinted>
  <dcterms:created xsi:type="dcterms:W3CDTF">2016-02-19T15:18:34Z</dcterms:created>
  <dcterms:modified xsi:type="dcterms:W3CDTF">2026-07-27T14:34:20Z</dcterms:modified>
</cp:coreProperties>
</file>